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Triples" sheetId="2" state="visible" r:id="rId4"/>
    <sheet name="Recall" sheetId="3" state="visible" r:id="rId5"/>
    <sheet name="Sentences" sheetId="4" state="visible" r:id="rId6"/>
  </sheets>
  <definedNames>
    <definedName function="false" hidden="true" localSheetId="2" name="_xlnm._FilterDatabase" vbProcedure="false">Recall!$A$1:$L$1523</definedName>
    <definedName function="false" hidden="true" localSheetId="3" name="_xlnm._FilterDatabase" vbProcedure="false">Sentences!$A$1:$I$1202</definedName>
    <definedName function="false" hidden="true" localSheetId="1" name="_xlnm._FilterDatabase" vbProcedure="false">Triples!$A$1:$M$2809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<sst xmlns="http://schemas.openxmlformats.org/spreadsheetml/2006/main" count="54888" uniqueCount="15338">
  <si>
    <t xml:space="preserve">Konbaung Chronicle knowledge graph: extraction evaluation</t>
  </si>
  <si>
    <t xml:space="preserve">Two independent random samples of 61 pages each (122 of 1,215 pages; 1,201 sentences; 2,808 extracted triples). Judge: ChatGPT (OpenAI), reading each sampled Burmese sentence with its surrounding narrative. Extraction model: Gemini 3.1 Flash Lite.</t>
  </si>
  <si>
    <t xml:space="preserve">Measure</t>
  </si>
  <si>
    <t xml:space="preserve">First 5%</t>
  </si>
  <si>
    <t xml:space="preserve">Second 5%</t>
  </si>
  <si>
    <t xml:space="preserve">Combined</t>
  </si>
  <si>
    <t xml:space="preserve">Definition</t>
  </si>
  <si>
    <t xml:space="preserve">Triples judged</t>
  </si>
  <si>
    <t xml:space="preserve">Extracted subject–predicate–object triples on the sampled pages</t>
  </si>
  <si>
    <t xml:space="preserve">Supported</t>
  </si>
  <si>
    <t xml:space="preserve">Relationship, actor, action and object supported by the Burmese and narrative context</t>
  </si>
  <si>
    <t xml:space="preserve">Soft error</t>
  </si>
  <si>
    <t xml:space="preserve">Relationship true; a construction, label or detail needs repair</t>
  </si>
  <si>
    <t xml:space="preserve">Hard error</t>
  </si>
  <si>
    <t xml:space="preserve">A substantive claim conflicts with the source (wrong actor, place, event, direction or office)</t>
  </si>
  <si>
    <t xml:space="preserve">Unresolved</t>
  </si>
  <si>
    <t xml:space="preserve">Two readings possible; not counted as correct or as an error</t>
  </si>
  <si>
    <t xml:space="preserve">Semantic precision</t>
  </si>
  <si>
    <t xml:space="preserve">(Supported + Soft) / Triples judged</t>
  </si>
  <si>
    <t xml:space="preserve">No-flag precision</t>
  </si>
  <si>
    <t xml:space="preserve">Supported / Triples judged</t>
  </si>
  <si>
    <t xml:space="preserve">Hard error rate</t>
  </si>
  <si>
    <t xml:space="preserve">Hard / Triples judged</t>
  </si>
  <si>
    <t xml:space="preserve">Source relationships</t>
  </si>
  <si>
    <t xml:space="preserve">Relationships the judge identified in the Burmese, on pages with extraction output</t>
  </si>
  <si>
    <t xml:space="preserve">Covered</t>
  </si>
  <si>
    <t xml:space="preserve">Represented adequately by one or more triples</t>
  </si>
  <si>
    <t xml:space="preserve">Partial</t>
  </si>
  <si>
    <t xml:space="preserve">Represented, but a substantive aspect is missing</t>
  </si>
  <si>
    <t xml:space="preserve">Incorrect</t>
  </si>
  <si>
    <t xml:space="preserve">Represented, but wrongly</t>
  </si>
  <si>
    <t xml:space="preserve">Missing</t>
  </si>
  <si>
    <t xml:space="preserve">Not represented</t>
  </si>
  <si>
    <t xml:space="preserve">Inclusive recall</t>
  </si>
  <si>
    <t xml:space="preserve">(Covered + Partial) / Source relationships</t>
  </si>
  <si>
    <t xml:space="preserve">Full-only recall</t>
  </si>
  <si>
    <t xml:space="preserve">Covered / Source relationships</t>
  </si>
  <si>
    <t xml:space="preserve">95% intervals (page-cluster bootstrap, 20,000 resamples)</t>
  </si>
  <si>
    <t xml:space="preserve">94.7–98.3%</t>
  </si>
  <si>
    <t xml:space="preserve">94.3–97.8%</t>
  </si>
  <si>
    <t xml:space="preserve">95.1–97.6%</t>
  </si>
  <si>
    <t xml:space="preserve">89.4–95.4%</t>
  </si>
  <si>
    <t xml:space="preserve">89.7–94.4%</t>
  </si>
  <si>
    <t xml:space="preserve">90.4–94.2%</t>
  </si>
  <si>
    <t xml:space="preserve">86.3–92.3%</t>
  </si>
  <si>
    <t xml:space="preserve">86.4–91.8%</t>
  </si>
  <si>
    <t xml:space="preserve">87.2–91.2%</t>
  </si>
  <si>
    <t xml:space="preserve">Intervals are copied from the audit records (metrics_final.json) and reflect sampling variation only.</t>
  </si>
  <si>
    <t xml:space="preserve">Notes</t>
  </si>
  <si>
    <t xml:space="preserve">The judge credits reasonable grouping, paraphrase and contextually supplied actors. Claims are judged against what the chronicle says, not against external historical fact.</t>
  </si>
  <si>
    <t xml:space="preserve">Precision is measured per triple; recall per source relationship. The two use different units, so no F1 is reported.</t>
  </si>
  <si>
    <t xml:space="preserve">Volume 3, page 511 (second sample) has no extraction output; its 8 source relationships are excluded from recall above. Including them, combined inclusive recall is 91.9%.</t>
  </si>
  <si>
    <t xml:space="preserve">Samples: first drawn with seed 20260915; second with seed 20260916 from the remaining pages.</t>
  </si>
  <si>
    <t xml:space="preserve">English translations are the pipeline's model translations, shown for convenience; the judge worked from the Burmese.</t>
  </si>
  <si>
    <t xml:space="preserve">Sheets: Triples (every judged triple), Recall (every source relationship and its matching triples), Sentences (every sampled sentence).</t>
  </si>
  <si>
    <t xml:space="preserve">Tranche</t>
  </si>
  <si>
    <t xml:space="preserve">Volume</t>
  </si>
  <si>
    <t xml:space="preserve">Page</t>
  </si>
  <si>
    <t xml:space="preserve">Sentence ID</t>
  </si>
  <si>
    <t xml:space="preserve">Triple ID</t>
  </si>
  <si>
    <t xml:space="preserve">Subject</t>
  </si>
  <si>
    <t xml:space="preserve">Predicate</t>
  </si>
  <si>
    <t xml:space="preserve">Object</t>
  </si>
  <si>
    <t xml:space="preserve">Verdict</t>
  </si>
  <si>
    <t xml:space="preserve">Judge reasoning</t>
  </si>
  <si>
    <t xml:space="preserve">Suggested correction</t>
  </si>
  <si>
    <t xml:space="preserve">Burmese sentence</t>
  </si>
  <si>
    <t xml:space="preserve">English translation (auxiliary)</t>
  </si>
  <si>
    <t xml:space="preserve">vol1</t>
  </si>
  <si>
    <t xml:space="preserve">vol1_s000407</t>
  </si>
  <si>
    <t xml:space="preserve">vol1_s000407_t01_3c02a13d586a</t>
  </si>
  <si>
    <t xml:space="preserve">Alaungmintayagyi</t>
  </si>
  <si>
    <t xml:space="preserve">PERFORMED_RITUAL_DEPARTURE_FROM</t>
  </si>
  <si>
    <t xml:space="preserve">Cittakuta_gate</t>
  </si>
  <si>
    <t xml:space="preserve">hard</t>
  </si>
  <si>
    <t xml:space="preserve">The Cittakuta gate belongs to the comparison with Sakra, not to the king’s actual departure. The king leaves through the eastern right-hand gate. The triple literalizes the simile.</t>
  </si>
  <si>
    <t xml:space="preserve">Alaungmintayagyi | DEPARTED_THROUGH | eastern right-hand gate (or retain Cittakuta explicitly as a simile)</t>
  </si>
  <si>
    <t xml:space="preserve">ထိုအခါ အလောင်းမင်းတရားကြီး ဘုရားလည်း သက္ကရာဇ် တစ်ထောင့် တစ်ရာ့ လေးဆယ့် လေးခု၊ ကဆုန်လပြည့်ကျော်ရှစ်ရက် သောကြာနေ့၊ မွန်းယိမ်းနှစ်ချက်တီးကျော် နှစ်မောင်းတွင် အတန္တုအားဖြင့် တာဝတိံသာ မဟာသုဒဿနမြို့သို့ ချီတက်လာကုန်သော အသူရာစစ်သည်တို့ကို နှိပ်နင်းအံ့သောငှာ မင်္ဂလာရှိသော စိတ္တကုဋ် တံခါးမှ သိကြားထွက်စံသကဲ့သို့ အောင်တံခွန်ကို လွှားလွှားလွှင့်တော်မူ၍ သားတော်မြတ် နှစ်ပါးနှင့်တကွ ဆွေတော် မျိုးတော် ကျွန်တော်ရင်း မြင်းရည်တက် လေးဆယ့်ခြောက်ခေါင်း အစု အမှုထမ်း လက်နက်စွဲ သူရဲအပေါင်း ခြံရံလျက် မင်းတို့စံပယ်ခြင်းဖြင့် စည်တော်ရွမ်း၍ အရှေ့မျက်နှာ လက်ယာတံခါးမှ ရွှေထီးဖြန့်လျက် ထွက်တော် မူသည်ကို မွန်တို့တပ်က မြင်လျှင် သောသောထ၍ ကြည့်ကြစဉ် ကောင်းကင်အရပ်က သိမ်းငှက်တစ်ခုသည် စွန်ရဲကို တိုက်၍ ရှေ့တော်တူရူ ဦးခေါင်းငိုက်ဆိုက် ကျလာသည်ကို ရဲမက်တော်တို့ လှံနှင့်နှိပ်၍ ရလိုက်သည်။</t>
  </si>
  <si>
    <t xml:space="preserve">At that time, Alaungmintayagyi Paya, in the year 1144, on the eighth day of the waning moon of Kason, a Friday, at the time just past two strokes of the afternoon, in order to suppress the Asura soldiers who were marching toward the Tavatimsa Mahasudassana city as if by analogy, raised the victory banner high as if Sakra were emerging from the auspicious Cittakuta gate, and surrounded by his two noble sons, his relatives, his kin, his loyal servants, forty-six cavalrymen, and all the armed soldiers and service personnel, with the royal drums beating in the royal manner, he emerged from the right gate on the eastern side with the golden umbrella spread; when the Mon army saw this, they rose up in a clamor to watch, and at that moment, a hawk from the sky attacked a kite, and it fell headlong directly in front of him, which the royal soldiers struck with spears and caught.</t>
  </si>
  <si>
    <t xml:space="preserve">vol1_s000407_t02_97f3bf59b463</t>
  </si>
  <si>
    <t xml:space="preserve">DISPLAYED_ROYAL_REGALIA</t>
  </si>
  <si>
    <t xml:space="preserve">victory_banner_and_golden_umbrella</t>
  </si>
  <si>
    <t xml:space="preserve">supported</t>
  </si>
  <si>
    <t xml:space="preserve">Supported by the Burmese sentence and allowed narrative context; grouping and contextually inferred participants accepted.</t>
  </si>
  <si>
    <t xml:space="preserve">vol1_s000407_t03_0be63211651d</t>
  </si>
  <si>
    <t xml:space="preserve">MOBILIZED_MILITARY_ASSETS</t>
  </si>
  <si>
    <t xml:space="preserve">cavalry_and_armed_soldiers</t>
  </si>
  <si>
    <t xml:space="preserve">vol1_s000407_t04_d0b57d421653</t>
  </si>
  <si>
    <t xml:space="preserve">COMMANDED_LOYALTY_OF</t>
  </si>
  <si>
    <t xml:space="preserve">sons_and_kin_and_servants</t>
  </si>
  <si>
    <t xml:space="preserve">vol1_s000407_t05_008bb89c30b3</t>
  </si>
  <si>
    <t xml:space="preserve">Mon_army</t>
  </si>
  <si>
    <t xml:space="preserve">OBSERVED_ROYAL_DISPLAY_OF</t>
  </si>
  <si>
    <t xml:space="preserve">vol1_s000407_t06_9f6b39839bb4</t>
  </si>
  <si>
    <t xml:space="preserve">Omen</t>
  </si>
  <si>
    <t xml:space="preserve">SIGNALED_VICTORY_FOR</t>
  </si>
  <si>
    <t xml:space="preserve">vol1_s000408</t>
  </si>
  <si>
    <t xml:space="preserve">vol1_s000408_t01_b0fbd1f80d6b</t>
  </si>
  <si>
    <t xml:space="preserve">INTERPRETED_OMEN_AS</t>
  </si>
  <si>
    <t xml:space="preserve">inevitable_victory</t>
  </si>
  <si>
    <t xml:space="preserve">ထိုနိမိတ်ကို မြင်တော်မူလျှင် စွန်နံဖြစ်သော မွန်ကို သိမ်းနံဖြစ်သော ငါမင်းတရားသည် ယခုနေ့ အောင်မြင် တော်မူမည် မချွတ်ဟု ဘတ်တော်မူပြီးမှ ငါတည်း မင်းမျိုးမင်းမြစ် မှန်သည်ဖြစ်၍ ရဟန်းရှင်လူ ပြည်သူတကာ သာသနာတော်မြတ်၏ စီးပွား၊ မယ်တော်, ခမည်းတော်, ဆွေတော် မျိုးတော်တို့၏ စီးပွား၊ သားတော်အစဉ် မြေးတော်အဆက် မြစ်တော်အညွန့် တိုင်အောင် ဆောင်တော်မူထိုက်သည် မှန်လျှင် သိကြား၊ စတုလောကပါလာ၊ သာသနာတော်မြတ်ကို စောင့်ကုန်သော သမ္မာဒေဝ နတ်မြတ်အပေါင်း ကောင်းသော ကြည့်ရှုခြင်းဖြင့် ညီညာ ရွက်ဆောင်သည်ဖြစ်၍ အလွယ်တကူ ရန်သူတော်တို့ကို လှံထင်ဆောက်ကာ ပြီးမြောက် အောင်မြင်တော်မူစေ သောဟု ရွှေကရားဖြင့် ရေစက်သွန်းတော်မူပြီးလျှင် ရေ မြေသို့ရောက်သည်နှင့် တစ်ပြိုင်နက် “အောင်ခါ ရောက်ပြီ၊ အောင်ချိန်သင့်ပြီ၊ အောင်ခါတန်ပြီ”ဟု ညွှန်းသော စကားဖြင့် အောင်သံပေးတော်မူသည်ကို မြန်မာစစ်သည် မွန်စစ်သည် အပေါင်းတို့သည် နားရင်းကြပ်ကြပ်အပ်၍ ဟစ်ကြော်ဘိကဲ့သို့ တပ်လုံး ကြားလေ၏။</t>
  </si>
  <si>
    <t xml:space="preserve">Upon seeing this omen, he declared, 'I, King Alaungmintaya, who am the hawk, will undoubtedly be victorious this day over the Mon, who are the kite,' and after declaring this, he poured water from a golden ewer, saying, 'Since I am truly of royal lineage, if it is true that I am worthy to carry out the welfare of the noble religion for all monks and laypeople, the welfare of my mother, father, relatives, and kin, and the welfare of my sons, grandsons, and great-grandsons, then may Sakra, the Four Heavenly Kings, and all the noble Samma-deva spirits who guard the noble religion look upon me with favor, act in unison, and cause me to easily pierce the enemies with spears and achieve complete victory,' and as soon as the water reached the earth, he gave the signal for victory with the words, 'The time for victory has arrived, the time for victory is appropriate, the time for victory is due,' which the Burmese soldiers and all the Mon soldiers heard throughout the entire camp as if they were shouting it right into their ears.</t>
  </si>
  <si>
    <t xml:space="preserve">vol1_s000408_t02_c56a1c317678</t>
  </si>
  <si>
    <t xml:space="preserve">INVOKED_SUPERNATURAL_PROTECTION_OF</t>
  </si>
  <si>
    <t xml:space="preserve">Sakra_and_Four_Heavenly_Kings_and_Samma_deva_spirits</t>
  </si>
  <si>
    <t xml:space="preserve">vol1_s000408_t03_d6fdde6ee5ab</t>
  </si>
  <si>
    <t xml:space="preserve">PERFORMED_RITUAL_OATH_VIA</t>
  </si>
  <si>
    <t xml:space="preserve">pouring_water_from_golden_ewer</t>
  </si>
  <si>
    <t xml:space="preserve">vol1_s000408_t04_53fd29578911</t>
  </si>
  <si>
    <t xml:space="preserve">CLAIMED_LEGITIMACY_THROUGH</t>
  </si>
  <si>
    <t xml:space="preserve">royal_lineage_and_Buddhist_welfare</t>
  </si>
  <si>
    <t xml:space="preserve">vol1_s000408_t05_515c37baf5b4</t>
  </si>
  <si>
    <t xml:space="preserve">ISSUED_COMMAND_TO</t>
  </si>
  <si>
    <t xml:space="preserve">Burmese_and_Mon_soldiers</t>
  </si>
  <si>
    <t xml:space="preserve">soft</t>
  </si>
  <si>
    <t xml:space="preserve">Both armies hear the king’s victory cry. The triple turns that joint audience into the recipients of a command, including the enemy. The utterance is real, but its relation to the audience is misconstructed.</t>
  </si>
  <si>
    <t xml:space="preserve">Alaungmintayagyi | GAVE_VICTORY_SIGNAL_HEARD_BY | Burmese and Mon soldiers</t>
  </si>
  <si>
    <t xml:space="preserve">vol1_s000408_t06_8c758f29b409</t>
  </si>
  <si>
    <t xml:space="preserve">HEARD_ROYAL_SIGNAL_OF</t>
  </si>
  <si>
    <t xml:space="preserve">victory</t>
  </si>
  <si>
    <t xml:space="preserve">vol1_s000409</t>
  </si>
  <si>
    <t xml:space="preserve">vol1_s000409_t01_7dd4a7d1314c</t>
  </si>
  <si>
    <t xml:space="preserve">EXERTED_ROYAL_AUTHORITY_THROUGH</t>
  </si>
  <si>
    <t xml:space="preserve">voice_and_charisma</t>
  </si>
  <si>
    <t xml:space="preserve">ထိုအခါ ပမာအားဖြင့် ကေသရရာဇာ ခြင်္သေ့မင်းသည် ရွှေဂူဝမှ ခုန်ကြွစံပယ်လျက် ထွက်၍ ဟောက်မြူးသောအသံကို တောင်ယံကမ်းပါး ကျက်စားရှိကုန်သော သားအပေါင်းတို့သည် ကြောက်ခြင်းပြင်းရကား ကမ်းပါးချောက်သို့ ဦးစောက်ကျဘိ သကဲ့သို့ မွန်စစ်သည် အပေါင်းတို့သည် အလောင်းမင်းတရားကြီးဘုရား အသံတော်ကို ကြားလျှင် ဘုန်းအာဏာတော်အား သတိမတည်နိုင်၍ လက်နက်လွတ်ကျသော ဟူ၏။</t>
  </si>
  <si>
    <t xml:space="preserve">At that time, it is said that just as when the lion king, the Kesararaja, leaps out from the mouth of a golden cave and roars, all the animals living on the mountain slopes are so terrified that they fall headlong into the ravines, so too, when the Mon soldiers heard the voice of Alaungmintayagyi Paya, they could not maintain their composure due to his royal power and authority, and they dropped their weapons.</t>
  </si>
  <si>
    <t xml:space="preserve">vol1_s000409_t02_02d08094e321</t>
  </si>
  <si>
    <t xml:space="preserve">Mon_soldiers</t>
  </si>
  <si>
    <t xml:space="preserve">SUFFERED_MORALE_COLLAPSE_FROM</t>
  </si>
  <si>
    <t xml:space="preserve">Alaungmintayagyi_voice</t>
  </si>
  <si>
    <t xml:space="preserve">vol1_s000409_t03_60475c497770</t>
  </si>
  <si>
    <t xml:space="preserve">ABANDONED_WEAPONS_DUE_TO</t>
  </si>
  <si>
    <t xml:space="preserve">royal_power</t>
  </si>
  <si>
    <t xml:space="preserve">vol1_s000410</t>
  </si>
  <si>
    <t xml:space="preserve">vol1_s000410_t01_6fb674c9e392</t>
  </si>
  <si>
    <t xml:space="preserve">Royal_army</t>
  </si>
  <si>
    <t xml:space="preserve">EXECUTED_COMMAND_OF</t>
  </si>
  <si>
    <t xml:space="preserve">" ယင်းသို့ စင်တွင် တပ်မတော်မှ အောင်စည် အောင်မောင်း သောင်းသောင်းသောသော တီးမှုတ်စေလျက် အမှတ်ပေးတော်မူလျှင် လေးဆယ့်ငါးတပ် စွဲမှတ်ရှိနေကုန်သော မြင်းစီးသူရဲ၊ သေနတ်စွဲသူရဲ၊ လေးစွဲသူရဲ၊ ရထားစွဲသူရဲ၊ တင်ကျည်းစွဲ သူရဲတို့လည်း တစ်ပြိုင်နက် ကြော်ငြာလျက် အဆုတ်အဆိုင်းမရှိ ချွံချွံရွပ်ရွပ် ထိုးခုတ်ပစ်ခတ်ကြသည်ကို မွန်တို့လည်း မဆုတ်မနစ် ကြိုး၍ခံသည်၊ မနည်းကြာ တစ်ဦးကိုတစ်ဦး မတိုးမဝှေ့ နိုင်၊ အထွေးထွေးရှိစဉ် အလောင်း မင်းတရားကြီးဘုရား ကိုယ်တော်တိုင် ကွပ်သည်ကို ရဲမက်တော်တို့မြင်လျှင် အသက်ကို ပန်းတစ်ပွင့် အနှိုင်းမမှတ် စွန့်စား ထိုးခုတ် ပစ်ခတ်ကြသောကြောင့် မွန်တို့ အရှအန အသေအပျောက် များသည်နှင့် မနည်းကြာအမ်း၍ ရှိနေစဉ် တပ်မတော်နှင့်တကွ တောင်ဘိ၏သို့ တစ်ဟုန်တည်း တိုက်တော်မူလျှင် မွန်တို့ မခံနိုင်၍ အဆီးအတားမရှိ ပျက်လေ၏။</t>
  </si>
  <si>
    <t xml:space="preserve">In this way, when the royal army gave the signal by beating the victory drums and gongs loudly, the forty-five units of cavalrymen, musketeers, archers, charioteers, and spearmen all at once shouted and charged forward without hesitation, stabbing and shooting fiercely; the Mon also resisted with unyielding effort, and for a while, they could not push or shove one another, and while they were in this state of entanglement, the royal soldiers saw Alaungmintayagyi Paya himself directing the battle, and because they fought, stabbed, and shot with such abandon, regarding their lives as no more than a flower, the Mon suffered many casualties and deaths, and while they were wavering for a while, he attacked with the royal army in one swift rush toward the south, and the Mon could not withstand it and were defeated without obstruction.</t>
  </si>
  <si>
    <t xml:space="preserve">vol1_s000410_t02_ef2633dfdf11</t>
  </si>
  <si>
    <t xml:space="preserve">DIRECTED_BATTLE_PERSONALLY</t>
  </si>
  <si>
    <t xml:space="preserve">royal_army</t>
  </si>
  <si>
    <t xml:space="preserve">vol1_s000410_t03_46bb5d1bcdce</t>
  </si>
  <si>
    <t xml:space="preserve">Mon_forces</t>
  </si>
  <si>
    <t xml:space="preserve">RESISTED_MILITARY_ASSAULT_OF</t>
  </si>
  <si>
    <t xml:space="preserve">vol1_s000410_t04_3fe015232093</t>
  </si>
  <si>
    <t xml:space="preserve">SUFFERED_DEFEAT_BY</t>
  </si>
  <si>
    <t xml:space="preserve">vol1_s000410_t05_0fefbe13d092</t>
  </si>
  <si>
    <t xml:space="preserve">Royal_soldiers</t>
  </si>
  <si>
    <t xml:space="preserve">DEMONSTRATED_LOYALTY_THROUGH</t>
  </si>
  <si>
    <t xml:space="preserve">self_sacrifice</t>
  </si>
  <si>
    <t xml:space="preserve">vol1_s000411</t>
  </si>
  <si>
    <t xml:space="preserve">vol1_s000411_t01_7937cc94dec9</t>
  </si>
  <si>
    <t xml:space="preserve">Mon_main_army</t>
  </si>
  <si>
    <t xml:space="preserve">SUFFERED_COLLAPSE_OF</t>
  </si>
  <si>
    <t xml:space="preserve">defensive_structure</t>
  </si>
  <si>
    <t xml:space="preserve">အရှေ့မျက်နှာက မွန်တို့ တပ်မ ပျက်လျှင် တောင်မျက်နှာ၊ အနောက်မျက်နှာ၊ မြောက်မျက်နှာ၊ ရံတပ်အလုံးလည်း ပျက်ပြန်လေ၏။</t>
  </si>
  <si>
    <t xml:space="preserve">When the Mon main army on the eastern side was defeated, the southern, western, and northern sides, and all the supporting units, were also defeated.</t>
  </si>
  <si>
    <t xml:space="preserve">vol1_s000411_t02_d89bf0092878</t>
  </si>
  <si>
    <t xml:space="preserve">Mon_supporting_units</t>
  </si>
  <si>
    <t xml:space="preserve">vol1_s000412</t>
  </si>
  <si>
    <t xml:space="preserve">vol1_s000412_t01_836e01a281d6</t>
  </si>
  <si>
    <t xml:space="preserve">Northern_wind</t>
  </si>
  <si>
    <t xml:space="preserve">AIDED_MILITARY_PURSUIT_OF</t>
  </si>
  <si>
    <t xml:space="preserve">royal_soldiers</t>
  </si>
  <si>
    <t xml:space="preserve">ယင်းသောအခါ ကဆုန် နွေလ ဖြစ်လျက် မြောက်လေ ပြင်းစွာလာလတ်၍ မြူမှုန်ခြောင်းခြောင်း တောင်သို့ဘိကာ မွန်တို့ ဆုတ်ခွာသည်ကို ရဲမက်တော်တို့ လိုက်ထပ်ထိုးခုတ် ပစ်ခတ်လျှင် မွန်စစ်သည်တို့ ခါးဝတ်မဆည်း စစ်ကြီး ထောင်းထောင်းပျက်၍ ကိုယ်လွတ် ဆုတ်ခွာရလေ၏။</t>
  </si>
  <si>
    <t xml:space="preserve">At that time, it being the summer month of Kason, a strong north wind blew, and as the Mon retreated toward the south amidst clouds of dust, the royal soldiers pursued them, stabbing and shooting, so the Mon soldiers, unable to even fasten their waistcloths, suffered a total collapse of their great army and had to retreat to save their own lives.</t>
  </si>
  <si>
    <t xml:space="preserve">vol1_s000412_t02_109353c6190e</t>
  </si>
  <si>
    <t xml:space="preserve">RETREATED_FROM</t>
  </si>
  <si>
    <t xml:space="preserve">vol1_s000412_t03_9e474c2e606c</t>
  </si>
  <si>
    <t xml:space="preserve">SUFFERED_TOTAL_MILITARY_COLLAPSE</t>
  </si>
  <si>
    <t xml:space="preserve">vol1_s000475</t>
  </si>
  <si>
    <t xml:space="preserve">vol1_s000475_t01_9f4ce4ba91f5</t>
  </si>
  <si>
    <t xml:space="preserve">Alaungpaya</t>
  </si>
  <si>
    <t xml:space="preserve">ORDERED_MILITARY_ACTION</t>
  </si>
  <si>
    <t xml:space="preserve">Thanatwun Minkyawpyanchi and Minhlashwetaung</t>
  </si>
  <si>
    <t xml:space="preserve">မွန်တပ်များကို ဆက်တိုက် အောင်တော်မူခြင်း ယင်းကမှ သေနတ်ဝန် မင်းကျော်ပျံချီ, မင်းလှရွှေတောင်တို့ကို ရွာသစ်ကြီး အရပ်သည် အထက်ကလည်း မွန်တို့ အခြေအမြစ် ပြုဘူးသည်၊ ယခုလည်း မွန်တို့ အရပ်အနေပြုကြောင်းနှင့် ကြားတော်မူရသည်၊ အခြေအမြစ် မဖြစ်ခင် ဖျက်ချေဟု စေခန့်တော်မူ၍ ချီရ၏။</t>
  </si>
  <si>
    <t xml:space="preserve">Regarding the successive victories over the Mon forces, [the King] heard that the area of Ywathitgyi had previously been used as a base by the Mons and that they were currently using it as a base again; he ordered the Thanatwun [Minister of Musketeers] Minkyawpyanchi and Minhlashwetaung to march and destroy it before it could become established.</t>
  </si>
  <si>
    <t xml:space="preserve">vol1_s000475_t02_180ed2759ca7</t>
  </si>
  <si>
    <t xml:space="preserve">TASKED_WITH_DESTROYING</t>
  </si>
  <si>
    <t xml:space="preserve">Mon base at Ywathitgyi</t>
  </si>
  <si>
    <t xml:space="preserve">vol1_s000475_t03_1d1e9e7654c1</t>
  </si>
  <si>
    <t xml:space="preserve">Mon forces</t>
  </si>
  <si>
    <t xml:space="preserve">USED_AS_BASE</t>
  </si>
  <si>
    <t xml:space="preserve">Ywathitgyi</t>
  </si>
  <si>
    <t xml:space="preserve">vol1_s000476</t>
  </si>
  <si>
    <t xml:space="preserve">vol1_s000476_t01_25e6f50e581c</t>
  </si>
  <si>
    <t xml:space="preserve">Musopo King</t>
  </si>
  <si>
    <t xml:space="preserve">FORTIFIED</t>
  </si>
  <si>
    <t xml:space="preserve">Thanlon fort</t>
  </si>
  <si>
    <t xml:space="preserve">ယင်းသောအခါ အဝဗိုလ်မှူး ငွေခွန်ဝန်က မူဆိုးပိုမင်းသည် ထန်းလုံးတပ်ကို သံမြို့မှတ်၍ လူနှစ်ထောင် သုံးထောင်နှင့် အခိုင်နေလေသည်မှာ မြောက်ဘက်တစ်လွှား ငါးစို့တစ်ခွင်၊ မြို့ကျေးရွာများကို သိမ်းရုံးပြီးလျှင် ခင်ဦးစား လက်ယာပျံချီကို မြောက်ဘက် မျက်နှာက ရံစေမည်၊ အဲနရဲ၊ အဲကန်ကောင်းတို့ကိုလည်း ကျောက်မြောင်းတိုင် မြို့ ရွာများကို သိမ်းယူဆန်တက်၍ အရှေ့မျက်နှာက ရံစေမည်။</t>
  </si>
  <si>
    <t xml:space="preserve">At that time, the Ava commander, the Ngwekwanwun, stated that the Musopo King [the Mon King] had designated the Thanlon fort as a fortified city and was holding it firmly with two or three thousand men, and that after seizing the towns and villages in the Ngasint region across the north, he would have Khin-U-sa Let-ya-pyanchi surround it from the northern front, and would have Aenarae and Aekankaung seize the Kyaukmyaung-taing towns and villages and march up to surround it from the eastern front.</t>
  </si>
  <si>
    <t xml:space="preserve">vol1_s000476_t02_0709fa67e2f8</t>
  </si>
  <si>
    <t xml:space="preserve">MOBILIZED_MILITARY_FORCE</t>
  </si>
  <si>
    <t xml:space="preserve">2000-3000 soldiers</t>
  </si>
  <si>
    <t xml:space="preserve">vol1_s000476_t03_e18c108df2bc</t>
  </si>
  <si>
    <t xml:space="preserve">APPOINTED_COMMANDER</t>
  </si>
  <si>
    <t xml:space="preserve">Khin-U-sa Let-ya-pyanchi</t>
  </si>
  <si>
    <t xml:space="preserve">The speaking commander is the Ava Mon commander Ngwekhunwun, introduced by အဝဗိုလ်မှူး ငွေခွန်ဝန်က. The Moksobo ruler is the target of the encirclement, not the issuer of these assignments.</t>
  </si>
  <si>
    <t xml:space="preserve">Ngwekhunwun | ASSIGNED_NORTHERN_ENCIRCLEMENT_TO | Khin-U-sa Let-ya-pyanchi</t>
  </si>
  <si>
    <t xml:space="preserve">vol1_s000476_t04_fd98cf6593fe</t>
  </si>
  <si>
    <t xml:space="preserve">Aenarae and Aekankaung</t>
  </si>
  <si>
    <t xml:space="preserve">Ngwekhunwun | ASSIGNED_EASTERN_ENCIRCLEMENT_TO | Aenarae and Aekankaung</t>
  </si>
  <si>
    <t xml:space="preserve">vol1_s000477</t>
  </si>
  <si>
    <t xml:space="preserve">vol1_s000477_t01_9bc0ee6b5563</t>
  </si>
  <si>
    <t xml:space="preserve">Samainzeipbyae, Samainlut, Samainthanlaik, Ye-khaung-san-kyaw</t>
  </si>
  <si>
    <t xml:space="preserve">Ngwekhunwun | ASSIGNED_WESTERN_ENCIRCLEMENT_TO | the four Mon commanders</t>
  </si>
  <si>
    <t xml:space="preserve">သမိန်ဇိပ်ဗြဲ၊ သမိန်လွတ်၊ သမိန်သံလိုက်၊ ရဲခေါင်စံကျော်တို့ကိုလည်း မူးမြစ်ကြောင်း အနောက်တစ်ပြင် မြို့ရွာများကို သိမ်းယူ၍ အနောက် မျက်နှာက ရံစေမည်၊ ငါလည်း ပိုက်သီဟ၊ ပိုက်ကမြင်းတို့နှင့် စစ်ကိုင်းကြောင်း ချီတက်၍ တောင်မျက်နှာက ရံမည်၊ သည်ကဲ့သို့ လေးကြောင်း လေးမျက်နှာ တက်၍ စစ်အားကြီး လုပ်ကြံရလျှင် မုဆိုးပိုတပ်သည် ငှက်မူ၍ ပျံထွက်နိုင်မည်လောဟု ကြုံးဝါးပြီးလျှင် သက္ကရာဇ် (၁၁၁၄) တစ်ထောင့်တစ်ရာ တစ်ဆယ့်လေးခု၊ သီတင်းကျွတ်လ တွင် သမိန်ဇိပ်ဗြဲ တစ်တပ်၊ သမိန်လွတ် တစ်တပ်၊ သမိန်သံလိုက် တစ်တပ်၊ ရဲခေါင်စံကျော် တစ်တပ်၊ သည် လေးတပ်တွင် မြင်းသုံးရာ၊ စစ်သည်သူရဲနှစ်ထောင့်ငါးရာ၊ မူးမြစ်ကြောင်း ချီနှင့်ရလေ၏။</t>
  </si>
  <si>
    <t xml:space="preserve">He also stated that he would have Samainzeipbyae, Samainlut, Samainthanlaik, and Ye-khaung-san-kyaw seize the towns and villages on the western side of the Mu River and surround it from the western front, and that he himself would march along the Sagaing route with Paik-thiha and Paik-kamyin and surround it from the southern front; after boasting, 'If we attack with such great military force, advancing from four directions and four fronts, will the Musopo fort be able to fly away like a bird?', in the month of Thadingyut, in the year 1114, he sent one unit of Samainzeipbyae, one unit of Samainlut, one unit of Samainthanlaik, and one unit of Ye-khaung-san-kyaw—these four units, consisting of three hundred horses and two thousand five hundred soldiers—to march along the Mu River.</t>
  </si>
  <si>
    <t xml:space="preserve">vol1_s000477_t02_8a4279ee1476</t>
  </si>
  <si>
    <t xml:space="preserve">PLANNED_ENCIRCLEMENT</t>
  </si>
  <si>
    <t xml:space="preserve">Nyaung-hla</t>
  </si>
  <si>
    <t xml:space="preserve">The Mon commander plans to surround Moksobo. This triple substitutes the Moksobo king as planner and Nyaunghla as the intended target. Nyaunghla is the later Mon staging camp, not the target named in this plan.</t>
  </si>
  <si>
    <t xml:space="preserve">Ngwekhunwun | PLANNED_ENCIRCLEMENT_OF | Moksobo</t>
  </si>
  <si>
    <t xml:space="preserve">vol1_s000477_t03_25771c827e6a</t>
  </si>
  <si>
    <t xml:space="preserve">300 horses and 2500 soldiers</t>
  </si>
  <si>
    <t xml:space="preserve">The 300 horses and 2,500 soldiers belong to the four advancing Mon battalions, not to the Moksobo king’s force.</t>
  </si>
  <si>
    <t xml:space="preserve">Ngwekhunwun / four Mon commanders | DISPATCHED | 300 horses and 2500 soldiers</t>
  </si>
  <si>
    <t xml:space="preserve">vol1_s000478</t>
  </si>
  <si>
    <t xml:space="preserve">vol1_s000478_t01_5ee6ca8a38c6</t>
  </si>
  <si>
    <t xml:space="preserve">MARCHED_TO</t>
  </si>
  <si>
    <t xml:space="preserve">Kyaukmyaung</t>
  </si>
  <si>
    <t xml:space="preserve">အဲနရဲ၊ အဲကန်ကောင်းတို့ လည်း ဧရာဝတီမြစ်ကြောင်း ကျောက်မြောင်းရောက် ချီရလေသည်။</t>
  </si>
  <si>
    <t xml:space="preserve">Aenarae and Aekankaung also marched along the Irrawaddy River route to reach Kyaukmyaung.</t>
  </si>
  <si>
    <t xml:space="preserve">vol1_s000479</t>
  </si>
  <si>
    <t xml:space="preserve">vol1_s000479_t01_94ee31f83371</t>
  </si>
  <si>
    <t xml:space="preserve">The speaking commander is the Ava Mon commander Ngwekhunwun, introduced by အဝဗိုလ်မှူး ငွေခွန်ဝန်က. The Moksobo ruler is the target of the encirclement, not the issuer of these assignments. The ongoing passage describes Mon deployments.</t>
  </si>
  <si>
    <t xml:space="preserve">Ngwekhunwun | DISPATCHED_MON_COMMANDERS_TO | Khin-U-sa Let-ya-pyanchi</t>
  </si>
  <si>
    <t xml:space="preserve">ခင်ဦးစား လက်ယာပျံချီသို့လည်း မြောက်ဘက် တစ်လွှား ငါးစို့တစ်ခွင် သိမ်းရုံးစည်းကြပ်ရမည်ဟု မွန်တပ်မှူးတို့ကို ခန့်ထားစေလွှတ်သည်။</t>
  </si>
  <si>
    <t xml:space="preserve">He also appointed and sent Mon commanders to Khin-U-sa Let-ya-pyanchi to seize and organize the Ngasint region across the north.</t>
  </si>
  <si>
    <t xml:space="preserve">vol1_s000479_t02_1407a7ea8054</t>
  </si>
  <si>
    <t xml:space="preserve">TASKED_WITH_CONTROLLING</t>
  </si>
  <si>
    <t xml:space="preserve">Ngasint region</t>
  </si>
  <si>
    <t xml:space="preserve">vol1_s000480</t>
  </si>
  <si>
    <t xml:space="preserve">vol1_s000480_t01_70af7dca3c1d</t>
  </si>
  <si>
    <t xml:space="preserve">RECEIVED_INTELLIGENCE_ON</t>
  </si>
  <si>
    <t xml:space="preserve">Mon progress at Nyaung-hla</t>
  </si>
  <si>
    <t xml:space="preserve">ယင်းသောအခါ အနောက်ဘက် မူးကြောင်း အလျင်ချီနှင့်ရသည့် လေးဗိုလ်လေးတပ်တို့ ညောင်လှအရပ်သို့ ရောက်ကြောင်းကို အလောင်းမင်းတရားကြီးဘုရား ကြားတော်မူသော်လည်း ရွာသစ်ကြီးသို့ သေနတ်ဝန် မင်းကျော် ပျံချီ, မင်းလှရွှေတောင်တို့ ချီလေရာ သူရဲသူခက် လက်နက်ပါ ချေသောကြောင့် ခပ်မဆိတ် နေတော်မူ၏။</t>
  </si>
  <si>
    <t xml:space="preserve">At that time, although the Alaungmintayagyi Phaya heard that the four commanders and four units that had marched ahead along the western Mu route had reached the Nyaunghla area, because the Thanatwun Minkyawpyanchi and Minhlashwetaung had marched to Ywathitgyi with soldiers and weapons, he remained silent.</t>
  </si>
  <si>
    <t xml:space="preserve">vol1_s000480_t02_8b3494957d0f</t>
  </si>
  <si>
    <t xml:space="preserve">EXERCISED_STRATEGIC_PATIENCE</t>
  </si>
  <si>
    <t xml:space="preserve">Military operations</t>
  </si>
  <si>
    <t xml:space="preserve">vol1_s000481</t>
  </si>
  <si>
    <t xml:space="preserve">vol1_s000481_t01_86b135767614</t>
  </si>
  <si>
    <t xml:space="preserve">Royal commanders</t>
  </si>
  <si>
    <t xml:space="preserve">PROPOSED_ATTACK</t>
  </si>
  <si>
    <t xml:space="preserve">ထိုအခါ သားတော် ညီတော် ဗိုလ်မှူး တပ်မှူးတို့က ယခု မွန်တို့ လေးတပ်ချီလာ၍ ညောင်လှအရပ်တွင် တပ်ကြီးတပ်ခိုင် တည်လုပ်လာသည်ကို တပ်မပြီးခင် အလျင်အမြန် ချီတက်၍ ဖျက်ဆီးသိမ်းယူပါမည်ဟု လျှောက်ကြသော်လည်း ဘဝရှင် အလောင်းမင်းတၱရားကြီးဘုရားသည် ရာဇမာယာ၌ လိမ္မာတော်မူသည်နှင့်အညီ ယခု တပ်မပြီးခင် ချီချေသော် မွန်တို့က ငါတို့ တပ်မပြီးခင်သောကြောင့်သာ ရှုံးရလေသည်ဟု ဆိုပြန်လေတော့မည်၊ တပ်ပြီးစေဦးဟု အမိန့်တော် ရှိ၍ ရပ်ဆိုင်းသည့်အတွင်း သေနတ်ဝန် မင်းကျော်ပျံချီ, မင်းလှရွှေတောင်တို့ ရွာသစ်ကြီးတပ်ကို ဖျက်သိမ်း ပြန်ရောက်၍ ယခု မွန်တို့က စစ်လေးမျက်နှာ ခန့်ရန် စည်းကြပ်ကြောင်းနှင့် အဝက ထွက်လာသူတို့ စစ်ချက်တွင် ကြားသိရသည့် အတိုင်း မွန်တို့က ညောင်လှတွင် တပ်တည်သည်ကို ချီ၍ တိုက်ပါမည်ဟု လျှောက်သည်တွင် မွန်တို့ တပ်တည်၍ ပြီးစေဦးတော့ဟု ငါ့အမိန့်တော် ရှိနှင့်သည်၊ ယခုမှာ မွန်တို့တပ်လည်း ပြီးတန်လေပြီ၊ ချီလေတော့ဟူ၍ အမိန့်တော် ရှိလျှင် သေနတ်ဝန် မင်းကျော်ပျံချီ, မင်းလှရွှေတောင်တို့ လက်နက်ကိုင် လူတစ်ထောင့်ငါးရာနှင့် ချက်တစ်ဖြုတ် ချီသွား၍ ညောင်လှတပ်သို့ ရောက်လျှင် တပ်မချဘဲ သမိန်သံလိုက်တပ်ကို တိုက်သည်။</t>
  </si>
  <si>
    <t xml:space="preserve">At that time, although the royal sons, younger brothers, commanders, and unit leaders submitted that they would march quickly to destroy and seize the large, fortified fort that the four Mon units had come and built in the Nyaunghla area before it was completed, the Bawa-shin Alaungmintayagyi Phaya, being skilled in royal strategy, said, 'If we march before it is completed, the Mons will say they only lost because their fort was not finished; let them finish the fort,' and ordered a halt; while they were waiting, the Thanatwun Minkyawpyanchi and Minhlashwetaung destroyed the Ywathitgyi fort and returned, and upon hearing from the reports of those who came out from Ava that the Mons were organizing to attack from four directions, they submitted that they would march and attack the fort the Mons were building at Nyaunghla, to which [the King] replied, 'I have already given the order to let the Mons finish building their fort; now that the Mon fort must be finished, march,' and upon that order, the Thanatwun Minkyawpyanchi and Minhlashwetaung marched immediately with one thousand five hundred armed men, and upon reaching the Nyaunghla fort, they did not set up a camp but attacked the Samainthanlaik unit.</t>
  </si>
  <si>
    <t xml:space="preserve">vol1_s000481_t02_e12d797c9038</t>
  </si>
  <si>
    <t xml:space="preserve">EXERCISED_ROYAL_STRATAGEM</t>
  </si>
  <si>
    <t xml:space="preserve">Military timing</t>
  </si>
  <si>
    <t xml:space="preserve">vol1_s000481_t03_44cf9924cffe</t>
  </si>
  <si>
    <t xml:space="preserve">ORDERED_DELAY</t>
  </si>
  <si>
    <t xml:space="preserve">Attack on Nyaung-hla</t>
  </si>
  <si>
    <t xml:space="preserve">vol1_s000481_t04_ee4b249cb475</t>
  </si>
  <si>
    <t xml:space="preserve">ORDERED_ATTACK</t>
  </si>
  <si>
    <t xml:space="preserve">vol1_s000481_t05_9cb62cd963f0</t>
  </si>
  <si>
    <t xml:space="preserve">ATTACKED</t>
  </si>
  <si>
    <t xml:space="preserve">Samainthanlaik unit</t>
  </si>
  <si>
    <t xml:space="preserve">vol1_s000482</t>
  </si>
  <si>
    <t xml:space="preserve">vol1_s000482_t01_d615f46458fd</t>
  </si>
  <si>
    <t xml:space="preserve">DEFEATED</t>
  </si>
  <si>
    <t xml:space="preserve">သမိန်သံလိုက် တပ်ပျက် လေ၏၊ သမိန်သံလိုက်လည်း မြင်းဦးတွင်ပင် သေလေ၏။</t>
  </si>
  <si>
    <t xml:space="preserve">The Samainthanlaik unit was defeated, and Samainthanlaik died right on his horse.</t>
  </si>
  <si>
    <t xml:space="preserve">vol1_s000482_t02_134d4cf7955a</t>
  </si>
  <si>
    <t xml:space="preserve">Samainthanlaik</t>
  </si>
  <si>
    <t xml:space="preserve">DIED_IN_BATTLE</t>
  </si>
  <si>
    <t xml:space="preserve">vol1_s000483</t>
  </si>
  <si>
    <t xml:space="preserve">vol1_s000483_t01_b5161a85d7a7</t>
  </si>
  <si>
    <t xml:space="preserve">Samainzeipbyae unit</t>
  </si>
  <si>
    <t xml:space="preserve">သမိန်သံလိုက် တပ်ပျက်လျှင် သမိန်ဇိပ်ဗြဲတပ်ကို တိုက်သည်၊ ပျက်ပြန်လေ၏။</t>
  </si>
  <si>
    <t xml:space="preserve">When the Samainthanlaik unit was defeated, they attacked the Samainzeipbyae unit, which was also defeated.</t>
  </si>
  <si>
    <t xml:space="preserve">vol1_s000484</t>
  </si>
  <si>
    <t xml:space="preserve">vol1_s000484_t01_572a80131d9e</t>
  </si>
  <si>
    <t xml:space="preserve">Samainlut unit</t>
  </si>
  <si>
    <t xml:space="preserve">သမိန်ဇိပ်ဗြဲတပ် ပျက်လျှင် သမိန်လွတ် တပ်ကို တိုက်သည်၊ ပျက်ပြန်လေ၏။</t>
  </si>
  <si>
    <t xml:space="preserve">When the Samainzeipbyae unit was defeated, they attacked the Samainlut unit, which was also defeated.</t>
  </si>
  <si>
    <t xml:space="preserve">vol1_s000485</t>
  </si>
  <si>
    <t xml:space="preserve">vol1_s000485_t01_87192a03f74e</t>
  </si>
  <si>
    <t xml:space="preserve">Ye-khaung-san-kyaw unit</t>
  </si>
  <si>
    <t xml:space="preserve">သမိန်လွတ်တပ် ပျက်လျှင် ရဲခေါင်စံကျော်တပ်ကို တိုက်သည်၊ ပျက်ပြန်လေ၏။</t>
  </si>
  <si>
    <t xml:space="preserve">When the Samainlut unit was defeated, they attacked the Ye-khaung-san-kyaw unit, which was also defeated.</t>
  </si>
  <si>
    <t xml:space="preserve">vol1_s000486</t>
  </si>
  <si>
    <t xml:space="preserve">vol1_s000486_t01_be6731c34dcc</t>
  </si>
  <si>
    <t xml:space="preserve">Samainzeipbyae, Samainlut, Ye-khaung-san-kyaw</t>
  </si>
  <si>
    <t xml:space="preserve">ESCAPED_BATTLE</t>
  </si>
  <si>
    <t xml:space="preserve">သမိန်ဇိပ်ဗြဲ၊ သမိန်လွတ်၊ ရဲခေါင် စံကျော်တို့ သုံးဦးလည်း မြင်းနှင့် အပြင်းခွာသောကြောင့် လွတ်လေ၏။</t>
  </si>
  <si>
    <t xml:space="preserve">Samainzeipbyae, Samainlut, and Ye-khaung-san-kyaw, the three of them, escaped because they fled rapidly on horseback.</t>
  </si>
  <si>
    <t xml:space="preserve">vol1_s000487</t>
  </si>
  <si>
    <t xml:space="preserve">vol1_s000487_t01_a1b359e82e11</t>
  </si>
  <si>
    <t xml:space="preserve">EXTRACTED_RESOURCES_FROM</t>
  </si>
  <si>
    <t xml:space="preserve">Nyaunghla fort</t>
  </si>
  <si>
    <t xml:space="preserve">သေနတ်ဝန် မင်းကျော်ပျံချီ၊ မင်းလှ ရွှေတောင်တို့လည်း ညောင်လှတပ်တွင် ရလိုက်သည့် လူသုံးရာကျော်၊ မြင်း နှစ်ဆယ်၊ သေနတ် တစ်ရာကျော်များကို သိမ်းယူ၍ ဆက်ရလေ၏။</t>
  </si>
  <si>
    <t xml:space="preserve">The Thanatwun Minkyawpyanchi and Minhlashwetaung seized and continued on with over three hundred men, twenty horses, and over one hundred muskets captured at the Nyaunghla fort.</t>
  </si>
  <si>
    <t xml:space="preserve">vol1_s000487_t02_e5ca1114f3ee</t>
  </si>
  <si>
    <t xml:space="preserve">CAPTURED_MILITARY_ASSETS</t>
  </si>
  <si>
    <t xml:space="preserve">men, horses, and muskets</t>
  </si>
  <si>
    <t xml:space="preserve">vol1_s000558</t>
  </si>
  <si>
    <t xml:space="preserve">vol1_s000558_t01_cc04dd9b9ad7</t>
  </si>
  <si>
    <t xml:space="preserve">Alaungmintaya</t>
  </si>
  <si>
    <t xml:space="preserve">ORDERED_MILITARY_CAMPAIGN_TO</t>
  </si>
  <si>
    <t xml:space="preserve">Min Kyaw Pyan Chi</t>
  </si>
  <si>
    <t xml:space="preserve">ထိုအကြောင်းကို ဘဝရှင်အလောင်းမင်းတရားကြီးဘုရား ကြားတော်မူပြန်၍ ငကျန်နှင့်တကွ လူပြေးတို့ကို တွေ့ မိအောင် လိုက်လံဖမ်းဆီးရမည်ဟု သေနတ်ဝန် မင်းကျော်ပျံချီရှိရာ မင်းခင်းတပ်သို့ အမိန့်တော်ပြန်ရ၏။</t>
  </si>
  <si>
    <t xml:space="preserve">The Lord of Life, Alaungmintaya Gyi, heard of this matter again and issued an order to the Minkhin camp, where the Minister of Musketeers, Min Kyaw Pyan Chi, was stationed, stating that he must pursue and capture the fugitives, including Nga Kyan.</t>
  </si>
  <si>
    <t xml:space="preserve">vol1_s000558_t02_3fbdc8129d54</t>
  </si>
  <si>
    <t xml:space="preserve">TASKED_WITH_CAPTURE_OF</t>
  </si>
  <si>
    <t xml:space="preserve">Rebels</t>
  </si>
  <si>
    <t xml:space="preserve">vol1_s000559</t>
  </si>
  <si>
    <t xml:space="preserve">vol1_s000559_t01_e82adf250f44</t>
  </si>
  <si>
    <t xml:space="preserve">DEPLOYED_FORCE_TO</t>
  </si>
  <si>
    <t xml:space="preserve">Thitkhauk camp</t>
  </si>
  <si>
    <t xml:space="preserve">သေနတ်ဝန် မင်းကျော်ပျံချီလည်း လက်နက်ကိုင် လူနှစ်ထောင်ကျော်နှင့် သစ်ခေါက်တပ်သို့ ချီသွားလေသော် ရာဇာဓိရာဇ်, ခင်ဦးစားတို့လည်း သစ်ခေါက်တပ်တွင် မနေဝံ့၍ တောင်ငူရာဇာ ရှိရာ ပိုနိမ့်ပိုမြင့်ကို အခိုအမှီပြုမှ ချမ်းသာမည် အမှတ်ရှိသဖြင့် ယောကျောက်ကာသို့ ပြေးလေ၏။</t>
  </si>
  <si>
    <t xml:space="preserve">When the Minister of Musketeers, Min Kyaw Pyan Chi, marched to the Thitkhauk camp with over two thousand armed men, Razadarit and Khin U Sa, not daring to remain at the Thitkhauk camp and believing that they would only be safe if they sought refuge at Po-nim-po-myint where the Taungoo Raja was, fled to Yaw-kyauk-ka.</t>
  </si>
  <si>
    <t xml:space="preserve">vol1_s000559_t02_695c0de17933</t>
  </si>
  <si>
    <t xml:space="preserve">Razadarit and Khin U Sa</t>
  </si>
  <si>
    <t xml:space="preserve">FLED_TO</t>
  </si>
  <si>
    <t xml:space="preserve">Yaw-kyauk-ka</t>
  </si>
  <si>
    <t xml:space="preserve">vol1_s000559_t03_0dfc62174135</t>
  </si>
  <si>
    <t xml:space="preserve">SOUGHT_PROTECTION_FROM</t>
  </si>
  <si>
    <t xml:space="preserve">Taungoo Raja</t>
  </si>
  <si>
    <t xml:space="preserve">vol1_s000560</t>
  </si>
  <si>
    <t xml:space="preserve">vol1_s000560_t01_b8a420a1a6b1</t>
  </si>
  <si>
    <t xml:space="preserve">INSPECTED_FORTIFICATION_AT</t>
  </si>
  <si>
    <t xml:space="preserve">ထိုအခါ သေနတ်ဝန် မင်းကျော်ပျံချီသည် သစ်ခေါက်တပ်သို့ ရောက်၍ ချဉ်းကပ် ကြည့်ရှုလျှင် သစ်လုံးပတ် တစ်ဖက်၊ အရပ်တစ်ဆယ့် ငါးတောင် မြဲမြံ ခိုင်ခန့်စွာ ဆောက်လုပ်သည့် တပ်ကိုမြင်လျှင် ဆုတ်၍ သေနတ်တစ်လှမ်း ခန့် ကွာက စွဲရပ်သည်တွင် နံနက် လေးချက်တီး အချိန်ကသည် နံနက်တစ်ချက်တီးတိုင်အောင် တပ်ထိပ်က မိုးရွာ၏သို့ ပစ်ဖောက်သည့် အမြောက် စိန်ပြောင်း လက်နက် ထူထပ်လှသောကြောင့် အထိအပါး များချေ၏။</t>
  </si>
  <si>
    <t xml:space="preserve">At that time, when the Minister of Musketeers, Min Kyaw Pyan Chi, arrived at the Thitkhauk camp and approached to inspect it, he saw a camp built firmly and sturdily with a circumference of one log and a height of fifteen cubits; he retreated and stood at a distance of about one musket shot, and because the cannons, mortars, and firearms firing from the top of the camp like rain from four o'clock in the morning until one o'clock in the morning were so dense, there were many casualties.</t>
  </si>
  <si>
    <t xml:space="preserve">vol1_s000560_t02_390d5d83270b</t>
  </si>
  <si>
    <t xml:space="preserve">Thitkhauk camp defenders</t>
  </si>
  <si>
    <t xml:space="preserve">INFLICTED_CASUALTIES_ON</t>
  </si>
  <si>
    <t xml:space="preserve">Royal forces</t>
  </si>
  <si>
    <t xml:space="preserve">vol1_s000561</t>
  </si>
  <si>
    <t xml:space="preserve">vol1_s000561_t01_675b56585cfb</t>
  </si>
  <si>
    <t xml:space="preserve">Bo Min Hla Kyaw Khaung</t>
  </si>
  <si>
    <t xml:space="preserve">DIED_IN_ACTION_AT</t>
  </si>
  <si>
    <t xml:space="preserve">ယင်းပါဗိုလ်မင်းလှကျော်ခေါင်လည်း ဆုံးချေ၏။</t>
  </si>
  <si>
    <t xml:space="preserve">The commander accompanying him, Bo Min Hla Kyaw Khaung, also died.</t>
  </si>
  <si>
    <t xml:space="preserve">vol1_s000562</t>
  </si>
  <si>
    <t xml:space="preserve">vol1_s000562_t01_df4a70c848d8</t>
  </si>
  <si>
    <t xml:space="preserve">ENFORCED_DISCIPLINE_DURING</t>
  </si>
  <si>
    <t xml:space="preserve">Tactical retreat</t>
  </si>
  <si>
    <t xml:space="preserve">ထိုအခါ ဗိုလ်မှူး မင်းကျော်ပျံချီလည်း ယခု ငါတို့ ခွာချေသော် သူက လိုက်ထပ်ချိမ့်မည်ဟု အမှတ်ရှိ၍ သေနတ်လုလင် ခြေသည်သူရဲကို အလျင် ဆုတ်နှင့်စေ၊ ယင်းသို့မှ မြင်းတပ် နောက်က အုပ်၍ လိုက်လေ၊ ခြေသည်တစ်ယောက်မျှ သူကရသည် ကြားရလျှင် မြင်းတပ်သားတို့ကို စီရင်မည်၊ အကြီးအကြပ်တို့ကို ဆင့်ဆိုပြီးလျှင် ဗိုလ်မှူး မင်းကျော်ပျံချီနောက်အုပ်၍ စည်းစည်းကြပ်ကြပ် ဆုတ်ခွာခဲ့သည်နှင့် တပ်တွင်းသားတို့မြင်လျှင် ထွက်၍လိုက်သည်ကို ရဲခြင်းနှင့် ပြည့်စုံသော စစ်သည်တော်တို့လည်း ခြေလှမ်းမရွေ့ ပြကတေ့သာ ဆုတ်ခွာခဲ့၍ ဗိုလ်မှူးမင်းကျော်ပျံချီ နောက်က တလား, နှစ်လား လှည့်ကာ ပတ်ကာ မြင်းရေးကစား၍ လိုက်သည်ကို တပ်တွင်းသားတို့ မြင်လျှင် မလိုက်ဝံ့၍ ပြန်လေ၏။</t>
  </si>
  <si>
    <t xml:space="preserve">At that time, the commander Min Kyaw Pyan Chi, thinking that if we withdraw now, they will pursue and attack us, ordered the musketeer youths and infantry soldiers to retreat first, and then he followed, covering the rear with the cavalry, and after ordering the commanders that if he heard that even one infantryman had been captured, he would punish the cavalrymen, he retreated in a disciplined and tight formation behind the commander Min Kyaw Pyan Chi; when those inside the camp saw this and came out to pursue, the soldiers, full of courage, retreated without quickening their pace, and when those inside the camp saw the commander Min Kyaw Pyan Chi following behind, turning and circling once or twice to perform cavalry maneuvers, they did not dare to pursue and returned.</t>
  </si>
  <si>
    <t xml:space="preserve">vol1_s000562_t02_0de9d23decd9</t>
  </si>
  <si>
    <t xml:space="preserve">USED_CAVALRY_TO_DETER</t>
  </si>
  <si>
    <t xml:space="preserve">Enemy pursuit</t>
  </si>
  <si>
    <t xml:space="preserve">vol1_s000563</t>
  </si>
  <si>
    <t xml:space="preserve">vol1_s000563_t01_c3720c9b8980</t>
  </si>
  <si>
    <t xml:space="preserve">Sawbwa of Htilin</t>
  </si>
  <si>
    <t xml:space="preserve">ABANDONED_POSITION_AT</t>
  </si>
  <si>
    <t xml:space="preserve">Htilin</t>
  </si>
  <si>
    <t xml:space="preserve">ယင်းသောအခါ ထီးလင်း စော်ဘွားမူကား သည် တွင် အရှည်နေချေသော် မူဆိုးပိုက ချီလာချိမ့်မည် အမှတ်ရှိ၍ ထီးလင်းက ခွာပြီးလျှင် မြစ်သာနားမှာ နေလေ၏။</t>
  </si>
  <si>
    <t xml:space="preserve">At that time, the Sawbwa of Htilin, thinking that if he stayed there for long, the Muso-po would march upon him, withdrew from Htilin and stayed near Myittha.</t>
  </si>
  <si>
    <t xml:space="preserve">vol1_s000563_t02_7347a534effd</t>
  </si>
  <si>
    <t xml:space="preserve">RELOCATED_TO</t>
  </si>
  <si>
    <t xml:space="preserve">Myittha</t>
  </si>
  <si>
    <t xml:space="preserve">vol1_s000564</t>
  </si>
  <si>
    <t xml:space="preserve">vol1_s000564_t01_aab2d7a4b9d5</t>
  </si>
  <si>
    <t xml:space="preserve">Kwe Guna-ein group</t>
  </si>
  <si>
    <t xml:space="preserve">PLANNED_DECEPTION_OF</t>
  </si>
  <si>
    <t xml:space="preserve">39 ကွေ့ ဂုဏ္ဏအိန်တို့က မွန်များကို သတ်ခြင်း ထိုအခါ မတ္တရာအုတ်ဖို အရပ်တွင် နေသော ကွေ့ ဂုဏ္ဏအိန်တို့က မွန်တို့သည် ယမန်တွင် ငါတို့တပ်ကို တိုက်လာ သည့်ကာလ ငါတို့လည်း အားမတန်၍ ရှောင်ရှားနေရသည်နှင့် လက်နက်ကိရိယာများကို ယူသွားလေသည်၊ လူလည်း အများသေသည်၊ သည်ခါသော် မွန်တို့ကို လက်စားချေမိအောင် လှည့်ဖြားသွေးခေါ်၍ သတ်မည် ကြံပြီးလျှင်- အဝမြို့စောင့် မွန်ဗိုလ်မှူး ငွေခွန်ဝန်သို့ စေလေ၏။</t>
  </si>
  <si>
    <t xml:space="preserve">39. The Killing of the Mons by the Kwe Guna-ein: At that time, the Kwe Guna-ein who lived in the Mattara brick kiln area, thinking that when the Mons attacked our camp previously, we were unable to resist and had to flee, and they took our weapons and many people died, so this time, planning to deceive, lure, and kill the Mons to take revenge, they sent a message to the Mon commander guarding Ava, the Ngwe Khun Wun.</t>
  </si>
  <si>
    <t xml:space="preserve">vol1_s000564_t02_cfaeb700eaca</t>
  </si>
  <si>
    <t xml:space="preserve">COMMUNICATED_WITH</t>
  </si>
  <si>
    <t xml:space="preserve">Ngwe Khun Wun</t>
  </si>
  <si>
    <t xml:space="preserve">vol1_s000565</t>
  </si>
  <si>
    <t xml:space="preserve">vol1_s000565_t01_0315662898a2</t>
  </si>
  <si>
    <t xml:space="preserve">FEIGNED_SUBMISSION_TO</t>
  </si>
  <si>
    <t xml:space="preserve">စေဟန်ကား...ယမန်တစ်ကြိမ် ဗိုလ်မင်းတပ်မင်းများ ချီလာသည့်ကာလ စစ်ဦး ဘီလူးပါ ဖြစ်ချိမ့်မည်ကို ကြောက်လှ၍ လူကြီးတစ်စု အတွေ့ မခံဝံ့၊ တောတောင်ပုန်းလျှိုး နေပေသည်၊ ကျွန်ုပ်တို့တွင် ရှိသော လက်နက်ကိရိယာများလည်း ကျွန်ုပ်တို့နှင့် မထိုက်တန်ပေ၊ ယခု ဗိုလ်မင်း တပ်မင်းများ ချီလာလျှင် ဝှက်ထားသမျှ လက်နက်ကိရိယာများကို တစ်ခုမကျန် ကုန်စင်အောင် ဆက်သ၍ သစ္စာခံပါ တော့မည်ဟု ကွေ့တို့က စေသည်ကို မွန်တို့က ယုံကြည်၍ သံလှေနှစ်ရာ၊ လက်နက်ကိုင် လူငါးထောင်နှင့် မတ္တရာ အုတ်ဖိုသို့ မွန်တို့ ချီလာသည်ကို ပိုဝအရပ်သို့ ရောက်လျှင် အုတ်ဖိုရောက် မချီလာနှင့်တော့၊ မြို့သူရွာသားတို့ အလျင်က ကြောက်ရှိန်နှင့် မငြိမ်မဝပ် ထိတ်လန့်ပါတော့မည်ဖြစ်၍ ပိုဝအရပ်တွင် သစ္စာခံပါတော့မည်ဟု ဆိုပြီးလျှင် တဲကန္နား ဆောက်ပေး၍ အပျူအငှာ ကျွေးမွေးတွက်နပ်သည်ကို မွန်တို့လည်း အယုံအကြည် ဝမ်းမြောက်ဝမ်းသာ သောက်စားကြသည်နှင့် ယစ်မူးမေ့လျော့သည့် အခိုက်တွင် တောထဲက ဝှက်ထားသော ကွေ့လဝတို့ထွက်၍ မွန်တို့ကို ခုတ်သတ်လျှင် မွန်ဗိုလ်မှူး တပ်မှူး ဒေါဗညား အများသေလေသည်၊ လှေနှစ်ရာကျော်နှင့် ပါသည့် လက်နက် ကိရိယာများကိုလည်း ကုန်စင်အောင် သိမ်းယူလေသည်။</t>
  </si>
  <si>
    <t xml:space="preserve">The message was: 'Previously, when the commanders and army leaders marched, we were so afraid that it might be the vanguard of the demons that we did not dare to be seen by a group of elders and remained hiding in the forests and mountains; the weapons we possess are not worthy of us; now, if the commanders and army leaders march, we will offer all the hidden weapons without a single one remaining and will pledge our allegiance.' The Mons believed the message sent by the Kwe and marched to the Mattara brick kiln with two hundred iron boats and five thousand armed men; when they reached the Po-wa area, they said, 'Do not march to the brick kiln; the townspeople and villagers are already fearful and will be restless and panicked, so we will pledge our allegiance in the Po-wa area,' and after saying this, they built huts and entertained them with hospitality; while the Mons were drinking and eating with trust and joy, and were intoxicated and inattentive, the Kwe-Law who were hiding in the forest came out and hacked the Mons to death, causing many, including the Mon commander and battalion leader Daw Banya, to die, and they seized all the weapons that were with the more than two hundred boats.</t>
  </si>
  <si>
    <t xml:space="preserve">vol1_s000565_t02_fdf9af4d2938</t>
  </si>
  <si>
    <t xml:space="preserve">MASSACRED</t>
  </si>
  <si>
    <t xml:space="preserve">vol1_s000565_t03_c047e43ed75f</t>
  </si>
  <si>
    <t xml:space="preserve">SEIZED_RESOURCES_FROM</t>
  </si>
  <si>
    <t xml:space="preserve">vol1_s000796</t>
  </si>
  <si>
    <t xml:space="preserve">vol1_s000796_t01_46d911e3d44b</t>
  </si>
  <si>
    <t xml:space="preserve">Konbaung forces</t>
  </si>
  <si>
    <t xml:space="preserve">PURSUED_RETREATING_FORCES_OF</t>
  </si>
  <si>
    <t xml:space="preserve">Mon</t>
  </si>
  <si>
    <t xml:space="preserve">5 ယင်းသို့ မွန်တို့ ဆုတ်ခွာကြလေသည်ကို အလျင်ရလိုက်သည့် တိုက်လှေကြီး ခုနစ်ရာလောက်နှင့် သေနတ်ဝန် စသော ဗိုလ်မှူး တပ်မှူး သူရဲသူခက် ရဲမက်တော် အပေါင်းတို့ သေနတ်, မီးဖောက်, အမြောက်, စိန်ပြောင်း, ထောင်းထောင်း ပစ်လွှတ်ကာ ကြော်ငြာဟစ်ကြွေးလျက် လိုက်ထပ်သည်ကို မွန်တို့မြင်လျှင် သေမင်းနောက်ထပ် ကပ်၍ပါချေပြီဟု မျက်နှာပြန်လှည့် မကြည့်ဝံ့ဘဲ အပြင်းဆုတ်ခွာလေသောကြောင့် လှေလျင်လှေမြန်တို့သာ လွတ်လေ သည်။</t>
  </si>
  <si>
    <t xml:space="preserve">5 Seeing that the Mon were retreating in this way, the commander of the musketeers and all the other commanders, battalion leaders, warriors, and soldiers, who had quickly obtained about seven hundred large war boats, pursued them while firing muskets, fire-crackers, cannons, and mortars incessantly, and shouting and cheering; when the Mon saw this, thinking that the God of Death had followed close behind them, they retreated rapidly without daring to turn their faces back, so only the fast and swift boats escaped.</t>
  </si>
  <si>
    <t xml:space="preserve">vol1_s000796_t02_8d5a4c983beb</t>
  </si>
  <si>
    <t xml:space="preserve">UTILIZED_CAPTURED_NAVAL_ASSETS_AGAINST</t>
  </si>
  <si>
    <t xml:space="preserve">vol1_s000797</t>
  </si>
  <si>
    <t xml:space="preserve">vol1_s000797_t01_44bdda945fb8</t>
  </si>
  <si>
    <t xml:space="preserve">SEIZED_MILITARY_AND_LOGISTICAL_RESOURCES_FROM</t>
  </si>
  <si>
    <t xml:space="preserve">ဆန်, ဆား, ငါး, ငါးပိ, အရက်တင်, ဝန်တင်လှေ သုံးရာ၊ တိုက်လှေ သုံးရာ၊ အမြောက် သုံးရာကျော်၊ သေနတ် ငါးထောင်ကျော်၊ ညံ့လူ ငါးထောင်ကျော်၊ ခဲယမ်းမီးကျောက် ကန့်တင်လှေနှင့်တကွ ရတော်မူလိုက်သည်ကား များ၏။</t>
  </si>
  <si>
    <t xml:space="preserve">The amount [of items] he obtained, along with three hundred boats carrying rice, salt, fish, fish paste, and liquor, three hundred war boats, over three hundred cannons, over five thousand muskets, over five thousand weak men, and boats carrying ammunition and sulfur, was great.</t>
  </si>
  <si>
    <t xml:space="preserve">vol1_s000797_t02_80dda6122c84</t>
  </si>
  <si>
    <t xml:space="preserve">LOST_MATERIAL_ASSETS_TO</t>
  </si>
  <si>
    <t xml:space="preserve">Konbaung state</t>
  </si>
  <si>
    <t xml:space="preserve">vol1_s000798</t>
  </si>
  <si>
    <t xml:space="preserve">vol1_s000798_t01_d0fa1c29d5cb</t>
  </si>
  <si>
    <t xml:space="preserve">RECALLED_PURSUING_FORCES</t>
  </si>
  <si>
    <t xml:space="preserve">Konbaung military</t>
  </si>
  <si>
    <t xml:space="preserve">ယင်းသို့မှ လိုက်သူတို့ကို ခေါ်တော်မူရ၏။</t>
  </si>
  <si>
    <t xml:space="preserve">Only then did he have to call back those who were pursuing.</t>
  </si>
  <si>
    <t xml:space="preserve">vol1_s000799</t>
  </si>
  <si>
    <t xml:space="preserve">vol1_s000799_t01_85fdff8bcd04</t>
  </si>
  <si>
    <t xml:space="preserve">Mon leadership</t>
  </si>
  <si>
    <t xml:space="preserve">EXECUTED_RAPID_RETREAT</t>
  </si>
  <si>
    <t xml:space="preserve">Hanthawaddy</t>
  </si>
  <si>
    <t xml:space="preserve">ဥပရာဇာ စသော မွန်တို့လည်း နေ့ညဉ့် မရပ်မဆိုင်း အပြင်း ခွာလေ၏။</t>
  </si>
  <si>
    <t xml:space="preserve">The Mon, including the Uparaja, also retreated rapidly without stopping day or night.</t>
  </si>
  <si>
    <t xml:space="preserve">vol1_s000800</t>
  </si>
  <si>
    <t xml:space="preserve">vol1_s000800_t01_748d393bfd9e</t>
  </si>
  <si>
    <t xml:space="preserve">ABANDONED_SYMBOLIC_LEGITIMACY_OBJECT</t>
  </si>
  <si>
    <t xml:space="preserve">Mon royal umbrella</t>
  </si>
  <si>
    <t xml:space="preserve">The abandoned umbrella is the Mon hti intended for installation on Shwezigon pagoda, not simply a royal parasol. Abandonment and symbolic significance are supported; the object is imprecisely typed.</t>
  </si>
  <si>
    <t xml:space="preserve">Mon leadership | ABANDONED | Mon pagoda umbrella intended for Shwezigon</t>
  </si>
  <si>
    <t xml:space="preserve">ဆင်ဖြူကျွန်း ရေကြည်ဝတွင် အလျင်ထားခဲ့သည့် ရွှေစည်းခုံဘုရားမှာ တင်ရန် မွန်ထီးကို ပစ်ထားခဲ့ပြီးလျှင် ရဟန်း သံဃာတော်များကိုသာ တင်ယူ၍ ပြည်မြို့တွင် စစ်သူကြီး ဒလပန်းတို့ကို အစောင့်အနေ ခန့်ထားခဲ့ပြီးမှ ဟံသာဝတီရောက် စုန်လေ၏။</t>
  </si>
  <si>
    <t xml:space="preserve">They abandoned the Mon umbrella that was to be placed on the Shwezigon Pagoda, which had been left earlier at Sinphyukyun Yekyiwa, took only the Buddhist monks on board, appointed the general Dalaban and others to guard Prome, and then sailed down to Hanthawaddy.</t>
  </si>
  <si>
    <t xml:space="preserve">vol1_s000800_t02_f502f5541dda</t>
  </si>
  <si>
    <t xml:space="preserve">Dalaban</t>
  </si>
  <si>
    <t xml:space="preserve">APPOINTED_AS_GUARD_OF</t>
  </si>
  <si>
    <t xml:space="preserve">Prome</t>
  </si>
  <si>
    <t xml:space="preserve">vol1_s000801</t>
  </si>
  <si>
    <t xml:space="preserve">vol1_s000801_t01_a5228c8dd625</t>
  </si>
  <si>
    <t xml:space="preserve">ADMINISTERED_OATHS_OF_ALLEGIANCE_AT</t>
  </si>
  <si>
    <t xml:space="preserve">Pinmahti</t>
  </si>
  <si>
    <t xml:space="preserve">အလောင်းမင်းတရားကြီး ပင်းမဲထီးရောက် ချီတော်မူ၍ သစ္စာပေးပြီး ရတနာသိင်္ဃမြို့သို့ ပြန်၍ နန်းတော် ဆက်လက် တည်လုပ်ခြင်း 6 ဘဝရှင် အလောင်းမင်းတရားကြီး ဘုရားလည်း တာဝတိံသာသို့ ရောက်လာကုန်သော အသူရာစစ်သည်အား သိကြား အောင်မြင်သောအခါကဲ့သို့ မကြားဘူးမြဲ အံ့ဘွယ်သရဲသော အောင်ခြင်းဖြင့် မွန်စစ်သည်ကို အောင်တော် မူလိုက်သည့် ပွဲတွင် သားတော် ညီတော် ဗိုလ်မှူး တပ်မှူး သူရဲသူခက် ရဲမက်တော်အပေါင်း ပွဲလမ်းရသသူတို့ကို အထိုက်အလျောက် ဆုပေးတော်မူပြီးမှ အဝသို့ ကူး၍ အဝမြို့နန်းတော်ရာ မြောက်နန်းမြို့ တော်တွင် သက်ကယ်နန်း နှင့် စံတော်မူသည်။</t>
  </si>
  <si>
    <t xml:space="preserve">Alaungmintaya Gyi marched to Pinmahti, administered oaths of allegiance, returned to Ratanasingha City, and continued the construction of the palace. 6 The Lord of Life, Alaungmintaya Gyi, after having defeated the Mon soldiers with a victory so wondrous and unheard of, like when Sakra defeated the Asura soldiers who had reached Tavatimsa, gave appropriate rewards to his sons, younger brothers, commanders, battalion leaders, warriors, and all the soldiers who had participated in the victory, then crossed to Ava and resided in a temporary palace in the northern palace city at the site of the Ava royal palace.</t>
  </si>
  <si>
    <t xml:space="preserve">vol1_s000801_t02_5571b3c9b3e5</t>
  </si>
  <si>
    <t xml:space="preserve">DISTRIBUTED_REWARDS_TO</t>
  </si>
  <si>
    <t xml:space="preserve">Konbaung military elite</t>
  </si>
  <si>
    <t xml:space="preserve">vol1_s000801_t03_fbb64dbbf13c</t>
  </si>
  <si>
    <t xml:space="preserve">ESTABLISHED_TEMPORARY_ROYAL_CENTER_AT</t>
  </si>
  <si>
    <t xml:space="preserve">Ava</t>
  </si>
  <si>
    <t xml:space="preserve">vol1_s001034</t>
  </si>
  <si>
    <t xml:space="preserve">vol1_s001034_t01_ab5eea88a94a</t>
  </si>
  <si>
    <t xml:space="preserve">King of Hanthawaddy</t>
  </si>
  <si>
    <t xml:space="preserve">REINFORCED_GARRISONS</t>
  </si>
  <si>
    <t xml:space="preserve">Syriam outpost</t>
  </si>
  <si>
    <t xml:space="preserve">ဟံသာဝတီဘုရင်လည်း ပြည်မြို့မှာ စစ်ကြီးတွေ့ကြ၍ မွန်ဆိုသမျှ အကုန်ပျက်ကြောင်းကို ကြားလျှင် မြန်မာမင်းကား ငါတို့မြို့ ရင်းတိုင်အောင် ချီလာချိမ့်မည်၊ သံလျင်ကင်းဝတွင် ခြောက်တပ်နှင့်သာ မလုံလေသေးဟု ဈေးငယ်ဗိုလ်၊ ကုလားဗိုလ်၊ တုတ်တလုပ်ဗိုလ်၊ သေနစက်တို့ကို တိုက်လှေကြီး နှစ်ရာကျော်နှင့် ထပ်ဖြည့်ချီစေ၍ ပန်းလှိုင်ဝ ချောင်းနှစ်ဘက်တွင် တပ်ကြီးနှစ်တပ် တည်ပြီးလျှင် ရေခလုတ် အပြည့်စီဆင်၍ ခံစေ၏၊ ညီ ဗညားဒလ ကိုလည်း စစ်သည်တစ်သောင်းကျော်နှင့် သံလျင်မြို့ ကို ကျုံး မြောင်း မြို့ပြ, ပစ္စင် ရင်လျှောက် ဆင်ခလုတ် မြင်းခလုတ် ခိုင်ခန့်လုံခြုံအောင် ပြင်ဆင်၍ နေစေ၏။</t>
  </si>
  <si>
    <t xml:space="preserve">When the King of Hanthawaddy heard that they had encountered a great battle in Prome and that everything the Mon had said was completely ruined, he thought, 'The Burmese King will surely march as far as our capital; six garrisons at the Thanlyin outpost are not enough,' and he ordered the Zay-Nge Bo, Kalar Bo, Tot-Ta-Lot Bo, and The-Ne-Set to reinforce them with over two hundred large war boats, established two large garrisons on both sides of the Panhlaing creek, and had them fully prepare water-traps to defend it; he also had his younger brother, Banya Dala, prepare the city of Thanlyin with moats, ditches, city walls, fortifications, breastworks, elephant-traps, and horse-traps to be strong and secure, and stay there.</t>
  </si>
  <si>
    <t xml:space="preserve">vol1_s001034_t02_20f49d3eb183</t>
  </si>
  <si>
    <t xml:space="preserve">ESTABLISHED_DEFENSIVE_POSITIONS</t>
  </si>
  <si>
    <t xml:space="preserve">Panhlaing creek</t>
  </si>
  <si>
    <t xml:space="preserve">vol1_s001034_t03_d4ad5b1b1631</t>
  </si>
  <si>
    <t xml:space="preserve">Banya Dala</t>
  </si>
  <si>
    <t xml:space="preserve">vol1_s001034_t04_ff4f571497fe</t>
  </si>
  <si>
    <t xml:space="preserve">FORTIFIED_CITY</t>
  </si>
  <si>
    <t xml:space="preserve">Thanlyin</t>
  </si>
  <si>
    <t xml:space="preserve">vol1_s001035</t>
  </si>
  <si>
    <t xml:space="preserve">vol1_s001035_t01_8d5407ed282a</t>
  </si>
  <si>
    <t xml:space="preserve">Mon naval force</t>
  </si>
  <si>
    <t xml:space="preserve">ESTABLISHED_OUTPOST</t>
  </si>
  <si>
    <t xml:space="preserve">Zayon</t>
  </si>
  <si>
    <t xml:space="preserve">ယင်းသို့မှ ရေတပ်ချီသည့် မွန်ဗိုလ်မှူးတို့က လှေနှစ်ရာကျော် ရှေ့လွန်၍ ဇရွံကင်းတွင် အစောင့်အနေ ထားလာ၏။</t>
  </si>
  <si>
    <t xml:space="preserve">Following this, the Mon commanders leading the naval force advanced more than two hundred boats ahead and placed guards at the Zayon outpost.</t>
  </si>
  <si>
    <t xml:space="preserve">vol1_s001036</t>
  </si>
  <si>
    <t xml:space="preserve">vol1_s001036_t01_5aee7bece095</t>
  </si>
  <si>
    <t xml:space="preserve">Ne Myo Shwe Taung</t>
  </si>
  <si>
    <t xml:space="preserve">ထိုအကြောင်းကို ဘဝရှင်အလောင်းမင်းတရားကြီးဘုရား ကြားတော်မူလျှင် ကျွန်တော်ရင်း နေမျိုးရွှေတောင်ကို ဗိုလ်မှူးခန့်၍ ဟင်းသာတ ကျောင်းဆိပ်တွင် ရှိနှင့်သည့် လှေတပ် ခုနစ်ဆယ့်ငါးစင်းနှင့် တိုက်စေလျှင် မွန်တို့လှေ တပ် ပျက်လေ၍ အပြင်း ဆုတ်ပြေးလေ၏၊ ထိုတပ်တွင် လှေနီ တစ်စင်း၊ ဝန်လှေ ငါးစင်း၊ အမြောက် တစ်ဆယ်၊ သေနတ် နှစ်ဆယ်၊ သုံ့လူ တစ်ရာကျော် ရလိုက်၏။</t>
  </si>
  <si>
    <t xml:space="preserve">When the Lord of Life, the Great Alaungmintaya, heard of this, he appointed his loyal servant Ne Myo Shwe Taung as commander and ordered him to attack with the seventy-five boats already at the Hinthada monastery landing; the Mon boat force was destroyed and retreated rapidly, and in that force, one red boat, five supply boats, ten cannons, twenty muskets, and over one hundred prisoners were captured.</t>
  </si>
  <si>
    <t xml:space="preserve">vol1_s001036_t02_22fd01c65862</t>
  </si>
  <si>
    <t xml:space="preserve">CAPTURED_RESOURCES</t>
  </si>
  <si>
    <t xml:space="preserve">vol1_s001036_t03_cd37c644c65c</t>
  </si>
  <si>
    <t xml:space="preserve">CAPTURED_PRISONERS</t>
  </si>
  <si>
    <t xml:space="preserve">100 prisoners</t>
  </si>
  <si>
    <t xml:space="preserve">vol1_s001037</t>
  </si>
  <si>
    <t xml:space="preserve">vol1_s001037_t01_72bbd770038e</t>
  </si>
  <si>
    <t xml:space="preserve">DISPATCHED_MILITARY_FORCE</t>
  </si>
  <si>
    <t xml:space="preserve">Dagon</t>
  </si>
  <si>
    <t xml:space="preserve">ထိုနေ့ ရေဦးကုန်းဘက်ဗိုလ် မင်းလှရာဇာ, ရာဇသူရိန် တို့ကို မြင်းသုံးရာ သေနတ်နှစ်ထောင်နှင့် အနောက်ဘက်ကြောင်း ဒဂုန်သို့ ချီနှင့်ရ၏။</t>
  </si>
  <si>
    <t xml:space="preserve">On that day, the Re-U-Kon side commander Min Hla Yaza and Yaza Thurein were ordered to march ahead to Dagon via the western route with three hundred cavalry and two thousand musketeers.</t>
  </si>
  <si>
    <t xml:space="preserve">vol1_s001037_t02_13a70009de56</t>
  </si>
  <si>
    <t xml:space="preserve">Min Hla Yaza and Yaza Thurein</t>
  </si>
  <si>
    <t xml:space="preserve">COMMANDED_UNIT</t>
  </si>
  <si>
    <t xml:space="preserve">300 cavalry and 2000 musketeers</t>
  </si>
  <si>
    <t xml:space="preserve">vol1_s001038</t>
  </si>
  <si>
    <t xml:space="preserve">vol1_s001038_t01_f513bae808e4</t>
  </si>
  <si>
    <t xml:space="preserve">နှောင်းတန်ခူးလပြည့်ကျော် သုံးရက်၊ တနင်္ဂနွေနေ့ ၊ ရွှေတောင်ရာဇာ၊ ရွှေတောင်ကြံသိုင်းတို့ကို မြင်းတစ်ထောင်၊ သေနတ် ငါးရာ၊ လက်နက်ကိုင် ခြောက်ထောင်နှင့် သာယာဝတီမြောက်၊ တံငါမော်ဖီကြောင်း ဒဂုန်သို့ ချီနှင့်ရ၏၊ ထိုတပ်တွင် သံခဲတင်ဆို၍ လူပျိုတော် ငါးကျိပ်ငါးယောက်ကိုလည်း ထည့်တော်မူလိုက်၏။</t>
  </si>
  <si>
    <t xml:space="preserve">On the third day of the waning moon of the late Tagu, Sunday, Shwe Taung Yaza and Shwe Taung Kyan Thaing were ordered to march ahead to Dagon via the north of Tharrawaddy and the Tan-Nga-Maw-Phi route with one thousand cavalry, five hundred musketeers, and six thousand armed men; he also had fifty-five royal pages, known as the 'Iron-Bullet-Loaders,' included in that force.</t>
  </si>
  <si>
    <t xml:space="preserve">vol1_s001038_t02_4087339b2735</t>
  </si>
  <si>
    <t xml:space="preserve">Shwe Taung Yaza and Shwe Taung Kyan Thaing</t>
  </si>
  <si>
    <t xml:space="preserve">1000 cavalry, 500 musketeers, and 6000 armed men</t>
  </si>
  <si>
    <t xml:space="preserve">vol1_s001038_t03_432d5e05ecd4</t>
  </si>
  <si>
    <t xml:space="preserve">INCORPORATED_ELITE_UNIT</t>
  </si>
  <si>
    <t xml:space="preserve">55 Iron-Bullet-Loaders</t>
  </si>
  <si>
    <t xml:space="preserve">vol1_s001039</t>
  </si>
  <si>
    <t xml:space="preserve">vol1_s001039_t01_92c6711bb9dc</t>
  </si>
  <si>
    <t xml:space="preserve">ORGANIZED_MILITARY_FORCES</t>
  </si>
  <si>
    <t xml:space="preserve">Myanaung</t>
  </si>
  <si>
    <t xml:space="preserve">ယင်းသို့မှ ဘဝရှင် အလောင်းမင်းတရားကြီးဘုရား မြန်အောင်မြို့ တွင် တစ်လကျော် ဗိုလ်ဝင်ခံတော်မူပြီးလျှင် သားတော် ညီတော် ဆွေတော် မျိုးတော် ဗိုလ်မှူး တပ်မှူး လက်ဝဲလက်ယာ ကြည်းတပ်ရေတပ် စည်းကြပ် တပ်ဖြည့် တော်မူ၍ ရတနာရွှေဖောင်တော်နှင့် သက္ကရာဇ် (၁၁၁၆) တစ်ထောင့်တစ်ရာ့တစ်ဆယ့်ခြောက်ခု၊ နှောင်းတန်ခူး လပြည့်ကျော် တစ်ဆယ့်နှစ်ရက်၊ အင်္ဂါနေ့ - ၊ မရေတွက်နိုင်သော စစ်သည်သူရဲအပေါင်း ခြံရံလျက် ချီတော်မူသည်၊ ထိုနေ့ ကနောင်ကျွန်းကြီးကို ဇေယာကျွန်း သမုတ်တော်မူ၍ စခန်း စံတော်မူသည်။</t>
  </si>
  <si>
    <t xml:space="preserve">Following this, the Lord of Life, the Great Alaungmintaya, after receiving the commanders for over a month in Myanaung city, and having organized and reinforced his sons, younger brothers, relatives, kinsmen, commanders, and captains of the left and right wings of the land and naval forces, marched out on the royal golden barge on the twelfth day of the waning moon of the late Tagu, Tuesday, in the year 1116, surrounded by countless soldiers and warriors; on that day, he named the great Kanaung island 'Zeya Island' and established a camp there.</t>
  </si>
  <si>
    <t xml:space="preserve">vol1_s001039_t02_8c49d2e25bd3</t>
  </si>
  <si>
    <t xml:space="preserve">RITUALLY_RENAMED_LANDSCAPE</t>
  </si>
  <si>
    <t xml:space="preserve">Zeya Island</t>
  </si>
  <si>
    <t xml:space="preserve">vol1_s001040</t>
  </si>
  <si>
    <t xml:space="preserve">vol1_s001040_t01_de370813ee40</t>
  </si>
  <si>
    <t xml:space="preserve">Wuntha Island</t>
  </si>
  <si>
    <t xml:space="preserve">ထိုကမှချီတော်မူ၍ လှည်းဆိပ်ကျွန်းသို့ရောက်လျှင် ရဲမက်တော်တို့ ဝမ်းသာရွှင်လန်း ရှိသည်ကို အကြောင်းပြု၍ ဝမ်းသာကျွန်း သမုတ်တော်မူ၍ စခန်း စံတော်မူသည်။</t>
  </si>
  <si>
    <t xml:space="preserve">Marching from there, when he reached Hle-Seik island, because his soldiers were happy and joyful, he named it 'Wuntha Island' and established a camp there.</t>
  </si>
  <si>
    <t xml:space="preserve">vol1_s001041</t>
  </si>
  <si>
    <t xml:space="preserve">vol1_s001041_t01_407205c4320c</t>
  </si>
  <si>
    <t xml:space="preserve">Kyaw-Bon Island</t>
  </si>
  <si>
    <t xml:space="preserve">ယင်းကမှ သက္ကရာဇ် (၁၁၁၇) တစ်ထောင့်တစ်ရာ့တစ်ဆယ့်ခုနစ်ခု၊ ကဆုန်လဆန်း နှစ်ရက်၃ ၊ အတာ တက်သည်နှင့် တစ်ပြိုင်နက် မြစ်လုံးပဲ့တင်ထပ်မျှ မင်္ဂလာအမြောက်သံပေး၍ ချီတော်မူသည်၊ ထိုနေ့ တက်ချပ်ရွာ ကျွန်းကို ကျော်ဘုံကျွန်း သမုတ်၍ စခန်း စံတော်မူသည်။</t>
  </si>
  <si>
    <t xml:space="preserve">From there, in the year 1117, on the second day of the waxing moon of Kason, at the same time as the Atar festival began, he marched out after firing auspicious cannon shots that echoed throughout the river; on that day, he named the village island of Tet-Chat 'Kyaw-Bon Island' and established a camp there.</t>
  </si>
  <si>
    <t xml:space="preserve">vol1_s001043</t>
  </si>
  <si>
    <t xml:space="preserve">vol1_s001043_t01_304cc5d6695b</t>
  </si>
  <si>
    <t xml:space="preserve">Laung-Tha Island</t>
  </si>
  <si>
    <t xml:space="preserve">ယင်းကမှ ဓနုဖြူမြို့ ကျွန်းကို လောင်သာကျွန်း သမုတ်၍ စခန်း စံတော်မူသည်။</t>
  </si>
  <si>
    <t xml:space="preserve">From there, he named the island of Danubyu city 'Laung-Tha Island' and established a camp there.</t>
  </si>
  <si>
    <t xml:space="preserve">vol1_s001044</t>
  </si>
  <si>
    <t xml:space="preserve">vol1_s001044_t01_eea572bf9307</t>
  </si>
  <si>
    <t xml:space="preserve">Mon_Commanders</t>
  </si>
  <si>
    <t xml:space="preserve">DEFENDED_OUTPOST</t>
  </si>
  <si>
    <t xml:space="preserve">ယင်းကမှ ၎င်းသက္ကရာဇ် ကဆုန်လဆန်း လေးရက်နေ့ ချီတော်မူသည့်နေ့ သံလျင် ကင်းဝတွင် ခံနှင့်သည့် မွန်မင်းသမက် စောဗြ၊ ဒလပန်း၊ ဒေါဇွယ်ယစက်၊ လကွန်းအိန်၊ သမိန်သံလိုက်တို့တပ်ကို ရှေ့ချီ လှေတပ်တော် များ တွေ့လျှင် မွန်တို့က ချောင်းနှစ်ဘက်က ချထားသည့် ရေခလုတ်တိုင်ကိုနုတ်၍ ဝင်သည်ကို ချောင်းနှစ်ဘက် ညှပ်နေသော မွန်တို့တပ်က အမြောက်, စိန်ပြောင်း ချောင်းလုံးပိတ်မျှ ပစ်ခတ်သောကြောင့် ရဲမက်တော်တို့ မပေါက်နိုင် ရှိသည်အတွင်း သားတော်နှစ်ပါးတပ် မီလာ၍ ရွှေလှေ, ရွှေတိုက်စင်ထက် ရွှေဓားဆွဲကာ ရွှေထီးဖြန့်ပြီးလျှင် နတ်စစ်သည်နှင့် တူသော ရဲမက်အပေါင်းတို့ဖြင့် မရပ်မဆိုင်း မွန်တပ်ကို ချွံချွံဝင်၍ တိုက်သည်။</t>
  </si>
  <si>
    <t xml:space="preserve">From there, on the day he marched out on the fourth day of the waxing moon of Kason of the same year, when the forward-marching royal boat force encountered the force of the Mon son-in-law Saw Bya, Dalapan, Do-Zway-Ya-Set, Lakun-Ein, and Thamein Than-Lait, who were defending the Thanlyin outpost, the Mon pulled out the water-trap stakes they had set on both sides of the creek to enter; because the Mon force, which was flanking both sides of the creek, fired cannons and mortars so heavily that they blocked the entire creek, the royal soldiers were unable to break through, but while this was happening, the two sons' forces arrived, and with golden swords drawn on their golden boats and golden fighting platforms, and golden umbrellas spread, they charged into the Mon force without stopping, fighting with all the soldiers who were like celestial warriors.</t>
  </si>
  <si>
    <t xml:space="preserve">vol1_s001044_t02_8d43a85f8a14</t>
  </si>
  <si>
    <t xml:space="preserve">Mon_Forces</t>
  </si>
  <si>
    <t xml:space="preserve">DEPLOYED_DEFENSIVE_INFRASTRUCTURE</t>
  </si>
  <si>
    <t xml:space="preserve">Water_Trap_Stakes</t>
  </si>
  <si>
    <t xml:space="preserve">vol1_s001044_t03_a35e862e8f1d</t>
  </si>
  <si>
    <t xml:space="preserve">UTILIZED_MILITARY_ASSETS</t>
  </si>
  <si>
    <t xml:space="preserve">Artillery_And_Mortars</t>
  </si>
  <si>
    <t xml:space="preserve">vol1_s001044_t04_b6b848f2e1b2</t>
  </si>
  <si>
    <t xml:space="preserve">Royal_Sons</t>
  </si>
  <si>
    <t xml:space="preserve">ARRIVED_AT_BATTLEFIELD</t>
  </si>
  <si>
    <t xml:space="preserve">Thanlyin_Outpost</t>
  </si>
  <si>
    <t xml:space="preserve">vol1_s001044_t05_a9660fc5316f</t>
  </si>
  <si>
    <t xml:space="preserve">DISPLAYED_SYMBOLIC_REGALIA</t>
  </si>
  <si>
    <t xml:space="preserve">Golden_Umbrellas_And_Swords</t>
  </si>
  <si>
    <t xml:space="preserve">vol1_s001044_t06_23b23ccdb968</t>
  </si>
  <si>
    <t xml:space="preserve">LED_ASSAULT_AGAINST</t>
  </si>
  <si>
    <t xml:space="preserve">vol1_s001397</t>
  </si>
  <si>
    <t xml:space="preserve">vol1_s001397_t01_20e813e36075</t>
  </si>
  <si>
    <t xml:space="preserve">IDENTIFIED_THREAT_FROM</t>
  </si>
  <si>
    <t xml:space="preserve">Saw Bya</t>
  </si>
  <si>
    <t xml:space="preserve">ဘဝရှင် အလောင်းမင်းတရားကြီးဘုရားလည်း မွန်မင်းသမက် စောဗြ ပိုင်, ကမာပီတွင် တပ်ခိုင်တည်၍ ရေတပ်, ကြည်းတပ် အခိုင်နေကြောင်းကို ကြားတော်မူလျှင် ရွှေတောင်ရာဇာ တိုက်လှေကြီး ငါးဆယ်ကျော်နှင့်လက်ဝဲ ကြောင်း၊ ဒေဝဒိဗ္ဗ တိုက်လှေကြီး ငါးဆယ်ကျော်နှင့် လက်ယာကြောင်း၊ တုရင်သူရိန် တိုက်လှေကြီး ငါးဆယ်ကျော်, သမ္ဗန် တစ်ဆယ်ကျော်နှင့် အလယ်ကြောင်း၊ တုရင်သူရိန် လှေတပ်တွင် ဗညားဒလ ခံသော ဒေါဖွယ်ယစက်ကို ထည့်တော်မူ၍ လိုက်ရ၏။</t>
  </si>
  <si>
    <t xml:space="preserve">When the Lord of Life, Alaungmintayagyi, heard that the Mon son-in-law Saw Bya had established a fortified camp at Kamapi and was holding it firmly with naval and land forces, he ordered Shwetaung Raza with over fifty large war boats to take the left route, Dewadibba with over fifty large war boats to take the right route, and Turinthurein with over fifty large war boats and over ten sampans to take the center route; he also had the 'Dau-phwai-ya-set' [a type of weapon or device] commanded by Banyadala placed in Turinthurein's boat fleet to follow.</t>
  </si>
  <si>
    <t xml:space="preserve">vol1_s001397_t02_87fe8635aec4</t>
  </si>
  <si>
    <t xml:space="preserve">ESTABLISHED_FORTIFIED_CAMP_AT</t>
  </si>
  <si>
    <t xml:space="preserve">Kamapi</t>
  </si>
  <si>
    <t xml:space="preserve">vol1_s001397_t03_5563f4a74192</t>
  </si>
  <si>
    <t xml:space="preserve">ASSIGNED_COMMANDER_TO_NAVAL_UNIT</t>
  </si>
  <si>
    <t xml:space="preserve">Shwetaung Raza</t>
  </si>
  <si>
    <t xml:space="preserve">vol1_s001397_t04_b738430f0563</t>
  </si>
  <si>
    <t xml:space="preserve">Dewadibba</t>
  </si>
  <si>
    <t xml:space="preserve">vol1_s001397_t05_6050d2f5ed97</t>
  </si>
  <si>
    <t xml:space="preserve">Turinthurein</t>
  </si>
  <si>
    <t xml:space="preserve">vol1_s001397_t06_7b08dfb4863e</t>
  </si>
  <si>
    <t xml:space="preserve">DEPLOYED_SPECIALIZED_WEAPON_UNDER</t>
  </si>
  <si>
    <t xml:space="preserve">Banyadala</t>
  </si>
  <si>
    <t xml:space="preserve">The Burmese attaches the person Daw Phwe Ya Set, who bears the title Binnya Dala, to Turinthurin’s fleet. No specialized weapon is stated. The triple invents a weapon and makes Binnya Dala its supervising officer.</t>
  </si>
  <si>
    <t xml:space="preserve">Alaungmintayagyi | ATTACHED_TO_TURINTHURIN_FLEET | Daw Phwe Ya Set (Binnya Dala)</t>
  </si>
  <si>
    <t xml:space="preserve">vol1_s001398</t>
  </si>
  <si>
    <t xml:space="preserve">vol1_s001398_t01_1a8c1e2b6fb9</t>
  </si>
  <si>
    <t xml:space="preserve">Royal naval force</t>
  </si>
  <si>
    <t xml:space="preserve">COMPRISED_MILITARY_PERSONNEL</t>
  </si>
  <si>
    <t xml:space="preserve">6000 soldiers</t>
  </si>
  <si>
    <t xml:space="preserve">သည်လှေတပ် သုံးတပ်၊ စစ်သည်သူရဲ ခြောက်ထောင်ကျော်နှင့် ရေကြောင်းချီရ၏။</t>
  </si>
  <si>
    <t xml:space="preserve">They set out by water with these three boat fleets and over six thousand soldiers.</t>
  </si>
  <si>
    <t xml:space="preserve">vol1_s001399</t>
  </si>
  <si>
    <t xml:space="preserve">vol1_s001399_t01_c5b5fa8859f4</t>
  </si>
  <si>
    <t xml:space="preserve">APPOINTED_AS_COMMANDER</t>
  </si>
  <si>
    <t xml:space="preserve">Minhtin Nawrahta</t>
  </si>
  <si>
    <t xml:space="preserve">မင်းရွာဗိုလ် ဘယဂါမဏိ တစ်တပ်, လက်ဝဲကြံသိုင်း တစ်တပ်, မင်းလှသီရိ တစ်တပ်, သိဒ္ဓိသူရိန် တစ်တပ်, ကျော်ထင်ရာဇာ တစ်တပ်, ယောစော်ဘွားတစ်တပ်, ထီးလင်းစော်ဘွား တစ်တပ်, ပင်းဗိုလ်မှူး တစ်တပ်, သည်တပ် ပေါင်း ရှစ်တပ်တွင် မြင်းတစ်ထောင်, သေနတ်တစ်ထောင်, စစ်သည်သူရဲ တစ်သောင်းငါးထောင်ကို မင်းထင် နော်ရထာကို ဗိုလ်မှူး၊ ကျော်ထင်သက်တော်ရှည်ကို စစ်ကဲခန့်တော်မူ၍ ကြည်းကြောင်းချီရ၏။</t>
  </si>
  <si>
    <t xml:space="preserve">He appointed Minhtin Nawrahta as commander and Kyawhtin Thettawshay as military strategist for the eight combined units—the Minywa Bo Bayagamani unit, the Left Kyansine unit, the Minhla Thiri unit, the Siddhi Thurein unit, the Kyawhtin Raza unit, the Yaw Sawbwa unit, the Htilin Sawbwa unit, and the Pin Bo Hmu unit—comprising one thousand cavalry, one thousand musketeers, and fifteen thousand soldiers, and they set out by land.</t>
  </si>
  <si>
    <t xml:space="preserve">vol1_s001399_t02_2f27a4d9f19b</t>
  </si>
  <si>
    <t xml:space="preserve">APPOINTED_AS_STRATEGIST</t>
  </si>
  <si>
    <t xml:space="preserve">Kyawhtin Thettawshay</t>
  </si>
  <si>
    <t xml:space="preserve">vol1_s001399_t03_6690ed245107</t>
  </si>
  <si>
    <t xml:space="preserve">Royal land force</t>
  </si>
  <si>
    <t xml:space="preserve">COMPRISED_MILITARY_RESOURCES</t>
  </si>
  <si>
    <t xml:space="preserve">1000 cavalry, 1000 musketeers, 15000 soldiers</t>
  </si>
  <si>
    <t xml:space="preserve">vol1_s001400</t>
  </si>
  <si>
    <t xml:space="preserve">vol1_s001400_t01_2707a29370ff</t>
  </si>
  <si>
    <t xml:space="preserve">Royal rear guard</t>
  </si>
  <si>
    <t xml:space="preserve">600 cavalry, 500 musketeers, 2000 soldiers</t>
  </si>
  <si>
    <t xml:space="preserve">မင်းကျော်ရဲထွတ် တစ်တပ်, လက်ယာပျံချီ တစ်တပ်, ကျော်ထင်ရွှေတောင် တစ်တပ်, သီရိကျော်ထင် တစ်တပ်, ဗလသီရိ တစ်တပ်, ဗလကျော်သူ တစ်တပ်, သည်ခြောက်တပ်မှာ မြင်းခြောက်ရာကျော်, သေနတ်ငါးရာ, စစ်သည်သူရဲ နှစ်ထောင်ကျော်လည်း ကြည်းကြောင်း နောက်ထောက် ကျောခံ ချီရ၏။</t>
  </si>
  <si>
    <t xml:space="preserve">The six units—the Min Kyaw Ye Htut unit, the Right Pyan Chi unit, the Kyawhtin Shwetaung unit, the Thiri Kyawhtin unit, the Bala Thiri unit, and the Bala Kyawthu unit—comprising over six hundred cavalry, five hundred musketeers, and over two thousand soldiers, also set out by land as a rear guard.</t>
  </si>
  <si>
    <t xml:space="preserve">vol1_s001401</t>
  </si>
  <si>
    <t xml:space="preserve">vol1_s001401_t01_ed67d5ed1d38</t>
  </si>
  <si>
    <t xml:space="preserve">ORGANIZED_MILITARY_CAMPAIGN_FROM</t>
  </si>
  <si>
    <t xml:space="preserve">Yangon</t>
  </si>
  <si>
    <t xml:space="preserve">ယင်းသို့ ရေကြောင်း, ကြည်းကြောင်း ခန့်ရန်စည်းကြပ်တော်မူပြီးလျှင် သက္ကရာဇ် (၁၁၁၈) တစ်ထောင့်တစ်ရာ တစ်ဆယ့်ရှစ်ခု သီတင်းကျွတ်လဆန်း ငါးရက် နေ့ ရန်ကုန်မြို့ တော်က ချီထွက်စေ၏။</t>
  </si>
  <si>
    <t xml:space="preserve">Having thus organized and commanded the naval and land forces, he had them set out from the royal city of Yangon on the fifth day of the waxing moon of Thadingyut in the year 1118.</t>
  </si>
  <si>
    <t xml:space="preserve">vol1_s001402</t>
  </si>
  <si>
    <t xml:space="preserve">vol1_s001402_t01_1094b434c145</t>
  </si>
  <si>
    <t xml:space="preserve">ENGAGED_IN_COMBAT_WITH</t>
  </si>
  <si>
    <t xml:space="preserve">Mattara Bo Pal Kyaw</t>
  </si>
  <si>
    <t xml:space="preserve">ရေကြောင်း ချီလေသည့် ရွှေတောင်ရာဇာ, ဒေဝဒိဗ္ဗ, တုရင်သူရိန်, ဗညားဒလတို့နှင့် လှေတပ် တစ်ရာကျော်သားတို့ ပိုင်ကြုံဝအောက်တွင် မတ္တရာ ဗိုလ်ပယ်ကျော် လှေတပ်နှင့် နေသည်ကို တွေ့ လေလျှင် ချဉ်း၍ တိုက်သည်။</t>
  </si>
  <si>
    <t xml:space="preserve">When the naval forces—Shwetaung Raza, Dewadibba, Turinthurein, and Banyadala—and the fleet of over one hundred boats encountered the Mattara Bo Pal Kyaw's boat fleet stationed below Paingkyonwa, they approached and attacked.</t>
  </si>
  <si>
    <t xml:space="preserve">vol1_s001403</t>
  </si>
  <si>
    <t xml:space="preserve">vol1_s001403_t01_a2a0499a0a0a</t>
  </si>
  <si>
    <t xml:space="preserve">RESISTED_ROYAL_FORCES_WITH</t>
  </si>
  <si>
    <t xml:space="preserve">firearms and melee weapons</t>
  </si>
  <si>
    <t xml:space="preserve">မွန်တို့ကလည်း ဆီးကြို၍ ပစ်ခတ်ထိုးခုတ်နှင့်သည်။</t>
  </si>
  <si>
    <t xml:space="preserve">The Mons also met them, firing and thrusting with weapons.</t>
  </si>
  <si>
    <t xml:space="preserve">vol1_s001404</t>
  </si>
  <si>
    <t xml:space="preserve">vol1_s001404_t01_4f63d269e4f2</t>
  </si>
  <si>
    <t xml:space="preserve">Royal soldiers</t>
  </si>
  <si>
    <t xml:space="preserve">EXECUTED_BOARDING_TACTIC_AGAINST</t>
  </si>
  <si>
    <t xml:space="preserve">Mon boats</t>
  </si>
  <si>
    <t xml:space="preserve">ရဲမက်တော်တို့လည်း မွန်တို့က ပစ်ခတ်ထိုးခုတ်သည်ကို မကြောက်မရွံ့ အထိအပါး အရှအနခံ၍ မွန်တို့လှေကို ယှဉ်၍ ချင်းနင်း ထိုးခုတ်သည်။</t>
  </si>
  <si>
    <t xml:space="preserve">The royal soldiers, without fear of the Mons' firing and thrusting, and disregarding their own wounds and injuries, drew alongside the Mon boats and boarded them to thrust and strike.</t>
  </si>
  <si>
    <t xml:space="preserve">vol1_s001405</t>
  </si>
  <si>
    <t xml:space="preserve">vol1_s001405_t01_5bc3820236f3</t>
  </si>
  <si>
    <t xml:space="preserve">SUFFERED_CASUALTIES_AND</t>
  </si>
  <si>
    <t xml:space="preserve">fled to shore</t>
  </si>
  <si>
    <t xml:space="preserve">The statement is true, but the triple splits a compound clause after a dangling “AND”: the object is the verb phrase “fled to shore” rather than a coherent argument of the predicate.</t>
  </si>
  <si>
    <t xml:space="preserve">Mon forces | FLED_TO | shore after heavy casualties</t>
  </si>
  <si>
    <t xml:space="preserve">မနည်းကြာလျှင် မွန်တို့ အထိအပါး များလှသည်နှင့် လှေက ကုန်းသို့ချည်း တက်ပြေးကြလေ၏။</t>
  </si>
  <si>
    <t xml:space="preserve">Before long, because the Mons had suffered many casualties, they fled from their boats toward the shore.</t>
  </si>
  <si>
    <t xml:space="preserve">vol1_s001406</t>
  </si>
  <si>
    <t xml:space="preserve">vol1_s001406_t01_55dda08569d2</t>
  </si>
  <si>
    <t xml:space="preserve">REORGANIZED_FORCES_WITH</t>
  </si>
  <si>
    <t xml:space="preserve">rear boat fleet</t>
  </si>
  <si>
    <t xml:space="preserve">မတ္တရာဗိုလ်ပယ်ကျော်လည်း မစည်းမကြပ်နိုင်လေလျှင် ရုံးမိသမျှ လူတို့နှင့် နောက်လှေတပ်သို့ ပေါင်း၍ ခံပြန်၏။</t>
  </si>
  <si>
    <t xml:space="preserve">When Mattara Bo Pal Kyaw could not maintain order, he gathered the men he could and joined the rear boat fleet to resist again.</t>
  </si>
  <si>
    <t xml:space="preserve">vol1_s001407</t>
  </si>
  <si>
    <t xml:space="preserve">vol1_s001407_t01_3f983fb9106e</t>
  </si>
  <si>
    <t xml:space="preserve">DEPLOYED_DEFENSIVE_RAFT_FORTIFICATION_WITH</t>
  </si>
  <si>
    <t xml:space="preserve">heavy artillery</t>
  </si>
  <si>
    <t xml:space="preserve">ရဲမက်တော်တို့လည်း မတ္တရာဗိုလ်ပယ်ကျော်နှင့် တိုက်လှေကြီးသုံးရာကျော်ကို နိုင်လိုက်လျှင် အရပ်အဆိုင်းမရှိ လိုက်ထပ်သည်တွင် မွန်တို့ မြစ်တစ်ဘက်နှင့်တစ်ဘက်သို့ ခတ်အောင် အထပ်ထပ် စီရင်၍ထားသော နှစ်စင်းတွဲ, သုံးစင်းတွဲ ဖောင်တပ်ပစ္စင်က အမြောက်ကြီးနှင့် ဆီးခံပစ်လွှတ်သောကြောင့် လှေတက်အများ နစ်ချေ၏။</t>
  </si>
  <si>
    <t xml:space="preserve">When the royal soldiers defeated Mattara Bo Pal Kyaw and his over three hundred large war boats, they pursued them without pause; however, because the Mons fired with large cannons from a raft-fortification of double and triple-linked rafts that had been repeatedly arranged to span from one side of the river to the other, many of the royal boats sank.</t>
  </si>
  <si>
    <t xml:space="preserve">vol1_s001407_t02_43cbee640a6f</t>
  </si>
  <si>
    <t xml:space="preserve">Mon artillery</t>
  </si>
  <si>
    <t xml:space="preserve">DAMAGED_ROYAL_FLEET_BY</t>
  </si>
  <si>
    <t xml:space="preserve">sinking boats</t>
  </si>
  <si>
    <t xml:space="preserve">vol1_s001408</t>
  </si>
  <si>
    <t xml:space="preserve">vol1_s001408_t01_c0a86ee11d2d</t>
  </si>
  <si>
    <t xml:space="preserve">BREACHED_DEFENSES_OF</t>
  </si>
  <si>
    <t xml:space="preserve">Mon raft-fortification</t>
  </si>
  <si>
    <t xml:space="preserve">ရဲမက်တော် တို့လည်း ထိခိုက် ဆုံးပါးသည်ကို လေးစားမမူဘဲ ချွံချွံဝင်သည်၊ မွန်တို့ ဖောင်တပ်ကို ကပ်မိလေ၍ ဖောင်ထက်သို့ ခုန်တက်ကာ တွေ့ရာမြင်တိုင်း လိုက်လံထိုးခုတ်သည်၊ ရဲမက်တော်အလုံး ဖောင်ထက်သို့ချည်း တက်မိလျှင် မွန်တို့ မရပ်မခံနိုင် ခုန်ဆင်း၍ ကြည်းသို့ချည်း တက်ပြေးကြလေ၏။</t>
  </si>
  <si>
    <t xml:space="preserve">The royal soldiers, disregarding their own injuries and losses, charged forward bravely; they drew close to the Mon raft-fortification, leaped onto the rafts, and pursued and struck at everything they saw, and once the entire royal force had boarded the rafts, the Mons could not stand their ground, so they jumped off and fled toward the shore.</t>
  </si>
  <si>
    <t xml:space="preserve">vol1_s001408_t02_39a253d64fd2</t>
  </si>
  <si>
    <t xml:space="preserve">ABANDONED_DEFENSIVE_POSITION_DUE_TO</t>
  </si>
  <si>
    <t xml:space="preserve">royal boarding assault</t>
  </si>
  <si>
    <t xml:space="preserve">vol1_s001409</t>
  </si>
  <si>
    <t xml:space="preserve">vol1_s001409_t01_15de2b604191</t>
  </si>
  <si>
    <t xml:space="preserve">royal naval forces</t>
  </si>
  <si>
    <t xml:space="preserve">မတ္တရာဗိုလ်ပယ်ကျော်လည်း မနှိပ်မကွပ်နိုင်၊ ရုံးမိသမျှ တိုက်လှေများနှင့် အပြင်းဆုတ်ခွာလေသည်။</t>
  </si>
  <si>
    <t xml:space="preserve">Mattara Bo Pal Kyaw could not suppress them and retreated rapidly with the war boats he could gather.</t>
  </si>
  <si>
    <t xml:space="preserve">vol1_s001410</t>
  </si>
  <si>
    <t xml:space="preserve">vol1_s001410_t01_d058834d0608</t>
  </si>
  <si>
    <t xml:space="preserve">SEIZED_ENEMY_RESOURCES</t>
  </si>
  <si>
    <t xml:space="preserve">cannons, muskets, prisoners, boats, men</t>
  </si>
  <si>
    <t xml:space="preserve">အမြောက်, သေနတ်, သုံ့ပန်း, လှေ, လူအများ ရလိုက်၏။</t>
  </si>
  <si>
    <t xml:space="preserve">They captured many cannons, muskets, prisoners, boats, and men.</t>
  </si>
  <si>
    <t xml:space="preserve">vol1_s001411</t>
  </si>
  <si>
    <t xml:space="preserve">vol1_s001411_t01_009f6b449ed9</t>
  </si>
  <si>
    <t xml:space="preserve">ESTABLISHED_CAMP_AT</t>
  </si>
  <si>
    <t xml:space="preserve">ကြည်းကြောင်းချီလေသည့် ဗိုလ်မှူးမင်းထင်နော်ရထာတို့ ရှစ်တပ်လည်း ကမာပီသို့ ရောက်၍ တပ်ချရပ်နေ သည့်အခိုက် နောက်ချီလာသည့် မင်းကျော်ရဲထွတ်, ကျော်ထင်ရွှေတောင်တို့ ခြောက်တပ်က အောင်တံခွန်များ ကိုလည်း မြင်သည်နှင့် ရေကြောင်းက အမြောက်, စိန်ပြောင်းသံကိုလည်း ကြား၍ ဆင်မြင်းကပြီးလျှင် မင်းထင် နော်ရထာ, ကျော်ထင်သက်တော်ရှည်တို့ စောဗြ နေသည့် ကမာပီတပ်ကြီးသို့ ချဉ်းသည်။</t>
  </si>
  <si>
    <t xml:space="preserve">While the eight units led by Commander Minhtin Nawrahta, who had marched by land, had reached Kamapi and were stationed in camp, the six units led by Min Kyaw Ye Htut and Kyawhtin Shwetaung, who were marching behind, saw the victory banners and heard the sound of cannons and mortars from the river; they then mounted their elephants and horses and approached the large Kamapi camp where Saw Bya was staying.</t>
  </si>
  <si>
    <t xml:space="preserve">vol1_s001411_t02_792b812859e8</t>
  </si>
  <si>
    <t xml:space="preserve">Min Kyaw Ye Htut and Kyawhtin Shwetaung</t>
  </si>
  <si>
    <t xml:space="preserve">COORDINATED_LAND_ASSAULT_WITH</t>
  </si>
  <si>
    <t xml:space="preserve">naval artillery signals</t>
  </si>
  <si>
    <t xml:space="preserve">vol1_s001412</t>
  </si>
  <si>
    <t xml:space="preserve">vol1_s001412_t01_67c783a17ef0</t>
  </si>
  <si>
    <t xml:space="preserve">UTILIZED_DEFENSIVE_TECHNOLOGY</t>
  </si>
  <si>
    <t xml:space="preserve">cannons_mortars_muskets</t>
  </si>
  <si>
    <t xml:space="preserve">တပ်ပေါ်က အမြောက်, စိန်ပြောင်း သေနတ် ထူထပ်လှသောကြောင့် မကပ်တည့်နိုင်၊ အမ်း၍ရှိနေစဉ် မင်းထင်နော်ရထာတို့ ရှစ်တပ် မွန်တို့တပ်သို့ ချဉ်းသည်ကို နောက်ချီလာသည့် မင်းကျော်ရဲထွတ်, ကျော်ထင်ရွှေတောင်တို့ ခြောက်တပ်က မြင်လေလျှင် မင်းကျော်ရဲထွတ်, ကျော်ထင်ရွှေတောင်တို့လည်း ဆင်မြင်း မချ၊ တစ်ဟုန်တည်း စောဗြတပ်ကို ချဉ်းကြသည်။</t>
  </si>
  <si>
    <t xml:space="preserve">Because the cannons, mortars, and muskets from the camp were so dense, they could not approach; while they were hesitating, the six units led by Min Kyaw Ye Htut and Kyawhtin Shwetaung, seeing that the eight units led by Minhtin Nawrahta were approaching the Mon camp, did not wait to mount their elephants and horses but charged toward Saw Bya's camp in a single rush.</t>
  </si>
  <si>
    <t xml:space="preserve">vol1_s001412_t02_44d01b648b8c</t>
  </si>
  <si>
    <t xml:space="preserve">Min_Kyaw_Ye_Htut_and_Kyawhtin_Shwetaung</t>
  </si>
  <si>
    <t xml:space="preserve">COMMANDED_MILITARY_UNITS</t>
  </si>
  <si>
    <t xml:space="preserve">six_units</t>
  </si>
  <si>
    <t xml:space="preserve">vol1_s001412_t03_a0544e9f363c</t>
  </si>
  <si>
    <t xml:space="preserve">Minhtin_Nawrahta</t>
  </si>
  <si>
    <t xml:space="preserve">eight_units</t>
  </si>
  <si>
    <t xml:space="preserve">vol1_s001412_t04_260309e22b14</t>
  </si>
  <si>
    <t xml:space="preserve">Burmese_forces</t>
  </si>
  <si>
    <t xml:space="preserve">ATTACKED_ENEMY_POSITION</t>
  </si>
  <si>
    <t xml:space="preserve">Saw_Bya_camp</t>
  </si>
  <si>
    <t xml:space="preserve">vol1_s001586</t>
  </si>
  <si>
    <t xml:space="preserve">vol1_s001586_t01_238b0cd45fc1</t>
  </si>
  <si>
    <t xml:space="preserve">Minhlathiri army</t>
  </si>
  <si>
    <t xml:space="preserve">STATIONED_AT</t>
  </si>
  <si>
    <t xml:space="preserve">Adhwan village</t>
  </si>
  <si>
    <t xml:space="preserve">မင်းလှသီရိတပ်လည်း အဓွန့်ရွာတွင် စွဲရပ်ရ၏။</t>
  </si>
  <si>
    <t xml:space="preserve">The Minhlathiri army also had to station itself at Adhwan village.</t>
  </si>
  <si>
    <t xml:space="preserve">vol1_s001587</t>
  </si>
  <si>
    <t xml:space="preserve">vol1_s001587_t01_3174dcace32b</t>
  </si>
  <si>
    <t xml:space="preserve">Minhtinnawrahta army</t>
  </si>
  <si>
    <t xml:space="preserve">East of Adhwan village</t>
  </si>
  <si>
    <t xml:space="preserve">မင်းထင်နော်ရထာ တပ်လည်း အဓွန့်ရွာအရှေ့မှာ စွဲရပ်ရ၏။</t>
  </si>
  <si>
    <t xml:space="preserve">The Minhtinnawrahta army also had to station itself east of Adhwan village.</t>
  </si>
  <si>
    <t xml:space="preserve">vol1_s001588</t>
  </si>
  <si>
    <t xml:space="preserve">vol1_s001588_t01_4f03d670c6bb</t>
  </si>
  <si>
    <t xml:space="preserve">Royal vessel Yenan-cakra</t>
  </si>
  <si>
    <t xml:space="preserve">POSITIONED_BY_KING_AT</t>
  </si>
  <si>
    <t xml:space="preserve">Front of the army</t>
  </si>
  <si>
    <t xml:space="preserve">ရေနန်းစကြာ သင်္ဘောတော်ကိုလည်း တပ်တော်ဦးတွင် ကျောက်ဆူးချ၍ နေစေသည်။</t>
  </si>
  <si>
    <t xml:space="preserve">The royal vessel Yenan-cakra was also made to stay at the front of the army, having dropped anchor.</t>
  </si>
  <si>
    <t xml:space="preserve">vol1_s001589</t>
  </si>
  <si>
    <t xml:space="preserve">vol1_s001589_t01_48568f6a5ad5</t>
  </si>
  <si>
    <t xml:space="preserve">Royal army</t>
  </si>
  <si>
    <t xml:space="preserve">DEPLOYED_VESSEL_TO</t>
  </si>
  <si>
    <t xml:space="preserve">Upstream</t>
  </si>
  <si>
    <t xml:space="preserve">ထိုနောက် သင်္ဘောတော်ကို တပ်တော်ကသည် အညာသို့ နှစ်တိုင် သုံးတိုင်ခန့် ရေကိုလိုက်၍ ချီစေပြီးလျှင် ကျောက်ဆူးချ၍ သင်္ဘောစောင့်လှေ များနှင့် နေစေသည်ကို မွန်တို့က မီးဖောင်အများလုပ်၍ ဒီရေတက်ကို မျှောသည်။</t>
  </si>
  <si>
    <t xml:space="preserve">After that, the royal vessel was moved by the army about two or three taing upstream following the water, and then it was made to stay with the vessel-guarding boats, while the Mons made many fire rafts and let them drift with the rising tide.</t>
  </si>
  <si>
    <t xml:space="preserve">vol1_s001589_t02_5863659b9fb3</t>
  </si>
  <si>
    <t xml:space="preserve">ATTACKED_WITH</t>
  </si>
  <si>
    <t xml:space="preserve">Fire rafts</t>
  </si>
  <si>
    <t xml:space="preserve">vol1_s001590</t>
  </si>
  <si>
    <t xml:space="preserve">vol1_s001590_t01_9fb654a7aa56</t>
  </si>
  <si>
    <t xml:space="preserve">Vessel and army commanders</t>
  </si>
  <si>
    <t xml:space="preserve">DEFENDED_AGAINST</t>
  </si>
  <si>
    <t xml:space="preserve">Mon fire rafts</t>
  </si>
  <si>
    <t xml:space="preserve">သင်္ဘောစီး, သင်္ဘောစောင့် ဗိုလ်မှူးတပ်မှူးတို့လည်း မွန်တို့မျှောသော မီးဖောင်ကို လှေထက်က ဝါးနှင့်တွန်းဖယ်လျှင် မီးဖောင်ငယ်များဖြစ်၍ လွတ်ရာ မျောလေသည်။</t>
  </si>
  <si>
    <t xml:space="preserve">When the vessel commanders and army commanders on the vessel and the vessel-guarding boats pushed away the fire rafts drifted by the Mons using bamboo from the boats, they became small fire rafts and drifted to where they could do no harm.</t>
  </si>
  <si>
    <t xml:space="preserve">vol1_s001591</t>
  </si>
  <si>
    <t xml:space="preserve">vol1_s001591_t01_328fd08ba554</t>
  </si>
  <si>
    <t xml:space="preserve">ADAPTED_TACTICS_TO_EXTINGUISH</t>
  </si>
  <si>
    <t xml:space="preserve">နောက်တစ်ဖန် မွန်တို့က ဟံသာဝတီမြစ်နှင့်အမျှ မီးဖောင်ကြီးများ ရှို့ ၍ မျှောရာတွင် ရဲမက်တော်တို့ ကိုယ်ကို ရွှံ့ညွန်လူးပြီးလျှင် ရေထဲကနေ၍ ရေစွတ်ပုဆိုးနှင့် ပုတ်ခတ်၍ မီးကို သတ်သည်။</t>
  </si>
  <si>
    <t xml:space="preserve">Later, when the Mons lit and drifted large fire rafts along the Hanthawaddy River, the soldiers smeared their bodies with mud, stayed in the water, and extinguished the fire by striking it with water-soaked sarongs.</t>
  </si>
  <si>
    <t xml:space="preserve">vol1_s001592</t>
  </si>
  <si>
    <t xml:space="preserve">vol1_s001592_t01_ca7edfbd7c7c</t>
  </si>
  <si>
    <t xml:space="preserve">USED_EQUIPMENT_TO_EXTINGUISH</t>
  </si>
  <si>
    <t xml:space="preserve">မီးချိတ် မီးကပ်နှင့် ချိတ်ငင်၍ မီးကိုသတ်သည်။</t>
  </si>
  <si>
    <t xml:space="preserve">They extinguished the fire by hooking and pulling it with fire hooks and fire rakes.</t>
  </si>
  <si>
    <t xml:space="preserve">vol1_s001593</t>
  </si>
  <si>
    <t xml:space="preserve">vol1_s001593_t01_69473078c27f</t>
  </si>
  <si>
    <t xml:space="preserve">RESULTED_IN</t>
  </si>
  <si>
    <t xml:space="preserve">Destruction</t>
  </si>
  <si>
    <t xml:space="preserve">မီးဖောင်တွင်လည်း လူမပါဖြစ်၍ မီးဖောင် နစ်မွန်းပျောက်ပျက်လေ၏။</t>
  </si>
  <si>
    <t xml:space="preserve">As there were no people on the fire rafts, the fire rafts sank and disappeared.</t>
  </si>
  <si>
    <t xml:space="preserve">vol1_s001594</t>
  </si>
  <si>
    <t xml:space="preserve">vol1_s001594_t01_ab57fc852c2b</t>
  </si>
  <si>
    <t xml:space="preserve">Shwetaung Kyawhtin</t>
  </si>
  <si>
    <t xml:space="preserve">COMMANDED_CAMP_AT</t>
  </si>
  <si>
    <t xml:space="preserve">Royal vessel mooring site</t>
  </si>
  <si>
    <t xml:space="preserve">ရွှေဖောင်တော်ဆိုက်သော တပ်ဦးကျွန်းငယ်တွင်လည်း တပ်တာ နှစ်ရာခန့် ဝက်ခေါင်းတည်၍ ရွှေတောင် ကျော်ထင်ကို သေနတ်နှစ်ရာနှင့် နေစေရ၏။</t>
  </si>
  <si>
    <t xml:space="preserve">At the small island at the front of the army where the royal golden vessel was moored, a camp of about two hundred ta was established, and Shwetaung Kyawhtin was made to stay there with two hundred muskets.</t>
  </si>
  <si>
    <t xml:space="preserve">vol1_s001594_t02_8067b53fc222</t>
  </si>
  <si>
    <t xml:space="preserve">EQUIPPED_WITH</t>
  </si>
  <si>
    <t xml:space="preserve">Two hundred muskets</t>
  </si>
  <si>
    <t xml:space="preserve">vol1_s001595</t>
  </si>
  <si>
    <t xml:space="preserve">vol1_s001595_t01_28948fefa5d9</t>
  </si>
  <si>
    <t xml:space="preserve">Thado-thinkathu</t>
  </si>
  <si>
    <t xml:space="preserve">Kari in Pegu city</t>
  </si>
  <si>
    <t xml:space="preserve">တောင်ငူကြောင်း ချီလာသော ညီတော် သတိုးသိင်္ခသူတို့ တပ်ပေါင်း ဆယ်တပ်လည်း ပဲကူးမြို့ ကရီ ဟူသော အရပ်တွင် နေစေရ၏။</t>
  </si>
  <si>
    <t xml:space="preserve">The ten combined armies of the younger brother Thado-thinkathu, who were marching along the Taungoo route, were also made to stay at a place called Kari in Pegu city.</t>
  </si>
  <si>
    <t xml:space="preserve">vol1_s001595_t02_b06b818296dc</t>
  </si>
  <si>
    <t xml:space="preserve">COMMANDED</t>
  </si>
  <si>
    <t xml:space="preserve">Ten combined armies</t>
  </si>
  <si>
    <t xml:space="preserve">vol1_s001596</t>
  </si>
  <si>
    <t xml:space="preserve">vol1_s001596_t01_d9204f181af4</t>
  </si>
  <si>
    <t xml:space="preserve">ထိုအခါ အဓွန့်ရွာတွင် စွဲရပ်တည်နေသည့် မင်းလှသီရိတပ်ကို မွန်ခုနစ်ထောင်ကျော် တစ်နေ့လုံး တစ်ညဉ့်လုံး ကြိုး၍တိုက်သည်။</t>
  </si>
  <si>
    <t xml:space="preserve">At that time, the Minhlathiri army, which was stationed at Adhwan village, was attacked by over seven thousand Mons for the whole day and the whole night.</t>
  </si>
  <si>
    <t xml:space="preserve">vol1_s001597</t>
  </si>
  <si>
    <t xml:space="preserve">vol1_s001597_t01_c2cdb6c531a5</t>
  </si>
  <si>
    <t xml:space="preserve">RESISTED</t>
  </si>
  <si>
    <t xml:space="preserve">မင်းလှသီရိ တပ်တွင်းက မဆုတ်မနစ် ကြံ့ကြံ့ခံသည်နှင့် အရှအန အသေအပျောက် များလေလျှင် မွန်တို့ ခွာလေ၏။</t>
  </si>
  <si>
    <t xml:space="preserve">Because the Minhlathiri army resisted firmly without retreating, and because there were many casualties and losses, the Mons withdrew.</t>
  </si>
  <si>
    <t xml:space="preserve">vol1_s001597_t02_f09110b6c155</t>
  </si>
  <si>
    <t xml:space="preserve">WITHDREW_DUE_TO</t>
  </si>
  <si>
    <t xml:space="preserve">Casualties</t>
  </si>
  <si>
    <t xml:space="preserve">vol1_s001598</t>
  </si>
  <si>
    <t xml:space="preserve">vol1_s001598_t01_f9ec05ced2d2</t>
  </si>
  <si>
    <t xml:space="preserve">မင်းထင်နော်ရထာတပ်ကိုလည်း မွန်တို့ စစ်သည်ခုနစ်ထောင်ကျော် ရှစ်ထောင်ခန့် ပဲကူးမြို့ တွင်းက ထွက်၍ အကြိမ်ကြိမ်တိုက်သည်။</t>
  </si>
  <si>
    <t xml:space="preserve">The Minhtinnawrahta army was also attacked repeatedly by over seven thousand to eight thousand Mon soldiers who came out from within Pegu city.</t>
  </si>
  <si>
    <t xml:space="preserve">vol1_s001599</t>
  </si>
  <si>
    <t xml:space="preserve">vol1_s001599_t01_5fda5d2feb62</t>
  </si>
  <si>
    <t xml:space="preserve">Thurein Yannain and Thurein Kyawkhaung</t>
  </si>
  <si>
    <t xml:space="preserve">PURSUED_AND_DESTROYED</t>
  </si>
  <si>
    <t xml:space="preserve">မင်းထင်နော်ရထာ တပ်ခံကောင်းလှ၍ မတိုးမနိုင်လျှင် မွန်တို့ ဆုတ်လေသည်ကို သူရိန်ရန်နိုင်, သူရိန်ကျော်ခေါင်တို့ မြင်းနှစ်ရာနှင့် လက်ဝဲလက်ယာ ဖြန့်၍ လိုက်ထပ်လျှင် မွန်တို့ မဆည်နိုင်အောင် ပျက်လေ၏။</t>
  </si>
  <si>
    <t xml:space="preserve">Because the Minhtinnawrahta army's defense was very good and could not be breached, when the Mons retreated, Thurein Yannain and Thurein Kyawkhaung spread out to the left and right with two hundred cavalry and pursued them, causing the Mons to be destroyed beyond recovery.</t>
  </si>
  <si>
    <t xml:space="preserve">vol1_s001600</t>
  </si>
  <si>
    <t xml:space="preserve">vol1_s001600_t01_b82b0163aa51</t>
  </si>
  <si>
    <t xml:space="preserve">CAPTURED</t>
  </si>
  <si>
    <t xml:space="preserve">Prisoners of war</t>
  </si>
  <si>
    <t xml:space="preserve">သုံ့ပန်းလည်း အများ ရလိုက်၏။</t>
  </si>
  <si>
    <t xml:space="preserve">Many prisoners of war were also captured.</t>
  </si>
  <si>
    <t xml:space="preserve">vol1_s001601</t>
  </si>
  <si>
    <t xml:space="preserve">vol1_s001601_t01_d37d3d1c0b39</t>
  </si>
  <si>
    <t xml:space="preserve">OBTAINED</t>
  </si>
  <si>
    <t xml:space="preserve">Five hundred enemy heads</t>
  </si>
  <si>
    <t xml:space="preserve">သေလေသည့် ဦးခေါင်းငါးရာကျော် ရလိုက်၏။</t>
  </si>
  <si>
    <t xml:space="preserve">Over five hundred heads of the dead were obtained.</t>
  </si>
  <si>
    <t xml:space="preserve">vol1_s001602</t>
  </si>
  <si>
    <t xml:space="preserve">vol1_s001602_t01_a21e626eae94</t>
  </si>
  <si>
    <t xml:space="preserve">Eldest son</t>
  </si>
  <si>
    <t xml:space="preserve">ORDERED_ATTACK_BY</t>
  </si>
  <si>
    <t xml:space="preserve">Udaing Kyawhtin</t>
  </si>
  <si>
    <t xml:space="preserve">နောက်တစ်ဖန် မွန်တို့ချဉ်း၍ လူတစ်ထောင်ကျော်နှင့် တပ်စွဲလာသည်ကို သားတော်အကြီးက ဥဒိန်ကျော်ထင် ကို သေနတ်စွဲ သူရဲတစ်ထောင်ကျော်နှင့် ဝင်၍ တိုက်စေသည်။</t>
  </si>
  <si>
    <t xml:space="preserve">Later, when the Mons approached again and came to station themselves with over one thousand men, the eldest son had Udaing Kyawhtin enter and attack them with over one thousand musketeers.</t>
  </si>
  <si>
    <t xml:space="preserve">vol1_s001602_t02_ca93b47ea6f2</t>
  </si>
  <si>
    <t xml:space="preserve">One thousand musketeers</t>
  </si>
  <si>
    <t xml:space="preserve">vol1_s001603</t>
  </si>
  <si>
    <t xml:space="preserve">vol1_s001603_t01_bc8292d8d4d8</t>
  </si>
  <si>
    <t xml:space="preserve">Mon army</t>
  </si>
  <si>
    <t xml:space="preserve">DESTROYED_BY</t>
  </si>
  <si>
    <t xml:space="preserve">မွန်တို့တပ် မစွဲမရပ်နိုင် ပျက်လေ၏။</t>
  </si>
  <si>
    <t xml:space="preserve">The Mon army could not hold their position and was destroyed.</t>
  </si>
  <si>
    <t xml:space="preserve">vol1_s001604</t>
  </si>
  <si>
    <t xml:space="preserve">vol1_s001604_t01_6541e4bc94ed</t>
  </si>
  <si>
    <t xml:space="preserve">Myedu Min Thiridhamma-raza</t>
  </si>
  <si>
    <t xml:space="preserve">Mon outposts</t>
  </si>
  <si>
    <t xml:space="preserve">ထိုနောက် မွန်တို့က ခရီးလမ်းပေါက်လမ်းဝ သင့်သမျှ အရပ်များတွင် အထောက်ထောက် တည်ရပ်စွဲနေသည် ကိုလည်း သားတော် မြေဒူးမင်း သီရိဓမ္မရာဇာ အုပ်ကွပ်၍ တိုက်သည်။</t>
  </si>
  <si>
    <t xml:space="preserve">After that, the son, the Myedu Min Thiridhamma-raza, took command and attacked the Mons who were establishing and stationing outposts in all suitable places along the travel routes and road junctions.</t>
  </si>
  <si>
    <t xml:space="preserve">vol1_s001605</t>
  </si>
  <si>
    <t xml:space="preserve">vol1_s001605_t01_cb79aafbddc4</t>
  </si>
  <si>
    <t xml:space="preserve">Mon armies</t>
  </si>
  <si>
    <t xml:space="preserve">တပ်ပေါင်း သုံးဆယ်လောက် ပျက်လေ ၏။</t>
  </si>
  <si>
    <t xml:space="preserve">About thirty combined armies were destroyed.</t>
  </si>
  <si>
    <t xml:space="preserve">vol1_s001606</t>
  </si>
  <si>
    <t xml:space="preserve">vol1_s001606_t01_a8e528706e7a</t>
  </si>
  <si>
    <t xml:space="preserve">PATROLLED_WITH</t>
  </si>
  <si>
    <t xml:space="preserve">Five hundred cavalry and one thousand musketeers</t>
  </si>
  <si>
    <t xml:space="preserve">မြစ်အရှေ့ဘက် အနောက်ဘက် ပဲကူးပတ်လည် မြင်းငါးရာကျော်, သေနတ်စွဲ သူရဲတစ်ထောင်ကျော်နှင့် သားတော် မြေဒူးမင်း သီရိဓမ္မရာဇာ လှည့်၍ မပြတ် စစ်လျင် ကစားတော်မူသည်။</t>
  </si>
  <si>
    <t xml:space="preserve">The son, the Myedu Min Thiridhamma-raza, moved around constantly with over five hundred cavalry and over one thousand musketeers, patrolling and engaging in battle around the east and west sides of the river and around Pegu.</t>
  </si>
  <si>
    <t xml:space="preserve">vol1_s001607</t>
  </si>
  <si>
    <t xml:space="preserve">vol1_s001607_t01_727c504ed8f0</t>
  </si>
  <si>
    <t xml:space="preserve">King</t>
  </si>
  <si>
    <t xml:space="preserve">BESTOWED_REWARD_OF</t>
  </si>
  <si>
    <t xml:space="preserve">Twenty viss of silver and five hundred sarongs</t>
  </si>
  <si>
    <t xml:space="preserve">နေ့စဉ်ရက်ဆက် ဆင်မြင်း သုံ့ပန်းလူသူ အများရသည်ကို ဆက်လျှင် အားရတော်မူ၍ ဆုတော်ငွေ ပိဿာနှစ်ဆယ်, ပုဆိုးငါးရာ သနားတော်မူ၏။</t>
  </si>
  <si>
    <t xml:space="preserve">When they presented the many elephants, horses, prisoners of war, and people captured day after day, he was pleased and bestowed twenty viss of silver and five hundred sarongs as a reward.</t>
  </si>
  <si>
    <t xml:space="preserve">vol1_s001607_t02_d1d68b286081</t>
  </si>
  <si>
    <t xml:space="preserve">REWARDED_FOR</t>
  </si>
  <si>
    <t xml:space="preserve">Capture of elephants, horses, and prisoners</t>
  </si>
  <si>
    <t xml:space="preserve">vol1_s001608</t>
  </si>
  <si>
    <t xml:space="preserve">vol1_s001608_t01_5eaf4633af17</t>
  </si>
  <si>
    <t xml:space="preserve">Alaungmintayagyi Phaya</t>
  </si>
  <si>
    <t xml:space="preserve">MARCHED_FROM</t>
  </si>
  <si>
    <t xml:space="preserve">Yankin-sithun army camp</t>
  </si>
  <si>
    <t xml:space="preserve">ဘဝရှင် အလောင်းမင်းတရားကြီးဘုရားလည်း သက္ကရာဇ် (၁၁၁၈) တစ်ထောင့်တစ်ရာ့တစ်ဆယ့် ရှစ်ခု၊ နတ်တော်လဆန်း ငါးရက် နေ့ ရန်ကင်းစည်ထွန်းတပ်တော်က ချီတော်မူ၍ ပန်းဆေးအရပ်တွင် ချတော်မူ၏။</t>
  </si>
  <si>
    <t xml:space="preserve">The Lord of Life, Alaungmintayagyi Phaya, also marched from the Yankin-sithun army camp on the fifth day of the waxing moon of Natdaw, in the year 1118, and encamped at the Pansay area.</t>
  </si>
  <si>
    <t xml:space="preserve">vol1_s001608_t02_41b3cde4c894</t>
  </si>
  <si>
    <t xml:space="preserve">ENCAMPED_AT</t>
  </si>
  <si>
    <t xml:space="preserve">Pansay area</t>
  </si>
  <si>
    <t xml:space="preserve">vol1_s001609</t>
  </si>
  <si>
    <t xml:space="preserve">vol1_s001609_t01_805150b6ba50</t>
  </si>
  <si>
    <t xml:space="preserve">DEPLOYED</t>
  </si>
  <si>
    <t xml:space="preserve">Eight regiments</t>
  </si>
  <si>
    <t xml:space="preserve">တပ်တော်ကသည် အရှေ့ကို ကျော်ထင်ရွှေတောင် တစ်တပ်၊ လက်ယာထိမ်းမှတ် တစ်တပ်၊ ရွှေတောင်ဗလကျော် တစ်တပ်၊ ရွှေတောင်လက်ဝဲကျော် တစ်တပ်၊ ကျော်ထင်ဇေယသူ တစ်တပ်၊ ရွှေတောင်ရာဇာ တစ်တပ်၊ ဆားလင်းကုန်း ဗိုလ် တစ်တပ်၊ စလင်္ဂသူဗိုလ် တစ်တပ်၊ သည်ရှစ်တပ်ကို အစဉ်အတိုင်း တပ်တော်က အရှေ့စူးစူး ဟံသာဝတီမြို့ တောင်ကိုပတ်ပြီးလျှင် တာငါးရာစီ ခွာ၍ တစ်တပ်နှင့်တစ်တပ် အထောက်အလှမ်း သင့်အောင် စွဲရပ်စေသည်။</t>
  </si>
  <si>
    <t xml:space="preserve">From the army, he had eight armies—one army of Kyawhtin Shwetaung, one army of Letya-thimmart, one army of Shwetaung Bala-kyaw, one army of Shwetaung Letya-kyaw, one army of Kyawhtin Zeyathu, one army of Shwetaung Raza, one army of the Salinkone commander, and one army of the Salinkathu commander—stationed in order, circling the south of Hanthawaddy city directly to the east from the army, each separated by five hundred ta, so that each army could support the others.</t>
  </si>
  <si>
    <t xml:space="preserve">vol1_s001609_t02_8e68d923ff6b</t>
  </si>
  <si>
    <t xml:space="preserve">STATIONED_TO_SUPPORT</t>
  </si>
  <si>
    <t xml:space="preserve">Mutual defense around Pegu</t>
  </si>
  <si>
    <t xml:space="preserve">vol1_s001712</t>
  </si>
  <si>
    <t xml:space="preserve">vol1_s001712_t01_a073ca170956</t>
  </si>
  <si>
    <t xml:space="preserve">Depayin Min Siri Sudhamma Raja</t>
  </si>
  <si>
    <t xml:space="preserve">INTERROGATED_ENVOYS</t>
  </si>
  <si>
    <t xml:space="preserve">Shittaung Sayadaw and Min Raza</t>
  </si>
  <si>
    <t xml:space="preserve">သားတော် ဒီပဲယင်းမင်း သီရိသုဓမ္မရာဇာလည်း ဆရာတော် ဘုန်းတော်ကြီးတို့ကို မြင်လျှင် မည်သို့ အကြောင်းအရာရှိသနည်းဟု လျှောက်မေးစေသည်ကို မထေရ်သူမြတ်လည်း ရှင့်ခမည်းတော် သာသနဒါယကာ မဟာဓမ္မရာဇ် တရားမင်းမြတ်ကို ဖူးတွေ့ချင်ပါသည်ဟု ဆို၏။</t>
  </si>
  <si>
    <t xml:space="preserve">When the son, the Depayin Min Siri Sudhamma Raja, saw the venerable Sayadaws, he had them asked what the matter was, and the venerable monk replied that he wished to have an audience with his father, the Sasana-dayaka Maha Dhamma Raja, the righteous king.</t>
  </si>
  <si>
    <t xml:space="preserve">vol1_s001712_t02_c47a71f20d4c</t>
  </si>
  <si>
    <t xml:space="preserve">Shittaung Sayadaw</t>
  </si>
  <si>
    <t xml:space="preserve">REQUESTED_AUDIENCE_WITH</t>
  </si>
  <si>
    <t xml:space="preserve">vol1_s001713</t>
  </si>
  <si>
    <t xml:space="preserve">vol1_s001713_t01_af6a6a3b9eb5</t>
  </si>
  <si>
    <t xml:space="preserve">FACILITATED_DIPLOMATIC_ACCESS_TO</t>
  </si>
  <si>
    <t xml:space="preserve">မထေရ်သူမြတ် စကားကို ကြားလျှင် ဆရာ ဘုန်းတော်ကြီးနှင့် မင်းရာဇာတို့ကို သားတော် ဒီပဲယင်းမင်း သီရိသုဓမ္မရာဇာက ခမည်းတော်ဘုရားသို့ ပို့လေစေ၏။</t>
  </si>
  <si>
    <t xml:space="preserve">Upon hearing the words of the venerable monk, the son, the Depayin Min Siri Sudhamma Raja, sent the venerable Sayadaw and Min Raza to his father, the King.</t>
  </si>
  <si>
    <t xml:space="preserve">vol1_s001714</t>
  </si>
  <si>
    <t xml:space="preserve">vol1_s001714_t01_b6abccbb8776</t>
  </si>
  <si>
    <t xml:space="preserve">REGULATED_DIPLOMATIC_PROTOCOL_FOR</t>
  </si>
  <si>
    <t xml:space="preserve">Mon Sayadaw</t>
  </si>
  <si>
    <t xml:space="preserve">ဘဝရှင် အလောင်းမင်းတရားကြီးဘုရားလည်း မွန်ဆရာရဟန်းတော်ကို မြင်တော်မူလျှင် တင့်အပ်သော နေရာမှာ ချထားရပ်နေစေ၏။</t>
  </si>
  <si>
    <t xml:space="preserve">When the Lord of Life, Alaungmintaya Gyi, saw the Mon Sayadaw monk, he had him placed and stationed in a suitable place.</t>
  </si>
  <si>
    <t xml:space="preserve">vol1_s001715</t>
  </si>
  <si>
    <t xml:space="preserve">vol1_s001715_t01_b7e2fed92955</t>
  </si>
  <si>
    <t xml:space="preserve">LEGITIMIZED_AUTHORITY_OF</t>
  </si>
  <si>
    <t xml:space="preserve">ရှင်ပင်ဘုရားတို့ ကြွရောက်လာသည့်အကြောင်း အသို့နည်းဟူ၍ အမေးတော်ရှိ သည်ကို ဆရာတော် ရှစ်ထောင့်ကျောင်းနေ မထေရ်သူမြတ် လျှောက်သည်ကား... “လွန်လေပြီးသော ဘဝများစွာက ဖြည့်ဆည်းပူးတော်မူခဲ့ဘူးသော ထူးမြတ်သော ပါရမီသမ္ဘာရတော်ကြောင့် တိုင်းကြီးပြည်ကြီး ထီးဆောင်းမင်း အပေါင်းတို့၏ အရှင် ဖြစ်တော်မူ၍ ဘုရားသခင့် သာသနာတော် တောက်ထွန်းမည့်အကြောင်း၊ သတ္တဝါတို့ ချမ်းသာမည့် အကြောင်းများကို လွန်စွာသော အားထုတ်ခြင်းဖြင့် မစတော်မူသော မင်းကောင်းမင်းမြတ် ဖြစ်တော် မူသည်နှင့်အညီ ဟံသာဝတီပြည်ကြီးဝယ် ရှိနေကုန်သော သတ္တဝါအပေါင်းတို့အား ကယ်ဆယ် မစတော်မူစေလို၍ မဟာဓမ္မရာဇ် တရားမင်းမြတ် အထံတော်သို့ ရောက်ပါသည်”ဟု ဆိုပြီးလျှင် ရာဇသံကို ဆက်၍ ဖတ်လျှောက်ရ၏။</t>
  </si>
  <si>
    <t xml:space="preserve">When he asked for the reason why the venerable monks had arrived, the venerable monk residing at the Shit-taung Monastery replied, 'Because of the noble perfections you have fulfilled over many past lives, you are the lord of all umbrella-bearing kings of great countries, and as you are a good and noble king who strives with great effort for the flourishing of the Buddha's Sasana and for the welfare of sentient beings, I have come before the Maha Dhamma Raja, the righteous king, wishing for you to save and help all the sentient beings residing in the great city of Hanthawaddy,' and after saying this, he presented and read the royal letter.</t>
  </si>
  <si>
    <t xml:space="preserve">vol1_s001715_t02_fca3ad511fb5</t>
  </si>
  <si>
    <t xml:space="preserve">CLAIMED_ROLE_AS</t>
  </si>
  <si>
    <t xml:space="preserve">Sasana-dayaka</t>
  </si>
  <si>
    <t xml:space="preserve">The monk attributes the Sasana-dayaka role to the king. CLAIMED_ROLE_AS is accepted as representing an attributed legitimating claim, not necessarily a verbatim self-assertion, consistently with the treatment of royal titulature and panegyric elsewhere.</t>
  </si>
  <si>
    <t xml:space="preserve">vol1_s001715_t03_41715c42a5b7</t>
  </si>
  <si>
    <t xml:space="preserve">APPEALED_FOR_PROTECTION_OF</t>
  </si>
  <si>
    <t xml:space="preserve">Hanthawaddy population</t>
  </si>
  <si>
    <t xml:space="preserve">vol1_s001716</t>
  </si>
  <si>
    <t xml:space="preserve">vol1_s001716_t01_1370febdcaf4</t>
  </si>
  <si>
    <t xml:space="preserve">EXERCISED_SOVEREIGN_JUDGMENT_ON</t>
  </si>
  <si>
    <t xml:space="preserve">Royal letter</t>
  </si>
  <si>
    <t xml:space="preserve">ဘဝရှင် အလောင်းမင်းတရားကြီးဘုရားလည်း ရာဇသံကို ကြားတော်မူလျှင် ဤသို့ အမိန့်တော်ရှိ၏။</t>
  </si>
  <si>
    <t xml:space="preserve">When the Lord of Life, Alaungmintaya Gyi, heard the royal letter, he gave this order.</t>
  </si>
  <si>
    <t xml:space="preserve">vol1_s001717</t>
  </si>
  <si>
    <t xml:space="preserve">vol1_s001717_t01_07b369a23f66</t>
  </si>
  <si>
    <t xml:space="preserve">ASSERTED_MORAL_SUPERIORITY_OVER</t>
  </si>
  <si>
    <t xml:space="preserve">ယမန် ကျိုက်ပကစ်တပ်တွင် နေတော်မူသည့် ကာလကလည်း မြန်မာဆရာ, မွန်ဆရာ, ယွန်းဆရာ ပုဂ္ဂိုလ်သုံးဦးတို့ အရေးအရာ မေတ္တာခံရပ်လာသည်လည်း အခွင့်မရလေ၊ ယခုတစ်ဖန် အရှင်သူမြတ် မေတ္တာရပ်ခံသည်ကို အရေးမရ ပြန်သည်ရှိသော် ဗြဟ္မဝိဟာရ တရားကို ကျွန်ုပ် နှလုံးမပိုက် မသွင်းသည် မည်ရာချေတော့မည်၊ တိုင်းကြီးပြည် ကြီး ထီးဆောင်းမင်းအပေါင်းတို့က စိတ်နှလုံးနူးညံ့သဖြင့် ဆင်ကြီး, မြင်းကြီး, သားသမီးဆက်သ၍ ဝင်ရောက် လာသမျှကိုလည်း ကျွန်ုပ်သည် ဘုရားဆုကို ပန်တော်မူသည်နှင့်အညီ ကိုယ်တို့စည်းစိမ်ကို မဖျက်မဆီး ချမ်းသာ ပေးတော်မူသည်။</t>
  </si>
  <si>
    <t xml:space="preserve">Previously, when I was staying at the Kyaik-pakit camp, there was no opportunity when the three individuals—the Burmese Sayadaw, the Mon Sayadaw, and the Yun Sayadaw—came to request favor regarding the matter; now, if I do not pay attention to the request for favor made by the venerable person again, it would mean that I do not hold or embrace the Brahma-vihara virtues; as for all the umbrella-bearing kings of great countries, because their hearts are soft, I do not destroy or ruin the prosperity of those who enter by offering great elephants, great horses, and children, but rather I grant them peace, in accordance with my vow to attain Buddhahood.</t>
  </si>
  <si>
    <t xml:space="preserve">vol1_s001717_t02_e03c6fe51a22</t>
  </si>
  <si>
    <t xml:space="preserve">DEFINED_TRIBUTARY_RELATIONSHIP_AS</t>
  </si>
  <si>
    <t xml:space="preserve">Protection in exchange for submission</t>
  </si>
  <si>
    <t xml:space="preserve">vol1_s001718</t>
  </si>
  <si>
    <t xml:space="preserve">vol1_s001718_t01_91fa4c845097</t>
  </si>
  <si>
    <t xml:space="preserve">CRITIQUED_DIPLOMATIC_SINCERITY_OF</t>
  </si>
  <si>
    <t xml:space="preserve">သို့ရာတွင် ဟံသာဝတီမှာ မွန်ဒေါဗညား မှူးကြီးမတ်ကြီး အများရှိလျက် မစေ၊ မြန်မာဆရာတော်နှင့် မြန်မာမှူးမတ်တို့ကိုသာ စေသည်ကို ထောက်လျှင် သဘောစိတ်ဝမ်းကျကျ ဟုတ်မှန်သည် ယူရန်မရှိ၊ သဘောမှန်လျှင် မွန်ဒေါဗညား မှူးကြီးမတ်ကြီးတို့ကို လျှောက်လာစေ အမိန့်တော်ရှိပြီးလျှင် အရှင်ပုဂ္ဂိုလ်သူမြတ် အချိန်တန်ပြီဟု အမိန့်တော်ရှိ၍ အတန်ကြာလျှင် သဇင်ပန်းနှစ်ခြင်း ပေးတော်မူလိုက်၏။</t>
  </si>
  <si>
    <t xml:space="preserve">However, considering that there are many Mon Daw Banya ministers and officials in Hanthawaddy, yet they were not sent, and only the Burmese Sayadaw and Burmese ministers were sent, there is no reason to believe that this is sincere and true; if it is sincere, have the Mon Daw Banya ministers and officials come to make the request, he ordered, and after saying that it was time for the venerable person, he gave him two baskets of Thazin flowers after a while.</t>
  </si>
  <si>
    <t xml:space="preserve">vol1_s001718_t02_6de8ef880533</t>
  </si>
  <si>
    <t xml:space="preserve">DEMANDED_DIPLOMATIC_RECOGNITION_FROM</t>
  </si>
  <si>
    <t xml:space="preserve">Mon Daw Banya ministers</t>
  </si>
  <si>
    <t xml:space="preserve">vol1_s001718_t03_12d6a8a8c117</t>
  </si>
  <si>
    <t xml:space="preserve">SENT_SYMBOLIC_GIFT_TO</t>
  </si>
  <si>
    <t xml:space="preserve">Mon King</t>
  </si>
  <si>
    <t xml:space="preserve">vol1_s001719</t>
  </si>
  <si>
    <t xml:space="preserve">vol1_s001719_t01_3a9ace91105d</t>
  </si>
  <si>
    <t xml:space="preserve">DICTATED_RITUAL_USAGE_OF</t>
  </si>
  <si>
    <t xml:space="preserve">Thazin flowers</t>
  </si>
  <si>
    <t xml:space="preserve">သဇင်ပန်းကိုလည်း တင်သင့်ရာ တင်လေ၊ ဆင်သင့်ရာ ဆင်စေဟူ၍ မှာတော်မူလိုက်၏။</t>
  </si>
  <si>
    <t xml:space="preserve">He also gave instructions, saying, 'Offer the Thazin flowers where they should be offered, and wear them where they should be worn.'</t>
  </si>
  <si>
    <t xml:space="preserve">vol1_s001720</t>
  </si>
  <si>
    <t xml:space="preserve">vol1_s001720_t01_eb094d3686cb</t>
  </si>
  <si>
    <t xml:space="preserve">ENTERED</t>
  </si>
  <si>
    <t xml:space="preserve">Pegu</t>
  </si>
  <si>
    <t xml:space="preserve">ယင်းသို့မှ ရှစ်ထောင့်ကျောင်းနေ မထေရ်သူမြတ်နှင့် မင်းရာဇာတို့ ပဲကူးမြို့တွင်းသို့ ဝင်ကြရ၏။</t>
  </si>
  <si>
    <t xml:space="preserve">Only then did the venerable monk from Shit-taung Monastery and Min Raza enter the city of Pegu.</t>
  </si>
  <si>
    <t xml:space="preserve">vol1_s001721</t>
  </si>
  <si>
    <t xml:space="preserve">vol1_s001721_t01_110b9db34527</t>
  </si>
  <si>
    <t xml:space="preserve">COMPLIED_WITH_RITUAL_INSTRUCTIONS_OF</t>
  </si>
  <si>
    <t xml:space="preserve">ဆရာတော်နှင့် မင်းရာဇာတို့လည်း အမိန့်တော်ရှိသမျှ စကားမျိုးကို စေ့စုံစွာ မွန်မင်းအား ပြန်လေလျှင် မွန်မင်းလည်း ပေးတော်မူလိုက်သည့် သဇင်ပန်းတော် နှစ်ခြင်းကို မှာတော်မူလိုက်သည့် အမိန့် တော်သံကို ထောက် ၍ တစ်ခြင်းကို ရွှေမော်ဓောဘုရားမှာ တင်ရ၏၊ တစ်ခြင်းကို သမီးတော် တစ်ပင်တိုင် မင်းသမီးသို့ ပို့၍ ဆင်ရ၏။</t>
  </si>
  <si>
    <t xml:space="preserve">When the Sayadaw and Min Raza fully reported all the words that had been ordered to the Mon King, the Mon King, relying on the royal command that accompanied the two baskets of Thazin flowers that had been given, had one basket offered at the Shwemawdaw Pagoda and sent the other basket to his daughter, the One-Pillar Princess, to wear.</t>
  </si>
  <si>
    <t xml:space="preserve">vol1_s001721_t02_73e6495fd253</t>
  </si>
  <si>
    <t xml:space="preserve">BESTOWED_SYMBOLIC_GIFT_UPON</t>
  </si>
  <si>
    <t xml:space="preserve">One-Pillar Princess</t>
  </si>
  <si>
    <t xml:space="preserve">vol1_s001722</t>
  </si>
  <si>
    <t xml:space="preserve">vol1_s001722_t01_7370fbe88f18</t>
  </si>
  <si>
    <t xml:space="preserve">ORDERED_OFFICIALS_TO_MANAGE_DIPLOMATIC_PRESENTATION</t>
  </si>
  <si>
    <t xml:space="preserve">Banya U, Banya Arinda, Raza Aindra</t>
  </si>
  <si>
    <t xml:space="preserve">The issuing ruler here is the Mon king, the continuing subject of the preceding sentence, who orders his own ministers to arrange presentation of his daughter to Alaungmintaya. The triple incorrectly makes Alaungpaya the issuer.</t>
  </si>
  <si>
    <t xml:space="preserve">Mon king | ORDERED_DAUGHTER_PRESENTATION_ARRANGEMENTS | Banya U, Banya Arinda, Raza Aindra</t>
  </si>
  <si>
    <t xml:space="preserve">ယင်းသို့မှ သမီးတော်ကို အခါနေ့ရက် တွက်ချက်ရွေးချယ်ပြီးလျှင် အလောင်းမင်းတရားကြီးမှာ လျှောက်ထား၍ စီရင်ရန်ရှိသည်များကို ပြီးပြေအောင် စီစဉ်ဆက်သကြရမည်ဟု ယောက်ဖတော်စစ်သူကြီး ဗညားဦး, ဗညားအရိန္ဒမ, အတွင်းဝန် ရာဇအိန္ဒတို့ကို အမိန့်တော်ရှိ၍ သက္ကရာဇ် (၁၁၁၈) တစ်ထောင့်တစ်ရာ့တစ်ဆယ့် ရှစ်ခု နတ်တော် လပြည့်ကျော် တစ်ဆယ့်လေးရက် နေ့တွင် စစ်သူကြီး ဗညားဦး, ဗညားအရိန္ဒမ, အတွင်းဝန် ရာဇအိန္ဒတို့နှင့် အမတ်တစ်ဆယ့်လေး၊ ပုဏ္ဏား အဓိပတိ ဗြဟ္မာ, မူလဗြဟ္မာ, အဂ္ဂဗြဟ္မာတို့နှင့် နောက်ပါ တစ်ဆယ့်လေး၊ စန္ဒရပ် ကျော်နှင့် နောက်ပါ တစ်ဆယ့်နှစ်၊ နန်းစာရေး လွှတ်စာရေး ငကွန်းတေ, ငထော်ဦး, ငထွန်း, ကုလားပျိုတို့နှင့် အစုစုလူပေါင်း ခြောက်ဆယ်၊ ပဲကူးမြို့ တွင်းက ထွက်လာ၍ လက်ယာထိမ်းမှတ်တပ်သို့ ရောက်လာ၏။</t>
  </si>
  <si>
    <t xml:space="preserve">Only then, after calculating and selecting the auspicious day and date for the daughter, he ordered his brother-in-law, the General Banya U, Banya Arinda, and the Interior Minister Raza Aindra, saying that they must arrange and present the matters to be carried out by reporting to Alaungmintaya Gyi, and on the 14th day of the waning moon of Natdaw, 1118, the General Banya U, Banya Arinda, and Interior Minister Raza Aindra, along with fourteen ministers, the Brahmin Adipati Brahma, Mula Brahma, and Agga Brahma with fourteen followers, Sandaryat Kyaw with twelve followers, and the palace scribes and royal secretaries Nga Kun Te, Nga Htaw U, Nga Htun, and Kular Pyo, totaling sixty people, left the city of Pegu and arrived at the right-flank guard camp.</t>
  </si>
  <si>
    <t xml:space="preserve">vol1_s001722_t02_4dc3330cece6</t>
  </si>
  <si>
    <t xml:space="preserve">LED_DIPLOMATIC_MISSION_TO</t>
  </si>
  <si>
    <t xml:space="preserve">Konbaung military camp</t>
  </si>
  <si>
    <t xml:space="preserve">vol1_s001722_t03_d87e8aa50d49</t>
  </si>
  <si>
    <t xml:space="preserve">Diplomatic mission</t>
  </si>
  <si>
    <t xml:space="preserve">INCLUDED_REPRESENTATIVES_OF</t>
  </si>
  <si>
    <t xml:space="preserve">Pegu administration and religious hierarchy</t>
  </si>
  <si>
    <t xml:space="preserve">vol1_s002390</t>
  </si>
  <si>
    <t xml:space="preserve">vol1_s002390_t01_c3e0c682ac8d</t>
  </si>
  <si>
    <t xml:space="preserve">Royal musketeers</t>
  </si>
  <si>
    <t xml:space="preserve">EXECUTED_REBEL</t>
  </si>
  <si>
    <t xml:space="preserve">Minkhaung Nawrahta</t>
  </si>
  <si>
    <t xml:space="preserve">ငချစ်ကောင်းလည်း အသက်မလွတ်ချေပြီ အမှတ်ရှိ၍ ကြောက်လန့်တကြား ကယ်ပါ, ကယ်ပါ ဟစ်အော် သည်တွင် သေနတ်လုလင်တော်တို့ ဖြဖြဝန်းရံပြီးလျှင် အထက်က နှိပ်၍ မင်းခေါင်နော်ရထာကို သေနတ်နှင့် ပစ်သည်၊ ငချစ်ကောင်းလည်း မင်းခေါင်နော်ရထာ ဦးခေါင်းကို ဖြတ်သည်၊ ယင်းတွင်မှ မင်းခေါင်နော်ရထာကို ရချေ၏။</t>
  </si>
  <si>
    <t xml:space="preserve">Nga Chit Kaung also realized his life would not be spared, and being mindful of this, he cried out in fear, 'Save me, save me!' At that moment, the royal musketeers surrounded him closely, pressed down from above, and shot Minkhaung Nawrahta with a musket; Nga Chit Kaung then cut off Minkhaung Nawrahta's head, and only then was Minkhaung Nawrahta captured.</t>
  </si>
  <si>
    <t xml:space="preserve">vol1_s002390_t02_ef315037ea02</t>
  </si>
  <si>
    <t xml:space="preserve">Nga Chit Kaung</t>
  </si>
  <si>
    <t xml:space="preserve">BEHEADED_REBEL</t>
  </si>
  <si>
    <t xml:space="preserve">vol1_s002390_t03_2ffff18e8914</t>
  </si>
  <si>
    <t xml:space="preserve">CAPTURED_REBEL</t>
  </si>
  <si>
    <t xml:space="preserve">vol1_s002391</t>
  </si>
  <si>
    <t xml:space="preserve">vol1_s002391_t01_112acb71128e</t>
  </si>
  <si>
    <t xml:space="preserve">Royal commanders and warriors</t>
  </si>
  <si>
    <t xml:space="preserve">PURSUED_AND_ARRESTED</t>
  </si>
  <si>
    <t xml:space="preserve">Rebel associates</t>
  </si>
  <si>
    <t xml:space="preserve">ဗိုလ်မှူးတပ်မှူး သူရဲသူခက်တို့လည်း မင်းခေါင်နော်ရထာ အသင်းအပင်း လူတစ်စုတို့ကို လိုက်လံဖမ်း ဆီးပြီးလျှင် မင်းခေါင်နော်ရထာ ခေါင်းကို ယူ၍ ပြန်ခဲ့ကြသည်။</t>
  </si>
  <si>
    <t xml:space="preserve">The commanders and warriors also pursued and arrested the group of Minkhaung Nawrahta's associates, then took Minkhaung Nawrahta's head and returned.</t>
  </si>
  <si>
    <t xml:space="preserve">vol1_s002391_t02_401fec6a7ae8</t>
  </si>
  <si>
    <t xml:space="preserve">SEIZED_REBEL_REMAINS</t>
  </si>
  <si>
    <t xml:space="preserve">Minkhaung Nawrahta's head</t>
  </si>
  <si>
    <t xml:space="preserve">vol1_s002392</t>
  </si>
  <si>
    <t xml:space="preserve">vol1_s002392_t01_84f7e6700f4c</t>
  </si>
  <si>
    <t xml:space="preserve">King Alaungpaya</t>
  </si>
  <si>
    <t xml:space="preserve">REPRIMANDED_COMMANDERS_FOR</t>
  </si>
  <si>
    <t xml:space="preserve">Unauthorized execution of rebel</t>
  </si>
  <si>
    <t xml:space="preserve">The passage is under Alaungpaya’s successor, the Dipeyin prince (Naungdawgyi), not Alaungpaya. The contextual accession is explicit in vol1_s002339, owner page 260, following Alaungpaya’s death. This is an incorrect named-king resolution, not a fault in inferring an unstated king.</t>
  </si>
  <si>
    <t xml:space="preserve">Replace King Alaungpaya with the reigning Dipeyin king / Naungdawgyi; retain the stated action.</t>
  </si>
  <si>
    <t xml:space="preserve">ဘဝရှင် မင်းတရားကြီးဘုရားလည်း မင်းခေါင်နော်ရထာကို ရလျှင် မသေလေစေနှင့်ဟု ဗိုလ်မှူးတပ်မှူးတို့ကို မဆွကာလကပင် ငါအမိန့်တော်ရှိသည်ကို သေဆုံးရာသလောဟု နှုတ်ပြစ် တင်တော်မူသည်၊ မင်းခေါင်နော်ရထာ ခေါင်းကို ဆက်သူ ငချစ်ကောင်းကိုလည်း လမှူးရန္တ သူ ဘွဲ့ အမည်ကို တပ်တော်မူသည်၊ မင်းခေါင်နော်ရထာနှင့် ရိုးရင်းဘက် တုရင်သိပ္ပံ, တုရင်သစ်တို့မှာ အင်းဝပျက်လျှင် ထွက်ရှောင်၍ မမိမရ၊ ဖမ်းဆီးရမိသည့် ခေါင်းတည် အကြီး ပြုသူတို့ကိုမူကား ရွေးစစ်တော်မူ၍ အပြစ်အလျောက် စီရင်တော်မူသည်။</t>
  </si>
  <si>
    <t xml:space="preserve">When the Lord of Life, the Great King, obtained Minkhaung Nawrahta, he reprimanded the commanders, saying, 'Did he die? I had already given orders long ago not to let him die.' He also bestowed the title of 'Lamu Ranta Thu' upon Nga Chit Kaung, who had presented Minkhaung Nawrahta's head. As for Minkhaung Nawrahta's close associates, Turin Thiphan and Turin Thit, they escaped when Inwa fell and were not captured; however, those who were arrested and had acted as ringleaders were interrogated and punished according to their crimes.</t>
  </si>
  <si>
    <t xml:space="preserve">vol1_s002392_t02_784e67ffa6e1</t>
  </si>
  <si>
    <t xml:space="preserve">RECEIVED_TITLE_FROM_KING</t>
  </si>
  <si>
    <t xml:space="preserve">Lamu Ranta Thu</t>
  </si>
  <si>
    <t xml:space="preserve">vol1_s002392_t03_d1424475afd0</t>
  </si>
  <si>
    <t xml:space="preserve">PUNISHED_REBEL_RINGLEADERS</t>
  </si>
  <si>
    <t xml:space="preserve">Rebel ringleaders</t>
  </si>
  <si>
    <t xml:space="preserve">vol1_s002393</t>
  </si>
  <si>
    <t xml:space="preserve">vol1_s002393_t01_1e1eb7ceb5d3</t>
  </si>
  <si>
    <t xml:space="preserve">RETURNED_TO_CAPITAL</t>
  </si>
  <si>
    <t xml:space="preserve">Ratanasingha</t>
  </si>
  <si>
    <t xml:space="preserve">ဘဝရှင် မင်းတရားကြီး သင်္ကြန်ခေါ်တော်မူခြင်းနှင့် ဥကင်္သ ဖွင့်တော်မူခြင်း စသည်များ ဘဝရှင် မင်းတရားကြီးဘုရားလည်း အရေးတော်ကုံလျှင် သက္ကရာဇ် (၁၁၂၂) တစ်ထောင့်တစ်ရာ့နှစ်ဆယ့်နှစ်ခု ပြာသိုလပြည့်ကျော် ဆယ်ရက်ခ ဗုဒ္ဓဟူးနေ့ ရတနာသိင်္ဃ ရွှေပြည်တော်သို့ ပြန်တော်မူ၏။</t>
  </si>
  <si>
    <t xml:space="preserve">Regarding the Lord of Life, the Great King's holding of the Thingyan festival and the opening of the royal pavilion, etc., when the Lord of Life, the Great King, had finished his urgent affairs, he returned to the royal capital of Ratanasingha on Wednesday, the 10th day of the waning moon of Pyatho, 1122 Era.</t>
  </si>
  <si>
    <t xml:space="preserve">vol1_s002394</t>
  </si>
  <si>
    <t xml:space="preserve">vol1_s002394_t01_886b2fb76ee5</t>
  </si>
  <si>
    <t xml:space="preserve">PERFORMED_RITUAL_OF</t>
  </si>
  <si>
    <t xml:space="preserve">Maha Thingyan</t>
  </si>
  <si>
    <t xml:space="preserve">သက္ကရာဇ် (၁၁၂၂) တစ်ထောင့်တစ်ရာ့နှစ်ဆယ့်နှစ်ခု တပေါင်းလဆန်း ခြောက်ရက်J တနင်္လာနေ့ ရွှေနန်းတော်၏ အနောက်မြောက်ယွန်း နံတော်၏ ဂဟပတိအရပ်ဖြစ်သော ထနောင်းဝန်း အရပ်တွင် မဟာသင်္ကြန် ခေါ်တော်မူပြီးလျှင် ထီးဆောင်းမင်္ဂလာ မဟာဥကင်္သ ဖွင့်တော်မူ၍ “သီရိပဝရ မဟာဓမ္မရာဇာ” ဟူသော တံဆိပ်နာမံတော်ကို ခံတော်မူ၏။</t>
  </si>
  <si>
    <t xml:space="preserve">On Monday, the 6th day of the waxing moon of Tabaung, 1122 Era, in the Thanaungwun area, which is the Gahapati quarter of the northwest direction of the royal palace, he held the Great Thingyan festival, opened the royal pavilion for the coronation ceremony, and received the title 'Thiri Pawara Maha Dhamma Raja'.</t>
  </si>
  <si>
    <t xml:space="preserve">vol1_s002394_t02_ef5fa0c4b8b7</t>
  </si>
  <si>
    <t xml:space="preserve">Royal consecration</t>
  </si>
  <si>
    <t xml:space="preserve">vol1_s002394_t03_cda942946177</t>
  </si>
  <si>
    <t xml:space="preserve">ASSUMED_ROYAL_TITLE</t>
  </si>
  <si>
    <t xml:space="preserve">Thiri Pawara Maha Dhamma Raja</t>
  </si>
  <si>
    <t xml:space="preserve">vol1_s002395</t>
  </si>
  <si>
    <t xml:space="preserve">vol1_s002395_t01_9287bd6eaec3</t>
  </si>
  <si>
    <t xml:space="preserve">Chief Queen</t>
  </si>
  <si>
    <t xml:space="preserve">Maha Mingala Ratana Devi</t>
  </si>
  <si>
    <t xml:space="preserve">ရှင်မိဖုရား ခေါင်ကြီးကိုလည်း “မဟာမင်္ဂလာ ရတနာဒေဝီ” ဟူသော တံဆိပ်နာမံတော်ကို ခံစေသည်။</t>
  </si>
  <si>
    <t xml:space="preserve">He also had the Chief Queen receive the title 'Maha Mingala Ratana Devi'.</t>
  </si>
  <si>
    <t xml:space="preserve">vol1_s002396</t>
  </si>
  <si>
    <t xml:space="preserve">vol1_s002396_t01_7624a4562763</t>
  </si>
  <si>
    <t xml:space="preserve">Queen</t>
  </si>
  <si>
    <t xml:space="preserve">Mingala Devi</t>
  </si>
  <si>
    <t xml:space="preserve">မိဖုရား တစ်ပါးကိုလည်း မင်္ဂလာဒေဝီ၊ တစ်ပါးကိုလည်း သီရိရတနာဒေဝီ၊ တစ်ပါးကိုလည်း သီတာဒေဝီ၊ တစ်ပါးကိုလည်း သီရိရာဇဒေဝီ၊ တစ်ပါးကိုလည်း ရာဇဒေဝီ၊ တစ်ပါးကိုလည်း မလ္လာဒေဝီ၊ တစ်ပါးကိုလည်း မင်္ဂလာဒေဝီ ဘွဲ့ ပေးတော်မူသည်။</t>
  </si>
  <si>
    <t xml:space="preserve">He also bestowed the titles of Mingala Devi upon one queen, Thiri Ratana Devi upon another, Thida Devi upon another, Thiri Raza Devi upon another, Raza Devi upon another, Malla Devi upon another, and Mingala Devi upon another.</t>
  </si>
  <si>
    <t xml:space="preserve">vol1_s002396_t02_7a7b9d54cffb</t>
  </si>
  <si>
    <t xml:space="preserve">Thiri Ratana Devi</t>
  </si>
  <si>
    <t xml:space="preserve">vol1_s002396_t03_bafada6d149e</t>
  </si>
  <si>
    <t xml:space="preserve">Thida Devi</t>
  </si>
  <si>
    <t xml:space="preserve">vol1_s002396_t04_5dd204505473</t>
  </si>
  <si>
    <t xml:space="preserve">Thiri Raza Devi</t>
  </si>
  <si>
    <t xml:space="preserve">vol1_s002396_t05_b4884a285059</t>
  </si>
  <si>
    <t xml:space="preserve">Raza Devi</t>
  </si>
  <si>
    <t xml:space="preserve">vol1_s002396_t06_2ef2a55bedde</t>
  </si>
  <si>
    <t xml:space="preserve">Malla Devi</t>
  </si>
  <si>
    <t xml:space="preserve">vol1_s002397</t>
  </si>
  <si>
    <t xml:space="preserve">vol1_s002397_t01_ea5f7b553d7b</t>
  </si>
  <si>
    <t xml:space="preserve">Myedu Min</t>
  </si>
  <si>
    <t xml:space="preserve">RECEIVED_REGALIA_FROM_KING</t>
  </si>
  <si>
    <t xml:space="preserve">Royal regalia and ceremonial items</t>
  </si>
  <si>
    <t xml:space="preserve">ညီတော် မြေဒူးမင်း သီရိဓမ္မရာဇာ၊ ညီတော် အမြင့်မင်း သုဓမ္မရာဇာ၊ ညီတော် ဗဒုံမင်း သတိုးမင်းစော၊ ညီတော် ပုခန်းမင်း သတိုးမင်းလှမင်းရဲကျော်စွာ၊ ညီတော် ပင်းတလဲမင်း သတိုးမင်းလှမင်းရဲကျော်ထင်တို့ကို ဝေါဗလာ ရွှေပိန်း၊ အတွင်း ဟင်းသပဒါးသုတ်၊ ကျိုင်းလေးချက်၊ အချက် ရွှေပိန်း၊ ဓားမိုးကြိုးစင်၊ မည်းသရီ အိတ်သွတ်၊ လိုက်ဓားလေး၊ အိမ်ဘဲ နီမွှမ်း၊ သံပတ် ငါးတန့်၊ ကွမ်းခွက် ဆယ်မြှောင့်မှန်တပ်၊ အနား ပတ္တမြား သုံးရစ်စီ၊ ကွမ်းလိပ် သုံးမြွှာ၊ အနား ပတ္တမြာသုံးရစ်စီ၊ လက်ဘက်အိုး တကောင်းပိတ် အထွတ် ပတ္တမြားသုံးရစ်စီ၊ ရွှေထွေးအင်၊ ဗောင်းကတ္တီပါနီ- ရွှေရောင်ပြား အစိမ်း, အနီ, အဝါ, အဖြူခြယ်၊ ပန်းနားချောင်း၊ မြင်းကကိုင်း ညောင်ရွက် ကိုးချပ်၊ ရွှေဗုဇွန်ခွံ မွှမ်းနင်းနှင်းသိပ်၊ အိမ်မြောင်ရင်ပတ်ကွင်း- ရွှေဇဝါ၊ ကတောင်ရွှေပိန်း၊ ဦးခက် ထိပ်ဆောင်း မြီးပျမ်း ရင်ပတ်ကြိုးကတ္တီပါ ရွှေကြယ်တပ်၊ စီးနှီးကတ္တီပါ၊ ကတ္တီပါတင်ရန်း ဇက်ရွှန်း သုံးဆင့် ရွှေယက်ပြားကွပ်၊ ဆင်သက္ကလတ်ကြိုး ရွှေကြယ်တပ်၊ ရဲက ရွှေတစ်စု, အနီတစ်စု၊ ဆင်ခြေဖုံး မိုးနဲရွှေလှံ ငါးဆယ်၊ အဆောင်နီ ခမောက်နေရောင်အုပ်၊ မှောက်တို အိတ်နီသွတ်၊ အဲမောင်း အိတ်နီသွတ်၊ လှံမ အိတ်နီသွတ်၊ သေနတ် အိတ်နီသွတ်၊ လင်းလေး အိတ်နီသွတ်၊ မီးပေါင်းကုပ် အိတ်နီသွတ်၊ စည်နီ ခုနစ်၊ ပုံသာ တစ်၊ စည်ပုတ် တစ်၊ လင်းခွင်း တစ်၊ ငွေခရာ တစ်၊ ငွေနှဲကြီး နှစ်၊ ငွေနှဲငယ် သုံး ပေးတော်မူသည်။</t>
  </si>
  <si>
    <t xml:space="preserve">He bestowed upon his younger brother, Myedu Min Thiri Dhamma Raja; his younger brother, Amyint Min Thu Dhamma Raja; his younger brother, Badon Min Thado Min Saw; his younger brother, Pakhangyi Min Thado Min Hla Min Ye Kyaw Swa; and his younger brother, Pindale Min Thado Min Hla Min Ye Kyaw Htin: a gold-plated palanquin, with the interior painted with vermilion, four ceremonial umbrellas, gold-plated shafts, a lightning-pattern sword, a black-lacquered scabbard, four pursuit swords, a red-dyed scabbard, a five-ringed iron band, a ten-sided mirror-mounted betel box with three rows of rubies on the rim, three betel rolls, a betel box with three rows of rubies on the rim, a tea jar with a Tagaung-style lid and three rows of rubies on the top, a gold spittoon, a red velvet crown with gold-colored plates decorated in green, red, yellow, and white, a floral-patterned headband, nine banyan-leaf-shaped horse ornaments, gold shrimp-shell-patterned footrests, a gold-patterned chest harness, gold-plated shoulder guards, a crown with a top ornament, a tail-piece, a velvet chest strap with gold stars, velvet riding boots, a velvet saddle with three-tiered gold-woven plates, a wool saddle strap with gold stars, a group of gold and a group of red tassels, and fifty Moe-ne gold spears for the elephant's feet, red ceremonial hats with sun-shade covers, short-handled red-cased spears, red-cased javelins, red-cased long spears, red-cased muskets, red-cased crossbows, red-cased fire-tubes, seven red drums, one gong, one drumstick, one cymbal, one silver trumpet, two large silver oboes, and three small silver oboes.</t>
  </si>
  <si>
    <t xml:space="preserve">vol1_s002397_t02_c3e689268768</t>
  </si>
  <si>
    <t xml:space="preserve">Amyint Min</t>
  </si>
  <si>
    <t xml:space="preserve">vol1_s002397_t03_68060585bf66</t>
  </si>
  <si>
    <t xml:space="preserve">Badon Min</t>
  </si>
  <si>
    <t xml:space="preserve">vol1_s002397_t04_fd9cc86fb6c3</t>
  </si>
  <si>
    <t xml:space="preserve">Pakhangyi Min</t>
  </si>
  <si>
    <t xml:space="preserve">vol1_s002397_t05_ebb3e5bc6e73</t>
  </si>
  <si>
    <t xml:space="preserve">Pindale Min</t>
  </si>
  <si>
    <t xml:space="preserve">vol1_s002402</t>
  </si>
  <si>
    <t xml:space="preserve">vol1_s002402_t01_2effadcb3c18</t>
  </si>
  <si>
    <t xml:space="preserve">King of Sagaing</t>
  </si>
  <si>
    <t xml:space="preserve">PERFORMED_RELIGIOUS_HOMAGE</t>
  </si>
  <si>
    <t xml:space="preserve">Shwezigon Pagoda</t>
  </si>
  <si>
    <t xml:space="preserve">ပုဂံမြို့ ရွှေစည်းခုံဘုရားကိုလည်း ဖူးမြော် ပူဇော်တော်မူသည်၊ ပတ္တနဂိုရ်မြို့ သို့ ရောက်တော်မူလျှင် တစ်ဆယ့် ကိုးရက် ရပ်ဆိုင်းတော်မူ၍ ရေတပ်ကြည်းတပ် အရောက်ညီလျှင် ပတ္တနဂိုရ်မြို့ ဆိပ်က တောင်တွင်းကြီးကြောင်း တောင်ငူမြို့သို့ ချီတော်မူသည်။</t>
  </si>
  <si>
    <t xml:space="preserve">[He] also paid homage to and worshipped the Shwezigon Pagoda in Bagan city; upon arriving at Patanago city, [he] halted for nineteen days, and when the naval and land forces had all arrived, [he] marched from the Patanago city landing via Taungdwingyi towards Taungoo city.</t>
  </si>
  <si>
    <t xml:space="preserve">vol1_s002402_t02_fe32bfde6f40</t>
  </si>
  <si>
    <t xml:space="preserve">COORDINATED_MILITARY_LOGISTICS</t>
  </si>
  <si>
    <t xml:space="preserve">Patanago</t>
  </si>
  <si>
    <t xml:space="preserve">vol1_s002402_t03_72d72424a293</t>
  </si>
  <si>
    <t xml:space="preserve">MARCHED_TOWARD</t>
  </si>
  <si>
    <t xml:space="preserve">Taungoo</t>
  </si>
  <si>
    <t xml:space="preserve">vol1_s002403</t>
  </si>
  <si>
    <t xml:space="preserve">vol1_s002403_t01_0f294a2b6a5c</t>
  </si>
  <si>
    <t xml:space="preserve">Minhla Nawrahta's forces</t>
  </si>
  <si>
    <t xml:space="preserve">ADVANCED_BY_LAND</t>
  </si>
  <si>
    <t xml:space="preserve">Kyitaung</t>
  </si>
  <si>
    <t xml:space="preserve">အလျင် ကြည်းကြောင်း ချီနှင့်ရလေသော မင်းလှနော်ရထာတို့ ဆယ်တပ်မှာလည်း ကျည်တောင်အရပ်သို့ ရောက်လျှင် တောင်ငူမြို့က တပ်ပေါင်း ဆယ်တပ် ဓမ္မတာချုပ်၍ ဆီးကြိုသည်ကို တပ်ဦး မင်းလှမင်းကျော်နှင့် တွေ့၍ တိုက်ကြသည်၊ မင်းလှမင်းကျော်တပ် ရွေ့ချေ၏။</t>
  </si>
  <si>
    <t xml:space="preserve">As for the ten regiments of Minhla Nawrahta and others who had marched by land in advance, when they reached the Kyitaung area, ten regiments from Taungoo city under the command of Dhammata intercepted them; they met with the vanguard [led by] Minhla Minkyaw and fought, and the Minhla Minkyaw regiment retreated.</t>
  </si>
  <si>
    <t xml:space="preserve">vol1_s002403_t02_cc033d27f6de</t>
  </si>
  <si>
    <t xml:space="preserve">Taungoo forces</t>
  </si>
  <si>
    <t xml:space="preserve">INTERCEPTED_ROYAL_FORCES</t>
  </si>
  <si>
    <t xml:space="preserve">vol1_s002403_t03_ead2a9e5d7e3</t>
  </si>
  <si>
    <t xml:space="preserve">Minhla Minkyaw</t>
  </si>
  <si>
    <t xml:space="preserve">RETREATED_FROM_COMBAT</t>
  </si>
  <si>
    <t xml:space="preserve">vol1_s002404</t>
  </si>
  <si>
    <t xml:space="preserve">vol1_s002404_t01_b788d8a9794e</t>
  </si>
  <si>
    <t xml:space="preserve">DEFEATED_IN_BATTLE</t>
  </si>
  <si>
    <t xml:space="preserve">မင်းလှမင်းကျော်တပ် ရွေ့သည်ကို မင်းလှနော်ရထာတို့ မြင်လျှင် နှစ်စုခွဲ၍ တိုက်သည်၊ တောင်ငူတပ်သားတို့ အထိအပါး အသေအပျောက် များလှ၍ တောင်ငူမြို့ တိုင်အောင် ဆုတ်လေသည်၊ တောင်ငူက မွန်တပ်မှူးနှစ်ယောက် ခေါင်းကိုလည်း ရလိုက်၏။</t>
  </si>
  <si>
    <t xml:space="preserve">When Minhla Nawrahta and his men saw that the Minhla Minkyaw regiment was retreating, they split into two groups and attacked; the Taungoo soldiers suffered many casualties and deaths, so they retreated as far as Taungoo city, and [Minhla Nawrahta's forces] also obtained the heads of two Mon commanders from Taungoo.</t>
  </si>
  <si>
    <t xml:space="preserve">vol1_s002404_t02_23f65ccc2327</t>
  </si>
  <si>
    <t xml:space="preserve">CAPTURED_ENEMY_COMMANDERS</t>
  </si>
  <si>
    <t xml:space="preserve">two Mon commanders</t>
  </si>
  <si>
    <t xml:space="preserve">The source says the heads of two Mon commanders were obtained. The unqualified object “two Mon commanders” suppresses that they were dead, inviting an interpretation of live capture. The battle gain is real, but the captured object is mis-specified.</t>
  </si>
  <si>
    <t xml:space="preserve">Minhla Nawrahta's forces | TOOK_HEADS_OF | two Mon commanders</t>
  </si>
  <si>
    <t xml:space="preserve">vol1_s002404_t03_134f31c7a15b</t>
  </si>
  <si>
    <t xml:space="preserve">RETREATED_TO</t>
  </si>
  <si>
    <t xml:space="preserve">Taungoo city</t>
  </si>
  <si>
    <t xml:space="preserve">vol1_s002405</t>
  </si>
  <si>
    <t xml:space="preserve">vol1_s002405_t01_1bcb65bbd202</t>
  </si>
  <si>
    <t xml:space="preserve">Udin Punya and Dhammata</t>
  </si>
  <si>
    <t xml:space="preserve">LED_COUNTERATTACK</t>
  </si>
  <si>
    <t xml:space="preserve">ယင်းနောက် အားသစ်၍ ဥဒိန်ပုညာ, ဓမ္မတာတို့ တစ်ဆယ့်ငါးတပ် တောင်ငူမြို့က ထွက်၍ ဆီးကြိုပြန်သည်ကို မြို့မြောက် နံချွန်အရပ်တွင် မင်းလှနော်ရထာတို့နှင့် တွေ့ပြန်၍ တိုက်ကြသည်၊ မနည်းကြာလျှင် တိမ်ကြားမင်းခေါင်, မက္ခရာဗိုလ်တို့တပ် လက်ဝဲလက်ယာ စစ်ခါးကိုဖြတ်၍ တိုက်သည်၊ တောင်ငူတပ် ကစီကရင်ရှိလျှင် မင်းလှနော်ရထာ တို့တပ်ကလည်း ဖိ၍ တိုက်သည်၊ ဥဒိန်ပုညာ, ဓမ္မတာတို့ အားလုံးပျက်၍ တောင်ငူမြို့သို့ချည်း ဝင်ပြေးလေ၏။</t>
  </si>
  <si>
    <t xml:space="preserve">After that, Udin Punya and Dhammata gathered their strength, and fifteen regiments emerged from Taungoo city to intercept them again; they met Minhla Nawrahta and his men in the area of the northern corner of the city and fought again; after not long, the regiments of Teinkya Minkhaung and Makkhaya Bo cut through the left and right flanks of the army and attacked; when the Taungoo army became disorganized, the regiments of Minhla Nawrahta also pressed the attack, and the forces of Udin Punya and Dhammata were completely defeated and fled back into Taungoo city.</t>
  </si>
  <si>
    <t xml:space="preserve">vol1_s002405_t02_f5bf51dd1261</t>
  </si>
  <si>
    <t xml:space="preserve">Teinkya Minkhaung and Makkhaya Bo</t>
  </si>
  <si>
    <t xml:space="preserve">EXECUTED_FLANKING_MANEUVER</t>
  </si>
  <si>
    <t xml:space="preserve">vol1_s002405_t03_5415d80b3392</t>
  </si>
  <si>
    <t xml:space="preserve">Udin Punya and Dhammata's forces</t>
  </si>
  <si>
    <t xml:space="preserve">vol1_s002405_t04_d2208ae44fb6</t>
  </si>
  <si>
    <t xml:space="preserve">vol1_s002406</t>
  </si>
  <si>
    <t xml:space="preserve">vol1_s002406_t01_12ea77842574</t>
  </si>
  <si>
    <t xml:space="preserve">ESTABLISHED_SIEGE_POSITION</t>
  </si>
  <si>
    <t xml:space="preserve">မင်းလှနော်ရထာတို့လည်း တောင်ငူမြို့သို့ ရောက်လျှင် မြို့ အနောက်မြောက်ထောင့်ကသည် မြို့ အရှေ့မြောက်ထောင့်၊ ပေါင်းလောင်မြစ်သို့ ဆိုက်အောင် တပ်စဉ်အတိုင်း ချရပ်စွဲနေကြသည်။</t>
  </si>
  <si>
    <t xml:space="preserve">When Minhla Nawrahta and his men reached Taungoo city, they camped and took up positions according to their battle formation, from the northwest corner of the city to the northeast corner, reaching the Paunglaung River.</t>
  </si>
  <si>
    <t xml:space="preserve">vol1_s002407</t>
  </si>
  <si>
    <t xml:space="preserve">vol1_s002407_t01_9e36b568f16b</t>
  </si>
  <si>
    <t xml:space="preserve">Dawtaw and Minkyaw Arkar</t>
  </si>
  <si>
    <t xml:space="preserve">ATTACKED_ROYAL_REGIMENT</t>
  </si>
  <si>
    <t xml:space="preserve">Taungzun Mingyi Gamani Sanda</t>
  </si>
  <si>
    <t xml:space="preserve">ယင်းသောအခါ တောင်ငူမြို့တွင်းက ဒေါတော်နှင့် မင်းကျော်အာကာတို့ နှစ်တပ်ထွက်၍ တောင်စွန်မင်းကြီး ဂါမဏိစန္ဒတပ်ကို တိုက်လှာသည်၊ မင်းကြီးဂါမဏိစန္ဒလည်း တပ်တွင်းက ခံ၍တိုက်သည်၊ မနည်းကြာလျှင် ပြင်ဦး ဗိုလ်, တံလည်းစီးဗိုလ်တို့ နှစ်တပ် တပ်ကထွက်၍ ကူညီတိုက်သည်၊ ဒေါတော် ပြောင်းသင့်၍ မြင်းဦးက ကျချေ၏။</t>
  </si>
  <si>
    <t xml:space="preserve">At that time, two regiments led by Dawtaw and Minkyaw Arkar emerged from within Taungoo city and attacked the regiment of Taungzun Mingyi Gamani Sanda; Mingyi Gamani Sanda also defended and fought from within his camp; after not long, two regiments led by Pyin U Bo and Talaisi Bo emerged from their camp and helped in the fight; Dawtaw was hit by a musket ball and fell from his horse.</t>
  </si>
  <si>
    <t xml:space="preserve">vol1_s002407_t02_2ce7c19f7f3e</t>
  </si>
  <si>
    <t xml:space="preserve">Pyin U Bo and Talaisi Bo</t>
  </si>
  <si>
    <t xml:space="preserve">REINFORCED_ROYAL_POSITION</t>
  </si>
  <si>
    <t xml:space="preserve">vol1_s002407_t03_5ed95b850f1a</t>
  </si>
  <si>
    <t xml:space="preserve">Dawtaw</t>
  </si>
  <si>
    <t xml:space="preserve">SUFFERED_CASUALTY_IN_BATTLE</t>
  </si>
  <si>
    <t xml:space="preserve">Dawtaw’s casualty is supported, but the object is his own side, “Taungoo forces,” under a predicate that expects a battle/event or clearer participant relation. The tuple does not cleanly express the source’s casualty statement.</t>
  </si>
  <si>
    <t xml:space="preserve">Dawtaw | WAS_SHOT_DURING | battle against the royal forces</t>
  </si>
  <si>
    <t xml:space="preserve">vol1_s002480</t>
  </si>
  <si>
    <t xml:space="preserve">vol1_s002480_t01_e23ef1d0a6c9</t>
  </si>
  <si>
    <t xml:space="preserve">King Hsinbyushin</t>
  </si>
  <si>
    <t xml:space="preserve">IDENTIFIES_CATEGORIES_OF</t>
  </si>
  <si>
    <t xml:space="preserve">loyal servants</t>
  </si>
  <si>
    <t xml:space="preserve">ခမည်းတော်ဘုရား လက်ထက်တော်, နောင်တော်ဘုရား လက်ထက်တော်ကသည် ငါ့လက်ထက်တော်တိုင် တိုင်းရေး ပြည်ရေး သာသနာတော်ရေးကို ညီ၍ ပွဲလမ်းရ လက်ရုံးရည်ဖြင့် အမှုတော်ကို ထမ်းရွက်သသူ၊ နှလုံးရည်ဖြင့် တိုင်းပြည်သာယာငြိမ်ဝပ်အောင် စီရင်ထမ်းရွက်သသူ၊ နန်းတော်အမှုထမ်း, အိမ်တော်ပါအမှုထမ်း, ညီတော် အမြင့် မင်းသား, ဗဒုံမင်းသား, ပုခန်းမင်းသား, ပင်းတလဲမင်းသားတို့ အမှုထမ်းလူတို့သည် ရိုးရင်းဘော် ရိုးရင်းဘက် ရဲဘော်ကြံဘက်ဖြစ်သော သူတို့မှာ သားစဉ်မြေးဆက် မနွမ်းမနယ် မငုပ်မတိမ်စေသင့်သည့် အမှုထမ်း ကျွန်တော်မျိုးများ ဖြစ်ကြသည်၊ အရည်အလျောက် သီးသန့်ရွေးကောက်၍ လေးဆယ်ငါးဆယ် အတွင်းသွေးသောက်, ပြင်သွေးသောက် ဖွဲ့စုသီးသန့်မှ အမှုတော်ကိုထမ်းသူတို့ သားအစဉ် မြေးအဆက် အဓွန့်ရှည်စွာ မငုပ်မတိမ်ရှိရာသည်- အမိန့်တော် ရှိပြီးလျှင်။</t>
  </si>
  <si>
    <t xml:space="preserve">From the reign of my royal father and the reign of my royal elder brother up to my own reign, those who have served the royal duties by being united in state affairs, national affairs, and religious affairs, those who have served the royal duties with physical prowess in campaigns and processions, those who have managed and served so that the country is peaceful and stable with intellectual prowess, the palace servants, the household servants, and the service personnel of the younger brothers, the High Prince, the Prince of Badon, the Prince of Pakhang, and the Prince of Pindale, are all loyal servants who are close associates, close companions, and comrades-in-arms, and they are servants who should not be allowed to fade, decline, or disappear for generations of sons and grandsons; after the royal order has been issued, those who serve the royal duties by being specifically selected according to their abilities and organized into the forty-fifty inner blood-oath groups and outer blood-oath groups shall not fade, decline, or disappear for long generations of sons and grandsons.</t>
  </si>
  <si>
    <t xml:space="preserve">vol1_s002480_t02_9f19881b9a7e</t>
  </si>
  <si>
    <t xml:space="preserve">MANDATES_ORGANIZATION_OF</t>
  </si>
  <si>
    <t xml:space="preserve">blood-oath groups</t>
  </si>
  <si>
    <t xml:space="preserve">vol1_s002480_t03_8b362e8b037a</t>
  </si>
  <si>
    <t xml:space="preserve">LINKS_BLOOD_OATH_GROUPS_TO</t>
  </si>
  <si>
    <t xml:space="preserve">generational continuity</t>
  </si>
  <si>
    <t xml:space="preserve">vol1_s002481</t>
  </si>
  <si>
    <t xml:space="preserve">vol1_s002481_t01_b02ecf3af804</t>
  </si>
  <si>
    <t xml:space="preserve">ORGANIZED_OFFICIALS_INTO</t>
  </si>
  <si>
    <t xml:space="preserve">သက္ကရာဇ် (၁၁၂၆) တစ်ထောင့်တစ်ရာ့နှစ်ဆယ့်ခြောက်ခု တော်သလင်းလပြည့်ကျော်ခြောက်ရက် စနေနေ့ နှစ်နာရီ၊ နှစ်ပါဒ်၊ ဆယ်ဗီဇနာ၊ ပြန်ခရာပြည့်တွင် မှူးတော်မတ်တော် သူရဲသူခက် ကျွန်တော်မျိုး အပေါင်းတို့ကို ရွေးကောက် သီးသန့်တော်မူ၍ လေးဆယ် ငါးဆယ် အတွင်းသွေးသောက်, ပြင်သွေးသောက် ဖွဲ့စုတော်မူ၏။</t>
  </si>
  <si>
    <t xml:space="preserve">In the year 1126, on the Saturday, the sixth day after the full moon of Tawthalin, at two hours, two pads, ten bizanas, and the completion of the pyankhara, [His Majesty] selected and specifically appointed all the royal officials, ministers, warriors, and loyal servants, and organized them into the forty-fifty inner blood-oath groups and outer blood-oath groups.</t>
  </si>
  <si>
    <t xml:space="preserve">vol1_s002481_t02_4bbc06947c6c</t>
  </si>
  <si>
    <t xml:space="preserve">FORMALIZED_ADMINISTRATIVE_STRUCTURE</t>
  </si>
  <si>
    <t xml:space="preserve">1764</t>
  </si>
  <si>
    <t xml:space="preserve">vol1_s002482</t>
  </si>
  <si>
    <t xml:space="preserve">vol1_s002482_t01_26cfe287969b</t>
  </si>
  <si>
    <t xml:space="preserve">APPOINTED_AS_BLOOD_OATH_LEADER</t>
  </si>
  <si>
    <t xml:space="preserve">Pyi Wun Thado Yaza</t>
  </si>
  <si>
    <t xml:space="preserve">မင်းကြီးသတိုးသက်တော်ရှည်၊ ပြည်မြို့ ဝန် သတိုးရာဇာ၊ ဝန်ကြီး မဟာသီဟသူ၊ မဟာစည်သူ၊ မဟာဇေယ ဥတ္တမသင်္ကြံ၊ ကျောက်ဆည်ဝန် မဟာသီရိဇေယသူ၊ လက်ယာဝင်းတော်မှူး မဟာနန္ဒသင်္ကြံ၊ နောက်ဝင်းတော်မှူး မဟာကျစွာ၊ ရန်ကုန်မြို့ ဝန် သီရိဥဇနာ၊ မဟာနန္ဒကျော်ထင်၊ သီရိဇေယတိဿ၊ စစ်ကိုင်းမြို့ ဝန် မဟာသီရိ ဘယ ကျော်သူ၊ ကျီဝန် မဟာဓမ္မ၊ ရွှေတိုက်ဝန် မဟာကျော်ထင်၊ မြင်းဝန် မဟာနော်ရထာ၊ ရှေ့ဝင်းတော်မှူး သီရိဇေယ သင်္ခယာတို့ အရည်တူ တော်ဦး စော်ဘွားကြီးနောက် နေရာနေသူ လူပေါင်း တစ်ဆယ့်ခြောက်ကို ပြည်မြို့ ဝန် သတိုးရာဇာကို သွေးသောက်ကြီးခန့်၍ လေးဆယ်တော် သတိုးရာဇာ သွေးသောက်ဖွဲ့တော်မူသည်။</t>
  </si>
  <si>
    <t xml:space="preserve">He appointed the sixteen people of equal rank who were stationed behind the royal head, the Sawbwa-gyi, including Mingyi Thado Thettawshay, Pyi Wun Thado Yaza, Wungyi Maha Thihathu, Maha Sithu, Maha Zeya Uttama Thinkhaya, Kyaukse Wun Maha Thiri Zeyathu, Letya Wundawhmu Maha Nanda Thinkhaya, Nauk Wundawhmu Maha Kyazwa, Yangon Wun Thiri Uzana, Maha Nanda Kyawhtin, Thiri Zeya Tissa, Sagaing Wun Maha Thiri Baya Kyawthu, Kyi Wun Maha Dhamma, Shwetaik Wun Maha Kyawhtin, Myin Wun Maha Nawrahta, and She Wundawhmu Thiri Zeya Thinkhaya, and by appointing Pyi Wun Thado Yaza as the blood-oath leader, he organized the forty-man Thado Yaza blood-oath group.</t>
  </si>
  <si>
    <t xml:space="preserve">vol1_s002482_t02_5eec3c76db8c</t>
  </si>
  <si>
    <t xml:space="preserve">Thado Yaza blood-oath group</t>
  </si>
  <si>
    <t xml:space="preserve">vol1_s002483</t>
  </si>
  <si>
    <t xml:space="preserve">vol1_s002483_t01_5172d4df5efb</t>
  </si>
  <si>
    <t xml:space="preserve">Thiri Thihathu</t>
  </si>
  <si>
    <t xml:space="preserve">သီရိနန္ဒကျော်ထင်၊ သီရိသီဟသူ၊ သီဟပတေ့၊ နော်ရထာ ကျော်စွာ၊ စတု ဂါမဏိ၊ ကျော်ခေါင်ကျော်သူ၊ သီရိ ဇေယကျော်သူ၊ သီရိဇေယကျော်စွာ၊ မင်းတုန်းမြို့ဝန် သီရိနန္ဒမိတ်ကျော်ထင်၊ မဟာဥတ္တမကျော်သူ၊ မဟာသီလဝ၊ သူရဲဝန် ဇေယဂါမဏိ၊ လိုင်မြို့ ဝန် သီရိနန္ဒမိတ်ကျော်သူ၊ ငွေခွန်ဝန် နေမျိုးဂါမဏိ၊ လက်ဝဲဝင်းမှူး နေမျိုးစည်သူ၊ ဘယဇေယကျော်ထင်၊ သီရိနန္ဒစည်သူ၊ နန္ဒဥဿရော၊ ပုသိန်မြို့ ဝန် သီရိစည်သူကျော်ထင်၊ မဟာသင်္ကြံ၊ ကောင်ဟန် ဝန် ရာဇဥဿရော၊ ရွေးကြောင်းဗိုလ် လက်ဝဲကျော်ခေါင်၊ ကျော်ထင်သီဟ၊ နန္ဒသူရကျော်ထင်တို့ အရည်တူ တော်နေလူပေါင်း နှစ်ဆယ့်လေးကို သီရိသီဟသူကို သွေးသောက်ကြီးခန့်၍ လေးဆယ်တော် သီရိသီဟသူ သွေးသောက်ဖွဲ့တော်မူသည်။</t>
  </si>
  <si>
    <t xml:space="preserve">He appointed the twenty-four people of equal rank who were stationed at the royal residence, including Thiri Nanda Kyawhtin, Thiri Thihathu, Thihapate, Nawrahta Kyawzwa, Satu Gamani, Kyawgaung Kyawthu, Thiri Zeya Kyawthu, Thiri Zeya Kyawzwa, Minton Myo Wun Thiri Nanda Mit Kyawhtin, Maha Uttama Kyawthu, Maha Thilawa, Thuye Wun Zeya Gamani, Laing Myo Wun Thiri Nanda Mit Kyawthu, Ngwekhun Wun Nemyo Gamani, Letwe Wunhmu Nemyo Sithu, Baya Zeya Kyawhtin, Thiri Nanda Sithu, Nanda Ussara, Pathein Myo Wun Thiri Sithu Kyawhtin, Maha Thinkhaya, Kaung Han Wun Raza Ussara, Rwe Kyaung Bo Letwe Kyawgaung, Kyawhtin Thiha, and Nanda Thura Kyawhtin, and by appointing Thiri Thihathu as the blood-oath leader, he organized the forty-man Thiri Thihathu blood-oath group.</t>
  </si>
  <si>
    <t xml:space="preserve">vol1_s002483_t02_8d8ac3d48bcf</t>
  </si>
  <si>
    <t xml:space="preserve">Thiri Thihathu blood-oath group</t>
  </si>
  <si>
    <t xml:space="preserve">vol1_s002484</t>
  </si>
  <si>
    <t xml:space="preserve">vol1_s002484_t01_3c58b513562e</t>
  </si>
  <si>
    <t xml:space="preserve">Nemyo Thinkhaya</t>
  </si>
  <si>
    <t xml:space="preserve">ဝန်ထောက် နေမျိုးသီရိဇေယနော်ရထာ၊ နေမျိုးသင်္ခယာ၊ နေမျိုးသီရိနော်ရထာ၊ မြို့ဝန် နေမျိုးဇေယဂါမဏိ၊ ဥတ္တမသီရိဇေယသူရ၊ သစ်တောဝန် ဥတ္တမကျော်စွာ၊ နေမျိုးသီရိဇေယကျော်သူ၊ နေမျိုးဇေယကျော်ထင်၊ နေမျိုး သီရိဇေယကျော်ထင်၊ ဇေယဗလတိဿ၊ တရားသူကြီး စတုကာဘယ၊ သီရိရန္တ ကျော်ထင်၊ နေမျိုးကျော်သူ၊ စတုဂါမဏိဇေယ၊ နေမျိုးနန္ဒမိတ်ကျော်ထင်၊ တရားစစ် ဘယကျော်သူ၊ နေမျိုးနော်ရထာ၊ နေမျိုးကျော်ထင်၊ ကျော် ထင် သင်္ခယာ၊ နေမျိုးသီရိကျော်ထင်၊ နေမျိုးနန္ဒမိတ်၊ ကသည်းဝန် နေမျိုးပျံချီ၊ အမြောက်ဝန် နေမျိုးသီဟသူ၊ သီရိဗလကျော်ထင်တို့ အရည်တူ ဒူးနေရာနေ လူပေါင်း နှစ်ဆယ့်လေးကို နေမျိုးသင်္ခယာကို သွေးသောက်ကြီး ခန့်၍ လေးဆယ်တော် နေမျိုးသင်္ခယာ သွေးသောက်ဖွဲ့တော်မူသည်။</t>
  </si>
  <si>
    <t xml:space="preserve">He appointed the twenty-four people of equal rank who were stationed at the knee position, including Wundauk Nemyo Thiri Zeya Nawrahta, Nemyo Thinkhaya, Nemyo Thiri Nawrahta, Myo Wun Nemyo Zeya Gamani, Uttama Thiri Zeya Thura, Thit Taw Wun Uttama Kyawzwa, Nemyo Thiri Zeya Kyawthu, Nemyo Zeya Kyawhtin, Nemyo Thiri Zeya Kyawhtin, Zeya Bala Tissa, Judge Satuka Baya, Thiri Ranta Kyawhtin, Nemyo Kyawthu, Satu Gamani Zeya, Nemyo Nanda Mit Kyawhtin, Judge Baya Kyawthu, Nemyo Nawrahta, Nemyo Kyawhtin, Kyawhtin Thinkhaya, Nemyo Thiri Kyawhtin, Nemyo Nanda Mit, Kathe Wun Nemyo Pyan Chi, Amyauk Wun Nemyo Thihathu, and Thiri Bala Kyawhtin, and by appointing Nemyo Thinkhaya as the blood-oath leader, he organized the forty-man Nemyo Thinkhaya blood-oath group.</t>
  </si>
  <si>
    <t xml:space="preserve">vol1_s002484_t02_d60f5c10c8ed</t>
  </si>
  <si>
    <t xml:space="preserve">Nemyo Thinkhaya blood-oath group</t>
  </si>
  <si>
    <t xml:space="preserve">vol1_s002515</t>
  </si>
  <si>
    <t xml:space="preserve">vol1_s002515_t01_105c04979ab7</t>
  </si>
  <si>
    <t xml:space="preserve">Kassay Sawbwa's forces</t>
  </si>
  <si>
    <t xml:space="preserve">BLOCKED</t>
  </si>
  <si>
    <t xml:space="preserve">mountain passes</t>
  </si>
  <si>
    <t xml:space="preserve">ကသည်းစော်ဘွားလည်း ချီတော်မူသည် ကြားသိ၍ တောင်ကမ်းခရီး ခဲယဉ်းကျဉ်းမြောင်းသည့် လမ်းပေါက် လမ်းဝ ဆိုသမျှက အသွယ်သွယ် အဝဝ အင်ကြီးအားကြီး အလုံးအရင်းနှင့်ချည်း ဆီးဆို့ ရပ်ခံနှင့်သည်ကို ဗိုလ်မှူး တပ်မှူး သူရဲတော်တို့ ရွပ်ရွပ်သိသိ တိုက်လံ ချင်းဖောက်လေလျှင် ကသည်းစော်ဘွားက ခံနှင့်သည့် တပ်ဆိုသမျှ ပျက်၍ ကသည်းစော်ဘွား သားမယားနှင့်တကွ တစ်မြို့လုံး တောအုံ တောင်ကမ်းကြီးရာ ခိုဝင်ထွက်ပြေးကြသည်ကို ဗိုလ်မှူးတပ်မှူး သူရဲကောင်းတို့ ပြေးလေရာတိုင်း လိုက်လံဖမ်းဆီးသည်။</t>
  </si>
  <si>
    <t xml:space="preserve">Hearing that the Kassay Sawbwa was also marching, and because [the Kassay Sawbwa's forces] were blocking and holding every mountain pass, difficult and narrow road, and entrance with various, numerous, and powerful masses, the commanders, troop leaders, and warriors fought and broke through with great determination; when the forces that the Kassay Sawbwa had set to hold [the positions] were destroyed, the Kassay Sawbwa, along with his wife and children, and the whole city fled and took refuge in the forests and great mountain ranges, and the commanders, troop leaders, and warriors pursued and captured them wherever they fled.</t>
  </si>
  <si>
    <t xml:space="preserve">vol1_s002515_t02_7b51ef1828c2</t>
  </si>
  <si>
    <t xml:space="preserve">vol1_s002515_t03_7a4221a0a25d</t>
  </si>
  <si>
    <t xml:space="preserve">Kassay Sawbwa</t>
  </si>
  <si>
    <t xml:space="preserve">FLED_FROM</t>
  </si>
  <si>
    <t xml:space="preserve">royal forces</t>
  </si>
  <si>
    <t xml:space="preserve">vol1_s002515_t04_54e3eaaa8b40</t>
  </si>
  <si>
    <t xml:space="preserve">Kassay Sawbwa and subjects</t>
  </si>
  <si>
    <t xml:space="preserve">uncertain</t>
  </si>
  <si>
    <t xml:space="preserve">Pursuit and capture of fugitives are explicit, but capture of the sawbwa himself is not unambiguous. The following sentence recalls troops pursuing him and clearly describes taking the population. The ruler-specific capture is therefore left unresolved rather than counted as a factual error.</t>
  </si>
  <si>
    <t xml:space="preserve">Keep capture of inhabitants; qualify or independently confirm capture of the sawbwa himself.</t>
  </si>
  <si>
    <t xml:space="preserve">vol1_s002516</t>
  </si>
  <si>
    <t xml:space="preserve">vol1_s002516_t01_dea38411a874</t>
  </si>
  <si>
    <t xml:space="preserve">CONQUERED</t>
  </si>
  <si>
    <t xml:space="preserve">Kassay city</t>
  </si>
  <si>
    <t xml:space="preserve">ဘဝရှင်မင်းတရားကြီးဘုရားလည်း ကသည်းမြို့ ကို အောင်မြင်တော်မူလျှင် ကသည်းစော်ဘွား ထွက်ပြေး လေရာ လိုက်သည့် တပ်တော်များကို ခေါ်သိမ်းတော်မူပြီးလျှင် ကသည်းတစ်မြို့လုံး ယောက်ျားမိန်းမတို့ကို သိမ်း ရုံးတော်မူ၍ ထိုနှစ် တန်ခူးလပြည့်ကျော်သုံးရက်ခ ဗုဒ္ဓဟူးနေ့ ကသည်းမြို့ က နေပြည်တော်သို့ ပြန်တော်မူသည်၊ ရတနာသိင်္ဃ နေပြည်တော်သို့ ရောက်တော်မူလျှင် မြို့တော်၏ အနောက်တောင်ယွန်း အရပ်တွင် စေတီ တည်တော် မူပြီးလျှင် နိဗ္ဗာန်ဆိပ်ဦးဟု သမိုက်တော်မူ၍ ဝတ္ထုကံမိုးမြေ လှူတော်မူ၏။</t>
  </si>
  <si>
    <t xml:space="preserve">When the Lord of Life, the Great King, had conquered the city of Kassay, he recalled the royal troops that had followed the fleeing Kassay Sawbwa, gathered all the men and women of the city of Kassay, and returned from the city of Kassay to the royal capital on Wednesday, the third day after the full moon of Tabaung of that year; upon arriving at the royal capital of Ratanasingha, he built a pagoda in the southwestern part of the city, named it Nibbana-seik-u, and donated land and property to it.</t>
  </si>
  <si>
    <t xml:space="preserve">vol1_s002516_t02_8074800445f4</t>
  </si>
  <si>
    <t xml:space="preserve">INCORPORATED_POPULATION</t>
  </si>
  <si>
    <t xml:space="preserve">Kassay city residents</t>
  </si>
  <si>
    <t xml:space="preserve">vol1_s002516_t03_82186a4f1701</t>
  </si>
  <si>
    <t xml:space="preserve">BUILT</t>
  </si>
  <si>
    <t xml:space="preserve">Nibbana-seik-u pagoda</t>
  </si>
  <si>
    <t xml:space="preserve">vol1_s002516_t04_868d89e0c3b3</t>
  </si>
  <si>
    <t xml:space="preserve">ENDOWED_WITH_RESOURCES</t>
  </si>
  <si>
    <t xml:space="preserve">vol1_s002517</t>
  </si>
  <si>
    <t xml:space="preserve">vol1_s002517_t01_d33e7db2146f</t>
  </si>
  <si>
    <t xml:space="preserve">FOUNDED</t>
  </si>
  <si>
    <t xml:space="preserve">Ratanapura Ava palace</t>
  </si>
  <si>
    <t xml:space="preserve">အဝမြို့တော်ကို အသစ်ချဲ့ ဖွင့်၍ တည်တော်မူခြင်း သက္ကရာဇ် (၁၁၂၇) တစ်ထောင့်တစ်ရာ့နှစ်ဆယ့်ခုနစ်ခု ဝါခေါင်လဆန်း ခုနစ်ရက်- အင်္ဂါနေ့ ညလေးချက်တီးကျော် မကာရလက်၊ ကြကဋ်တွင် အင်္ဂါ, ဗုဒ္ဓဟူး, ကြာသပတေး, တနင်္ဂနွေ၊ သိဟ်တွင် သောကြာ၊ ကန်တွင် တနင်္လာ၊ ပြိဿတွင် စနေ၊ ကံတွင် ရာဟု၊ ကောင်းမြတ်သော မင်္ဂလာအခါတော်၌ ရတနာပူရ အင်းဝရွှေနန်းကို တည်တော် မူသည်၊ မြို့တော် ရွှေနန်းတော် စသော အလုံးစုံ လုပ်ဆောင်စီရင် ပြီးပြေလျှင် ရတနာသိင်္ဃ နေပြည်တော်က ထိုနှစ် နတ်တော်လဆန်း တစ်ဆယ့်ငါးရက်' ကြာသပတေးနေ့ ကျောက်မြောင်းဆိပ်တော်သို့ ဆင်းတော်မူ၍ ရွှေဖောင်, ရွှေလှေ များစွာသော ဗိုလ်ပါဆင်မြင်း အလုံးအရင်းနှင့် ကြည်းဘက်ရေဘက် ပြောင်းချီတော်မူ၍ သက္ကရာဇ် (၁၁၂၇) တစ်ထောင့်တစ်ရာ့နှစ်ဆယ့်ခုနစ်ခု နှောင်းတန်ခူးလဆန်း တစ်ဆယ့်တစ်ရက် ကြာသပတေးနေ့ နံနက် လေးချက်တီးကျော် နေဝန်းပေါ်၊ မိန်တွင် လက်နှင့် တနင်္ဂနွေ, ဗုဒ္ဓဟူး, သောကြာ၊ ပြိဿတွင် စနေ၊ ကြကဋ်တွင် စန်းနှင့် ကြာသပတေး၊ ဓနုတွင် အင်္ဂါ၊ ကံတွင် ရာဟု ကောင်းမြတ်သော မင်္ဂလာအခါတော်တွင် ရတနာပူရ အင်းဝရွှေနန်းတော်ကို သိမ်းတော်မူ၏။</t>
  </si>
  <si>
    <t xml:space="preserve">The expansion and founding of the city of Ava: On Tuesday, the seventh day of the waxing moon of Wagaung, in the year 1127, after four bells of the night, at an auspicious and blessed time when the sun was in Makara, Mars, Mercury, Jupiter, and the Sun were in Karkata, Venus in Siha, the Moon in Kanya, Saturn in Pyissa, and Rahu in Kanya, he founded the golden palace of Ratanapura Ava; when the city, the golden palace, and all other works were completed, he descended from the royal capital of Ratanasingha to the Kyaukmyaung royal landing on Thursday, the fifteenth day of the waxing moon of Natdaw of that year, and with many golden barges, golden boats, and numerous troops, elephants, and horses, he moved by land and water, and on Thursday, the eleventh day of the waxing moon of the late Tagu, in the year 1127, after four bells of the morning, when the sun had risen, at an auspicious and blessed time when the sun was in Mein, the Sun, Mercury, and Venus were in the hand [constellation], Saturn in Pyissa, the Moon and Jupiter in Karkata, Mars in Danu, and Rahu in Kanya, he took possession of the golden palace of Ratanapura Ava.</t>
  </si>
  <si>
    <t xml:space="preserve">vol1_s002517_t02_e0c970d45873</t>
  </si>
  <si>
    <t xml:space="preserve">RELOCATED_CAPITAL_FROM</t>
  </si>
  <si>
    <t xml:space="preserve">vol1_s002517_t03_816a9b4f0658</t>
  </si>
  <si>
    <t xml:space="preserve">MOBILIZED_RESOURCES_FOR_RELOCATION</t>
  </si>
  <si>
    <t xml:space="preserve">boats, elephants, horses, and troops</t>
  </si>
  <si>
    <t xml:space="preserve">vol1_s002517_t04_b6383f8a1afc</t>
  </si>
  <si>
    <t xml:space="preserve">TOOK_POSSESSION_OF</t>
  </si>
  <si>
    <t xml:space="preserve">vol1_s002518</t>
  </si>
  <si>
    <t xml:space="preserve">vol1_s002518_t01_e89299b53728</t>
  </si>
  <si>
    <t xml:space="preserve">IDENTIFIED_INADEQUACY_OF</t>
  </si>
  <si>
    <t xml:space="preserve">Old Capital</t>
  </si>
  <si>
    <t xml:space="preserve">ထိုအခါ ရတနာပူရ အင်းဝနေပြည်တော်၌ မင်းမှူးမင်းမတ် သူရဲ သူခက် ရဲမက်ဗိုလ်ပါ, သူဌေးသူကြွယ်, ပုဏ္ဏား, ဇော်ဂီ, တပသီစသော တစ်ရာ့တစ်ပါးသော လူမျိုးအပေါင်းတို့နှင့် အရိယာသင်္ဃာတော်အပေါင်းတို့သည် မြေပြင်မလပ် အထပ်ထပ်ရှိလေလျှင် ဘဝင်ရှင်မင်းတရားကြီးဘုရား အမိန့်တော်ရှိသည်ကား...ယခု စံနေတော်မူသည့် ရတနာပူရ အင်းဝရွှေမြို့တော်သည် သတိုးမင်းဖျား တည်ထောင်စဉ်ကာလက ဤနေရာသည် ပတ်လည် အင်းကိုးအင်း နှင့်ရှိသော ချိုင့်ဝှမ်းလှသည့်အရပ်ဖြစ်လေသည် တစ်ကြောင်း၊ ပဌမတည်ထောင်ဦးဖြစ်၍ တိုင်းမှုပြည်မှု လုပ်ရေးကြံရေး များလှသည် ဖြစ်၍လည်း တစ်ကြောင်း၊ ထီးလှိုင်ဂူကုန်းကို အခြေပြု၍ မြေကုန်းမြင့်ရာတွင် ရွေ့ သာ မြို့တည်ရလေ သည် ဖြစ်သောကြောင့် ရဟန်းရှင်လူ ပြည်သူအပေါင်းတို့ မမှီမခိုလောက် ရှိရလေသည်၊ မဟာရာဇဌာနီ မင်း နေပြည်ကြီး ဆိုသည့်အရာသည် ရဟန်း, ရှင်လူ, ပြည်သူသတ္တဝါအပေါင်းတို့ မှီခိုရအောင် မြို့ကြီးပြကြီး အဖြီးအခိုင် တည်ထောင်ရသည်ဖြစ်မှ ပြည်ကိုမှီ၍ သီတင်းသုံးနေကုန်သော အရိယာသံဃာတော်မြတ်တို့သည် စိတ်နှလုံး နှောင့် နှေးခြင်းကင်း၍ ပရိယတ္တိ၊ ပဋိပတ္တိ သင်ကြားကျင့်ဆောင် ပွားများနိုင်ရာသည်၊ ပြည်သူလူတကာ သတ္တဝါအပေါင်း တို့လည်း စိတ်ကျ နှလုံးကျ လုပ်စားဆောင်စား စီးပွားတိုးတက်၍ ဒါနသီလ ပွားများရာသည်။</t>
  </si>
  <si>
    <t xml:space="preserve">At that time, when the royal capital of Ratanapura Ava was filled with all the 101 types of people, including ministers, noblemen, warriors, soldiers, troops, wealthy men, Brahmins, Zawgyis, and hermits, as well as all the noble Sangha, covering the ground layer upon layer, the Lord of Life, the Great King, gave the following order: 'The golden city of Ratanapura Ava, where I am currently residing, was a valley surrounded by nine lakes when it was founded by Thadominbya, which is one reason; and because it was the first time it was founded, there was much to be done regarding the affairs of the country, which is another reason; and because the city was built on high ground based on the Htilaing-gu hill, it was not sufficient for the monks, laypeople, and all the citizens to rely upon. A great royal capital must be built as a large and sturdy city so that all monks, laypeople, and citizens can rely on it, and only then can the noble Sangha, who reside in the country, be free from mental distress and be able to study, practice, and cultivate the Pariyatti and Patipatti, and all the citizens and beings can also be content and happy, prosper in their livelihoods, and cultivate charity and morality.'</t>
  </si>
  <si>
    <t xml:space="preserve">vol1_s002518_t02_e41f1c1663d7</t>
  </si>
  <si>
    <t xml:space="preserve">LACKED_CAPACITY_FOR</t>
  </si>
  <si>
    <t xml:space="preserve">Sangha and Citizens</t>
  </si>
  <si>
    <t xml:space="preserve">vol1_s002518_t03_611aa7676926</t>
  </si>
  <si>
    <t xml:space="preserve">Great Royal Capital</t>
  </si>
  <si>
    <t xml:space="preserve">MUST_PROVIDE_REFUGE_FOR</t>
  </si>
  <si>
    <t xml:space="preserve">vol1_s002518_t04_16b6ed9acd20</t>
  </si>
  <si>
    <t xml:space="preserve">MUST_ENABLE</t>
  </si>
  <si>
    <t xml:space="preserve">Religious Practice</t>
  </si>
  <si>
    <t xml:space="preserve">vol1_s002518_t05_1214452f2b3e</t>
  </si>
  <si>
    <t xml:space="preserve">Economic Prosperity</t>
  </si>
  <si>
    <t xml:space="preserve">vol1_s002583</t>
  </si>
  <si>
    <t xml:space="preserve">vol1_s002583_t01_511c4d846a1b</t>
  </si>
  <si>
    <t xml:space="preserve">Phraya Tham</t>
  </si>
  <si>
    <t xml:space="preserve">DEFEATED_MILITARY_UNIT</t>
  </si>
  <si>
    <t xml:space="preserve">500 cavalry</t>
  </si>
  <si>
    <t xml:space="preserve">သဖန်းပုံးမြို့စား ကျလျှင် အမတ်ကြီးဗြသံလည်း နောက်က မြင်းငါးရာတပ်ကို ဆင်နှင့်ဖြန့်၍ နင်းသည်၊ မြင်းငါးရာလုံး မခံနိုင် ရွေ့လေလျှင် မင်းကြီးဇေယသူတို့ တပ်ပေါင်း နှစ်ဆယ်ကို ယိုးဒယား ဗိုလ်လုံးတပ်လုံးဘိ၍ ဆင်ရှစ်ရာကျော်, လှည်းရထားတင် အမြောက် ငါးရာကျော်နှင့် နင်းတိုက်ထိုးဝှေ့ ပစ်ခတ်လေသောကြောင့် မခံနိုင်၍ ရဲမက်တော် နှစ်သောင်းလုံး ကစီကရင် ရှိချေ၏။</t>
  </si>
  <si>
    <t xml:space="preserve">When the Lord of Thapanpong fell, the Great Minister Byathang spread out the five hundred cavalry troops from behind with his elephant and trampled them; when all five hundred cavalry could not withstand and retreated, the Siamese surrounded the twenty battalions of Mingyi Zeyathu and trampled, attacked, gored, and fired upon them with over eight hundred elephants and over five hundred wagon-mounted cannons, and because they could not withstand it, all twenty thousand royal soldiers were scattered in disarray.</t>
  </si>
  <si>
    <t xml:space="preserve">vol1_s002583_t02_52a5ba858511</t>
  </si>
  <si>
    <t xml:space="preserve">Siamese Forces</t>
  </si>
  <si>
    <t xml:space="preserve">SURROUNDED_AND_ATTACKED</t>
  </si>
  <si>
    <t xml:space="preserve">Mingyi Zeyathu's 20 battalions</t>
  </si>
  <si>
    <t xml:space="preserve">The Siamese massed attack is clear, but “surrounded” adds a tactical encirclement not stated in this sentence. The encircling/rear attack described immediately afterward is performed by the Burmese. The supported attack should not be expanded into an unsupported maneuver.</t>
  </si>
  <si>
    <t xml:space="preserve">Siamese Forces | MASSED_ATTACK_AGAINST | Mingyi Zeyathu's 20 battalions</t>
  </si>
  <si>
    <t xml:space="preserve">vol1_s002583_t03_08b05814522e</t>
  </si>
  <si>
    <t xml:space="preserve">800 elephants and 500 cannons</t>
  </si>
  <si>
    <t xml:space="preserve">vol1_s002583_t04_1a1e9d0ae175</t>
  </si>
  <si>
    <t xml:space="preserve">Konbaung Soldiers</t>
  </si>
  <si>
    <t xml:space="preserve">SUFFERED_MILITARY_COLLAPSE</t>
  </si>
  <si>
    <t xml:space="preserve">20,000 soldiers</t>
  </si>
  <si>
    <t xml:space="preserve">vol1_s002584</t>
  </si>
  <si>
    <t xml:space="preserve">vol1_s002584_t01_3015b8a4e642</t>
  </si>
  <si>
    <t xml:space="preserve">General Maha Nawrahta</t>
  </si>
  <si>
    <t xml:space="preserve">LED_COUNTER_ATTACK</t>
  </si>
  <si>
    <t xml:space="preserve">100 elephants, 500 supporting elephants, 3000 musketeers</t>
  </si>
  <si>
    <t xml:space="preserve">ထိုအခါ ဗိုလ်ချုပ်မဟာနော်ရထာလည်း ပြောင်းအမြောက်သံ များလှသောကြောင့် တိုက်ဆင်တစ်ရာကို ရှေ့ကထား၍ လက်ဝဲလက်ယာ ဆင်ကူ ငါးရာ, ဆင်ခြေဖုံး သေနတ်သုံးထောင်နှင့် တပ်က ထွက်၍လာသည်ကို ဗိုလ်မှူး စစ်ကဲတို့မြင်လျှင် ဖြဖြဆော်၍ နေမျိုးဂုဏ္ဏရတ်တို့ တပ်ပေါင်း နှစ်ဆယ်, တိုက်ဆင်နှစ်ရာ, မြင်းငါးရာ, စစ်သည်သူရဲ နှစ်သောင်းနှင့် ဆင်ဖြူရှင်တည်သည့် ဘုရားအရှေ့သို့ လှည့်၍ ချီပြီးမှ ယိုးဒယားတပ်ကို နောက်ကပတ်၍ ဆင်ပါမြင်းပါ ရဲမက်တော်နှစ်သောင်းလုံး အသားစားမည်ကဲ့သို့ အပြင်းဝင်၍ ဘိဘိစီးစီး ပစ်ခတ် ထိုးခုတ်သည်တွင် ယိုးဒယားလူ တစ်သိန်းကျော် မဆုတ်နိုင် မတက်နိုင် တန့်၍ရှိလေ၏။</t>
  </si>
  <si>
    <t xml:space="preserve">At that time, General Maha Nawrahta, because the sound of the cannons was very loud, placed one hundred war elephants in front and came out from the camp with five hundred supporting elephants on the left and right and three thousand infantry musketeers; when the commanders and military officers saw this, they urged them on, and the twenty battalions of Nemyo Gonnarat, with two hundred war elephants, five hundred cavalry, and twenty thousand soldiers, turned to the east of the pagoda built by the Lord of the White Elephant and marched, then circled behind the Siamese army, and all twenty thousand royal soldiers, including elephants and horses, entered fiercely as if to devour flesh, firing and stabbing intensely, causing over one hundred thousand Siamese to be unable to retreat or advance, and they remained stalled.</t>
  </si>
  <si>
    <t xml:space="preserve">vol1_s002584_t02_36608b6ddd64</t>
  </si>
  <si>
    <t xml:space="preserve">Nemyo Gonnarat</t>
  </si>
  <si>
    <t xml:space="preserve">MANEUVERED_AROUND</t>
  </si>
  <si>
    <t xml:space="preserve">Siamese Army</t>
  </si>
  <si>
    <t xml:space="preserve">vol1_s002584_t03_ea1e6980196d</t>
  </si>
  <si>
    <t xml:space="preserve">Konbaung Forces</t>
  </si>
  <si>
    <t xml:space="preserve">STALLED_ENEMY_ADVANCE</t>
  </si>
  <si>
    <t xml:space="preserve">100,000 Siamese soldiers</t>
  </si>
  <si>
    <t xml:space="preserve">vol1_s002585</t>
  </si>
  <si>
    <t xml:space="preserve">vol1_s002585_t01_1d032da9b16a</t>
  </si>
  <si>
    <t xml:space="preserve">Mingyi Zeyathu's Units</t>
  </si>
  <si>
    <t xml:space="preserve">REORGANIZED_MILITARY_FORMATION</t>
  </si>
  <si>
    <t xml:space="preserve">200 elephants, 500 cavalry, 20,000 soldiers</t>
  </si>
  <si>
    <t xml:space="preserve">ယင်းသောအခါ မင်းကြီး ဇေယသူတို့ တပ်ပေါင်း နှစ်ဆယ်လည်း အပြင်းအပြ ကွပ်ညှပ်စည်းကြပ်ပြန်၍ တိုက်ဆင် နှစ်ရာ, မြင်းငါးရာ, စစ်သည်သူရဲ နှစ်သောင်းလုံး ရှေ့ကကြံ့ကြံ့ခံ၍ လှည်းရထားတင် အမြောက် ငါးရာကျော်နှင့် ယိုးဒယားဆင်ပုံသို့ မရပ်မဆိုင်း ပစ်သည်တွင် ယိုးဒယား တိုက်ဆင် နှစ်ရာလုံး မခံနိုင်၍ နောက်သို့ လှည့်ပြီးလျှင် ယိုးဒယားစစ်သည်တို့ကို ဝှေ့ပက်နင်းကော်၍ ပြေးလေသောကြောင့် ယိုးဒယား စစ်သည်တို့ ဝါးအစည်း ပြေသကဲ့သို့ မစည်းမကြပ်နိုင် ပျက်၍ ရုံးမိသမျှ ဆင် မြင်း လူသူ တို့နှင့် အမတ်နှစ်ဦး မြို့တွင်းသို့ အလျင် ဆုတ်ခွာကြရလေ၏။</t>
  </si>
  <si>
    <t xml:space="preserve">At that moment, the twenty battalions of Mingyi Zeyathu also reorganized and tightened their ranks, and with two hundred war elephants, five hundred cavalry, and twenty thousand soldiers standing firm in front, they fired incessantly with over five hundred wagon-mounted cannons at the Siamese elephant formation; when all two hundred Siamese war elephants could not withstand it, they turned back and trampled and gored the Siamese soldiers as they fled, causing the Siamese soldiers to lose their cohesion like a bundle of bamboo coming undone, and they were forced to retreat quickly into the city with the two ministers, along with whatever elephants, horses, and men they could gather.</t>
  </si>
  <si>
    <t xml:space="preserve">vol1_s002585_t02_d483b7da24d2</t>
  </si>
  <si>
    <t xml:space="preserve">UTILIZED_ARTILLERY_AGAINST</t>
  </si>
  <si>
    <t xml:space="preserve">Siamese elephant formation</t>
  </si>
  <si>
    <t xml:space="preserve">vol1_s002585_t03_1bb2565decd7</t>
  </si>
  <si>
    <t xml:space="preserve">Siamese War Elephants</t>
  </si>
  <si>
    <t xml:space="preserve">TRAMPLED_OWN_SOLDIERS</t>
  </si>
  <si>
    <t xml:space="preserve">vol1_s002585_t04_694912438548</t>
  </si>
  <si>
    <t xml:space="preserve">Ayutthaya City</t>
  </si>
  <si>
    <t xml:space="preserve">vol1_s002586</t>
  </si>
  <si>
    <t xml:space="preserve">vol1_s002586_t01_4481a48cfb72</t>
  </si>
  <si>
    <t xml:space="preserve">200+ elephants, 200+ cannons, 2000+ men</t>
  </si>
  <si>
    <t xml:space="preserve">ဆင်နှစ်ရာ ကျော်, အမြောက် နှစ်ရာကျော်, လူနှစ်ထောင်ကျော် အရှင်ရလိုက်သည်၊ သေလေသည်လည်း များ၏၊ စစ်ကဲကြီး နေမျိုးဂုဏ္ဏရတ်နှင့် ဗိုလ်မှူးတပ်မှူးတို့လည်း ရသည့် လူသူ လက်နက်ကိရိယာများကို သိမ်းယူ၍ တပ်သို့ ပြန်လည် ခဲ့ကြသည်။</t>
  </si>
  <si>
    <t xml:space="preserve">Over two hundred elephants, over two hundred cannons, and over two thousand men were captured alive, and many also died; the Great Military Officer Nemyo Gonnarat and the commanders and battalion leaders collected the captured men and equipment and returned to the camp.</t>
  </si>
  <si>
    <t xml:space="preserve">vol1_s002586_t02_26f5c75148f3</t>
  </si>
  <si>
    <t xml:space="preserve">COLLECTED_SPOILS_OF_WAR</t>
  </si>
  <si>
    <t xml:space="preserve">Captured men and equipment</t>
  </si>
  <si>
    <t xml:space="preserve">vol1_s002622</t>
  </si>
  <si>
    <t xml:space="preserve">vol1_s002622_t01_42018ed90b24</t>
  </si>
  <si>
    <t xml:space="preserve">Ayutthaya villages</t>
  </si>
  <si>
    <t xml:space="preserve">ယင်းသောအခါ ဒဝယ်ကြောင်းချီ ဗိုလ်ချုပ်မဟာနော်ရထာ, ဇင်းမယ်ကြောင်းချီ ဗိုလ်ချုပ်နေမျိုးသီဟ ပတေ့တို့ ဗိုလ်မှူးတပ်မှူး အပေါင်းတို့လည်း ယိုးဒယားမြို့ ကျေးရွာများမှာ လုပ်ဆောင်စေသည့် မျိုးရိက္ခာစပါးများကို သယ်ယူ၍ ရံတပ်များသို့ အပြည့်အဝ သွင်းထားပြီးလျှင် ယိုးဒယားမြို့ ကို ကြည်းရေ အပိတ်ဝန်းရံ၍ နေ့ညမပြတ် နှဲခရာ ပုံသာ စသော ပွဲလမ်းသဘင်ခံလျက် ရဲမက်တော်တို့ကို ဖြည့်တင်း ရွှင်လန်းစေ၏။</t>
  </si>
  <si>
    <t xml:space="preserve">At that time, the commanders and leaders of the Dawei-bound army under General Maha Nawrahta and the Chiang Mai-bound army under General Ne Myo Thiha Pate, having transported the seed grain and provisions produced in the villages of the Ayutthaya kingdom and fully stocked them in the siege forts, surrounded the city of Ayutthaya by land and water, and without ceasing day or night, held festivals and celebrations with oboes, trumpets, and drums to keep the royal soldiers satisfied and cheerful.</t>
  </si>
  <si>
    <t xml:space="preserve">vol1_s002622_t02_41550eced118</t>
  </si>
  <si>
    <t xml:space="preserve">General Ne Myo Thiha Pate</t>
  </si>
  <si>
    <t xml:space="preserve">vol1_s002622_t03_d7629447f19b</t>
  </si>
  <si>
    <t xml:space="preserve">Burmese generals</t>
  </si>
  <si>
    <t xml:space="preserve">MAINTAINED_MORALE_OF</t>
  </si>
  <si>
    <t xml:space="preserve">royal soldiers</t>
  </si>
  <si>
    <t xml:space="preserve">vol1_s002623</t>
  </si>
  <si>
    <t xml:space="preserve">vol1_s002623_t01_1b8a77e9f147</t>
  </si>
  <si>
    <t xml:space="preserve">EMPLOYED_PSYCHOLOGICAL_WARFARE_AGAINST</t>
  </si>
  <si>
    <t xml:space="preserve">Ayutthaya residents</t>
  </si>
  <si>
    <t xml:space="preserve">ဗိုလ်ချုပ်နှစ်ဦးတို့ တိုင်ပင်၍ ရံတပ်တော်များက ဆင်မြင်းဗိုလ်ပါ သူရဲတို့ကို အသက် အသံ မပြုစေရ၊ နောက်ကို ခရီးအထောက်အလှမ်း တော်သင့်ရာ ရောက်အောင် ညဉ့်အခါ ထွက်သွားစေပြီးလျှင် နေ့အခါမှ ရုတ်ရုတ်သဲသဲ စည်မောင်း ခတ်တီး၍ စစ်ထပ် လာပြန်သည့် အဟန် ရံတပ်မြို့ များကို ပေါင်းစေသည်၊ ယိုးဒယား မြို့ပတ်လည်ကိုလည်း တပ်တိုးပွား တည်လုပ်စေပြီးလျှင် ယင်းသည့် တပ်များတွင် တဲအုံအပြည့် ဆောက်လုပ်စေ၍ အစောင့်အနေ လူအတော်အသင့်နှင့် ညဉ့်တိုင်လျှင် မီးထည့်ကြသည်၊ ယင်းသို့ မပြတ်မလပ် ဗိုလ်ချုပ်မဟာနော်ရထာ, နေမျိုးသီဟပတေ့တို့ စီရင်သည်ကို ယိုးဒယားမြို့တွင်းက မြင်လျှင် မြန်မာစစ်သည်အများ ထပ်ကာ ထပ်ကာ ရောက်၍ မြို့ တပ်အများ တိုးပွားရံနေပြန် သည်ဟု ယိုးဒယားမြို့တွင်းသားတို့ အလွန် ကြောက်ရွံ့ကုန်၏။</t>
  </si>
  <si>
    <t xml:space="preserve">The two generals consulted and ordered the elephant, cavalry, and infantry troops in the siege forts not to make any noise or sound; they sent them out at night to reach suitable reconnaissance positions, and then during the day, they would beat drums and gongs in a clamorous manner to create the appearance of reinforcements arriving again, causing the siege forts to join together. They also had more forts built around the city of Ayutthaya, had huts built throughout those forts, and had fires lit at night with a moderate number of guards. When the people inside Ayutthaya saw this constant and unceasing arrangement by Generals Maha Nawrahta and Ne Myo Thiha Pate, they were extremely afraid, thinking that many Burmese soldiers were arriving again and again, and that many more city forts were being built to surround them.</t>
  </si>
  <si>
    <t xml:space="preserve">vol1_s002623_t02_890920b1e9ba</t>
  </si>
  <si>
    <t xml:space="preserve">vol1_s002623_t03_21a2c2ebc6f4</t>
  </si>
  <si>
    <t xml:space="preserve">EXPERIENCED_FEAR_OF</t>
  </si>
  <si>
    <t xml:space="preserve">Burmese military expansion</t>
  </si>
  <si>
    <t xml:space="preserve">vol1_s002624</t>
  </si>
  <si>
    <t xml:space="preserve">vol1_s002624_t01_84b8df84a99c</t>
  </si>
  <si>
    <t xml:space="preserve">Burmese_commanders</t>
  </si>
  <si>
    <t xml:space="preserve">CONSTRUCTED_SIEGE_WORKS</t>
  </si>
  <si>
    <t xml:space="preserve">Ayutthaya_capital</t>
  </si>
  <si>
    <t xml:space="preserve">ယင်းသောအခါ ယိုးဒယားမင်းသည် မင်းညီမင်းသား စသော မှူးမတ် ဗိုလ်မှူးတပ်မှူးတို့ကို ခေါ်၍ ဤသို့ဆို၏၊ ယခု မြန်မာ ဗိုလ်မှူးတပ်မှူးတို့သည် အုတ်မြို့ အများ တည်၍ တစ်မြို့နှင့်တစ်မြို့ ဆက်လက်မှီအောင် တပ်တန်း ထိုးပြီးလျှင် ခြေခြေမြစ်မြစ် တည်လုပ် စွဲရပ်နေသည်၊ ပြင်မြို့ကျေးရွာများမှာ ရှိသည့် မျိုးရိက္ခာများကို အကုန်အစင် သိမ်းယူ၍ အရံ မြို့များမှာ အပြည့်အဝ သွင်းထားသည့်အလိုသော် ဆယ်နှစ်ပင် ကြာသော်လည်း အရံကို ဖြုတ်မည့် အဟန် မရှိချေ၊ မြန်မာတို့တပ်စု ဆုတ်ခွာလေအောင်ကို မည်သို့ကြံရသော် သင့်မည်ဟု ဆိုသည်တွင် အမတ်ကြီး ဘယားကူရတစ် လျှောက်သည်ကား မြန်မာတို့ ဒဝယ်ကြောင်း, ဇင်းမယ်ကြောင်း စစ်နှစ်ကြောင်း ချီတက်လာ၍ ကျွန်တော်တို့ မြို့ကြီး ပြကြီး ဆိုသမျှ မရပ်မခံနိုင် ပျက်ပြားရှိသောကြောင့် မြို့ရင်းတိုင်အောင် ချဉ်းပြီးလျှင် အဖြီးအခိုင် အုတ်မြို့များတည်၍ ဝန်းရံနေသည်လည်း ဗိုလ်မှူးတပ်မှူးမျှသာ ဖြစ်ချေသေးသည်၊ နောက် မြန်မာမင်း ကိုယ် ချီလာချေသော် ကျွန်တော်တို့ ရပ်ခံနိုင်မည် မဟုတ်၊ ယခုပင်သော်လည်း အစားအစာ ခဲခက်၍ မြို့တွင်း သားတို့လည်း အားလျော့လှချေပြီ၊ မြန်မာတို့လည်း ရံမြို့များတွင် မျိုးရိက္ခာ အပြည့်အဝ သွင်းထားလျက် ရှိသည်၊ နောက်ကိုလည်း ရသာ ယူသာသမျှ မြို့ရွာများတွင် မျိုးရိက္ခာ သယ်ယူလုပ်ဆောင်၍ ဆင်မြင်းစစ်သည်တို့ကို ဖြည့်တင်းပြီးလျှင် ကျွန်တော်တို့မြို့ကို မရသမျှ အဝသို့ ပြန်မည့်အဟန် မရှိချေ၊ ယင်းသို့ဖြစ်သောကြောင့် မြန်မာမင်းကို ဒွါရာဝတီပြည်ကြီးက နှစ်စဉ် အခွန်ဘဏ္ဍာ ဆင်ကြီး မြင်းကြီး ဆက်သပါတော့မည်ဟု စာရေး၍ လူစေလွှတ်မည်၊ ယင်းသောအခါ မြန်မာဗိုလ်မှူးတို့ ရံတပ်ကို ရုပ်သိမ်း၍ရှိလျှင် ကျွန်တော်တို့ ကြံကြိုက်ရာ ကြံမည်ဟု လျှောက်သည်ကို ယိုးဒယားမင်း စသော မင်းညီ မင်းသား မှူးမတ် ဗိုလ်မှူးတပ်မှူး အပေါင်းတို့ အကြိုက်ညီကြ၍ မြန်မာ ဗိုလ်မှူးတို့သို့ ပေးရန် စာကို စီကုံးကြသည်ကား- “အယုဇ္ဈတိုင်း ဒွါရာဝတီပြည်ကြီးကို အစိုးရတော်မူသော ဆင်ဖြူ၊ ဆင်နီ ဆင်ကျားများသခင် ဘုရင် မင်းတရားဝယ် မှုခင်းရေးရာ အဖြာဖြာကို လိမ္မာခွဲခြမ်းနိုင်သော အမတ်ကြီးဗညားကို ဗြမုန္ဒရီတို့ မှာလိုက်သည်၊ ရတနာပူရ အဝရွှေပြည်တော်ကြီးနှင့်တကွ ထီးဆောင်းမင်းအပေါင်းတို့ကို အစိုးရတော်မူသော ပတ္တမြားတွင်း, ရွှေတွင်း, ငွေတွင်း, ပယင်းတွင်းစ သော ဆင်ဖြူ ဆင်နီ ဆင်ကျားများသခင် အသျှင် ဘဝရှင် မင်းတရားကြီးဘုရား အမိန့်တော်ကို ဦးထိပ်ရွက်ဆင်၍ ချီလှာရသော ပညာ, ဝီရိယ, သူရသတ္တိ စသော အားနှင့်ပြည့်စုံသော အဝ ဗိုလ်မင်းများတို့... ယိုးဒယားပြည်ကြီးနှင့် အဝပြည်ကြီးသည် ဘေးလောင်းတော် ဘိုးလောင်းတော်တို့ လက်ထက်က စ၍ စစ်မက်မရှိ ရွှေတစ်ပြားတည်းကဲ့သို့ ငြိမ်သက် ချမ်းသာစွာ ဆင်ကြီး မြင်းကြီး စသော ပဏ္ဏာလက်ဆောင်တော် ဆက်သ၍ သံတမန်မပြတ် စေပါ ရောက်ပေါက်ရှိသည်ကို မွန်လူမျိုးတို့ သစ္စာတော်ကိုဖောက်၍ ပုန်ကန် ခြားနား သောကြောင့် ရွှေဘဝါးတော်အောက် မဆက်မရောက် ရှိပါသည်၊ ရှေးထုံးစံ ရှိသည့်အတိုင်း ဆင်ကြီးမြင်းကြီး စသော လက်ဆောင်တော်များကို ဆက်သမြဲအတိုင်း ဆက်သပါမည်” ဟု စီကုံးရေးသားပြီးလျှင် ယိုးဒယား လေးယောက်ကို အဝတ်ဖြူဝတ်စေ၍ အရံမြို့တော်သို့ ထွက်လှာရ၏၊ ဗိုလ်မှူးတပ်မှူးတို့လည်း ထွက်လာသည့် ယိုးဒယားလေးယောက်ကို ဒဝယ်ကြောင်း ဗိုလ်ချုပ်မဟာနော်ရထာတပ်သို့ ပို့၍ စာကို မြန်မာဘာသာ ပြန်စေသည်။</t>
  </si>
  <si>
    <t xml:space="preserve">At that time, the King of Ayutthaya summoned the princes, ministers, commanders, and leaders and spoke as follows: 'Now the Burmese commanders and leaders have built many brick forts, and by connecting the forts from one to another, they are firmly established and entrenched. They have completely seized the seed grain and provisions that were in the outer villages and have fully stocked them in the siege forts, so there is no sign that they will dismantle the siege even if ten years pass. How should we plan to make the Burmese troops withdraw?' When he said this, Minister Banya Kurat submitted: 'Because the Burmese have marched in two armies—the Dawei route and the Chiang Mai route—and our great cities and towns could not withstand them and have been destroyed, the fact that they have approached as far as the capital and are surrounding it by building solid brick forts is only the work of the commanders and leaders. If the Burmese King himself were to march here later, we would not be able to withstand him. Even now, food is scarce, and the people inside the city are very weak. The Burmese have also fully stocked the siege forts with seed grain and provisions. Furthermore, they are transporting and processing seed grain from the villages they can reach, and after replenishing their elephant, cavalry, and infantry troops, there is no sign that they will return until they have taken our city. Because of this, we should write a letter and send envoys to the Burmese King saying that the great kingdom of Dvaravati will annually offer tribute, great elephants, and great horses. When that happens, if the Burmese commanders withdraw their siege forts, we will plan what we wish to plan.' The King of Ayutthaya, the princes, ministers, commanders, and leaders all agreed, and they composed a letter to be given to the Burmese commanders: 'The Minister Banya and Brahmundari, who are able to skillfully analyze various affairs for the King, the Lord of White, Red, and Striped Elephants, who rules over the great kingdom of Dvaravati of the Ayutthaya region, send this message. To the Ava commanders, who are filled with wisdom, perseverance, and courage, and who have marched here carrying out the orders of the great Lord of Life, the King, the Lord of White, Red, and Striped Elephants, who possesses ruby mines, gold mines, silver mines, and amber mines, and who rules over the great golden capital of Ratanapura-Ava and all the crowned kings... The great kingdom of Ayutthaya and the great kingdom of Ava, since the time of our great-grandfathers and grandfathers, have had no warfare and have been peaceful and happy like a single gold coin, and we have continuously sent envoys and offered tribute such as great elephants and great horses; however, because the Mon people broke their oath and rebelled, [the tribute] has not reached under the royal feet. We will offer the tribute, such as great elephants and great horses, as we have done according to ancient custom.' After composing and writing this, they had four Ayutthayans wear white clothes and go out to the siege fort. The commanders and leaders sent the four Ayutthayans who came out to the camp of General Maha Nawrahta of the Dawei-bound army and had the letter translated into Burmese.</t>
  </si>
  <si>
    <t xml:space="preserve">vol1_s002624_t02_f19f79a2cdb7</t>
  </si>
  <si>
    <t xml:space="preserve">APPROPRIATED_RESOURCES</t>
  </si>
  <si>
    <t xml:space="preserve">Ayutthaya_outer_villages</t>
  </si>
  <si>
    <t xml:space="preserve">vol1_s002624_t03_2a7ebb5aacdc</t>
  </si>
  <si>
    <t xml:space="preserve">Ayutthaya_King</t>
  </si>
  <si>
    <t xml:space="preserve">CONSULTED</t>
  </si>
  <si>
    <t xml:space="preserve">Ayutthaya_elite_council</t>
  </si>
  <si>
    <t xml:space="preserve">vol1_s002624_t04_8a219a15b765</t>
  </si>
  <si>
    <t xml:space="preserve">Minister_Banya_Kurat</t>
  </si>
  <si>
    <t xml:space="preserve">ADVISED_SUBMISSION</t>
  </si>
  <si>
    <t xml:space="preserve">vol1_s002624_t05_dc174e383c11</t>
  </si>
  <si>
    <t xml:space="preserve">PROPOSED_RESUMPTION_OF_TRIBUTE</t>
  </si>
  <si>
    <t xml:space="preserve">Burmese_King</t>
  </si>
  <si>
    <t xml:space="preserve">vol1_s002624_t06_5fa7020fa96f</t>
  </si>
  <si>
    <t xml:space="preserve">SENT_ENVOYS</t>
  </si>
  <si>
    <t xml:space="preserve">vol1_s002624_t07_32325a8560b1</t>
  </si>
  <si>
    <t xml:space="preserve">FORWARDED_LETTER_FOR_TRANSLATION</t>
  </si>
  <si>
    <t xml:space="preserve">General_Maha_Nawrahta</t>
  </si>
  <si>
    <t xml:space="preserve">vol1_s002675</t>
  </si>
  <si>
    <t xml:space="preserve">vol1_s002675_t01_3d5fa9f49b9b</t>
  </si>
  <si>
    <t xml:space="preserve">Konbaung_forces</t>
  </si>
  <si>
    <t xml:space="preserve">Chinese_war_materiel_and_prisoners</t>
  </si>
  <si>
    <t xml:space="preserve">ယင်းတွင်မှ တရုတ်တို့တပ်ဆိုသမျှ ဘရမ်းဘတာ အကွဲကွဲ ဆုတ်ပြေးကြလေသည်၊ တရုတ် တစ်သောင်းကျော် သေလေသည်၊ လက်နက်ဆင်မြင်း သုံ့ပန်းလူသူ ရလိုက်သည်လည်း များ၏။</t>
  </si>
  <si>
    <t xml:space="preserve">From that point on, all the Chinese troops scattered in disarray and fled; over ten thousand Chinese died, and a great many weapons, elephants, horses, prisoners, and people were captured.</t>
  </si>
  <si>
    <t xml:space="preserve">vol1_s002675_t02_6358ea50dd59</t>
  </si>
  <si>
    <t xml:space="preserve">Chinese_troops</t>
  </si>
  <si>
    <t xml:space="preserve">SUFFERED_CASUALTIES</t>
  </si>
  <si>
    <t xml:space="preserve">10000_deaths</t>
  </si>
  <si>
    <t xml:space="preserve">vol1_s002676</t>
  </si>
  <si>
    <t xml:space="preserve">vol1_s002676_t01_c3f94ac44800</t>
  </si>
  <si>
    <t xml:space="preserve">Royal_troops</t>
  </si>
  <si>
    <t xml:space="preserve">OCCUPIED</t>
  </si>
  <si>
    <t xml:space="preserve">Kengtung_city</t>
  </si>
  <si>
    <t xml:space="preserve">တပ်တော် များလည်း တရုတ်တို့ ဆုတ်ပြေးကြလေလျှင် စစ်ကို သိမ်း၍ ကျိုင်းတုံမြို့ မှာ ရပ်နေကြ၏။</t>
  </si>
  <si>
    <t xml:space="preserve">When the Chinese fled, the royal troops ceased fighting and remained in Kengtung city.</t>
  </si>
  <si>
    <t xml:space="preserve">vol1_s002677</t>
  </si>
  <si>
    <t xml:space="preserve">vol1_s002677_t01_3d6d12118493</t>
  </si>
  <si>
    <t xml:space="preserve">Sawbwas_and_local_elites</t>
  </si>
  <si>
    <t xml:space="preserve">PETITIONED</t>
  </si>
  <si>
    <t xml:space="preserve">Left_Wun_hmu</t>
  </si>
  <si>
    <t xml:space="preserve">ယင်းသောအခါ ကျိုင်းရုံးသေဉ်ဝီဘွား, လူးတစ်ဆဲ့နှစ်ပနား, မြို့စား ဒေါဘယားတို့ကလည်း ကျွန်တော်တို့ အရှင်ကို မထောင်မထားဝံ့ပါ၊ တရုတ်တပ်အများ ကျိုင်းရုံးမြို့ သို့ ရောက်၍ ဘိစီးသိမ်းရုံးလျှင် အင်အားမမျှ မငြင်းမဆန်ဝံ့၍ မျိုးရိက္ခာပေးရသည် ဖြစ်ပါသည်၊ ဆက်သမြဲ လက်ဆောင်တော်ကိုဆက်၍ အမှုတော်ကို ထမ်းရွက် ပါမည် အကြောင်းနှင့် ဗိုလ်ချုပ် လက်ဝဲဝင်းမှူးရှိရာ ကျိုင်းတုံမြို့ သို့ လာရောက်လျှောက်ထားလျှင် ကိုယ်တို့ ဆိုသည့် စကားအတိုင်း အမှုတော်ကို ဖြောင့်ဖြောင့်ရိုးရိုး ထမ်းရွက်မည် မှန်လျှင် ဘဝရှင် မင်းတရားကြီးဘုရားမှာ လျှောက် ထားရမည်ဟု ဗိုလ်ချုပ် ဝင်းမှူးက ဆို၏။</t>
  </si>
  <si>
    <t xml:space="preserve">At that time, the Sawbwas of Keng Hung and Hsenwi, the Lu-12-Panas, and the Myosa of Dawbaya came to Kengtung city, where the General, the Left Wun-hmu, was stationed, and submitted a petition saying, 'We dare not rebel against or oppose our Lord; when the large Chinese army arrived at Keng Hung city and occupied it, we were unable to resist due to insufficient strength and were forced to provide provisions; we will continue to offer the customary tributes and serve you,' to which the General, the Wun-hmu, replied that if they truly intended to serve honestly and straightforwardly as they claimed, they must submit their petition to the Lord of Life, the Great King.</t>
  </si>
  <si>
    <t xml:space="preserve">vol1_s002677_t02_04102711daa8</t>
  </si>
  <si>
    <t xml:space="preserve">PLEDGED_LOYALTY_AND_TRIBUTE</t>
  </si>
  <si>
    <t xml:space="preserve">Konbaung_King</t>
  </si>
  <si>
    <t xml:space="preserve">vol1_s002677_t03_0bed34af0361</t>
  </si>
  <si>
    <t xml:space="preserve">DIRECTED</t>
  </si>
  <si>
    <t xml:space="preserve">Sawbwas_and_local_elites_to_petition_King</t>
  </si>
  <si>
    <t xml:space="preserve">vol1_s002678</t>
  </si>
  <si>
    <t xml:space="preserve">vol1_s002678_t01_6cac6859f89d</t>
  </si>
  <si>
    <t xml:space="preserve">Messenger_Yè_Hla_nara</t>
  </si>
  <si>
    <t xml:space="preserve">REPORTED_VICTORY_TO</t>
  </si>
  <si>
    <t xml:space="preserve">ခြေရင်းတော်သို့လည်း ကျိုင်းတုံမြို့ ကိုရံသည့် တရုတ်တပ်ဆိုသမျှ အလုံးပျက်၍ ဆုတ်ခွာထွက်ပြေးကြောင်း၊ တရုတ်ဗိုလ်မှူး ရည်တာလောရဲကို သတ်လိုက်ရကြောင်းများနှင့် အလျှောက်အထား စေလွှတ်သူ ရဲလှနရာ, တပေါင်းလဆန်း တစ်ရက် နေ့ ရွှေစက်တော်အောက် ရောက်လာ သည်။</t>
  </si>
  <si>
    <t xml:space="preserve">The messenger sent to report to the royal feet, Yè Hla-nara, arrived under the Golden Footprint on the first day of the waxing moon of Tabaung, reporting that all the Chinese troops surrounding Kengtung city had been destroyed and had retreated in flight, and that the Chinese commander, Yè-ta-law-yè, had been killed.</t>
  </si>
  <si>
    <t xml:space="preserve">vol1_s002679</t>
  </si>
  <si>
    <t xml:space="preserve">vol1_s002679_t01_1d8915c29db3</t>
  </si>
  <si>
    <t xml:space="preserve">ORDERED_CONSOLIDATION_OF</t>
  </si>
  <si>
    <t xml:space="preserve">ဘဝရှင် မင်းတရားကြီးဘုရားလည်း လက်ဝဲဝင်းမှူးတို့က အလျှောက်အထားရောက်၍ ကြားတော်မူလျှင် ကျိုင်းတုံမြို့ ကို အနေအထားကျအောင် စီရင်ခဲ့ပြီးလျှင် လက်ဝဲဝင်းမှူးတို့တပ်စု ပြန်လာစေ ...အမိန့်တော်ရှိ၍ ကျိုင်းတုံမြို့ က ပြန်ခဲ့၍ သက္ကရာဇ် (၁၁၂၈) တစ်ထောင့်တစ်ရာ့ နှစ်ဆယ့်ရှစ်ခု ကဆုန်လဆန်းတစ်ရက်ခံ နေ့ လက်ဝဲဝင်းမှူးလည်း ခြေရင်းတော်သို့ရောက်လျှင် ကျိုင်းရုံးသေဉ်ဝီဘွား, လူးတစ်ဆဲ့နှစ်ပနား, မြို့စား ဒေါဘယားတို့ ထွက်ဆိုချက် အကြောင်းအရာမျိုးကို လျှောက်ထားလျှင် ကျိုင်းရုံးသေဉ်ဝီဘွားငယ်သည် လူရေးလူမှုနှင့် စကား ဆိုသည့်အရာသာ ဖြစ်သည်ဟု အမိန့်တော်ရှိ၏။</t>
  </si>
  <si>
    <t xml:space="preserve">When the Lord of Life, the Great King, heard the report from the Left Wun-hmu, he ordered that Kengtung city be settled in order and that the Left Wun-hmu's troops return; after returning from Kengtung city, on the first day of the waxing moon of Kason, 1128, when the Left Wun-hmu arrived at the royal feet and reported the statements of the Sawbwas of Keng Hung and Hsenwi, the Lu-12-Panas, and the Myosa of Dawbaya, the King ordered that the young Sawbwa of Keng Hung was merely speaking out of social obligation.</t>
  </si>
  <si>
    <t xml:space="preserve">vol1_s002679_t02_32016181f41f</t>
  </si>
  <si>
    <t xml:space="preserve">ORDERED_RECALL_OF</t>
  </si>
  <si>
    <t xml:space="preserve">Left_Wun_hmu_troops</t>
  </si>
  <si>
    <t xml:space="preserve">vol1_s002679_t03_e197de88f169</t>
  </si>
  <si>
    <t xml:space="preserve">DISMISSED_EXCUSE_OF</t>
  </si>
  <si>
    <t xml:space="preserve">Keng_Hung_Sawbwa</t>
  </si>
  <si>
    <t xml:space="preserve">vol1_s002680</t>
  </si>
  <si>
    <t xml:space="preserve">vol1_s002680_t01_7c76cf83eec6</t>
  </si>
  <si>
    <t xml:space="preserve">APPOINTED</t>
  </si>
  <si>
    <t xml:space="preserve">Bala_Minhtin</t>
  </si>
  <si>
    <t xml:space="preserve">ယင်းသောအခါ ဘဝရှင် မင်းတရားကြီးဘုရားလည်း တရုတ်တို့ အရေးအကြောင်းကို မြော်တင်းတော်မူ၍ ဗလမင်းထင်ကို ကောင်းတုံမြို့မှာ လက်နက်လူသူ မျိုးရိက္ခာသွင်း၍ အခိုင်နေစေ၏။</t>
  </si>
  <si>
    <t xml:space="preserve">At that time, the Lord of Life, the Great King, contemplating the Chinese situation, ordered Bala Minhtin to station himself securely in Kaungton city with weapons, men, and provisions.</t>
  </si>
  <si>
    <t xml:space="preserve">vol1_s002680_t02_618e3af0b170</t>
  </si>
  <si>
    <t xml:space="preserve">Kaungton_city</t>
  </si>
  <si>
    <t xml:space="preserve">vol1_s002680_t03_bc24962867eb</t>
  </si>
  <si>
    <t xml:space="preserve">COMMANDED_RESOURCES_AT</t>
  </si>
  <si>
    <t xml:space="preserve">vol1_s002681</t>
  </si>
  <si>
    <t xml:space="preserve">vol1_s002681_t01_9502f710d329</t>
  </si>
  <si>
    <t xml:space="preserve">ORDERED_PACIFICATION_OF</t>
  </si>
  <si>
    <t xml:space="preserve">57_districts_of_Chiang_Mai</t>
  </si>
  <si>
    <t xml:space="preserve">ဇင်းမယ် ၅၇-ခရိုင်သို့ စစ်သည် စေလွှတ်ခြင်း သက္ကရာဇ် (၁၁၂၈) တစ်ထောင့်တစ်ရာ့နှစ်ဆယ့်ရှစ်ခု သီတင်းကျွတ်လ? လူးတစ်ဆဲ့နှစ်ပနား စသော ဇင်းမယ် ငါးဆယ့်ခုနစ် ခရိုင် မငြိမ်မဝပ်သည်များကို သိမ်းရုံး၍ အနေအထားကျအောင် စည်းကြပ်ခဲ့ရမည်ဟု အမိန့်တော် ရှိပြီးလျှင် မဏိစက် တစ်တပ်၊ သိင်္ခပျံချီ တစ်တပ်၊ သမန္တရဲ တစ်တပ်၊ အဂ္ဂရဲ တစ်တပ်၊ စလေစား တစ်တပ်၊ နေမျိုးလက်ဝဲကျော်ခေါင် တစ်တပ်၊ နေမျိုးလက်ယာကျော်ခေါင် တစ်တပ်၊ ရွှေတောင် ဝေရကျော်ထင် တစ်တပ်၊ ခံတောဗိုလ်တုရင်သိပ္ပ တစ်တပ်၊ ကျော်ထင်တရဖျား တစ်တပ်၊ နေမျိုးနန္ဒမိတ် တစ်တပ်၊ သီရိတုရင် တစ်တပ်၊ မြစ်ခြေစား တစ်တပ်၊ နတ်စက်ကြီး တစ်တပ်၊ ပျံချီသူရ တစ်တပ်၊ ပြည်လုံးငြိမ်း တစ်တပ်၊ တုရင်သစ် တစ်တပ်၊ တောင်ဦးဗိုလ်တုရင်ဝဏ္ဏ တစ်တပ်၊ ပျံချီရဲခေါင်ကျော်ထင် တစ်တပ်၊ ဝန်ကြီးမဟာသီဟသူရ တပ်မနှင့်သော် တပ်ပေါင်း နှစ်ဆယ်တွင်ပါသည့် တိုက်ဆင်နှစ်ရာ, မြင်းနှစ်ထောင်, စစ်သည်သူရဲ နှစ်သောင်းကို မြောက်ဘက် မြင်းဝန်နှင့် ရှေ့ဝင်းမှူး တိမ်ကြားမင်းခေါင်တို့ကို စစ်ကဲ, ဝန်ကြီးမဟာသီဟသူရကို အချုပ်ခန့်တော်မူ၍ လူးတစ်ဆဲ့နှစ် ပနား စသော ဇင်းမယ် ငါးဆယ့်ခုနစ်ခရိုင်သို့ ချီစေ၏။</t>
  </si>
  <si>
    <t xml:space="preserve">Regarding the dispatch of troops to the 57 districts of Chiang Mai: In the month of Thadingyut, 1128, after ordering that the 57 districts of Chiang Mai, including the Lu-12-Panas, which were unstable, must be brought under control and settled in order, he appointed the following twenty units: the Mani-set unit, the Thinkha Pyan-chi unit, the Thamanta-yè unit, the Agga-yè unit, the Salin-za unit, the Nemyo-let-wè-kyaw-khaung unit, the Nemyo-let-ya-kyaw-khaung unit, the Shwetaung Wè-ya-kyaw-htin unit, the Khantaw-bo-tuyin-thippa unit, the Kyaw-htin-tara-phya unit, the Nemyo-nanda-meik unit, the Thiri-tuyin unit, the Myit-chè-za unit, the Nat-set-gyi unit, the Pyan-chi-thura unit, the Pyi-lon-nyeim unit, the Tuyin-thit unit, the Taung-u-bo-tuyin-wunna unit, the Pyan-chi-yè-khaung-kyaw-htin unit, and the Wungyi Maha Thihathura unit; with these twenty units, comprising 200 war elephants, 2,000 horses, and 20,000 soldiers, he placed the Northern Myin-wun and the Front Wun-hmu Tein-kyar-min-khaung as field commanders, and Wungyi Maha Thihathura as the supreme commander, and ordered them to march to the 57 districts of Chiang Mai, including the Lu-12-Panas.</t>
  </si>
  <si>
    <t xml:space="preserve">vol1_s002681_t02_fb4e36c25ad8</t>
  </si>
  <si>
    <t xml:space="preserve">APPOINTED_SUPREME_COMMANDER</t>
  </si>
  <si>
    <t xml:space="preserve">Wungyi_Maha_Thihathura</t>
  </si>
  <si>
    <t xml:space="preserve">vol1_s002681_t03_c189d818556b</t>
  </si>
  <si>
    <t xml:space="preserve">APPOINTED_FIELD_COMMANDERS</t>
  </si>
  <si>
    <t xml:space="preserve">Northern_Myin_wun_and_Tein_kyar_min_khaung</t>
  </si>
  <si>
    <t xml:space="preserve">vol1_s002681_t04_2fc55b3a7423</t>
  </si>
  <si>
    <t xml:space="preserve">20000_soldiers_and_materiel</t>
  </si>
  <si>
    <t xml:space="preserve">vol1_s002706</t>
  </si>
  <si>
    <t xml:space="preserve">vol1_s002706_t01_3ad942bcea4d</t>
  </si>
  <si>
    <t xml:space="preserve">Minister Mahasithu</t>
  </si>
  <si>
    <t xml:space="preserve">COORDINATED_MILITARY_ACTION_WITH</t>
  </si>
  <si>
    <t xml:space="preserve">Samantha Bo and Mekkhara Bo</t>
  </si>
  <si>
    <t xml:space="preserve">ဝန်ကြီးမဟာစည်သူလည်း လာလူတို့တွင် တပ်နှစ်ဘက်ညှပ်၍ တိုက်ရမည့် အကြောင်းအရာများကို အစေ့အစုံ နေ့ရက်ချိန်းချက် မှာထားလိုက်သည်နှင့် သမန်သာဗိုလ်, မက္ခရာဗိုလ်တို့ တစ်ဆယ့်နှစ်တပ်လည်း လီစောတောင်က ပြန်၍ချီလာပြီးလျှင် တရုတ်တို့ နံမြင်ချောင်းတစ်ဘက် ချနေသည့်တပ်မကို နောက်က စစ်နှစ်ကြောင်းခွဲ၍ တိုက်သည်၊ ဝန်ကြီး မဟာစည်သူတို့ တပ်မကလည်း ချောင်းကိုကူး၍ တိုက်သည်၊ တရုတ်ဗိုလ်မှူးတပ်မှူးတို့ စစ်နှစ်ဘက်ညှပ် ဖြစ်ချေ၍ ဆုတ်ခွာကြပြီးလျှင် လီစောတောင် အလွန်တွင် ခံပြန်သည်ကိုလည်း ဝန်ကြီးမဟာစည်သူ ကွပ်၍ တိုက် ပြန်သည်၊ မရပ်မခံနိုင် ပျက်၍ တရုတ်တစ်သိန်းကျော် စန္ဒားတိုင်အောင် ဆုတ်ခွာပြီးလျှင် တပ်ကြီးတပ်ခိုင် တည်လုပ် ရပ်နေပြန်လေသည်။</t>
  </si>
  <si>
    <t xml:space="preserve">Minister Mahasithu gave detailed instructions and set dates for the La people to attack by pinning the enemy between two forces; the twelve battalions of the Samantha Bo and Mekkhara Bo returned from Li Saw Mountain and attacked the Chinese division stationed on one side of the Nanmyin Stream by splitting into two columns from the rear, while Minister Mahasithu's division also crossed the stream to attack; the Chinese commanders and battalion leaders, being pinned between two forces, retreated and made a stand beyond Li Saw Mountain, but Minister Mahasithu directed the attack again; unable to stand or resist, they were defeated, and over one hundred thousand Chinese retreated as far as Sanda, where they established large, fortified camps and stopped.</t>
  </si>
  <si>
    <t xml:space="preserve">vol1_s002706_t02_892adca71e56</t>
  </si>
  <si>
    <t xml:space="preserve">ISSUED_OPERATIONAL_ORDERS_TO</t>
  </si>
  <si>
    <t xml:space="preserve">La people</t>
  </si>
  <si>
    <t xml:space="preserve">လာလူတို့ means the people/messengers who have come, not an ethnic or named group “La people.” The orders are real, but the recipient entity was incorrectly segmented or translated.</t>
  </si>
  <si>
    <t xml:space="preserve">Minister Mahasithu | SENT_OPERATIONAL_INSTRUCTIONS_WITH | arriving messengers</t>
  </si>
  <si>
    <t xml:space="preserve">vol1_s002706_t03_34f85813d2d9</t>
  </si>
  <si>
    <t xml:space="preserve">Burmese military forces</t>
  </si>
  <si>
    <t xml:space="preserve">Chinese forces</t>
  </si>
  <si>
    <t xml:space="preserve">vol1_s002707</t>
  </si>
  <si>
    <t xml:space="preserve">vol1_s002707_t01_08a6a00ad89c</t>
  </si>
  <si>
    <t xml:space="preserve">Minister Mahasithu's battalions</t>
  </si>
  <si>
    <t xml:space="preserve">REPLENISHED_RESOURCES_AT</t>
  </si>
  <si>
    <t xml:space="preserve">Mong Law</t>
  </si>
  <si>
    <t xml:space="preserve">ဝန်ကြီးမဟာစည်သူတို့ နှစ်ဆယ့်နှစ်တပ်လည်း မိုင်းလောတွင် ရပ်၍ ဆင်မြင်းလူသူ ဖြည့်တင်းနေ၏။</t>
  </si>
  <si>
    <t xml:space="preserve">Minister Mahasithu's twenty-two battalions also stopped at Mong Law and were replenishing their elephants, horses, and men.</t>
  </si>
  <si>
    <t xml:space="preserve">vol1_s002708</t>
  </si>
  <si>
    <t xml:space="preserve">vol1_s002708_t01_ecadee6c1716</t>
  </si>
  <si>
    <t xml:space="preserve">DELEGATED_MILITARY_COMMAND_TO</t>
  </si>
  <si>
    <t xml:space="preserve">Left Wing Commander</t>
  </si>
  <si>
    <t xml:space="preserve">ယင်းသောအခါ ဝန်ကြီးမဟာစည်သူ မခန့်မကျန်းကြောင်းကို ဘဝရှင် မင်းတရားကြီးဘုရား ကြားတော်မူ၍ ဝန်ကြီးမဟာစည်သူတို့ ရှေ့ချီ တပ်ပေါင်း နှစ်ဆယ့်နှစ်တပ်နှင့်တကွ လက်ဝဲဝင်းမှူး သိမ်းရုံးအုပ်ချုပ်၍ တရုတ်တို့ တပ်ဆိုသမျှ ပျက်အောင်တိုက်ပြီးလျှင် ဟိုသာ, လာသာ, မိုးနား, စန္ဒား, မိုင်းမော, စည်ခွင်, ကိုင်းမား, မိုးဝန်း, ရှမ်းရှစ်မြို့ကိုလည်း သိမ်းရုံး၍ အနေအထားကျအောင် စီရင်ခဲ့ရမည်၊ ဝန်ကြီးမဟာစည်သူမှာမူကား ခြေရင်းတော် သို့ ပြန်လာစေ အမိန့်တော် ရောက်သောကြောင့် လက်ဝဲဝင်းမှူး နေမျိုးစည်သူတို့ ဆယ်တပ်လည်း ဝန်ကြီး မဟာစည်သူရှိရာ မိုင်းလောသို့ ချီသည်၊ ပေါင်းဆုံမိကြလျှင် အမိန့်တော်အတိုင်း ခြေရင်းတော်သို့ ဝန်ကြီးမဟာစည်သူ ပြန်ခဲ့ရ၏။</t>
  </si>
  <si>
    <t xml:space="preserve">At that time, the Lord of Life, the Great King, heard that Minister Mahasithu was unwell, so he ordered the Left Wing Commander to take charge of the twenty-two battalions that were advancing ahead with Minister Mahasithu, to attack until all the Chinese forces were destroyed, and to also pacify and bring into order the eight Shan towns of Hotha, Latha, Mohnar, Sanda, Mongmao, Sikkhwin, Koimar, and Mowun; because an order arrived for Minister Mahasithu to return to the Royal Feet, the ten battalions of the Left Wing Commander Nemyosithu marched to Mong Law where Minister Mahasithu was, and once they had joined up, Minister Mahasithu had to return to the Royal Feet according to the royal order.</t>
  </si>
  <si>
    <t xml:space="preserve">vol1_s002708_t02_39038174850c</t>
  </si>
  <si>
    <t xml:space="preserve">TASKED_WITH_PACIFYING</t>
  </si>
  <si>
    <t xml:space="preserve">Shan Eight Towns</t>
  </si>
  <si>
    <t xml:space="preserve">vol1_s002708_t03_14c6cb8a07f1</t>
  </si>
  <si>
    <t xml:space="preserve">ORDERED_RETURN_OF</t>
  </si>
  <si>
    <t xml:space="preserve">vol1_s002708_t04_b7b45b55f5b7</t>
  </si>
  <si>
    <t xml:space="preserve">RETURNED_TO</t>
  </si>
  <si>
    <t xml:space="preserve">Royal Feet</t>
  </si>
  <si>
    <t xml:space="preserve">vol1_s002709</t>
  </si>
  <si>
    <t xml:space="preserve">vol1_s002709_t01_7809ef85ffd9</t>
  </si>
  <si>
    <t xml:space="preserve">ASSERTED_LOYALTY_TO</t>
  </si>
  <si>
    <t xml:space="preserve">Burmese King</t>
  </si>
  <si>
    <t xml:space="preserve">လက်ဝဲဝင်းမှူးလည်း စန္ဒားအရပ်တွင် တရုတ်တစ်သိန်းကျော်နှင့် စစ်သူကြီး ဆင်တာလောရဲ ခံနေသည် ကို ချီ၍တိုက်သည်၊ စစ်သူကြီး ဆင်တာလောရဲတို့လည်း ရှမ်းရှစ်မြို့တွင် မျိုးရိက္ခာ ရှာဖွေသည်ကို ရှမ်းရှစ်မြို့သား တို့က ငါတို့ မြန်မာမင်းကျွန် ဖြစ်သည်၊ မျိုးရိက္ခာ မထောက်မပေးဝံ့ဟု ဆိုကြ၍ မျိုးရိက္ခာ ရှာမရ၊ အစားအစာ ငတ်မွတ်လှသည်နှင့် တရုတ်စစ်သူကြီး ဆင်တာလောရဲတို့တပ်စု ဆုတ်ခွာကြလေလျှင် လက်ဝဲဝင်းမှူးတို့ တပ် ပေါင်း သုံးဆယ့်နှစ်တပ်လည်း မိုင်းဆည်တိုင်အောင် လိုက်ထပ်သည်၊ တရုတ်တို့လည်း အသေအပျောက် များလှ သောကြောင့် တရုတ်ပြည်တိုင်အောင် ဆုတ်ခွာကြလေသည်၊ မြင်း, လောလား, လက်နက်, သုံ့ပန်းလူသူ အများ ရလိုက်၏။</t>
  </si>
  <si>
    <t xml:space="preserve">The Left Wing Commander marched to attack the over one hundred thousand Chinese and the general Sinta Lawye who were making a stand in the Sanda area; when the general Sinta Lawye and his men searched for provisions in the eight Shan towns, the people of the eight Shan towns said, 'We are subjects of the Burmese King, we dare not support or provide provisions,' and because they could not find provisions and were suffering greatly from hunger, the Chinese general Sinta Lawye's force retreated, and the thirty-two battalions of the Left Wing Commander pursued them as far as Mong Sae; because the Chinese had many deaths, they retreated as far as China, and many horses, mules, weapons, and prisoners of war were captured.</t>
  </si>
  <si>
    <t xml:space="preserve">vol1_s002709_t02_b5845d5713d6</t>
  </si>
  <si>
    <t xml:space="preserve">DENIED_PROVISIONS_TO</t>
  </si>
  <si>
    <t xml:space="preserve">Chinese General Sinta Lawye</t>
  </si>
  <si>
    <t xml:space="preserve">vol1_s002709_t03_4cb68f0141d7</t>
  </si>
  <si>
    <t xml:space="preserve">RETREATED_DUE_TO</t>
  </si>
  <si>
    <t xml:space="preserve">Resource scarcity</t>
  </si>
  <si>
    <t xml:space="preserve">vol1_s002709_t04_1da95086bf49</t>
  </si>
  <si>
    <t xml:space="preserve">CAPTURED_MILITARY_MATERIEL_AND_PRISONERS_FROM</t>
  </si>
  <si>
    <t xml:space="preserve">vol1_s002710</t>
  </si>
  <si>
    <t xml:space="preserve">vol1_s002710_t01_e579d88dbe12</t>
  </si>
  <si>
    <t xml:space="preserve">PACIFIED</t>
  </si>
  <si>
    <t xml:space="preserve">လက်ဝဲဝင်းမှူးတို့လည်း တရုတ်ဆိုသမျှ ဆုတ်ခွာထွက်ပြေးကြလေလျှင် ဟိုသာ, လာသာ, မိုးနား, စန္ဒား, မိုင်းမော, စည်ခွင်, ကိုင်းမား, မိုးဝန်း ရှမ်းရှစ်မြို့ မကျိုးမနွံ ရိုင်းပျံ့ ထောင်ထားသည်ကို လိုက်လံ သိမ်းရုံးပြီးလျှင် သိန်းနီမြို့ အရှေ့မြောက် တောင်ကြီးတွင် တရုတ်ငါးသောင်းကျော် ရပ်နေသည်ကို လူးတစ်ဆဲ့နှစ်ပနားကြောင်းက လှည့်၍ ချီလာသည့် ဝန်ကြီးမဟာသီဟသူရနှင့် လက်ဝဲဝင်းမှူးတို့ စစ်နှစ်ဘက်ညှပ် တိုက်ပြန်သည်၊ တရုတ် ငါးသောင်းကျော် မခံနိုင် ဆုတ်ပြေးလေသည်၊ အမြောက် စိန်ပြောင်း, သေနတ်, မြင်းလောလား, သုံ့ပန်းလူသူအများ ရသည်၊ တရုတ်တို့ သုံးစု တစ်စုခန့်သာ တရုတ်ပြည်တိုင်အောင် လွတ်ခွာနိုင်လေ၏။</t>
  </si>
  <si>
    <t xml:space="preserve">After all the Chinese had retreated and fled, the Left Wing Commander went around and pacified the eight Shan towns of Hotha, Latha, Mohnar, Sanda, Mongmao, Sikkhwin, Koimar, and Mowun, which had been rebellious and defiant; then, he and Minister Mahathihathura, who had marched by circling around from the Lu-12-Panar route, attacked the over fifty thousand Chinese who were stationed on the great mountain northeast of Theinni city by pinning them between two forces; the over fifty thousand Chinese could not resist and fled; many cannons, mortars, muskets, horses, mules, and prisoners of war were captured, and only about one-third of the Chinese were able to escape as far as China.</t>
  </si>
  <si>
    <t xml:space="preserve">vol1_s002710_t02_313a93557c11</t>
  </si>
  <si>
    <t xml:space="preserve">Left Wing Commander and Minister Mahathihathura</t>
  </si>
  <si>
    <t xml:space="preserve">COORDINATED_MILITARY_ACTION_AGAINST</t>
  </si>
  <si>
    <t xml:space="preserve">vol1_s002710_t03_aa2a263d25c7</t>
  </si>
  <si>
    <t xml:space="preserve">Burmese military</t>
  </si>
  <si>
    <t xml:space="preserve">vol1_s002711</t>
  </si>
  <si>
    <t xml:space="preserve">vol1_s002711_t01_4aa4b583ed4b</t>
  </si>
  <si>
    <t xml:space="preserve">DELIVERED_CAPTURED_RESOURCES_TO</t>
  </si>
  <si>
    <t xml:space="preserve">လက်ဝဲဝင်းတော်မှူးနှင့် ဝန်ကြီး မဟာသီဟသူရတို့လည်း အရေးတော် ပြီးပြေလျှင် ရလိုက်သည့် အမြောက်စိန်ပြောင်း, သေနတ်, မြင်း လောလား, သုံ့ပန်းလူသူတို့ကို သိမ်းရုံးဆောင်ယူခဲ့၍ ခြေရင်းတော်သို့ ပြန်လာကြသည်၊ သက္ကရာဇ် (၁၁၂၉) တစ်ထောင့်တစ်ရာ့ နှစ်ဆယ့်ကိုးခု ကဆုန်ပြည့်ကျော်ကိုးရက် တနင်္လာနေ့ ခြေရင်းတော်သို့ ရောက်လှာကြ၏။</t>
  </si>
  <si>
    <t xml:space="preserve">When the mission was completed, the Left Wing Commander and Minister Mahathihathura gathered and brought back the captured cannons, mortars, muskets, horses, mules, and prisoners of war and returned to the Royal Feet; they arrived at the Royal Feet on Monday, the 9th day after the full moon of Kason, in the year 1129.</t>
  </si>
  <si>
    <t xml:space="preserve">vol1_s002711_t02_6d08d5ef1969</t>
  </si>
  <si>
    <t xml:space="preserve">vol1_s002790</t>
  </si>
  <si>
    <t xml:space="preserve">vol1_s002790_t01_48f56a527ab7</t>
  </si>
  <si>
    <t xml:space="preserve">Maha Thiha Thura</t>
  </si>
  <si>
    <t xml:space="preserve">Qing generals</t>
  </si>
  <si>
    <t xml:space="preserve">နတ်တော်လဆန်း တစ်ဆယ့်လေးရက် နေ့ ကွေ့ စွေဗိုလ် တပ်တော်သို့ လာရောက်ပြန်သည်တွင် တရုတ် စစ်သူကြီးတို့သို့ မှာလိုက်သည့်စာကား-သေနာပတိ စစ်သူကြီး မဟာသီဟသူရ ကြားလိုက်ပါသည် တရုတ်စစ်သူကြီး အာကုန်ရဲ. သူကုန်ရဲ, ယွန်းကုန်ရဲတို့ -ငါတို့သခင် နေထွက်ဘုရင် အသျှင် ဘဝရှင်မင်းတရားကြီးဘုရားသည် မင်းတို့ကျင့်ရာသော တရားအပေါင်းတို့ကို အမြဲ ကျင့်ဆောင်တော်မူသည်ဖြစ်၍ တစ်တိုင်းတစ်နိုင်ငံ တစ်ထီး တစ်နန်းဖြစ်သော ဥဒည်မင်း တိုင်းလယ် ပြည်လယ်ကို မဆိုနှင့်ဦး တိုင်းစွန် ပြည်နားကိုမျှ ထိပါးမည်ကို အလိုတော်မရှိ၊ ဥဒည်မင်းမှာမူကား ငါတို့ ကျွန်တော်မျိုး ဗန်းမော်စော်ဘွားငယ်, သိန်းနီစော်ဘွားငယ်, ကျိုင်းတုံစော်ဘွားငယ်, မိုးကောင်းစော်ဘွားငယ်တို့ ပြည်ကြီးနှစ်ပြည်အကြား အလယ်တွင် ကုန်းချောသည့်စကားကို နာယူပြီးလျှင် လေးနှစ် တိုင်တိုင် အကြိမ်ကြိမ် စစ်ကြီးဆင်၍ တိုင်းနိုင်ငံတော်အတွင်း ချင်းနင်းပေါက်ရောက် လာမှားလေသောကြောင့် တရုတ်စစ်သူကြီး ဗိုလ်မှူး တပ်မှူး ပြုသူတို့နှင့်တကွ တရုတ်စစ်သည်အပေါင်းတို့ ဆုံးပါးပျက်စီး၍ ဆင်းရဲကြီးစွာ တွေ့ကြလေသည်၊ သုံးနှစ် လေးနှစ်ကို မဆိုထားဦး နှစ်တစ်ရာပင် တိုင်းနိုင်ငံတော်အတွင်း ချင်းနင်းပေါက်ရောက် လာချေသည်ရှိသော် သည်ကဲ့သို့ချည်း ဆင်းရဲတွေ့ ကြရလိမ့်မည် မချွတ်ဖြစ်သည်၊ စစ်သူကြီး သူကုန်ရဲ, အာကုန်ရဲ ယွန်းကုန်ရဲတို့က သည်အတိုင်းမှန်လျှင် ငါလည်း သေနာပတိ စစ်သူကြီးအရေးရှင် ဖြစ်လေပြီးသည်၊ နှစ်ပြည်ထောင် သတ္တဝါတို့ ချမ်းသာကို ဆောင်ရွက်လိုပါသည် ဆိုသည့်စကားကို မျက်နှာလွှဲသင့်သည် မဟုတ်ဟု သည်စာနှင့် တရုတ်ဗိုလ်မှူး ကွေ့ စွေဗိုလ်ကို တရုတ်တပ်သို့ ပြန်စေ၏။</t>
  </si>
  <si>
    <t xml:space="preserve">On the 14th day of the waxing moon of Natdaw, when Kwe Swe Bo came to the royal camp, the message sent to the Chinese generals was: The Commander-in-Chief General Maha Thiha Thura conveys this message to the Chinese generals A-kun-ye, Thu-kun-ye, and Yun-kun-ye: Our master, the Sun-Rising King, the Lord of Life and Great King of Righteousness, always practices all the virtues that you ought to practice; therefore, he has no desire to encroach even upon the borders and outskirts of the kingdom of the Emperor of China, let alone the center of the country and the heart of the realm, which is a single nation under one throne. As for the Emperor of China, he listened to the slanderous words spoken in the middle between the two great countries by our subjects, the minor Sawbwas of Bhamo, Hsenwi, Kengtung, and Mogaung, and for four years he repeatedly waged great wars and invaded our kingdom, which was a mistake; because of this, the Chinese generals, commanders, and all the Chinese soldiers were destroyed and suffered great misery. Not to mention three or four years, even if [they] were to invade our kingdom for a hundred years, they would undoubtedly encounter such misery. If this is true, the generals Thu-kun-ye, A-kun-ye, and Yun-kun-ye [should say], 'I am also a Commander-in-Chief in charge of affairs, and it is not right to turn away from the words that [he] wishes to bring peace to the beings of both countries,' and with this letter, [he] sent the Chinese commander Kwe Swe Bo back to the Chinese camp.</t>
  </si>
  <si>
    <t xml:space="preserve">vol1_s002790_t02_53968372614d</t>
  </si>
  <si>
    <t xml:space="preserve">Konbaung King</t>
  </si>
  <si>
    <t xml:space="preserve">CLAIMS_LEGITIMACY_THROUGH</t>
  </si>
  <si>
    <t xml:space="preserve">Buddhist righteousness</t>
  </si>
  <si>
    <t xml:space="preserve">vol1_s002790_t03_c8285faa85f3</t>
  </si>
  <si>
    <t xml:space="preserve">Sawbwas of Bhamo, Hsenwi, Kengtung, and Mogaung</t>
  </si>
  <si>
    <t xml:space="preserve">PROVIDED_MISINFORMATION_TO</t>
  </si>
  <si>
    <t xml:space="preserve">Qing Emperor</t>
  </si>
  <si>
    <t xml:space="preserve">vol1_s002790_t04_295746f6ac29</t>
  </si>
  <si>
    <t xml:space="preserve">Burmese State</t>
  </si>
  <si>
    <t xml:space="preserve">WARNED_OF_DESTRUCTION_TO</t>
  </si>
  <si>
    <t xml:space="preserve">Qing forces</t>
  </si>
  <si>
    <t xml:space="preserve">vol1_s002791</t>
  </si>
  <si>
    <t xml:space="preserve">vol1_s002791_t01_64750b596f2c</t>
  </si>
  <si>
    <t xml:space="preserve">AUTHORIZED_NEGOTIATION_WITH</t>
  </si>
  <si>
    <t xml:space="preserve">တရုတ်စစ်သူကြီး သူကုန်ရဲ, အာကုန်ရဲ, ယွန်းကုန်ရဲတို့လည်း ကွေ့ စွေဗိုလ် ပြန်ရောက်၍ ဝန်ကြီးမဟာသီဟ သူရ ပေးမှာသည့်စာကို ဘာသာပြန်ဆို ကြားသိရ၍ အရေးရလျှင် စစ်သူကြီး ဗိုလ်မှူးတပ်မှူး အပေါင်းတို့ အညီအညွတ် စည်းဝေးပြောဆိုရမည်၊ နေ့ရက် အချိန်းအချက်ကို ကွေ့ စွေဗိုလ်ကို စေ၍ ၎င်းနေ့ ဝန်ကြီး မဟာသီဟသူရထံ တောင်းလာစေသည်၊ ဝန်ကြီး မဟာသီဟသူရလည်း နတ်တော်လဆန်း တစ်ဆယ့်ငါးရက်- နေ့ ကို အညီအညွတ် စည်းဝေးပြောဆိုမည်ဟု ကွေ့ စွေ ဗိုလ်တွင် ချိန်းချက်ပြောဆိုလိုက်၍ ကွေ့ စွေဗိုလ်ကို ပြန်စေပြီးလျှင် ကောင်းတုံမြို့ အရှေ့တောင်ထောင့်တွင် ကြီးကျယ်စွာ စကြောတဲဆောက်၍ စကားပြောဆိုကြမည် ချိန်းချက်သည်အတိုင်း (၁၁၃၁) တစ်ထောင့်တစ်ရာ့သုံးဆယ့်တစ်ခု၊ နတ်တော်လဆန်း တစ်ဆယ့်ငါးရက်- နေ့ စကားပြော တဲနေရာသို့ တက်နေ ကြရသည်။</t>
  </si>
  <si>
    <t xml:space="preserve">The Chinese generals Thu-kun-ye, A-kun-ye, and Yun-kun-ye, upon Kwe Swe Bo's return and hearing the translation of the letter sent by Minister Maha Thiha Thura, [decided that] if it is an important matter, all the generals and commanders must meet and discuss it unanimously; they sent Kwe Swe Bo to request the date and time from Minister Maha Thiha Thura for that day. Minister Maha Thiha Thura also sent word through Kwe Swe Bo that they would meet and discuss unanimously on the 15th day of the waxing moon of Natdaw, and after sending Kwe Swe Bo back, he had a large pavilion built in the southeast corner of Kaungton city, and as they had arranged to hold discussions, on the 15th day of the waxing moon of Natdaw, 1131, they went up to the pavilion for the discussion.</t>
  </si>
  <si>
    <t xml:space="preserve">vol1_s002791_t02_19c19f42a827</t>
  </si>
  <si>
    <t xml:space="preserve">Kwe Swe Bo</t>
  </si>
  <si>
    <t xml:space="preserve">ACTED_AS_INTERMEDIARY_FOR</t>
  </si>
  <si>
    <t xml:space="preserve">Diplomatic negotiations</t>
  </si>
  <si>
    <t xml:space="preserve">vol1_s002791_t03_96c7ee04afb8</t>
  </si>
  <si>
    <t xml:space="preserve">SCHEDULED_DIPLOMATIC_MEETING_WITH</t>
  </si>
  <si>
    <t xml:space="preserve">vol1_s002791_t04_ba3ed3c9e4fc</t>
  </si>
  <si>
    <t xml:space="preserve">CONSTRUCTED_DIPLOMATIC_SITE_AT</t>
  </si>
  <si>
    <t xml:space="preserve">Kaungton</t>
  </si>
  <si>
    <t xml:space="preserve">vol1_s002792</t>
  </si>
  <si>
    <t xml:space="preserve">vol1_s002792_t01_616c609e36bb</t>
  </si>
  <si>
    <t xml:space="preserve">POSSESSES_TITLE</t>
  </si>
  <si>
    <t xml:space="preserve">Lord of Life</t>
  </si>
  <si>
    <t xml:space="preserve">အထူးထူးသော တိုင်းကြီး ပြည်ကြီး ထီးဆောင်းမင်းများသခင်၊ ရွှေတွင်း, ငွေတွင်း, ပတ္တမြားတွင်း, ပယင်းတွင်း စသော ရတနာအပေါင်းတို့၏ အရှင်၊ စတုတ္ထ ရတနာပူရ မြို့တည်နန်းတည်၊ ဆဒ္ဒန်ဆင်မင်းသခင်၊ ဆင်ဖြူများသခင် အသျှင် ဘဝရှင် မင်းတရားကြီးဘုရား လက်ထက်တော် (၁၁၉၁) တစ်ထောင့်တစ်ရာ့ကိုးဆယ့်တစ်ခု၊ နယုန်လဆန်း တစ်ရက်နေ့က စ၍ ရဟန်းပညာရှိ, ပုဏ္ဏားပညာရှိ မှူးမတ်ပညာရှိတို့နှင့်၊ အထူးထူးသော ရတနာတို့ဖြင့် ဆန်းကြယ်သော မှန်နန်းတော် ဆောင်တော်ဦး နန်းမစန၌ နှိုင်းညှိ၍ အသင့် ယုတ္တိကျမ်းဂန် အာဂုံများနှင့်အညီ သုတ်သင် စီရင်တော်မူသော ဒုတိယ မဟာရာဇဝင်တော်ကြီး၊ စတုတ္ထထုပ်၊ အဋ္ဌမတွဲ (၄/၈) ဤတွင်ရွေ့ ပြီး၏။</t>
  </si>
  <si>
    <t xml:space="preserve">Under the reign of the Lord of Life, the Great King, lord of the various great countries and umbrella-bearing kings, lord of all treasures such as the gold, silver, ruby, and amber mines, founder of the city and palace of the Fourth Ratanapura, lord of the Chaddanta elephant king and lord of white elephants, beginning on the first waxing day of Nayon in Myanmar year 1191, learned monks, learned Brahmans, and learned ministers compared sources in the Nanmasanu pavilion at the front of the jewel-adorned Glass Palace and revised and compiled the work in accordance with appropriate reasoning, treatises, and received traditions; here ends the second Maha Yazawin, fourth fascicle, eighth section (4/8).</t>
  </si>
  <si>
    <t xml:space="preserve">vol1_s002792_t02_f3caff015438</t>
  </si>
  <si>
    <t xml:space="preserve">Lord of the Chaddanta elephant king</t>
  </si>
  <si>
    <t xml:space="preserve">vol1_s002792_t03_e7b6ca613a0b</t>
  </si>
  <si>
    <t xml:space="preserve">Lord of white elephants</t>
  </si>
  <si>
    <t xml:space="preserve">vol1_s002792_t04_54c709ed209d</t>
  </si>
  <si>
    <t xml:space="preserve">Lord of gold, silver, ruby, and amber mines</t>
  </si>
  <si>
    <t xml:space="preserve">vol1_s002792_t05_f8417bdb8dcc</t>
  </si>
  <si>
    <t xml:space="preserve">Learned monks, Brahmans, and ministers</t>
  </si>
  <si>
    <t xml:space="preserve">COMPILED_CHRONICLE_FOR</t>
  </si>
  <si>
    <t xml:space="preserve">vol1_s002792_t06_d43d06f3a998</t>
  </si>
  <si>
    <t xml:space="preserve">Glass Palace</t>
  </si>
  <si>
    <t xml:space="preserve">SERVED_AS_SITE_FOR</t>
  </si>
  <si>
    <t xml:space="preserve">Chronicle compilation</t>
  </si>
  <si>
    <t xml:space="preserve">vol1_s002818</t>
  </si>
  <si>
    <t xml:space="preserve">vol1_s002818_t01_0bf0a69e886b</t>
  </si>
  <si>
    <t xml:space="preserve">Kale Sawbwa</t>
  </si>
  <si>
    <t xml:space="preserve">EVADED</t>
  </si>
  <si>
    <t xml:space="preserve">The Burmese identifies the ruler/city/population as Kathè (Manipur), not Kale. This is a repeated named-place attribution error; the military action itself is supported.</t>
  </si>
  <si>
    <t xml:space="preserve">Use the Kathè/Manipur ruler, city, royal family, and resources, not Kale.</t>
  </si>
  <si>
    <t xml:space="preserve">ကသည်းစော်ဘွားလည်း ငါတို့က မြန်မာတို့ကို ဆီးကြိုတိုက်ရမည် ဟု အပေါက်ပေါက် အဝဝ ခန့်ထား ရပ်ခံစေသည့် တပ်စု မရပ်မခံနိုင် ပျက်၍ ရှိချေသည်၊ ယခု သည်တွင် ငါ ရပ်နေ၍ မြို့နှင့်ပင် ခံသော်လည်း မြန်မာတို့ ချီလာသည် အင်အားကြီးလှသည် ဆိုသည် ရပ်ခံနိုင်မည့်အဟန် မရှိချေ၊ အခိုက်အတန့်ကို မြန်မာတို့ မပေါက်မရောက်နိုင်သည့် အရပ်သို့ ရှောင်လွှဲနေမည်၊ မြန်မာတို့ ပြန်လေသည့်ကာလမှ ငါတို့မြို့ ကို နေမြဲနေပြန် မည်ဟု ဆို၍ ရုံးစုမိသမျှ ခြွေရံသင်းပင်း သားမယား ဆွေမျိုးပေါက်ဖော်တို့ကို ယူပြီးလျှင် မြို့ ကထွက်၍ တောအုံ တောင်ကမ်းကြီးရာ ခိုမှီနေလေ၏။</t>
  </si>
  <si>
    <t xml:space="preserve">The Sawbwa of Kale also said, 'We must intercept and fight the Burmese,' but the troop units he had stationed at various points and entrances were unable to hold their ground and were destroyed. 'Now, even if I stay here and defend the city, the Burmese are advancing with great force, and there is no way to hold them off. I will temporarily evade them to a place where the Burmese cannot reach, and when the Burmese return, I will return to live in our city as before,' he said, and after gathering all his followers, attendants, wives, children, and relatives, he left the city and took refuge in the deep forests and mountain ranges.</t>
  </si>
  <si>
    <t xml:space="preserve">vol1_s002818_t02_33825c3e4561</t>
  </si>
  <si>
    <t xml:space="preserve">ABANDONED</t>
  </si>
  <si>
    <t xml:space="preserve">Kale city</t>
  </si>
  <si>
    <t xml:space="preserve">vol1_s002818_t03_853faf6743c2</t>
  </si>
  <si>
    <t xml:space="preserve">TOOK_REFUGE_IN</t>
  </si>
  <si>
    <t xml:space="preserve">deep forests and mountain ranges</t>
  </si>
  <si>
    <t xml:space="preserve">vol1_s002818_t04_cea9a5a1b3c4</t>
  </si>
  <si>
    <t xml:space="preserve">GATHERED</t>
  </si>
  <si>
    <t xml:space="preserve">followers and family</t>
  </si>
  <si>
    <t xml:space="preserve">vol1_s002819</t>
  </si>
  <si>
    <t xml:space="preserve">vol1_s002819_t01_80e9ada3c7cc</t>
  </si>
  <si>
    <t xml:space="preserve">Minister Maha Thiha Thura</t>
  </si>
  <si>
    <t xml:space="preserve">ဝန်ကြီးမဟာသီဟသူရတို့လည်း ခံသမျှ ကသည်းတို့တပ်စုပျက်လျှင် ကသည်းမြို့တိုင်အောင်ချီ၍ ကသည်း တစ်မြို့လုံး လက်နက် ဆင်မြင်းလူသူတို့နှင့် မွေရင်မင်းသမီး, ထွန်ကော်မင်းသား, ဟဲဟော် စန္ဒရော်ကယ်တို့နှင့် တကွ တစ်မြို့လုံးကို သိမ်းယူ ပြန်ခဲ့သည်။</t>
  </si>
  <si>
    <t xml:space="preserve">Minister Maha Thiha Thura and his forces, upon the destruction of the Kale troop units that had been resisting, advanced as far as the city of Kale and seized the entire city, along with its weapons, elephants, horses, people, Princess Mway Yin, Prince Htun Kaw, and Hae Haw Sandar Raw Kae, and returned.</t>
  </si>
  <si>
    <t xml:space="preserve">vol1_s002819_t02_e410fd793121</t>
  </si>
  <si>
    <t xml:space="preserve">SEIZED</t>
  </si>
  <si>
    <t xml:space="preserve">Kale royal family</t>
  </si>
  <si>
    <t xml:space="preserve">vol1_s002819_t03_6f95336a795c</t>
  </si>
  <si>
    <t xml:space="preserve">Kale military resources</t>
  </si>
  <si>
    <t xml:space="preserve">vol1_s002820</t>
  </si>
  <si>
    <t xml:space="preserve">vol1_s002820_t01_90a14908d152</t>
  </si>
  <si>
    <t xml:space="preserve">CRITICIZED</t>
  </si>
  <si>
    <t xml:space="preserve">commanders' leniency toward Chinese forces</t>
  </si>
  <si>
    <t xml:space="preserve">ဝန်ကြီးမဟာသီဟသူရနှင့် ဗိုလ်မှူးတပ်မှူးတို့ ၎င်းတပေါင်းလပြည့်ကျော် တစ်ဆယ့်နှစ်ရက် နေ့ နေပြည်တော်သို့ ရောက်၍ ခြေတော်ဦးခိုက် နန်းတော်သို့ ဝင်မည်ဟု ရှေ့ရုံးတော်မှာ စည်းဝေးရပ်နေသည်ကို ဘဝရှင် မင်းတရားကြီးဘုရား ကြားတော်မူလျှင် အမိန့်တော်ရှိသည်ကား... သင်းတို့ ဗိုလ်မှူးတပ်မှူးတို့သည် တရုတ်စစ်သူကြီးတို့နှင့်တကွ တရုတ် ဗိုလ်မှူးတပ်မှူး, မြင်း ငါးသောင်း, လူ ငါးသိန်း ငါ့လက်တော်သို့ ရောက်လေပြီးမှ သင်းတို့ အသင့်အတင့် ကျင့်၍ တရုတ်တို့ကို တရုတ်ပြည်တိုင်အောင် လွှတ်လိုက် သည့် အရာသည် သင့်သလော၊ သင်းတို့ တစ်စုကို ငါ့တိုင်း ငါ့မြေ ငါ့ရေတွင် မနေစေနှင့်၊ ရေမြေခြားရာ အရပ်သို့ ပို့လေ အမိန့်တော်ရှိသည်၊ အမိန့်တော်ကို နာခံတော် ပြော့ကြီးမှူး ပြန်သည်၊ ဝန်ထောက်တော်တို့က အမိန့်တော်အတိုင်း ဗိုလ်မှူး တပ်မှူး အပေါင်းတို့ကို ပို့မည့်အကြောင်းနှင့် ဝန်ကြီးမဟာစည်သူ, ဝန်ကြီး မဟာဇေယ ဥတ္တမသင်္ကြံတို့ကို အစီရင်ခံသည်တွင် ဗိုလ်မှူးတပ်မှူးတို့ကို အမိန့်တော်အတိုင်း ရေမြေခြားရာ မြစ်ငယ် အရှေ့ဘက်သို့ ပို့၍နေစေ ဆင့်ဆိုသောကြောင့် ဝန်ကြီးမဟာသီဟသူ ရနှင့် ဗိုလ်မှူးတပ်မှူးတို့ကို မြစ်ငယ်အရှေ့ဘက် ကြက်ယက် လယ်ပြင်သို့ ပို့ထားနေကြရ၏။</t>
  </si>
  <si>
    <t xml:space="preserve">When Minister Maha Thiha Thura and the commanders arrived at the capital on the twelfth day after the full moon of Tabaung and were waiting in the front court to pay homage and enter the palace, the Lord of Life, the Great King, heard of it and gave the order: 'You commanders, after the Chinese generals, along with the Chinese commanders, fifty thousand horses, and five hundred thousand men, had fallen into my hands, was it appropriate for you to act leniently and let the Chinese go back to China? Do not let this group of yours stay in my country, my land, and my water; send them to a place across the waters and lands,' he ordered. The order was obeyed, and the high-ranking officials returned. When the Wundauks reported to Minister Maha Sithu and Minister Maha Zeya Uttama Thinkhaya that they would send all the commanders according to the order, they were instructed to send the commanders to the east of the Myitnge River, a land across the waters, to reside there; therefore, Minister Maha Thiha Thura and the commanders were sent to stay in the Kyetyet plains east of the Myitnge River.</t>
  </si>
  <si>
    <t xml:space="preserve">vol1_s002820_t02_152b0243c33e</t>
  </si>
  <si>
    <t xml:space="preserve">ORDERED_EXILE_OF</t>
  </si>
  <si>
    <t xml:space="preserve">commanders</t>
  </si>
  <si>
    <t xml:space="preserve">vol1_s002820_t03_9cf512a42fc3</t>
  </si>
  <si>
    <t xml:space="preserve">Commanders</t>
  </si>
  <si>
    <t xml:space="preserve">SENT_TO_EXILE_IN</t>
  </si>
  <si>
    <t xml:space="preserve">Kyetyet plains east of Myitnge River</t>
  </si>
  <si>
    <t xml:space="preserve">vol1_s002821</t>
  </si>
  <si>
    <t xml:space="preserve">vol1_s002821_t01_884313ed87fb</t>
  </si>
  <si>
    <t xml:space="preserve">Maha Raza Thinkhaya and Thiri Uttama Zeya Thinkhaya</t>
  </si>
  <si>
    <t xml:space="preserve">INTERCEDED_FOR</t>
  </si>
  <si>
    <t xml:space="preserve">ယင်းသောအခါ မင်းတိုင်ပင်အမတ် မဟာရာဇသင်္ကြံ, သီရိဥတ္တမဇေယသင်္ကြံတို့က လျှောက်သည်ကား ကျွန်တော် ဝန်ကြီးမဟာသီဟသူရနှင့် ဗိုလ်မှူးတပ်မှူး အပေါင်းတို့သည် ရန်သူတော်နှင့်တွေ့လျှင် ကြောက်ရွံ့ခြင်းမရှိ၊ သိန်းစွန်ရဲဖြစ်သော ငှက်သည် မြုံတွင်ပေါက်စဖြစ်သော ကြက်ငယ်ကို စိစိကြပ်ကြပ် ဖမ်းယူဘိသကဲ့သို့ ဦးလည်မသုန် ရွပ်ရွပ်ချွံချွံ လုပ်ကြံလေ့ရှိကြသောကြောင့် ခန့်တော်မူသမျှ အရေးလည်း ပြီးစီးအောင်မြင်လေသည်၊ လက်ရုံးရည်မူကား ဆိုဘွယ်ရာ မရှိ၊ နှလုံးရည်မူကား လုပ်ရေးကြံရေး အလွန်များလှသောကြောင့် သည်တစ်ကြိမ် သတိလစ်ချေ၍ ရာဇဝတ်တော်နှင့် မကင်းရှိသည်ကို သမ္မာသမ္ဗောဓိဆုမြတ်ကို ပန်ဆင်တော်မူသည့် အရှင်ဖြစ်၍ ချမ်းသာပေး တော်မူမည့် အကြောင်းနှင့် လျှောက်သည်တွင် အမျက်တော်ရှိ၍ မဟာရာဇသင်္ကြံ, သီရိဥတ္တမဇေယသင်္ကြံတို့ နှစ်ယောက်ကိုလည်း သင်းတို့ ဗိုက်မှူးတပ်မှူး အပေါင်းတို့နှင့်အတူ ပို့လေဟု ဘဝရှင် မင်းတရားကြီးဘုရား အမိန့်တော် ရှိ၍ မဟာရာဇသင်္ကြ, သီရိဥတ္တမဇေယသင်္ကြံတို့ကိုလည်း သင်းတို့ ဗိုလ်မှူးတပ်မှူးတို့နှင့်အတူ ပို့ထားနေစေသည်၊ နောက်တစ်လခန့် ရှိမှ ဝန်ကြီးမဟာသီဟသူရနှင့် ဗိုလ်မှူးတပ်မှူး အပေါင်းတို့ကို အမျက်တော် ပြေတော်မူ၍ ချမ်းသာပေးတော်မူ၏။</t>
  </si>
  <si>
    <t xml:space="preserve">At that time, the royal advisors Maha Raza Thinkhaya and Thiri Uttama Zeya Thinkhaya submitted: 'Your servant, Minister Maha Thiha Thura, and all the commanders do not feel fear when they meet the enemy. Just as a hawk, a bird of prey, seizes a small chick born in a coop with precision, they are accustomed to attacking with unwavering determination and courage, which is why all the tasks entrusted to them have been completed successfully. As for their physical prowess, there is nothing to be said; as for their mental prowess, because their tasks and plans were so numerous, they were careless this one time and are not free from royal offense. Since you are a Lord who aspires to the noble Sammasambuddha enlightenment, we submit that you grant them mercy.' Upon this submission, the Lord of Life, the Great King, was angered and ordered, 'Send the two, Maha Raza Thinkhaya and Thiri Uttama Zeya Thinkhaya, along with all your commanders,' and had Maha Raza Thinkhaya and Thiri Uttama Zeya Thinkhaya sent away to stay with the commanders. About a month later, the anger of the Lord of Life, the Great King, abated, and he granted mercy to Minister Maha Thiha Thura and all the commanders.</t>
  </si>
  <si>
    <t xml:space="preserve">vol1_s002821_t02_110a15c72080</t>
  </si>
  <si>
    <t xml:space="preserve">PUNISHED</t>
  </si>
  <si>
    <t xml:space="preserve">vol1_s002821_t03_541505def8e2</t>
  </si>
  <si>
    <t xml:space="preserve">GRANTED_AMNESTY_TO</t>
  </si>
  <si>
    <t xml:space="preserve">commanders and ministers</t>
  </si>
  <si>
    <t xml:space="preserve">vol1_s002822</t>
  </si>
  <si>
    <t xml:space="preserve">vol1_s002822_t01_cd851e229645</t>
  </si>
  <si>
    <t xml:space="preserve">Kue Swe Bo</t>
  </si>
  <si>
    <t xml:space="preserve">REPORTED_AGREEMENT_TO</t>
  </si>
  <si>
    <t xml:space="preserve">Uday King</t>
  </si>
  <si>
    <t xml:space="preserve">ထိုနှစ် တရုတ်ပြည်မှာလည်း (၁၁၃၁) တစ်ထောင့်တစ်ရာ့ သုံးဆယ့်တစ်ခု နတ်တော်လJ ကောင်းတုံမြို့တွင် တရုတ်စစ်သူကြီးတို့နှင့် စကားပြေပြောကြသည့်နောက် တရုတ်ဗိုလ်ချုပ် သူကုန်ရဲ, အာကုန်ရဲ တို့နှင့် ဗိုလ်မှူး ကွေ့ စွေဗိုလ်တို့ ပြန်သွား၍ ဥဒည်ပြည်သို့ ရောက်လျှင် ဥဒည်မင်းမှာ ကောင်းတုံတပ်တော်တွင် ပြေသည့်အတိုင်း နေထွက်ဘုရင် ကျွန်တော်မျိုးဖြစ်သော သိန်းနီစော်ဘွား, ဗန်းမော်စော်ဘွား, မိုးကောင်းစော်ဘွားတို့ကို သိန်းနီမြို့ ရောက် ပေးအပ်ရမည်၊ (နှစ်ဆယ့်ခုနစ်ခု၊ နှစ်ဆယ့်ရှစ်ခု၊ နှစ်ဆယ့်ကိုးခု၊ သုံးဆယ့်တစ်ခု)” စစ်ပြိုင်ကြသည့်ကာလ အဝသို့ ပါလေသည့် တရုတ်ဗိုလ်မှူးတို့ကိုလည်း ပေးအပ်ရမည်၊ ဆယ်နှစ်အတွင်း ပြည်ကြီးနှစ်ပြည် သံတမန် စေပါ ရောက်ပေါက်ကြရမည်၊ အကြောင်းသုံးချက်နှင့် ပြေနေ၍ နှစ်ဦးပင် ဆင်မြင်းဗိုလ်ခြေများကို သိမ်းနုတ်၍ ပြန်လည် ခဲ့ကြောင်း ကွေ့ စွေဗိုလ်မှူး ကျည်မင်းတီတူဟာ နှစ်တိုင်းနှစ်ပြည် အကျိုးနှစ်ပါးကို အသက်ကိုစွန့်၍ ဆောင်ရွက် ကြောင်းများနှင့် လျှောက်လျှင် ဥဒည်ဘွားလည်း ကွေ့ စွေဗိုလ်မှူး ကျည်မင်းတီတူဟာကို အလွန် အားရနှစ်သက်၍ မင်္ဂလာဗိုလ်ကြီး ခါတာရည်-ဟူသော အမည်နှင့် ကြီးကျယ်စွာ သူကောင်းပြုသည်။</t>
  </si>
  <si>
    <t xml:space="preserve">In that year, in China as well, in the year 1131, in the month of Natdaw, at Kaungton city, after speaking with the Chinese generals, the Chinese commanders Kue Swe Bo and others returned, and upon reaching the land of Uday, they reported to the Uday King that, as agreed at the Kaungton camp, the Sawbwas of Hsenwi, Bhamo, and Mohnyin, who were subjects of the King of the Rising Sun, must be handed over upon reaching Hsenwi city, and that the Chinese commanders who had been taken to Ava during the years of conflict (the 27th, 28th, 29th, and 31st years) must also be handed over, and that within twelve years, the two great countries must send envoys to each other. Because they had reached an agreement on these three points, both sides withdrew their elephants, horses, and troops and returned. When the commander Kue Swe Bo Kyin Min Ti Tu Ha reported that he had risked his life to carry out the interests of both countries, the Uday King was very pleased and satisfied with Kue Swe Bo Kyin Min Ti Tu Ha and honored him greatly with the title of 'Great Commander Khataryi'.</t>
  </si>
  <si>
    <t xml:space="preserve">vol1_s002822_t02_7e9abe430bc6</t>
  </si>
  <si>
    <t xml:space="preserve">DEMANDED_RETURN_OF</t>
  </si>
  <si>
    <t xml:space="preserve">Sawbwas of Hsenwi, Bhamo, and Mohnyin</t>
  </si>
  <si>
    <t xml:space="preserve">A mutual peace term requires returning Burmese-subordinate sawbwas to Hsenwi; this is not a demand by the Chinese emperor to receive them. The source also says Mogaung, not Mohnyin.</t>
  </si>
  <si>
    <t xml:space="preserve">Chinese side agrees to return the Hsenwi, Bhamo, and Mogaung sawbwas to Hsenwi under the peace terms.</t>
  </si>
  <si>
    <t xml:space="preserve">vol1_s002822_t03_1dacb7f01084</t>
  </si>
  <si>
    <t xml:space="preserve">Chinese prisoners</t>
  </si>
  <si>
    <t xml:space="preserve">Return of Chinese prisoners is a reported peace term; recasting it as a direct imperial demand adds a speech act not stated here.</t>
  </si>
  <si>
    <t xml:space="preserve">Peace agreement provides for return of Chinese prisoners.</t>
  </si>
  <si>
    <t xml:space="preserve">vol1_s002822_t04_4b257e7ec244</t>
  </si>
  <si>
    <t xml:space="preserve">MANDATED_DIPLOMATIC_EXCHANGE_WITH</t>
  </si>
  <si>
    <t xml:space="preserve">Konbaung Dynasty</t>
  </si>
  <si>
    <t xml:space="preserve">Diplomatic exchange is a mutual negotiated term reported to the emperor, not explicitly his unilateral mandate.</t>
  </si>
  <si>
    <t xml:space="preserve">The two sides agree to diplomatic exchanges.</t>
  </si>
  <si>
    <t xml:space="preserve">vol1_s002822_t05_2d5707455918</t>
  </si>
  <si>
    <t xml:space="preserve">BESTOWED_TITLE_ON</t>
  </si>
  <si>
    <t xml:space="preserve">vol1_s002822_t06_ada431ead10a</t>
  </si>
  <si>
    <t xml:space="preserve">Great Commander Khataryi</t>
  </si>
  <si>
    <t xml:space="preserve">The title grant is true. RECEIVED_TITLE_FROM_KING is accepted as a compound predicate with the title as object and grantor embedded in the relation.</t>
  </si>
  <si>
    <t xml:space="preserve">Kwe Swe Bo RECEIVED_TITLE Khataryi; retain emperor separately as grantor.</t>
  </si>
  <si>
    <t xml:space="preserve">vol1_s002825</t>
  </si>
  <si>
    <t xml:space="preserve">vol1_s002825_t01_0645825dba94</t>
  </si>
  <si>
    <t xml:space="preserve">EXPRESSED_ROYAL_DISPLEASURE_TOWARDS</t>
  </si>
  <si>
    <t xml:space="preserve">Chinese envoys</t>
  </si>
  <si>
    <t xml:space="preserve">The furious ruler is explicitly the Chinese/Udi emperor, not Hsinbyushin; the targets are Chinese officials.</t>
  </si>
  <si>
    <t xml:space="preserve">Chinese emperor expresses anger at Hata Ye, Se Ta Ye, and the letter-writing officials.</t>
  </si>
  <si>
    <t xml:space="preserve">ပေးရင်း စက္ကူစာအရကို ဖတ်၍ ဥဒည်မင်း စေ့စုံစွာကြားလျှင် ပြင်းပြစွာ အမျက်ရှိ၍ ဟာတာရည်, ဆည်တာ ရည်နှင့် စာပေးရင်း တရက်အမတ် နှစ်ယောက်ကို လည်မှာ သံကြိုးနှင့်ယူစေသည်၊ ဟာတာရည်မှာ အနာပေါက် ၍ လမ်းတွင် သေလေသည်၊ ဆည်တာရည်နှင့် စာပေးရင်း တရက်အမတ် နှစ်ယောက်မှာ ဥဒည်ပြည်သို့ရောက်လျှင် ကြီးစွာသော ကွပ်မျက်ခြင်းဖြင့် ကွပ်မျက်လေသည်။</t>
  </si>
  <si>
    <t xml:space="preserve">Upon reading the original paper letter and hearing the details, the King of Ude was intensely angry and had the two Chinese ministers who brought the letter, Hataryi and Saetaryi, taken with iron chains around their necks; Hataryi developed a sore and died on the road, and when the two Chinese ministers, Saetaryi and the letter-bearer, reached the country of Ude, they were executed with great execution.</t>
  </si>
  <si>
    <t xml:space="preserve">vol1_s002825_t02_f2ab1e9217bb</t>
  </si>
  <si>
    <t xml:space="preserve">ORDERED_EXECUTION_OF</t>
  </si>
  <si>
    <t xml:space="preserve">The Chinese emperor, not Hsinbyushin, has the surviving officials executed; Hata Ye dies on the journey, not in the execution.</t>
  </si>
  <si>
    <t xml:space="preserve">Chinese emperor executes Se Ta Ye and two letter-writing officials; distinguish Hata Ye's death in transit.</t>
  </si>
  <si>
    <t xml:space="preserve">vol1_s002826</t>
  </si>
  <si>
    <t xml:space="preserve">vol1_s002826_t01_9c5924ac1e09</t>
  </si>
  <si>
    <t xml:space="preserve">Chinese merchants</t>
  </si>
  <si>
    <t xml:space="preserve">RESUMED_TRADE_IN</t>
  </si>
  <si>
    <t xml:space="preserve">Bhamo and Kaungton</t>
  </si>
  <si>
    <t xml:space="preserve">ထိုနှစ် သီတင်းကျွတ်လ တရုတ်ကုန်သည်တို့လည်း ဗန်းမော် ကောင်းတုံ စသော နိုင်ငံတော်များကို ဆင်းလှာကြသည်။</t>
  </si>
  <si>
    <t xml:space="preserve">In the month of Thadingyut of that year, Chinese merchants also descended to the states of Bhamo, Kaungton, and others.</t>
  </si>
  <si>
    <t xml:space="preserve">vol1_s002827</t>
  </si>
  <si>
    <t xml:space="preserve">vol1_s002827_t01_91136abaedca</t>
  </si>
  <si>
    <t xml:space="preserve">SPONSORED_CONSTRUCTION_OF</t>
  </si>
  <si>
    <t xml:space="preserve">Jetavana Monastery</t>
  </si>
  <si>
    <t xml:space="preserve">ဇေတဝန်ကျောင်းတော်နှင့် သုဓမ္မာစရပ် ဆောက်လုပ်ခြင်း ဆင်ဖြူရှင် ခံတော်မူခြင်းနှင့် မယ်တော် နတ်ရွာစံခြင်း ဘဝရှင် မင်းတရားကြီးဘုရားလည်း သက္ကရာဇ် (၁၁၃၂) တစ်ထောင့်တစ်ရာ့သုံးဆယ့်နှစ်ခု ကဆုန်လဆန်း နှစ်ရက် နေ့ စစ်ကိုင်း ကောင်းမှုတော် အရှေ့တွင် ကြက်သွန်ခင်း ဆရာတော်ကြီး သီတင်းသုံးနေရန် တောရ ဇေတဝန် ရွှေကျောင်း ဆောက်လုပ်တော်မူသည်၊ ရွှေနန်းတော်တောင် မာန်အောင်ရတနာ ဘုရားရှင်, ရတနာဘုံသာ ဘုရားရှင် များကိုလည်း ကောင်းမွန်အောင် ပြင်ဆင် လုပ်ဆောင်တော်မူသည်၊ မဟာရတနာပုံ ပိဋကတ်တိုက်များနှင့်တကွ နှမတော် မဟာမင်္ဂလာဒေဝီက ဆောက်လုပ်သည့် မာန်အောင်ရတနာ ဘုရားရှင်အတွင်း သုဓမ္မာရွှေစရပ် ပြာသာဒ် သုံးဆောင် လုပ်ဆောင်ပြီးပြေသည်ကို (၁၁၃၂) တစ်ထောင့်တစ်ရာ့သုံးဆယ့်နှစ်ခု နတ်တော်လဆန်း ငါးရက်J နေ့ အရညဝါသီပုဂ္ဂိုလ်, ဂါမ၀ါသီပုဂ္ဂိုလ်, အရိယာသင်္ဃာတော်တို့အား ပရိက္ခရာရှစ်ပါးနှင့်တကွ ရဟန်း အသုံး အဆောင်ကို များစွာလှူတော်မူ၍ ပွဲသဘင်ကြီးစွာ ခံတော်မူသည်။</t>
  </si>
  <si>
    <t xml:space="preserve">Regarding the construction of the Jetavana Monastery and the Sudhamma Zayat, the receiving of the White Elephant, and the passing of the Queen Mother, the Lord of Life, the Great King, in the year 1132, on the second day of the waxing moon of Kason, had the forest Jetavana Golden Monastery built to the east of the Kaunghmudaw Pagoda in Sagaing for the Great Onion-Field Sayadaw to reside in; he also had the Man-aung-ratana Buddha and the Ratana-bontha Buddha to the south of the Golden Palace renovated and improved; and upon the completion of the construction of the Sudhamma Golden Zayat and the three-tiered pavilion inside the Man-aung-ratana Buddha, which was built by his younger sister, the Maha Mangala Devi, along with the Maha Ratanabon Pitakat libraries, on the fifth day of the waxing moon of Natdaw in the year 1132, he donated many monastic requisites including the eight items to the forest-dwelling monks, village-dwelling monks, and noble Sangha, and held a great celebration.</t>
  </si>
  <si>
    <t xml:space="preserve">vol1_s002827_t02_a056add07bd7</t>
  </si>
  <si>
    <t xml:space="preserve">PATRONIZED</t>
  </si>
  <si>
    <t xml:space="preserve">Kyetthwun-khin Sayadaw</t>
  </si>
  <si>
    <t xml:space="preserve">vol1_s002827_t03_a0699694e441</t>
  </si>
  <si>
    <t xml:space="preserve">RENOVATED</t>
  </si>
  <si>
    <t xml:space="preserve">Man-aung-ratana Pagoda</t>
  </si>
  <si>
    <t xml:space="preserve">vol1_s002827_t04_676444dbaa82</t>
  </si>
  <si>
    <t xml:space="preserve">Ratana-bontha Pagoda</t>
  </si>
  <si>
    <t xml:space="preserve">vol1_s002827_t05_e381a313a45f</t>
  </si>
  <si>
    <t xml:space="preserve">CONSTRUCTED</t>
  </si>
  <si>
    <t xml:space="preserve">Sudhamma Zayat</t>
  </si>
  <si>
    <t xml:space="preserve">The three Sudhamma pavilions are explicitly attributed to the king's sister Maha Mingala Devi, not to the king.</t>
  </si>
  <si>
    <t xml:space="preserve">Maha Mingala Devi CONSTRUCTED the three Sudhamma pavilions.</t>
  </si>
  <si>
    <t xml:space="preserve">vol1_s002827_t06_6bf69915504a</t>
  </si>
  <si>
    <t xml:space="preserve">PERFORMED_MERIT_MAKING_CEREMONY_FOR</t>
  </si>
  <si>
    <t xml:space="preserve">Sangha</t>
  </si>
  <si>
    <t xml:space="preserve">vol1_s002828</t>
  </si>
  <si>
    <t xml:space="preserve">vol1_s002828_t01_4015c1fdfd09</t>
  </si>
  <si>
    <t xml:space="preserve">ACQUIRED_SYMBOL_OF_UNIVERSAL_MONARCHY</t>
  </si>
  <si>
    <t xml:space="preserve">White Elephant</t>
  </si>
  <si>
    <t xml:space="preserve">သက္ကရာဇ် (၁၁၃၂) တစ်ထောင့်တစ်ရာ့သုံးဆယ့်နှစ်ခု နယုန်လပြည့်ကျော် ဆယ်ရက် သောကြာနေ့ မကွေးမြို့ က ဆင်ဖြူ တော် ရောက်သည်ကို အခမ်းအနား ကြီးကျယ်စွာ စီရင်တော်မူ၍ ပွဲသဘင်ကြီးစွာ ခံတော်မူပြီးလျှင် ဝါဆိုလဆန်းခြောက်ရက်၊ သောကြာနေ့ နံနက် တစ်ချက်တီးကျော် သိဟ်လက်၊ တူတွင်စန်းနှင့် သောကြာ၊ ကြကဋ်တွင် အင်္ဂါ, စနေ၊ ပြိဿတွင် ဗုဒ္ဓဟူး၊ မကာရတွင် ကြာသပတေး၊ ဗြိစ္ဆာတွင် ရာဟု၊ နက္ခတ်ငါးလုံး သုံးပါဒ်၊ ခုနစ်ဗီဇနာ၊ သုံးပြန်၊ ကိုးခရာ၊ ကောင်းမြတ်သော မင်္ဂလာအခါတော်၌ ရတနာ ဆင်ဖြူတော်ကို ဆဒ္ဒန်ပြောင်ကျော်ဘွဲ့ - တပ်တော်မူ၍ သိမ်းတော်မူပြီးလျှင် ဆင်ဖြူရှင် ခံတော်မူသည်။</t>
  </si>
  <si>
    <t xml:space="preserve">In the year 1132, on the Friday, the tenth day after the full moon of Nayon, when the royal white elephant arrived from Magway, he arranged a grand ceremony and held a great celebration, and then on the sixth day of the waxing moon of Waso, a Friday, past the first hour of the morning, with the Sun in Leo, the Moon and Venus in Libra, Mars and Saturn in Cancer, Mercury in Taurus, Jupiter in Capricorn, and Rahu in Scorpio, at the auspicious time of five constellations, three padas, seven vijnanas, three cycles, and nine kharas, he bestowed the title of Saddan Pyaung Kyaw upon the royal white elephant, took possession of it, and received the title of Lord of the White Elephant.</t>
  </si>
  <si>
    <t xml:space="preserve">vol1_s002828_t02_5b30215c6816</t>
  </si>
  <si>
    <t xml:space="preserve">vol1_s002828_t03_950faa972e03</t>
  </si>
  <si>
    <t xml:space="preserve">Lord of the White Elephant</t>
  </si>
  <si>
    <t xml:space="preserve">vol1_s002861</t>
  </si>
  <si>
    <t xml:space="preserve">vol1_s002861_t01_a2d407dbc579</t>
  </si>
  <si>
    <t xml:space="preserve">OCCUPIED_RITUAL_VESSEL</t>
  </si>
  <si>
    <t xml:space="preserve">11-tiered Toe-figure barge</t>
  </si>
  <si>
    <t xml:space="preserve">စီးတော်မူသည့် ပြာသာဒ်ဘုံတစ်ဆယ့်တစ်ဆင့်ရှိသော တိုးရုပ် ရတနာရွှေဖောင့်တော်ကြီးကို ရွှေတက်လက်ပြည့်နှင့် ရွှေလှော်ကားရှစ်စင်း ငင်ရသည်။</t>
  </si>
  <si>
    <t xml:space="preserve">The great royal golden barge with a Toe figure, which has eleven tiers of spires and is used by the Lord of Life, is to be towed by eight full-crewed golden rowing boats.</t>
  </si>
  <si>
    <t xml:space="preserve">vol1_s002861_t02_6671ce0792fb</t>
  </si>
  <si>
    <t xml:space="preserve">COMMANDED_NAVAL_ESCORT</t>
  </si>
  <si>
    <t xml:space="preserve">8 golden rowing boats</t>
  </si>
  <si>
    <t xml:space="preserve">vol1_s002862</t>
  </si>
  <si>
    <t xml:space="preserve">vol1_s002862_t01_5dc132748779</t>
  </si>
  <si>
    <t xml:space="preserve">Siri Maha Ratana Devi</t>
  </si>
  <si>
    <t xml:space="preserve">7-tiered Toe-figure barge</t>
  </si>
  <si>
    <t xml:space="preserve">ယင်းနောက် နှမတော် သီရိမဟာရတနာဒေဝီ စီးတော်မူသည့် ပြာသာဒ်ဘုံခုနစ်ဆင့်ရှိသော တိုးရုပ်ရွှေဖောင်တော်ကို ရွှေလောင်း လက်ပြည့် ခြောက်စင်း ငင်ရသည်။</t>
  </si>
  <si>
    <t xml:space="preserve">Following that, the golden barge with a Toe figure, which has seven tiers of spires and is used by the younger sister, Siri Maha Ratana Devi, is to be towed by six full-crewed golden longboats.</t>
  </si>
  <si>
    <t xml:space="preserve">vol1_s002862_t02_a0043441fc3a</t>
  </si>
  <si>
    <t xml:space="preserve">6 golden longboats</t>
  </si>
  <si>
    <t xml:space="preserve">vol1_s002863</t>
  </si>
  <si>
    <t xml:space="preserve">vol1_s002863_t01_a4ad6648de85</t>
  </si>
  <si>
    <t xml:space="preserve">Siri Atula Maha Ratana Paduma Devi</t>
  </si>
  <si>
    <t xml:space="preserve">ယင်းနောက် သီရိအတုလမဟာရတနာ ပဒုမာဒေဝီ ရှင်မိဖုရားခေါင်ကြီး စီးတော်မူသည့် ပြာသာဒ်ဘုံ ခုနစ်ဆင့်ရှိသော တိုးရုပ် ရွှေဖောင်တော်ကို ရွှေလောင်းလက်ပြည့် ခြောက်စင်းငင်ရ သည်။</t>
  </si>
  <si>
    <t xml:space="preserve">Following that, the golden barge with a Toe figure, which has seven tiers of spires and is used by the Chief Queen, Siri Atula Maha Ratana Paduma Devi, is to be towed by six full-crewed golden longboats.</t>
  </si>
  <si>
    <t xml:space="preserve">vol1_s002863_t02_ee106fccb907</t>
  </si>
  <si>
    <t xml:space="preserve">vol1_s002864</t>
  </si>
  <si>
    <t xml:space="preserve">vol1_s002864_t01_923ea15160aa</t>
  </si>
  <si>
    <t xml:space="preserve">Pabhavati</t>
  </si>
  <si>
    <t xml:space="preserve">ယင်းနောက် သမီးတော် ပဘာဝတီ စီးတော်မူသည့် ပြာသာဒ်ဘုံ ခုနစ်ဆင့်ရှိသော တိုးရုပ်ရွှေဖောင်တော်ကို ရွှေလောင်း လက်ပြည့် ခြောက်စင်းငင်ရသည်။</t>
  </si>
  <si>
    <t xml:space="preserve">Following that, the golden barge with a Toe figure, which has seven tiers of spires and is used by the daughter, Pabhavati, is to be towed by six full-crewed golden longboats.</t>
  </si>
  <si>
    <t xml:space="preserve">vol1_s002864_t02_4333a3b1e24a</t>
  </si>
  <si>
    <t xml:space="preserve">vol1_s002865</t>
  </si>
  <si>
    <t xml:space="preserve">vol1_s002865_t01_43e10916384f</t>
  </si>
  <si>
    <t xml:space="preserve">Siri Sunanda Maha Mangala Canda Devi</t>
  </si>
  <si>
    <t xml:space="preserve">5-tiered Karawik barge</t>
  </si>
  <si>
    <t xml:space="preserve">ယင်းနောက် မြောက်နန်းရှင်မိဖုရား သီရိသုနန္ဒာ မဟာမင်္ဂလာ စန္ဒာဒေဝီ စီးတော်မူသည့် မုတ်ဘီးဒဝယ် ယွန်းငါးဆင့်ရှိသော ကရဝိက် ရွှေဖောင်တော်ကို ရွှေလောင်းလက်ပြည့် ခြောက်စင်းငင်ရသည်။</t>
  </si>
  <si>
    <t xml:space="preserve">Following that, the golden Karawik barge, which has five tiers of lacquerware on the prow and is used by the Northern Palace Chief Queen, Siri Sunanda Maha Mangala Canda Devi, is to be towed by six full-crewed golden longboats.</t>
  </si>
  <si>
    <t xml:space="preserve">vol1_s002865_t02_000ba5d7ce27</t>
  </si>
  <si>
    <t xml:space="preserve">vol1_s002867</t>
  </si>
  <si>
    <t xml:space="preserve">vol1_s002867_t01_a3cf9f028ced</t>
  </si>
  <si>
    <t xml:space="preserve">Siri Maha Canda Devi</t>
  </si>
  <si>
    <t xml:space="preserve">ယင်းနောက် အလယ်နန်းမိဖုရား သီရိမဟာစန္ဒာဒေဝီ စီးတော်မူသည့် မုတ်ဘီးဒဝယ် ယွန်းငါးဆင့်ရှိသော ကရဝိက်ရွှေဖောင်တော်ကို ရွှေလောင်းလက်ပြည့် ခြောက်စင်းငင်ရသည်။</t>
  </si>
  <si>
    <t xml:space="preserve">Following that, the golden Karawik barge, which has five tiers of lacquerware on the prow and is used by the Middle Palace Queen, Siri Maha Canda Devi, is to be towed by six full-crewed golden longboats.</t>
  </si>
  <si>
    <t xml:space="preserve">vol1_s002867_t02_6cca88959ff7</t>
  </si>
  <si>
    <t xml:space="preserve">vol1_s002868</t>
  </si>
  <si>
    <t xml:space="preserve">vol1_s002868_t01_bfa6a6975cfa</t>
  </si>
  <si>
    <t xml:space="preserve">Royal women</t>
  </si>
  <si>
    <t xml:space="preserve">Animal-figure barges</t>
  </si>
  <si>
    <t xml:space="preserve">ယင်းနောက် မင်းမိဖုရား မင်းကိုယ်လုပ် မောင်းမမိဿံတို့စီးသည့် မုတ်ဘီးဒဝယ် ယွန်း, ပဉ္စရူပ, ဧဏီ, အောင်း, နရား,မကန်း စသော များစွာသော သားရုပ်ရွှေဖောင်တော် အပေါင်းတို့ကိုလည်း လောင်းနီ လက်ပြည့် ခြောက်စင်းစီ ငင်ရသည်။</t>
  </si>
  <si>
    <t xml:space="preserve">Following that, all the golden barges with animal figures such as lacquerware, Panca Rupa, Eani, Aung, Nara, and Makan on the prow, which are used by the queens, royal concubines, and ladies-in-waiting, are also to be towed by six full-crewed red longboats each.</t>
  </si>
  <si>
    <t xml:space="preserve">vol1_s002868_t02_01a7e562808b</t>
  </si>
  <si>
    <t xml:space="preserve">6 red longboats each</t>
  </si>
  <si>
    <t xml:space="preserve">vol1_s002869</t>
  </si>
  <si>
    <t xml:space="preserve">vol1_s002869_t01_467dfc105b3c</t>
  </si>
  <si>
    <t xml:space="preserve">Military forces</t>
  </si>
  <si>
    <t xml:space="preserve">DISPLAYED_STATE_POWER</t>
  </si>
  <si>
    <t xml:space="preserve">Gilded weaponry and armor</t>
  </si>
  <si>
    <t xml:space="preserve">ထိုမှတစ်ပါး ရှေ့တပ်, လက်ယာတပ်, လက်ဝဲတပ်, နောက်တပ်, လှေတပ်တော်များတွင် ကတ္တူလွန်းကြင်, ကူရွပ်, သမ္ဗန်, သက္ကဒါန်, မိကျောင်းရုပ်စသော များစွာသော သားရုပ်ရဲလှေအပေါင်းဝယ် ရွှေလှံ, ရွှေဓား, ရွှေလွှား, ရွှေကာ, ရွှေတံခွန်, အမြောက်ပြောင်းသေနတ် ပြောင်ပြောင်ညီးမျှ စီစဉ်ခင်းကျင်းပြီးလျှင် ချပ်တန်ဆာ ဝတ်ဆင်လျက် နတ်ယောက်ျားကဲ့သို့သော သူရဲတော်အပေါင်းတို့ လိုက်ကြရသည်။</t>
  </si>
  <si>
    <t xml:space="preserve">Furthermore, in all the many warrior boats with animal figures such as Kattu-lun-kyin, Kurut, Sampan, Sakkadan, and crocodile figures in the vanguard, right flank, left flank, rearguard, and naval forces, golden spears, golden swords, golden shields, golden bucklers, golden banners, and cannon-barreled muskets are to be arranged and displayed, and all the warriors, wearing armor and looking like celestial beings, are to follow.</t>
  </si>
  <si>
    <t xml:space="preserve">vol1_s002869_t02_820e5977b7c5</t>
  </si>
  <si>
    <t xml:space="preserve">PERFORMED_RITUAL_ROLE</t>
  </si>
  <si>
    <t xml:space="preserve">Celestial-like escort</t>
  </si>
  <si>
    <t xml:space="preserve">vol1_s002870</t>
  </si>
  <si>
    <t xml:space="preserve">vol1_s002870_t01_417e83620a64</t>
  </si>
  <si>
    <t xml:space="preserve">Royal boats</t>
  </si>
  <si>
    <t xml:space="preserve">MAINTAINED_HIERARCHICAL_FORMATION</t>
  </si>
  <si>
    <t xml:space="preserve">Royal golden barge</t>
  </si>
  <si>
    <t xml:space="preserve">လက်ရွေး, လက်သစ်, ပြည်လုံးအံ့, ဘုန်းတော် နိုင်ငံ, ရန်နိုင်, ကမကော်, သာရဗိမာန်, သာရကာ, အီကင်း စသော လက်သင်လှော်ကားတော်များနှင့် ရွှေလှေ ရွှေလောင်း အပေါင်းတို့လည်း ရတနာရွှေဖောင်တော် ဝဲယာရှေ့ဖျား လိုက်မြဲ စီစဉ်ခင်းကျင်း၍ လိုက်ကြရသည်။</t>
  </si>
  <si>
    <t xml:space="preserve">The royal rowing boats such as Let-ywe, Let-thit, Pyi-lon-an, Bhon-taw-naing-ngan, Yan-naing, Ka-ma-kaw, Thara-biman, Tharaka, and E-kin, as well as all the golden boats and golden longboats, are also to be arranged and displayed to follow at the front, left, and right of the royal golden barge.</t>
  </si>
  <si>
    <t xml:space="preserve">vol1_s002871</t>
  </si>
  <si>
    <t xml:space="preserve">vol1_s002871_t01_5273f168b530</t>
  </si>
  <si>
    <t xml:space="preserve">APPOINTED_OFFICIAL</t>
  </si>
  <si>
    <t xml:space="preserve">Minye Zeyakyaw</t>
  </si>
  <si>
    <t xml:space="preserve">ကြည်းတပ်မှာလည်း တပ်ပေါင်း တစ်ဆယ့်နှစ်တပ်ကို မင်းရဲဇေယကျော်ကို အချုပ်ခန့်တော်မူသည်။</t>
  </si>
  <si>
    <t xml:space="preserve">As for the land forces, Minye Zeyakyaw is appointed to be in overall command of the twelve combined regiments.</t>
  </si>
  <si>
    <t xml:space="preserve">vol1_s002871_t02_6fc350ee9f91</t>
  </si>
  <si>
    <t xml:space="preserve">COMMANDED_MILITARY_UNIT</t>
  </si>
  <si>
    <t xml:space="preserve">12 land battalions</t>
  </si>
  <si>
    <t xml:space="preserve">vol1_s002872</t>
  </si>
  <si>
    <t xml:space="preserve">vol1_s002872_t01_d7aa2a3ace5f</t>
  </si>
  <si>
    <t xml:space="preserve">MAINTAINED_RITUAL_STATUS</t>
  </si>
  <si>
    <t xml:space="preserve">White umbrella and golden staff</t>
  </si>
  <si>
    <t xml:space="preserve">ဘဝရှင် မင်းတရားကြီးဘုရားမှာ ဘုံတစ်ဆယ့်တစ်ဆင့်ရှိသော ရတနာရွှေဖောင်တော်ကြီးဝယ် ထီးဖြူ ကနက္ကဒဏ်ဖြန့်လျက် သိကြားမင်း ကြက်သရေကဲ့သို့ ညီတော် သားတော် ဆွေတော်မျိုးတော် မှူးတော်မတ်တော် အပေါင်း ခြံရံလျက် သက္ကရာဇ် (၁၁၃၆) တစ်ထောင့်တစ်ရာ့သုံးဆယ့်ခြောက်ခု ပြာသိုလဆန်းရှစ်ရက်” တနင်္ဂနွေနေ့ ရတနာပူရ အဝနေပြည်တော်က စည်ကြီးခွက်ခွင်း, ခရုသင်း, ဒုံမင်းပတ်သာ, ခရာတံပိုး အောင်စည်အောင်မောင်း ရိုက်ဆော်တီးမှုတ်၍ မြစ်လုံးကျိုက်ကျိုက်ဆူမျှ ရန်ကုန်မြို့သို့ စုန်တော်မူ သည်။</t>
  </si>
  <si>
    <t xml:space="preserve">The Lord of Life, the Great King, on the great royal golden barge with eleven tiers of spires, with the white umbrella and golden staff spread out, and surrounded by all his younger brothers, sons, relatives, and ministers like the glory of Sakka, departed from the capital of Ratanapura Ava on Sunday, the 8th day of the waxing moon of Pyatho, 1136, with the beating of great drums, gongs, conch shells, Dumin-pattha drums, and the blowing of trumpets and victory drums, causing the river to churn, as he set off downstream to the city of Yangon.</t>
  </si>
  <si>
    <t xml:space="preserve">vol1_s002872_t02_597c9f9af302</t>
  </si>
  <si>
    <t xml:space="preserve">DEMONSTRATED_POLITICAL_UNITY</t>
  </si>
  <si>
    <t xml:space="preserve">Royal kin and ministers</t>
  </si>
  <si>
    <t xml:space="preserve">vol1_s002872_t03_6284187ae508</t>
  </si>
  <si>
    <t xml:space="preserve">EXERCISED_SOVEREIGNTY</t>
  </si>
  <si>
    <t xml:space="preserve">Departure from capital</t>
  </si>
  <si>
    <t xml:space="preserve">vol1_s002954</t>
  </si>
  <si>
    <t xml:space="preserve">vol1_s002954_t01_c31331006749</t>
  </si>
  <si>
    <t xml:space="preserve">Singu Min</t>
  </si>
  <si>
    <t xml:space="preserve">APPOINTED_AS_WUNDAUK</t>
  </si>
  <si>
    <t xml:space="preserve">Nemyo Nanda Kyawhtin</t>
  </si>
  <si>
    <t xml:space="preserve">ဝန်ထောက်ကင်းဝန် ဇေယနော်ရထာ, လမိုင်းဝန် ကျော်ခေါင်နော်ရထာတို့နှင့်ဘက်၍ နေမျိုးနန္ဒကျော်ထင်, ဥဒိန်ဇေယတို့ကိုလည်း ဝန်ထောက်ခန့်တော်မူသည်။</t>
  </si>
  <si>
    <t xml:space="preserve">He appointed Nemyo Nanda Kyawhtin and Udein Zeya as Wundauks, pairing them with Wundauk Kinwun Zeya Nawrahta and Lamainwun Kyawgaung Nawrahta.</t>
  </si>
  <si>
    <t xml:space="preserve">vol1_s002954_t02_d284560ee629</t>
  </si>
  <si>
    <t xml:space="preserve">Udein Zeya</t>
  </si>
  <si>
    <t xml:space="preserve">vol1_s002955</t>
  </si>
  <si>
    <t xml:space="preserve">vol1_s002955_t01_154d5ca6eea6</t>
  </si>
  <si>
    <t xml:space="preserve">APPOINTED_AS_CHIEF_CLERK</t>
  </si>
  <si>
    <t xml:space="preserve">Nga Kun</t>
  </si>
  <si>
    <t xml:space="preserve">စာရေးကြီး စန္ဒဝေသော်, ဗျတ္တသရေတို့နှင့် ဘက်၍ ငကွန်, ငပွင့်တို့ကိုလည်း စာရေးကြီးခန့်တော်မူသည်။</t>
  </si>
  <si>
    <t xml:space="preserve">He appointed Nga Kun and Nga Pwint as Chief Clerks, pairing them with Chief Clerks Sanda Wethaw and Byatta Thare.</t>
  </si>
  <si>
    <t xml:space="preserve">vol1_s002955_t02_d89fd2e47a5e</t>
  </si>
  <si>
    <t xml:space="preserve">Nga Pwint</t>
  </si>
  <si>
    <t xml:space="preserve">vol1_s002956</t>
  </si>
  <si>
    <t xml:space="preserve">vol1_s002956_t01_bca92ae92072</t>
  </si>
  <si>
    <t xml:space="preserve">APPOINTED_AS_MYOWUN</t>
  </si>
  <si>
    <t xml:space="preserve">Minhlashwetaungkyaw</t>
  </si>
  <si>
    <t xml:space="preserve">မြို့ဝန်ဇေယဂါမဏိနှင့်ဘက်၍ မင်းလှရွှေတောင်ကျော်ကိုလည်း မြို့ဝန်ခန့်တော်မူသည်။</t>
  </si>
  <si>
    <t xml:space="preserve">He appointed Minhlashwetaungkyaw as Myowun, pairing him with Myowun Zeyagamani.</t>
  </si>
  <si>
    <t xml:space="preserve">vol1_s002957</t>
  </si>
  <si>
    <t xml:space="preserve">vol1_s002957_t01_2437a41bcc37</t>
  </si>
  <si>
    <t xml:space="preserve">GILDED_RELIGIOUS_OBJECT</t>
  </si>
  <si>
    <t xml:space="preserve">Mahamyatmuni Buddha</t>
  </si>
  <si>
    <t xml:space="preserve">ထိုနှစ် မဟာမြတ်မုနိဘုရားရှင်၊ ဂူတော်သစ်ဘုရားရှင်၊ မြို့တွင်း ရွှေစည်းခုံဘုရားရှင်၊ ပင်းယ ရွှေစည်းခုံဘုရားရှင် များကိုလည်း ထီးချရားသီးကသည် မြေတိုင်အောင် ရွှေပိန်းထည့်တော်မူသည်။</t>
  </si>
  <si>
    <t xml:space="preserve">That year, he had the Mahamyatmuni Buddha, the Gutawthit Buddha, the Shwezigon Buddha inside the city, and the Pinya Shwezigon Buddha gilded from the finial down to the ground.</t>
  </si>
  <si>
    <t xml:space="preserve">vol1_s002957_t02_df6566e413ad</t>
  </si>
  <si>
    <t xml:space="preserve">Gutawthit Buddha</t>
  </si>
  <si>
    <t xml:space="preserve">vol1_s002957_t03_5ba65bb0ce5f</t>
  </si>
  <si>
    <t xml:space="preserve">Shwezigon Buddha</t>
  </si>
  <si>
    <t xml:space="preserve">vol1_s002957_t04_c0a754952917</t>
  </si>
  <si>
    <t xml:space="preserve">Pinya Shwezigon Buddha</t>
  </si>
  <si>
    <t xml:space="preserve">vol1_s002958</t>
  </si>
  <si>
    <t xml:space="preserve">vol1_s002958_t01_dcd46cd83819</t>
  </si>
  <si>
    <t xml:space="preserve">Nemyo Thihathu</t>
  </si>
  <si>
    <t xml:space="preserve">ပြာသိုလဆန်းတစ်ဆယ့်ငါးရက်၁ တနင်္လာနေ့ လေးတောစား တစ်တပ်၊ ပန်းပဲဝန် မဟာဗညားကျန်းတော တစ်တပ်၊ ကျောက်တလုံးဗိုလ် တစ်တပ်၊ ရခိုင်ဝန် တစ်တပ်၊ ကျော်စဉ်ဝန် တစ်တပ်၊ ပဲတောင်စား တစ်တပ်၊ သရေပုညာ တစ်တပ်၊ အမြောက်ဝန် နေမျိုး သီဟသူ တပ်နှင့်သော် တပ်ပေါင်း ရှစ်တပ်တွင် ပါသည့် မြင်းတစ်ထောင့်ငါးရာ, စစ်သည်သူရဲ တစ်သောင်းငါးထောင် ကို အမြောက်ဝန် နေမျိုးသီဟသူကို အချုပ်ခန့်၍ လကွန်း, ဖာသင်မြို့ များကို အသိမ်းအရုံး ချီစေသည်။</t>
  </si>
  <si>
    <t xml:space="preserve">On Monday, the 15th day of the waxing moon of Pyatho, he appointed the Artillery Minister Nemyo Thihathu as the commander-in-chief of eight combined regiments—the regiment of the Letawsa, the regiment of the Blacksmith Minister Mahabanyakyantaw, the regiment of the Kyauktalone Bo, the regiment of the Rakhine Minister, the regiment of the Kyawzin Minister, the regiment of the Petaungsa, the regiment of Tharepunya, and the regiment of the Artillery Minister Nemyo Thihathu—comprising 1,500 cavalry and 15,000 soldiers, and ordered them to march to capture the towns of Lakun and Phathin.</t>
  </si>
  <si>
    <t xml:space="preserve">vol1_s002958_t02_c76b1c9f2240</t>
  </si>
  <si>
    <t xml:space="preserve">COMMANDED_MILITARY_FORCE</t>
  </si>
  <si>
    <t xml:space="preserve">1500 cavalry and 15000 soldiers</t>
  </si>
  <si>
    <t xml:space="preserve">vol1_s002958_t03_0023cce20111</t>
  </si>
  <si>
    <t xml:space="preserve">ORDERED_CONQUEST_OF</t>
  </si>
  <si>
    <t xml:space="preserve">Lakun and Phathin</t>
  </si>
  <si>
    <t xml:space="preserve">vol1_s002959</t>
  </si>
  <si>
    <t xml:space="preserve">vol1_s002959_t01_eb537d52d8db</t>
  </si>
  <si>
    <t xml:space="preserve">PERFORMED_RITUAL</t>
  </si>
  <si>
    <t xml:space="preserve">Coronation (Rajjabhisheka)</t>
  </si>
  <si>
    <t xml:space="preserve">ပြာသိုလဆန်းတစ်ဆယ့်ငါးရက် တနင်္လာနေ့ နံတော်၏ ဂဟပတိအရပ်ဖြစ်သော ရွှေနန်းတော်၏အနောက် ငါးရာဖျား သနပ်ခြံဝယ် မဟာသင်္ကြန်တော်ကြီး ခေါ်တော်မူပြီးလျှင် ရဇ္ဇာဘိသေက ခံတော်မူ၍ ထီးဆောင်းမင်္ဂလာ မဟာဥကသံ ဖွင့်တော်သည်၊ မဟာဓမ္မ ရာဇာဓိရာဇာ-ဟူသော တံဆိပ် နာမံတော်ကိုလည်း ခံတော်မူသည်။</t>
  </si>
  <si>
    <t xml:space="preserve">On Monday, the 15th day of the waxing moon of Pyatho, after holding the great Mahathangyan ceremony at the Thanakchan, which is in the Gahapati area west of the Golden Palace, he underwent the royal coronation, performed the royal umbrella consecration ceremony, and assumed the title of Mahadhamma Rajadhiraja.</t>
  </si>
  <si>
    <t xml:space="preserve">vol1_s002959_t02_a128fa2aea42</t>
  </si>
  <si>
    <t xml:space="preserve">ASSUMED_TITLE</t>
  </si>
  <si>
    <t xml:space="preserve">Mahadhamma Rajadhiraja</t>
  </si>
  <si>
    <t xml:space="preserve">vol1_s002960</t>
  </si>
  <si>
    <t xml:space="preserve">vol1_s002960_t01_edbced30340f</t>
  </si>
  <si>
    <t xml:space="preserve">ရှင်မိဖုရားခေါင်ကြီးကိုလည်း မဟာရတနာစန္ဒာဒေဝီ-ဟူသော တံဆိပ်နာမံကို ခံစေသည်။</t>
  </si>
  <si>
    <t xml:space="preserve">He also had the Chief Queen assume the title of Maharatana Candadevi.</t>
  </si>
  <si>
    <t xml:space="preserve">vol1_s002960_t02_cb41cd95e7f8</t>
  </si>
  <si>
    <t xml:space="preserve">RECEIVED_TITLE</t>
  </si>
  <si>
    <t xml:space="preserve">Maharatana Candadevi</t>
  </si>
  <si>
    <t xml:space="preserve">vol1_s002962</t>
  </si>
  <si>
    <t xml:space="preserve">vol1_s002962_t01_23f4ae43feb1</t>
  </si>
  <si>
    <t xml:space="preserve">Northern Palace Queen</t>
  </si>
  <si>
    <t xml:space="preserve">မြောက်နန်းမိဖုရား ကိုလည်း သီရိမဟာမင်္ဂလာဒေဝီ- ဘွဲ့ အမည်ကို ခံစေသည်။</t>
  </si>
  <si>
    <t xml:space="preserve">He also had the Northern Palace Queen assume the title of Thirimahamangaladevi.</t>
  </si>
  <si>
    <t xml:space="preserve">vol1_s002962_t02_0cb07a10a293</t>
  </si>
  <si>
    <t xml:space="preserve">Thirimahamangaladevi</t>
  </si>
  <si>
    <t xml:space="preserve">vol1_s002964</t>
  </si>
  <si>
    <t xml:space="preserve">vol1_s002964_t01_09f4d32da821</t>
  </si>
  <si>
    <t xml:space="preserve">Middle Palace Queen</t>
  </si>
  <si>
    <t xml:space="preserve">အလယ်နန်း မိဖုရားကိုလည်း သီရိမဟာနန္ဒာဒေဝီ- ဘွဲ့အမည်ကို ခံစေသည်။</t>
  </si>
  <si>
    <t xml:space="preserve">He also had the Middle Palace Queen assume the title of Thirimahanandadevi.</t>
  </si>
  <si>
    <t xml:space="preserve">vol1_s002964_t02_b1d8565f5de1</t>
  </si>
  <si>
    <t xml:space="preserve">Thirimahanandadevi</t>
  </si>
  <si>
    <t xml:space="preserve">vol1_s002965</t>
  </si>
  <si>
    <t xml:space="preserve">vol1_s002965_t01_ccdbaccec643</t>
  </si>
  <si>
    <t xml:space="preserve">BESTOWED_TITLES_ON</t>
  </si>
  <si>
    <t xml:space="preserve">Queens and concubines</t>
  </si>
  <si>
    <t xml:space="preserve">ထို့ပြင် မင်းမိဖုရား မင်းကိုယ်လုပ် မောင်းမမိဿံ အပေါင်းတို့ကိုလည်း အထိုက်အလိုက် ဘွဲ့ အမည် ပေးတော် မူသည်။</t>
  </si>
  <si>
    <t xml:space="preserve">Furthermore, he bestowed titles upon all the queens, royal concubines, and ladies-in-waiting according to their rank.</t>
  </si>
  <si>
    <t xml:space="preserve">vol1_s002966</t>
  </si>
  <si>
    <t xml:space="preserve">vol1_s002966_t01_914d4cd98556</t>
  </si>
  <si>
    <t xml:space="preserve">BESTOWED_RESOURCES_ON</t>
  </si>
  <si>
    <t xml:space="preserve">Officials</t>
  </si>
  <si>
    <t xml:space="preserve">အဂ္ဂမဟာသေနာပတိ စသော မှူးတော်မတ်တော် အမှုထမ်းဟောင်း ကျွန်တော်မျိုးတို့နှင့် အိမ်တော်ပါ ကျွန်တော်မျိုးတို့ကိုလည်း အရည်အလျောက် ရွေးချယ်စိစစ်၍ ဘွဲ့ အမည်အရည် အဆောင်အရွက် ဝန်စုမှူးစု၊ စားကျေးမြို့ ရွာ အထိုက်အလိုက် ပေးတော်မူသည်။</t>
  </si>
  <si>
    <t xml:space="preserve">He also selected and examined the old officials, ministers, and servants, including the Aggamahasenapati, and bestowed upon them titles, ranks, regalia, ministerial and official groups, and towns and villages to support them, according to their respective status.</t>
  </si>
  <si>
    <t xml:space="preserve">vol1_s002966_t02_263c9d602c20</t>
  </si>
  <si>
    <t xml:space="preserve">RECEIVED_RESOURCES</t>
  </si>
  <si>
    <t xml:space="preserve">Titles, ranks, regalia, towns, and villages</t>
  </si>
  <si>
    <t xml:space="preserve">vol1_s002967</t>
  </si>
  <si>
    <t xml:space="preserve">vol1_s002967_t01_84c1a7d68ead</t>
  </si>
  <si>
    <t xml:space="preserve">COMPLETED_CONSTRUCTION_OF</t>
  </si>
  <si>
    <t xml:space="preserve">Jetawun monastery</t>
  </si>
  <si>
    <t xml:space="preserve">ထိုနှစ် တန်ခူးလဆန်း တစ်ဆယ့်ငါးရက်- စနေနေ့ စစ်ကိုင်းမြို့ အနောက် ငါးထပ်ကြီးဘုရား အနောက်မြောက် ယွန်း ရှေးတောင်ဘီလာ ကျောင်းရာဟောင်းတွင် ခမည်းတော်ဘုရားလက်ထက် မယ်တော် သီရိ အတုလမဟာရတနာ ပဒုမာဒေဝီ ရှင်မိဖုရားခေါင်ကြီးက ဆောက်လုပ်သည့် အရံတစ်ဆယ့်နှစ်ကျောင်းနှင့်တကွ လေးထပ် ဇေတဝန် ကျောင်းတော် လုပ်ဆောင်ပြီးပြေသည်ကို မင်္ဂလာရွှေဘုံ သမိုက်တော်မူပြီးလျှင် မင်းအိုဆရာတော် “ဂုဏာဘိအနန္တ မဟာဓမ္မရာဇာဓိ ရာဇဂုရု” အား ကိုယ်တော်တိုင် ရေစက်သွန်းတော်မူ၍ တင်လှူတော်မူသည်၊ ပွဲသဘင်ကြီးစွာလည်း ခံတော်မူသည်။</t>
  </si>
  <si>
    <t xml:space="preserve">That year, on Saturday, the 15th day of the waxing moon of Tagu, at the old site of the Taungbila monastery, northwest of the Five-Story Pagoda west of Sagaing, he completed the construction of the four-story Jetawun monastery along with the twelve surrounding monasteries built by the Chief Queen, his mother Thiri Atulamaharatana Padumadevi, during the reign of his father, and after consecrating the auspicious golden palace, he personally poured water to dedicate it to the Mino Sayadaw, 'Gunabiananta Mahadhamma Rajadhiraja Guru,' and held a great celebration.</t>
  </si>
  <si>
    <t xml:space="preserve">vol1_s002967_t02_f79f5e1b4a0c</t>
  </si>
  <si>
    <t xml:space="preserve">DEDICATED_MERIT_TO</t>
  </si>
  <si>
    <t xml:space="preserve">Mino Sayadaw</t>
  </si>
  <si>
    <t xml:space="preserve">The actual monastery is donated to the abbot; DEDICATED_MERIT_TO obscures the material/institutional donation although it identifies the correct donor and recipient.</t>
  </si>
  <si>
    <t xml:space="preserve">Singu dedicates/donates the completed monastery to Mino Sayadaw.</t>
  </si>
  <si>
    <t xml:space="preserve">vol1_s002968</t>
  </si>
  <si>
    <t xml:space="preserve">vol1_s002968_t01_0d997faad02b</t>
  </si>
  <si>
    <t xml:space="preserve">REMOVED_FROM_OFFICE</t>
  </si>
  <si>
    <t xml:space="preserve">Maha Thihathura</t>
  </si>
  <si>
    <t xml:space="preserve">သက္ကရာဇ် (၁၁၃၉) တစ်ထောင့်တစ်ရာ့သုံးဆယ့်ကိုးခု နယုန်လ? ဝန်ကြီး မဟာသီဟသူရကို အမျက်တော်ရှိ၍ ဝန်ကြီးအရာက နုတ်တော်မူသည်။</t>
  </si>
  <si>
    <t xml:space="preserve">In the year 1139, in the month of Nayon, he was displeased with the Minister Mahathihathura and removed him from his ministerial position.</t>
  </si>
  <si>
    <t xml:space="preserve">vol1_s002969</t>
  </si>
  <si>
    <t xml:space="preserve">vol1_s002969_t01_b28c8d0fc9db</t>
  </si>
  <si>
    <t xml:space="preserve">REMOVED_FROM_PALACE</t>
  </si>
  <si>
    <t xml:space="preserve">သမီး မြောက်နန်းမိဖုရားကိုလည်း နန်းကချ၍ အဘသို့ အပ်သည်၊ အလယ်နန်း မိဖုရား သီရိမဟာနန္ဒာဒေဝီကို မြောက်နန်းတင်တော်မူသည်၊ မြောက်နန်းမိဖုရားအမတော် မဟာမင်္ဂလာစန္ဒာဒေဝီကို အလယ်နန်း တင်တော်မူသည်၊ ညီမတော် သီရိစန္ဒာမဟေကိုလည်း အနောက်နန်း သမုတ်၍ တင်တော်မူသည်၊ ဝန်ကြီးမဟာသီဟသူရ လင်မယား သားသမီး တစ်စုတို့ကိုလည်း စစ်ကိုင်းသို့ ပို့ထားသည်၊ နောက်လျှင် ဝန်ကြီးသမီး မြောက်နန်းမိဖုရားကို အမျက်တော်ရှိပြန်၍ စစ်ကိုင်းမှာ ခေါ်ပြီးလျှင် ရေမှာ ဖျောက်တော်မူသည်။</t>
  </si>
  <si>
    <t xml:space="preserve">He removed his daughter, the Northern Palace Queen, from the palace and handed her over to her father; he elevated the Middle Palace Queen Thirimahanandadevi to the Northern Palace; he elevated the Northern Palace Queen's elder sister Mahamangalacandadevi to the Middle Palace; he also designated his younger sister Thirisandamahe as the Western Palace Queen and elevated her; he sent the Minister Mahathihathura, his wife, and their children to Sagaing; later, being displeased with the minister's daughter, the Northern Palace Queen, he summoned her from Sagaing and had her executed in the water.</t>
  </si>
  <si>
    <t xml:space="preserve">vol1_s002969_t02_9ced1f7a9bb2</t>
  </si>
  <si>
    <t xml:space="preserve">ELEVATED_TO_NORTHERN_PALACE</t>
  </si>
  <si>
    <t xml:space="preserve">vol1_s002969_t03_e313bab7f812</t>
  </si>
  <si>
    <t xml:space="preserve">ELEVATED_TO_MIDDLE_PALACE</t>
  </si>
  <si>
    <t xml:space="preserve">Mahamangalacandadevi</t>
  </si>
  <si>
    <t xml:space="preserve">vol1_s002969_t04_7497d03c711b</t>
  </si>
  <si>
    <t xml:space="preserve">DESIGNATED_AS_WESTERN_PALACE_QUEEN</t>
  </si>
  <si>
    <t xml:space="preserve">Thirisandamahe</t>
  </si>
  <si>
    <t xml:space="preserve">vol1_s002969_t05_b88cfde991be</t>
  </si>
  <si>
    <t xml:space="preserve">EXILED_TO_SAGAING</t>
  </si>
  <si>
    <t xml:space="preserve">Maha Thihathura and family</t>
  </si>
  <si>
    <t xml:space="preserve">vol1_s002969_t06_8be42e0c8967</t>
  </si>
  <si>
    <t xml:space="preserve">EXECUTED</t>
  </si>
  <si>
    <t xml:space="preserve">vol1_s002992</t>
  </si>
  <si>
    <t xml:space="preserve">vol1_s002992_t01_747e9c411967</t>
  </si>
  <si>
    <t xml:space="preserve">ENGAGED_IN_DEBAUCHERY_WITH</t>
  </si>
  <si>
    <t xml:space="preserve">ministers</t>
  </si>
  <si>
    <t xml:space="preserve">ထိုအခါ မင်းဧကရာဇ်သည် မှူးငယ် မတ်ငယ်တို့နှင့်သာ ပျော်ရွှင်မြူးတူးလျက် ပေါင်းဖော်မှီဝဲသည် များလေသည်နှင့် သေရည်သေရက်ကို သုံးဆောင် သောက်စားချေသည်၊ နေ့ရက် ရှည်လျားသောကာလ သေနှင့် အကျွမ်းဝင်၍ သတိလွတ်သည့် ကာလသာ များချေသည်၊ မှူးတော်မတ်တော် ဓားစွဲကိုယ်ရံ ကျွန်တော်မျိုး အပေါင်းတို့ လည်း မယစ်မဝသူ နည်းသည်၊ ယစ်ဝသောက်စား ရူးမူးကြသောသူသာ များချေသည်။</t>
  </si>
  <si>
    <t xml:space="preserve">At that time, the Emperor spent much time associating and having fun only with the junior and senior ministers, and he consumed and drank liquor; for a long period of days, he became familiar with liquor and spent most of his time in a state of lost consciousness, and among all the royal ministers, sword-bearing bodyguards, and servants, there were few who were not intoxicated, and those who were drunk and acting crazily were the majority.</t>
  </si>
  <si>
    <t xml:space="preserve">vol1_s002992_t02_2ce20584a70a</t>
  </si>
  <si>
    <t xml:space="preserve">CONSUMED</t>
  </si>
  <si>
    <t xml:space="preserve">liquor</t>
  </si>
  <si>
    <t xml:space="preserve">vol1_s002992_t03_6d239c084936</t>
  </si>
  <si>
    <t xml:space="preserve">royal ministers and bodyguards</t>
  </si>
  <si>
    <t xml:space="preserve">EXHIBITED_LACK_OF_DISCIPLINE</t>
  </si>
  <si>
    <t xml:space="preserve">intoxication</t>
  </si>
  <si>
    <t xml:space="preserve">vol1_s002993</t>
  </si>
  <si>
    <t xml:space="preserve">vol1_s002993_t01_6048026a7819</t>
  </si>
  <si>
    <t xml:space="preserve">King and court</t>
  </si>
  <si>
    <t xml:space="preserve">ENGAGED_IN_FRIVOLOUS_PASTIMES</t>
  </si>
  <si>
    <t xml:space="preserve">dice, cockfighting, hunting, and fishing</t>
  </si>
  <si>
    <t xml:space="preserve">မင်းဧကရာဇ်နှင့် တကွ အန်ခတ်, ကြက်တိုက်, သားလိုက်, ငါးဖမ်းနှင့်သာ နေ့ညဉ့်မသိ ရှိကြလေသည်။</t>
  </si>
  <si>
    <t xml:space="preserve">Together with the Emperor, they knew no day or night, only playing dice, cockfighting, hunting, and fishing.</t>
  </si>
  <si>
    <t xml:space="preserve">vol1_s002994</t>
  </si>
  <si>
    <t xml:space="preserve">vol1_s002994_t01_f830cde5228e</t>
  </si>
  <si>
    <t xml:space="preserve">ELEVATED_STATUS_OF</t>
  </si>
  <si>
    <t xml:space="preserve">Thiri Pabhadevi</t>
  </si>
  <si>
    <t xml:space="preserve">ဟံသာဝတီရောက် မင်းသမီး မင်းရွှေပွင့်တွင် မြင်သည့် ခမည်းတော် ဆင်ဖြူရှင်မင်းတရား သမီးတော်၊ မင်းခင်းမြို့စား သီရိပဘာဒေဝီ ဘွဲ့ခံ သခင်မင်းမိကို မောင်တော် စလင်းစားကို ကွပ်မျက်သည့်နောက် ပြင်အိမ် တွင် နေရသည်ကို နောက် သက္ကရာဇ် (၁၁၄၃) တစ်ထောင့်တစ်ရာ့ လေးဆယ့်သုံးခု နတ်တော်လ နန်းတင်တော်မူ၍ မြနန်းရှင် ခံစေသည်။</t>
  </si>
  <si>
    <t xml:space="preserve">After the execution of her brother, the Salin Prince, the Princess who had reached Hanthawaddy, the daughter of the father King Hsinbyushin, who was seen at Min Shwe Pwint, the mistress known by the title Thiri Pabhadevi, the Min-khin town governor, had to live in an outer house, but later in the year 1143, in the month of Nadaw, he [the King] had her enthroned and made her the Mistress of the Emerald Palace.</t>
  </si>
  <si>
    <t xml:space="preserve">vol1_s002994_t02_901a90b0af7d</t>
  </si>
  <si>
    <t xml:space="preserve">Myananshin</t>
  </si>
  <si>
    <t xml:space="preserve">vol1_s002994_t03_9539d8a57074</t>
  </si>
  <si>
    <t xml:space="preserve">HELD_OFFICE</t>
  </si>
  <si>
    <t xml:space="preserve">Min-khin town governor</t>
  </si>
  <si>
    <t xml:space="preserve">vol1_s002996</t>
  </si>
  <si>
    <t xml:space="preserve">vol1_s002996_t01_51b328bc2b26</t>
  </si>
  <si>
    <t xml:space="preserve">RESIDED_IN</t>
  </si>
  <si>
    <t xml:space="preserve">temporary palace at Pinya</t>
  </si>
  <si>
    <t xml:space="preserve">ထိုနှစ် ပင်းယ ရွှေစည်းခုံဘုရား မြောက်တွင် နန်းတော်နှင့် စံနေတော်မူခိုက် တဲနန်းတော်မှာ အရှေ့မြောက်ထောင့်က ပျားစွဲလာသည်၊ မဟာမင်္ဂလာရွှေဘုံ ကျောင်းတော်မှာလည်း ပျားအုံ များစွာ စွဲလာသည်။</t>
  </si>
  <si>
    <t xml:space="preserve">That year, while he was residing in the palace to the north of the Pinya Shwezigon Pagoda, bees swarmed in the northeast corner of the temporary palace, and many beehives also swarmed at the Maha Mingala Shwebon Monastery.</t>
  </si>
  <si>
    <t xml:space="preserve">vol1_s002997</t>
  </si>
  <si>
    <t xml:space="preserve">vol1_s002997_t01_7e20fd4d836d</t>
  </si>
  <si>
    <t xml:space="preserve">Ngwekundawun</t>
  </si>
  <si>
    <t xml:space="preserve">CONSTRUCTED_AND_OFFERED</t>
  </si>
  <si>
    <t xml:space="preserve">ထိုအကြိုက် စစ်ကိုင်းမြို့ အနောက် အစေခံအရပ်တွင် ငွေခွန်ဝန်က ဆောက်လုပ်၍ ဆက်သည့် ကျောင်းကို ရေစက်သွန်းတော်မူမည်ဟု တပို့တွဲလပြည့်ကျော် တစ်ရက်ခံ အင်္ဂါနေ့ ပင်းယက ရွှေမြို့ တော်သို့ ဝင်တော်မူသည်၊ ရွှေမြို့တော်သို့ရောက်လျှင် နန်းတော်သို့ မဝင် မြို့မြောက် မာန်အောင်တံခါးပြင် ရေနန်းတော်တွင် စံတော်မူပြီးလျှင် လပြည့်ကျော် နှစ်ရက်၃ ဗုဒ္ဓဟူးနေ့ စစ်ကိုင်းသို့ကူး၍ ငွေခွန်ဝန်က ဆောက်လုပ်ဆက်သည့် သုံးထပ် ဇေတဝန် ရွှေကျောင်းကို ဘုံသာဝေယန် သမိုက်တော်မူ၍ ကိုယ်တော်တိုင် ရေစက် သွန်းတော်မူပြီးလျှင် မင်းကျောင်းဆရာအား လှူတော်မူသည်၊ ထိုက ပြန်တော်မူလျှင်လည်း နန်းတော်သို့ မဝင်၊ ရေနန်းတော်တွင် စံတော်မူသည်၊ လပြည့်ကျော် သုံးရက် ကြာသပတေးနေ့ အောက်မသင်းတို့နှင့် ဆင်သင်း ရောက်ကြောင်းကို လျှောက်လှာ၍ ရေနန်းတော်က ဆင်ကျုံးသို့ ထွက်တော်မူသည်၊ ပြန်တော်မူလျှင်လည်း ရေနန်းတော်တွင်ပင် ရပ်နေတော်မူ ၍ အညာသီဟတော ဘုရားရှင်ကို အဖူးအမြော် မယ်တော်, နှမတော်, မင်းမိဖုရား အပေါင်းတို့နှင့် လပြည့်ကျော်ငါးရက် စနေနေ့ ဆန်တော်မူသည်။</t>
  </si>
  <si>
    <t xml:space="preserve">At that time, intending to pour water of dedication for the monastery that the Ngwe-khun-wun had built and offered in the Ase-khan quarter to the west of Sagaing city, he entered the golden city from Pinya on Tuesday, the first day after the full moon of Tabodwe; upon arriving at the golden city, he did not enter the palace but resided at the water palace outside the Man-aung gate to the north of the city, and on Wednesday, the second day after the full moon, he crossed to Sagaing, named the three-story Jetawun golden monastery that the Ngwe-khun-wun had built and offered 'Bonthaweyan', personally poured the water of dedication, and donated it to the royal monastery teacher; when he returned from there, he did not enter the palace but resided at the water palace; on Thursday, the third day after the full moon, upon receiving a report that the lower elephant troops and elephant troops had arrived, he went out from the water palace to the elephant enclosure; when he returned, he stayed at the water palace and on Saturday, the fifth day after the full moon, he traveled with his mother, sister, and all the royal queens to pay homage to the Anyathi-hataw Buddha.</t>
  </si>
  <si>
    <t xml:space="preserve">vol1_s002997_t02_6d32222094d3</t>
  </si>
  <si>
    <t xml:space="preserve">AVOIDED</t>
  </si>
  <si>
    <t xml:space="preserve">main palace</t>
  </si>
  <si>
    <t xml:space="preserve">vol1_s002997_t03_322e5e63b238</t>
  </si>
  <si>
    <t xml:space="preserve">water palace</t>
  </si>
  <si>
    <t xml:space="preserve">vol1_s002997_t04_78770ed11210</t>
  </si>
  <si>
    <t xml:space="preserve">CONSECRATED</t>
  </si>
  <si>
    <t xml:space="preserve">vol1_s002997_t05_de5b03ddf8e9</t>
  </si>
  <si>
    <t xml:space="preserve">DONATED_TO</t>
  </si>
  <si>
    <t xml:space="preserve">royal monastery teacher</t>
  </si>
  <si>
    <t xml:space="preserve">vol1_s002997_t06_54751cb144b8</t>
  </si>
  <si>
    <t xml:space="preserve">PERFORMED_PILGRIMAGE_WITH</t>
  </si>
  <si>
    <t xml:space="preserve">royal household</t>
  </si>
  <si>
    <t xml:space="preserve">vol1_s003022</t>
  </si>
  <si>
    <t xml:space="preserve">vol1_s003022_t01_ca8f859da11f</t>
  </si>
  <si>
    <t xml:space="preserve">BEARS_TITLE</t>
  </si>
  <si>
    <t xml:space="preserve">Mahadhammarajadhiraja</t>
  </si>
  <si>
    <t xml:space="preserve">မဟာဓမ္မရာဇာဓိရာဇာ-အမည်တော်ရှိသော စဉ့်ကူးမင်းသည် သက္ကရာဇ် (၁၁၁၈) တစ်ထောင့်တစ်ရာ့တစ်ဆယ့်ရှစ်ခု၊ ကဆုန်လဆန်းတစ်ဆယ့်နှစ်ရက် တနင်္လာနေ့ နံနက် လေးချက်တီးကျော် မိဿတွင် ဗုဒ္ဓဟူး၊ ပြိဿတွင် တနင်္ဂနွေ၊ မေဓုန်တွင် လက်နှင့်သောကြာ၊ ကြကဋ်တွင် အင်္ဂါ၊ သိဟ်တွင် ရာဟု၊ ကန်တွင် စန်းနှင့်ကြာသပတေး အခါတွင် ဖွားမြင်တော်မူသည်။</t>
  </si>
  <si>
    <t xml:space="preserve">King Singu, who bore the name Mahadhammarajadhiraja, was born in the year 1118, on Monday, the 12th day of the waxing moon of Kason, shortly after 4 a.m., at a time when Mercury was in Aries, the Sun in Taurus, the Moon and Venus in Gemini, Mars in Cancer, Rahu in Leo, and the Moon and Jupiter in Virgo.</t>
  </si>
  <si>
    <t xml:space="preserve">vol1_s003023</t>
  </si>
  <si>
    <t xml:space="preserve">vol1_s003023_t01_ca0b8664a91d</t>
  </si>
  <si>
    <t xml:space="preserve">ACCEDED_TO</t>
  </si>
  <si>
    <t xml:space="preserve">Throne</t>
  </si>
  <si>
    <t xml:space="preserve">သက္ကရာဇ် (၁၁၃၈) တစ်ထောင့်တစ်ရာ့သုံးဆယ့်ရှစ်ခု၊ နယုန်လပြည့်ကျော် ကိုးရက် တနင်္ဂနွေနေ့ သက်တော်နှစ်ဆယ်နှင့် တစ်လတွင် မင်းအဖြစ်သို့ ရောက်တော်မူသည်။</t>
  </si>
  <si>
    <t xml:space="preserve">He ascended to the throne in the year 1138, on Sunday, the 9th day of the waning moon of Nayon, at the age of twenty years and one month.</t>
  </si>
  <si>
    <t xml:space="preserve">vol1_s003024</t>
  </si>
  <si>
    <t xml:space="preserve">vol1_s003024_t01_a2c65dc76a31</t>
  </si>
  <si>
    <t xml:space="preserve">REIGNED_FOR_DURATION</t>
  </si>
  <si>
    <t xml:space="preserve">five years</t>
  </si>
  <si>
    <t xml:space="preserve">ငါးနှစ် မင်းအဖြစ်စံတော် မူ၍ သက်တော် နှစ်ဆယ့်ငါးနှစ်နှင့် ကိုးလသော် နန်းကျတော်မူသည်။</t>
  </si>
  <si>
    <t xml:space="preserve">He reigned as king for five years and was deposed at the age of twenty-five years and nine months.</t>
  </si>
  <si>
    <t xml:space="preserve">vol1_s003024_t02_4cec561b896b</t>
  </si>
  <si>
    <t xml:space="preserve">DEPOSED_FROM</t>
  </si>
  <si>
    <t xml:space="preserve">vol1_s003025</t>
  </si>
  <si>
    <t xml:space="preserve">vol1_s003025_t01_c327f1e197e6</t>
  </si>
  <si>
    <t xml:space="preserve">Omens</t>
  </si>
  <si>
    <t xml:space="preserve">SIGNIFIED_COLLAPSE_OF</t>
  </si>
  <si>
    <t xml:space="preserve">Royal Authority</t>
  </si>
  <si>
    <t xml:space="preserve">နန်းကျတော်မူလိုသော် တောင်အရပ်က လိပ်ပြာ မိုးလုံးပြည့်မျှ ပျံလှာ၍ မြစ်မြောက်ဘက်သို့ ကူး၏၊ မြို့ရိုးတံခါးဝက ဆင်ရိုင်းကျ၍ သေ၏၊ တိမ်တံခွန် ပြ၏၊ ဥပါကြီးစွာ ကျ၏၊ တစ်မိုးလုံး သွေးပေါက်ကဲ့သို့ ခြင်းခြင်းနီ၏၊ မြို့ရိုးပတ်လည် အစိတ်စိတ် ကွဲအက်၏၊ ပင်းယ ရွှေစည်းခုံဘုရား ပြို၏။</t>
  </si>
  <si>
    <t xml:space="preserve">When he was about to be deposed, a butterfly as large as the whole sky flew from the south and crossed to the north of the river; a wild elephant fell at the city gate and died; a cloud banner appeared; a great calamity occurred; the whole sky turned deep red like blood drops; the city walls cracked and broke in pieces all around; and the Pinya Shwezigon Pagoda collapsed.</t>
  </si>
  <si>
    <t xml:space="preserve">vol1_s003025_t02_43034224cd1f</t>
  </si>
  <si>
    <t xml:space="preserve">City walls</t>
  </si>
  <si>
    <t xml:space="preserve">CRACKED_AS_SIGN_OF</t>
  </si>
  <si>
    <t xml:space="preserve">Political instability</t>
  </si>
  <si>
    <t xml:space="preserve">vol1_s003025_t03_cc60b17b52d8</t>
  </si>
  <si>
    <t xml:space="preserve">Pinya Shwezigon Pagoda</t>
  </si>
  <si>
    <t xml:space="preserve">COLLAPSED_AS_SIGN_OF</t>
  </si>
  <si>
    <t xml:space="preserve">Cosmic disorder</t>
  </si>
  <si>
    <t xml:space="preserve">vol1_s003026</t>
  </si>
  <si>
    <t xml:space="preserve">vol1_s003026_t01_3124f3bcc74b</t>
  </si>
  <si>
    <t xml:space="preserve">MAINTAINED_ORDER_THROUGH</t>
  </si>
  <si>
    <t xml:space="preserve">Peaceful administration</t>
  </si>
  <si>
    <t xml:space="preserve">မဟာဓမ္မရာဇာဓိရာဇာ-အမည်တော်ရှိသော စဉ့်ကူးမင်းသည်ကား အလှူအတန်း အပေးအကမ်း ရက်ရော လွေ့ ရမ်းတော်မူ၏၊ အခွန်အတုတ် အကောက်အစား စစ်မက် ခိုးသူဒဏ္ဍ မင်းစေတမန် ငြိမ်း၍ တိုင်းပြည် ဝပြော စည်ပင်သာယာ၏၊ နောက် နန်းကျခါနီးတွင်မှ သေနှင့် အကျွမ်းဝင်လေ၍ မှားယွင်းသည် များချေ၏။</t>
  </si>
  <si>
    <t xml:space="preserve">King Singu, who bore the name Mahadhammarajadhiraja, was generous and liberal in his giving and charity; taxes, levies, wars, thieves, disputes, and royal messengers were at peace, and the country was prosperous and flourishing; only later, near the time he was deposed, did he become familiar with death, and many things went wrong.</t>
  </si>
  <si>
    <t xml:space="preserve">vol1_s003026_t02_d200f057005d</t>
  </si>
  <si>
    <t xml:space="preserve">EXPERIENCED_DECLINE_IN</t>
  </si>
  <si>
    <t xml:space="preserve">Political judgment</t>
  </si>
  <si>
    <t xml:space="preserve">vol1_s003027</t>
  </si>
  <si>
    <t xml:space="preserve">vol1_s003027_t01_00f265af0d7f</t>
  </si>
  <si>
    <t xml:space="preserve">RENOVATED_RELIGIOUS_MONUMENTS</t>
  </si>
  <si>
    <t xml:space="preserve">Mahamuni Pagoda</t>
  </si>
  <si>
    <t xml:space="preserve">ပြုတော်မူသော ကောင်းမှုတော်ကားရှေးမင်းတို့ကောင်းမှု-မဟာမြတ်မုနိ, ဂူတော်သစ်, မြို့တွင်းစည်းခုံ, ရွှေစာရံ, မွေအံတော် စေတီတော်များ ယိုယွင်းရှိသည်ကို အသစ် ပြင်ဆင်တော်မူ၍ ချရားသီးကသည် မြေတိုင် ရွှေပိန်းထည့်တော်မူသည် (၅)။</t>
  </si>
  <si>
    <t xml:space="preserve">The meritorious deeds he performed were the renovation of the meritorious deeds of former kings—the Mahamuni, the new Gu-daw, the city Shwezigon, the Shwezayan, and the Mwe-an-daw pagodas—which were in disrepair, and he had them gilded from the finial down to the base (5).</t>
  </si>
  <si>
    <t xml:space="preserve">vol1_s003027_t02_dbac6517b792</t>
  </si>
  <si>
    <t xml:space="preserve">vol1_s003027_t03_2a2934033023</t>
  </si>
  <si>
    <t xml:space="preserve">Shwezayan Pagoda</t>
  </si>
  <si>
    <t xml:space="preserve">vol1_s003027_t04_9281ec1964ae</t>
  </si>
  <si>
    <t xml:space="preserve">Mwe-an-daw Pagoda</t>
  </si>
  <si>
    <t xml:space="preserve">vol1_s003028</t>
  </si>
  <si>
    <t xml:space="preserve">vol1_s003028_t01_87d737642a6f</t>
  </si>
  <si>
    <t xml:space="preserve">REMAINED_INCOMPLETE_DURING</t>
  </si>
  <si>
    <t xml:space="preserve">Singu Min's reign</t>
  </si>
  <si>
    <t xml:space="preserve">ပင်းယရွှေစည်းခုံဘုရားမှာ အုတ်အသင့် လုပ်ဆောင်လျက် ရှိသည်၊ အပြီး မတိုင်လေ။</t>
  </si>
  <si>
    <t xml:space="preserve">The Pinya Shwezigon Pagoda was being built with bricks, but it was not completed.</t>
  </si>
  <si>
    <t xml:space="preserve">vol1_s003029</t>
  </si>
  <si>
    <t xml:space="preserve">vol1_s003029_t01_61b921db162b</t>
  </si>
  <si>
    <t xml:space="preserve">PATRONIZED_CONSTRUCTION_OF</t>
  </si>
  <si>
    <t xml:space="preserve">Ratanasan-lut Jetavana monastery</t>
  </si>
  <si>
    <t xml:space="preserve">ဝတ်ချက်ရွာအောက် ရှေးကျောက်စံကတော် ကျောင်းရာဟောင်းတွင် ရတနာစံလွတ် သုံးထပ် ဇေတဝန်ကျောင်းတော် (၆)။</t>
  </si>
  <si>
    <t xml:space="preserve">At the old site of the Kyaung-san-ka-daw monastery below Wut-chet village, [he built] the three-story Ratanasan-lut Jetavana monastery (6).</t>
  </si>
  <si>
    <t xml:space="preserve">vol1_s003030</t>
  </si>
  <si>
    <t xml:space="preserve">vol1_s003030_t01_35af6c5b0764</t>
  </si>
  <si>
    <t xml:space="preserve">Mahamingala Shwebon Jetavana monastery</t>
  </si>
  <si>
    <t xml:space="preserve">အင်းဝမြို့ကြီးတောင် ရှေးမိုးထိကျောင်းရာဟောင်းတွင် အရံတစ်ဆယ့်နှစ်ကျောင်း ပိဋကတ်တိုက်, တံတိုင်း မီးတားများနှင့်တကွ မဟာမင်္ဂလာရွှေဘုံ ငါးထပ် ဇေတဝန်ကျောင်းတော် (၇)။</t>
  </si>
  <si>
    <t xml:space="preserve">To the south of the great city of Inwa, at the old site of the ancient Moti monastery, [he built] the five-story Mahamingala Shwebon Jetavana monastery, along with twelve auxiliary monasteries, a Pitakat library, and surrounding fire-break walls (7).</t>
  </si>
  <si>
    <t xml:space="preserve">vol1_s003031</t>
  </si>
  <si>
    <t xml:space="preserve">vol1_s003031_t01_67b972a8cd18</t>
  </si>
  <si>
    <t xml:space="preserve">REBUILT_AND_RENAMED</t>
  </si>
  <si>
    <t xml:space="preserve">Mahaloka Thingyit Buddha image</t>
  </si>
  <si>
    <t xml:space="preserve">လောက သရဘူ ဘုရားရှင်ကို တံတိုင်းမီးတားနှင့်တကွ အသစ်ထပ်မံ တည်လုပ်ပြီးလျှင် ရွှေထီးတင်တော်မူ၏၊ ထီးချရားသီး ကသည် မြေတိုင်အောင် ရွှေပိန်းထည့်တော်မူပြီးလျှင် မဟာလောက သင်းကျစ် သမိုက်တော်မူသည် (၈)။</t>
  </si>
  <si>
    <t xml:space="preserve">He newly rebuilt the Loka Sarabhu Buddha image along with fire-break walls and offered a golden umbrella; after having it gilded from the finial of the umbrella down to the base, he named it the Mahaloka Thingyit (8).</t>
  </si>
  <si>
    <t xml:space="preserve">vol1_s003032</t>
  </si>
  <si>
    <t xml:space="preserve">vol1_s003032_t01_5322e5813eae</t>
  </si>
  <si>
    <t xml:space="preserve">Bonkyawweyan Jetavana monastery</t>
  </si>
  <si>
    <t xml:space="preserve">ဘုရားရှင့် အရှေ့မြေပြင်ဝယ် တံတိုင်းမီးတားနှင့်တကွ ဘုံကျော်ဝေယန် လေးထပ်ဇေတဝန်ရွှေကျောင်းတော် (၉)။</t>
  </si>
  <si>
    <t xml:space="preserve">On the ground to the east of the Buddha image, [he built] the four-story Bonkyawweyan Jetavana golden monastery with fire-break walls (9).</t>
  </si>
  <si>
    <t xml:space="preserve">vol1_s003033</t>
  </si>
  <si>
    <t xml:space="preserve">vol1_s003033_t01_287aac21ec5c</t>
  </si>
  <si>
    <t xml:space="preserve">ACCUMULATED_MERIT_THROUGH</t>
  </si>
  <si>
    <t xml:space="preserve">Nine religious works</t>
  </si>
  <si>
    <t xml:space="preserve">ဤသို့ ကိုးဌာနသော ကုသိုလ်တော်တို့ကို ပြုတော်မူ ၏။</t>
  </si>
  <si>
    <t xml:space="preserve">Thus, he performed these nine meritorious deeds.</t>
  </si>
  <si>
    <t xml:space="preserve">vol1_s003034</t>
  </si>
  <si>
    <t xml:space="preserve">vol1_s003034_t01_022c03d5d968</t>
  </si>
  <si>
    <t xml:space="preserve">INTEGRATED_ROYAL_KIN_INTO</t>
  </si>
  <si>
    <t xml:space="preserve">Administrative revenue structure</t>
  </si>
  <si>
    <t xml:space="preserve">သားတော် သမီးတော်ကား...တောင်နန်းမိဖုရား မဟာရတနာစန္ဒာဒေဝီတွင် သမီးတော် ပင်းယမြို့စား တစ်ပါး၊ မြောက်နန်းမိဖုရား သီရိမဟာနန္ဒာဒေဝီတွင် သမီးတော်တစ်ပါး၊ အလယ်နန်းမိဖုရား သီရိမဟာရတနာစန္ဒာဒေဝီတွင် သမီးတော်တစ်ပါး၊ မောင်တော် ပြင်စည်မြို့စားတစ်ပါး၊ ဖောင်ဝန်သမီး မြတ်စွာဒေဝီတွင် သားတော် ဇရွံ့မြို့စားတစ်ပါး၊ ယိုးဒယားဝန် ကျော်ထင်ကျော်သူသမီး တောင်တွင်းမြို့စားတွင် သားတော်မောင်ကလေး တစ်ပါး၊ လှေသင်းဝန် ဒေဝရွှေတောင်သမီး မြေဒူးမြို့စား ပဒုမ-မဟေသီတွင် သားတော်မောင်ကြီးတစ်ပါး၊ နောက်ဝင်းမှူး နေမျိုးသူရသမီး ဝဏ္ဏာဝတီတွင် သားတော်မောင်ကလေး တစ်ပါး၊ မြောက်နန်းတော် ညီမတော် အမိကလေးတွင် သမီးတော်- ငယ်ကလွန်တစ်ပါး၊ ကျီစိုးသမီး စန္ဒာဝတီတွင် သမီးတော်-ငယ်ကလွန်တစ်ပါး၊ ရွှေတံခါးမင်းသမီးတွင် သမီးတော် ငယ်ကလွန်တစ်ပါး၊ သားတော် ခြောက်ပါး, သမီးတော်ငါးပါး, သားတော် သမီးတော်ပေါင်း တစ်ဆယ့် တစ်ပါးတည်း။</t>
  </si>
  <si>
    <t xml:space="preserve">As for his sons and daughters... by the Southern Queen Maharatana Candadevi, one daughter, the Lady of Pinya; by the Northern Queen Sirimahananda Devi, one daughter; by the Middle Queen Sirimaharatanacanda Devi, one daughter and one son, the Lord of Pyinzi; by the daughter of the Phaung-wun, Myatsawadevi, one son, the Lord of Zayun; by the daughter of the Yodaya-wun Kyawhtinkyawthu, the Lady of Taungdwin, one son, Maung Gale; by the daughter of the Hlethein-wun Dewashwetaung, the Lady of Myedu Paduma-mahesi, one son, Maung Gyi; by the daughter of the Naukwin-hmu Nemyothura, Wannawati, one son, Maung Gale; by the younger sister of the Northern Palace, Amigale, one daughter who died in childhood; by the daughter of the Kyiso, Candawati, one daughter who died in childhood; by the Shwetan-ga Princess, one daughter who died in childhood; [totaling] six sons and five daughters, eleven sons and daughters in all.</t>
  </si>
  <si>
    <t xml:space="preserve">vol1_s003034_t02_aeb9381dcb55</t>
  </si>
  <si>
    <t xml:space="preserve">Daughter of Singu Min</t>
  </si>
  <si>
    <t xml:space="preserve">HELD_TITLE</t>
  </si>
  <si>
    <t xml:space="preserve">Lady of Pinya</t>
  </si>
  <si>
    <t xml:space="preserve">vol1_s003034_t03_68e27afa860d</t>
  </si>
  <si>
    <t xml:space="preserve">Son of Singu Min</t>
  </si>
  <si>
    <t xml:space="preserve">Lord of Pyinzi</t>
  </si>
  <si>
    <t xml:space="preserve">vol1_s003034_t04_b54f6b94af70</t>
  </si>
  <si>
    <t xml:space="preserve">Lord of Zayun</t>
  </si>
  <si>
    <t xml:space="preserve">vol1_s003034_t05_f8a9f35c84c2</t>
  </si>
  <si>
    <t xml:space="preserve">Lord of Myedu</t>
  </si>
  <si>
    <t xml:space="preserve">Myedu is the appanage of Paduma Mahesi, the prince's mother. The son is Maung Gyi; the passage does not give him Myedu.</t>
  </si>
  <si>
    <t xml:space="preserve">Paduma Mahesi HOLDS_APPANAGE Myedu; she is mother of Maung Gyi.</t>
  </si>
  <si>
    <t xml:space="preserve">vol1_s003063</t>
  </si>
  <si>
    <t xml:space="preserve">vol1_s003063_t01_68d956b2efe2</t>
  </si>
  <si>
    <t xml:space="preserve">ENSHRINED_SACRED_OBJECTS_IN</t>
  </si>
  <si>
    <t xml:space="preserve">Thirteen reliquary chambers</t>
  </si>
  <si>
    <t xml:space="preserve">သလွဲဖြူရုပ်တုတော်၊ ကြေးရုပ်တုတော်၊ ကျောက်ဖြူ၊ ရုပ်တုတော်များကိုလည်း ဌပနာတော်မူသည်။</t>
  </si>
  <si>
    <t xml:space="preserve">[He] also enshrined white marble statues, bronze statues, and white stone statues.</t>
  </si>
  <si>
    <t xml:space="preserve">vol1_s003064</t>
  </si>
  <si>
    <t xml:space="preserve">vol1_s003064_t01_f50ce7ec767f</t>
  </si>
  <si>
    <t xml:space="preserve">Royal family and ministers</t>
  </si>
  <si>
    <t xml:space="preserve">ဆိုခဲ့ပြီးသော ဌပနာတိုက်တော်တို့၌ မင်းမိဖုရား, သားတော်, သမီးတော်, ဆွေတော်မျိုးတော်, မှူးတော်မတ်တော်တို့ကလည်း ရွှေ၊ ငွေ, မိုးကြိုး, ပယင်း, ပဉ္စလောဟာ, ဖလ်မှန်တို့ဖြင့်ပြီးသော ရုပ်တုတော်, ဆင်းတုတော်, စေတီတော်, ဓာတ်တော်, မွေတော်များစွာ ဌပနာကြကုန် ၏။</t>
  </si>
  <si>
    <t xml:space="preserve">In the aforementioned reliquary chambers, the King, Queens, Princes, Princesses, relatives, and ministers also enshrined many statues, images, pagodas, relics, and sacred remains made of gold, silver, meteoric iron, amber, five-metal alloy, and glass.</t>
  </si>
  <si>
    <t xml:space="preserve">vol1_s003065</t>
  </si>
  <si>
    <t xml:space="preserve">vol1_s003065_t01_0aa760ffc01b</t>
  </si>
  <si>
    <t xml:space="preserve">SEALED_RELIC_CHAMBERS_WITH</t>
  </si>
  <si>
    <t xml:space="preserve">Molten white marble</t>
  </si>
  <si>
    <t xml:space="preserve">The sealing action is true, but သလွဲဖြူ is tin, not marble; the material gloss is wrong.</t>
  </si>
  <si>
    <t xml:space="preserve">Retain the chamber-sealing relationship; verify the သလွဲဖြူ material gloss rather than call it marble.</t>
  </si>
  <si>
    <t xml:space="preserve">ထိုသို့ ဌပနာတော်မူပြီးသော် တစ်ဆယ့်သုံးရပ်သော ဌပနာတိုက်တို့၌ ပဉ္စလောဟာ ကြေးချောင်းတို့ကို အပြည့်ခင်းပြီးမှ ရွှေအုတ်, ငွေအုတ်, ကြေးအုတ်တို့ဖြင့် လွှမ်းဖုံး၍ တစ်ခဲနက်သော သလွဲဖြူရည်ကို သွန်းလုပ်ဖုံးစေ၏။</t>
  </si>
  <si>
    <t xml:space="preserve">After having enshrined them in that manner, [he] had the thirteen reliquary chambers completely floored with five-metal alloy and bronze bars, covered over with gold, silver, and bronze bricks, and then had molten white marble poured to seal them into a solid mass.</t>
  </si>
  <si>
    <t xml:space="preserve">vol1_s003066</t>
  </si>
  <si>
    <t xml:space="preserve">vol1_s003066_t01_c3365d820f93</t>
  </si>
  <si>
    <t xml:space="preserve">Minye Minhla Shwetaung</t>
  </si>
  <si>
    <t xml:space="preserve">APPOINTED_BY_KING_AS</t>
  </si>
  <si>
    <t xml:space="preserve">Pyinzi Cavalry Commander</t>
  </si>
  <si>
    <t xml:space="preserve">သက္ကရာဇ် (၁၁၄၄) တစ်ထောင့်တစ်ရာ့လေးဆယ့်လေးခု ကဆုန်လဆန်းလေးရက် တနင်္လာနေ့ မင်းရဲ မင်းလှရွှေတောင်ကို ပြင်စည်မြင်းမှုး၊ မင်းရဲကျော်ကို ပင်းမြင်းမှူး၊ မင်းလှရာဇာကို လက်ရွေးငယ်မြင်းမှူး၊ မင်းလှ ရွှေတောင်ကို လံဘူးမြင်းမှူး၊ မောင်ဖြေကို ကျောက်ဆောက်မြင်းမှူး၊ မောင်သာပင်ကို ယူတော်မူမြင်းမှူး၊ မောင်ပုတ်ကို စောဘွတ် အိုးမြင်းမှူး၊ ပစ္စယရာဇာကို ခက်လုံမြင်းမှူး ခန့်တော်မူသည်။</t>
  </si>
  <si>
    <t xml:space="preserve">On Monday, the 4th waxing day of Kason, 1144 [Burmese Era], [he] appointed Minye Minhla Shwetaung as Pyinzi Cavalry Commander, Minye Kyaw as Pin Cavalry Commander, Minhla Raza as Letwethange Cavalry Commander, Minhla Shwetaung as Lanbu Cavalry Commander, Maung Hpye as Kyaukseauk Cavalry Commander, Maung Thapin as Yutawmu Cavalry Commander, Maung Pot as Sawbut O Cavalry Commander, and Paccayaraza as Khetlon Cavalry Commander.</t>
  </si>
  <si>
    <t xml:space="preserve">vol1_s003066_t02_67a9d8bee17b</t>
  </si>
  <si>
    <t xml:space="preserve">Minye Kyaw</t>
  </si>
  <si>
    <t xml:space="preserve">Pin Cavalry Commander</t>
  </si>
  <si>
    <t xml:space="preserve">vol1_s003066_t03_185a0357363e</t>
  </si>
  <si>
    <t xml:space="preserve">Minhla Raza</t>
  </si>
  <si>
    <t xml:space="preserve">Letwethange Cavalry Commander</t>
  </si>
  <si>
    <t xml:space="preserve">vol1_s003066_t04_e5cd82bfcef8</t>
  </si>
  <si>
    <t xml:space="preserve">Minhla Shwetaung</t>
  </si>
  <si>
    <t xml:space="preserve">Lanbu Cavalry Commander</t>
  </si>
  <si>
    <t xml:space="preserve">vol1_s003066_t05_8cdb9619f0de</t>
  </si>
  <si>
    <t xml:space="preserve">Maung Hpye</t>
  </si>
  <si>
    <t xml:space="preserve">Kyaukseauk Cavalry Commander</t>
  </si>
  <si>
    <t xml:space="preserve">vol1_s003066_t06_223716785acf</t>
  </si>
  <si>
    <t xml:space="preserve">Maung Thapin</t>
  </si>
  <si>
    <t xml:space="preserve">Yutawmu Cavalry Commander</t>
  </si>
  <si>
    <t xml:space="preserve">vol1_s003066_t07_69c19c2940d3</t>
  </si>
  <si>
    <t xml:space="preserve">Maung Pot</t>
  </si>
  <si>
    <t xml:space="preserve">Sawbut O Cavalry Commander</t>
  </si>
  <si>
    <t xml:space="preserve">vol1_s003066_t08_bb025e532f44</t>
  </si>
  <si>
    <t xml:space="preserve">Paccayaraza</t>
  </si>
  <si>
    <t xml:space="preserve">Khetlon Cavalry Commander</t>
  </si>
  <si>
    <t xml:space="preserve">vol1_s003067</t>
  </si>
  <si>
    <t xml:space="preserve">vol1_s003067_t01_be845e872e4a</t>
  </si>
  <si>
    <t xml:space="preserve">FORMED_MILITARY_UNIT</t>
  </si>
  <si>
    <t xml:space="preserve">Forty-strong Royal Front Gate Commander blood-oath group</t>
  </si>
  <si>
    <t xml:space="preserve">ကဆုန်လဆန်း ကိုးရက်J နေ့တွင် ရှေ့ဝင်းတော်မှူးတို့ အရည်တူလူပေါင်း နှစ်ဆယ်ကို လေးဆယ်တော် ရှေ့ဝင်းမှူးသွေးသောက် ဖွဲ့တော်မူသည်။</t>
  </si>
  <si>
    <t xml:space="preserve">On the 9th waxing day of Kason, [he] formed a forty-strong Royal Front Gate Commander blood-oath group consisting of twenty men of equal rank from the Front Gate Commanders.</t>
  </si>
  <si>
    <t xml:space="preserve">vol1_s003068</t>
  </si>
  <si>
    <t xml:space="preserve">vol1_s003068_t01_c4ea46698717</t>
  </si>
  <si>
    <t xml:space="preserve">Forty-strong Thiha Minye blood-oath group</t>
  </si>
  <si>
    <t xml:space="preserve">သီဟမင်းရဲတို့ အရည်တူလူပေါင်း နှစ်ဆယ်ကို လေးဆယ်တော် သီဟမင်းရဲသွေးသောက် ဖွဲ့တော်မူသည်။</t>
  </si>
  <si>
    <t xml:space="preserve">[He] formed a forty-strong Thiha Minye blood-oath group consisting of twenty men of equal rank from the Thiha Minye [group].</t>
  </si>
  <si>
    <t xml:space="preserve">vol1_s003069</t>
  </si>
  <si>
    <t xml:space="preserve">vol1_s003069_t01_94519447d8e8</t>
  </si>
  <si>
    <t xml:space="preserve">Fifty-strong Aggathena blood-oath group</t>
  </si>
  <si>
    <t xml:space="preserve">အဂ္ဂသေနကျော်တို့ အရည်တူလူပေါင်း နှစ်ဆယ့်ငါးကို ငါးဆယ်တော် အဂ္ဂသေနသွေးသောက် ဖွဲ ့တော်မူသည်။</t>
  </si>
  <si>
    <t xml:space="preserve">[He] formed a fifty-strong Aggathena blood-oath group consisting of twenty-five men of equal rank from the Aggathena Kyaw [group].</t>
  </si>
  <si>
    <t xml:space="preserve">vol1_s003070</t>
  </si>
  <si>
    <t xml:space="preserve">vol1_s003070_t01_027aead79ae0</t>
  </si>
  <si>
    <t xml:space="preserve">Fifty-strong Kyi-wun blood-oath group</t>
  </si>
  <si>
    <t xml:space="preserve">ကျီဝန်တို့ အရည်တူလူပေါင်း နှစ်ဆယ့်ငါးကို ငါးဆယ်တော် ကျီဝန်သွေးသောက် ဖွဲ့ တော်မူသည်။</t>
  </si>
  <si>
    <t xml:space="preserve">[He] formed a fifty-strong Kyi-wun blood-oath group consisting of twenty-five men of equal rank from the Kyi-wuns.</t>
  </si>
  <si>
    <t xml:space="preserve">vol1_s003071</t>
  </si>
  <si>
    <t xml:space="preserve">vol1_s003071_t01_497ce8a51c77</t>
  </si>
  <si>
    <t xml:space="preserve">Senior monks</t>
  </si>
  <si>
    <t xml:space="preserve">EXAMINED_RELIGIOUS_CANDIDATES</t>
  </si>
  <si>
    <t xml:space="preserve">Novice monks</t>
  </si>
  <si>
    <t xml:space="preserve">နယုန်လ ပထမပဉ္စင်းလောင်း သာမဏေ သုံးဆယ့်ရှစ်ပါးတို့ကို သုဓမ္မာဇရပ်မှာ စည်းဝေးစေ၍ ဆရာတော်တို့ စာမေးကြရသည်။</t>
  </si>
  <si>
    <t xml:space="preserve">In the month of Nayon, [he] had thirty-eight novice monks, who were candidates for the first ordination, assemble at the Sudhamma Zayat to be examined by the senior monks.</t>
  </si>
  <si>
    <t xml:space="preserve">vol1_s003071_t02_b256829243c7</t>
  </si>
  <si>
    <t xml:space="preserve">REGULATED_RELIGIOUS_ORDER_THROUGH</t>
  </si>
  <si>
    <t xml:space="preserve">Examination of novices</t>
  </si>
  <si>
    <t xml:space="preserve">vol1_s003072</t>
  </si>
  <si>
    <t xml:space="preserve">vol1_s003072_t01_284d340f7c66</t>
  </si>
  <si>
    <t xml:space="preserve">Pindale Prince</t>
  </si>
  <si>
    <t xml:space="preserve">RECEIVED_FIEF_FROM_KING</t>
  </si>
  <si>
    <t xml:space="preserve">Pindale town</t>
  </si>
  <si>
    <t xml:space="preserve">နယုန်လပြည့်ကျော် နှစ်ရက် နေ့ ညီတော် ပင်းတလဲမင်းကို ပင်းတလဲမြို့ကို ထပ်၍ မြို့စားပေးတော်မူသည်။</t>
  </si>
  <si>
    <t xml:space="preserve">On the 2nd waning day of Nayon, [he] additionally granted the town of Pindale to his younger brother, the Pindale Prince, as a fief.</t>
  </si>
  <si>
    <t xml:space="preserve">vol1_s003073</t>
  </si>
  <si>
    <t xml:space="preserve">vol1_s003073_t01_56730293b872</t>
  </si>
  <si>
    <t xml:space="preserve">Eldest Prince</t>
  </si>
  <si>
    <t xml:space="preserve">Shwetaung town</t>
  </si>
  <si>
    <t xml:space="preserve">လပြည့်ကျော် လေးရက် ကြာသပတေးနေ့ သားတော်အကြီးကို ရွှေတောင်မြို့ ၊ သားတော်အလတ်ကို စကုမြို့၊ သားတော် အငယ်ကို ကာမမြို့ ကို ပေးတော်မူသည်။</t>
  </si>
  <si>
    <t xml:space="preserve">On Thursday, the 4th waning day, [he] granted Shwetaung town to the eldest prince, Sagu town to the middle prince, and Kama town to the youngest prince.</t>
  </si>
  <si>
    <t xml:space="preserve">vol1_s003073_t02_57982f43c38e</t>
  </si>
  <si>
    <t xml:space="preserve">Middle Prince</t>
  </si>
  <si>
    <t xml:space="preserve">Sagu town</t>
  </si>
  <si>
    <t xml:space="preserve">vol1_s003073_t03_e44890d2c2b5</t>
  </si>
  <si>
    <t xml:space="preserve">Youngest Prince</t>
  </si>
  <si>
    <t xml:space="preserve">Kama town</t>
  </si>
  <si>
    <t xml:space="preserve">vol1_s003074</t>
  </si>
  <si>
    <t xml:space="preserve">vol1_s003074_t01_b404c6ca316e</t>
  </si>
  <si>
    <t xml:space="preserve">Eldest Princess</t>
  </si>
  <si>
    <t xml:space="preserve">Kanni town</t>
  </si>
  <si>
    <t xml:space="preserve">သမီးတော်အကြီးကို ကန္နီမြို့၊ သမီးတော်အလတ်ကို တောင်တွင်းကြီးမြို့ ၊ သမီးတော်အငယ်ကို မြေဒူးမြို့၊ အလယ်နန်းတော် သမီးတော်ကို ဟင်္သာတမြို့၊ ခမည်းတော် သမီးတော် မင်းရွှေမြကို ယင်းတော်မြို့၊ မင်းညိုမြကို ပင်းမြို့ကို ပေးတော်မူသည်။</t>
  </si>
  <si>
    <t xml:space="preserve">[He] granted Kanni town to the eldest princess, Taungdwingyi town to the middle princess, Myedu town to the youngest princess, Hinthada town to the Middle Palace princess, Yindaw town to his father's daughter Min Shwe Mya, and Pin town to Min Nyo Mya.</t>
  </si>
  <si>
    <t xml:space="preserve">vol1_s003074_t02_da0134a92d45</t>
  </si>
  <si>
    <t xml:space="preserve">Middle Princess</t>
  </si>
  <si>
    <t xml:space="preserve">Taungdwingyi town</t>
  </si>
  <si>
    <t xml:space="preserve">vol1_s003074_t03_8f0ffbfe54c7</t>
  </si>
  <si>
    <t xml:space="preserve">Youngest Princess</t>
  </si>
  <si>
    <t xml:space="preserve">Myedu town</t>
  </si>
  <si>
    <t xml:space="preserve">vol1_s003074_t04_a83d0ad78e4a</t>
  </si>
  <si>
    <t xml:space="preserve">Middle Palace Princess</t>
  </si>
  <si>
    <t xml:space="preserve">Hinthada town</t>
  </si>
  <si>
    <t xml:space="preserve">vol1_s003074_t05_b45c03d5e9af</t>
  </si>
  <si>
    <t xml:space="preserve">Min Shwe Mya</t>
  </si>
  <si>
    <t xml:space="preserve">Yindaw town</t>
  </si>
  <si>
    <t xml:space="preserve">vol1_s003074_t06_9b942e027084</t>
  </si>
  <si>
    <t xml:space="preserve">Min Nyo Mya</t>
  </si>
  <si>
    <t xml:space="preserve">Pin town</t>
  </si>
  <si>
    <t xml:space="preserve">vol1_s003075</t>
  </si>
  <si>
    <t xml:space="preserve">vol1_s003075_t01_f5aacdf2044c</t>
  </si>
  <si>
    <t xml:space="preserve">Minye Nyunt</t>
  </si>
  <si>
    <t xml:space="preserve">Myingun town</t>
  </si>
  <si>
    <t xml:space="preserve">ခမည်းတော်တော်ဘုရား သားတော် မင်းရဲညွန့်ကို မြင်ကွန်းမြို့၊ မင်းရဲဖျားကို မြဝတီမြို့၊ နောင်တော် ဆင်ဖြူရှင်မင်း သားတော် မင်းသားမောင်မောင်ကို ပတ္တနဂိုရ်မြို့ ကို ပေးတော်မူသည်။</t>
  </si>
  <si>
    <t xml:space="preserve">[He] granted Myingun town to his father's son Minye Nyunt, Mawlamyine town to Minye Phya, and Patanago town to Prince Maung Maung, the son of his elder brother, the King [known as] Sinbyushin.</t>
  </si>
  <si>
    <t xml:space="preserve">vol1_s003075_t02_63eced8f1ac5</t>
  </si>
  <si>
    <t xml:space="preserve">Minye Phya</t>
  </si>
  <si>
    <t xml:space="preserve">Mawlamyine town</t>
  </si>
  <si>
    <t xml:space="preserve">The granted town is Myawaddy (မြဝတီ), not Mawlamyine.</t>
  </si>
  <si>
    <t xml:space="preserve">Minye Phya RECEIVED_FIEF_FROM_KING Myawaddy.</t>
  </si>
  <si>
    <t xml:space="preserve">vol1_s003075_t03_3766445d70d4</t>
  </si>
  <si>
    <t xml:space="preserve">Prince Maung Maung</t>
  </si>
  <si>
    <t xml:space="preserve">Patanago town</t>
  </si>
  <si>
    <t xml:space="preserve">vol1_s003076</t>
  </si>
  <si>
    <t xml:space="preserve">vol1_s003076_t01_75ec03320229</t>
  </si>
  <si>
    <t xml:space="preserve">Minye Thagathu</t>
  </si>
  <si>
    <t xml:space="preserve">Pinya Cavalry Commander</t>
  </si>
  <si>
    <t xml:space="preserve">မင်းရဲသာဂသူကိုလည်း ပင်းယမြင်းမှူး ခန့်တော်မူသည်။</t>
  </si>
  <si>
    <t xml:space="preserve">[He] also appointed Minye Thagathu as Pinya Cavalry Commander.</t>
  </si>
  <si>
    <t xml:space="preserve">vol1_s003077</t>
  </si>
  <si>
    <t xml:space="preserve">vol1_s003077_t01_a7439123c52f</t>
  </si>
  <si>
    <t xml:space="preserve">PERFORMED_RITE_OF_PASSAGE_FOR</t>
  </si>
  <si>
    <t xml:space="preserve">Sagu Prince</t>
  </si>
  <si>
    <t xml:space="preserve">ဝါဆိုလဆန်း တစ်ဆယ့်တစ်ရက်ဇ် ကြာသပတေးနေ့ တစ်ချက်တီးကျော်၊ နှစ်နာရီသုံးပါဒ်တွင် သားတော် အလတ် စကုမင်းသားကို သျှောင်ထုံးပေါက်ချပ် ဆင်တော်မူ၍ နားထွင်းတော်မူသည်။</t>
  </si>
  <si>
    <t xml:space="preserve">On Thursday, the 11th waxing day of Waso, at two hours and three parts past the first strike of the gong, [he] had the middle prince, the Sagu Prince, wear the topknot and ear-boring ornaments, and performed the ear-boring ceremony.</t>
  </si>
  <si>
    <t xml:space="preserve">vol1_s003078</t>
  </si>
  <si>
    <t xml:space="preserve">vol1_s003078_t01_3e7ddd9445d3</t>
  </si>
  <si>
    <t xml:space="preserve">Kama Prince</t>
  </si>
  <si>
    <t xml:space="preserve">ဝါဆိုလဆန်း တစ်ဆယ့် သုံးရက်? စနေနေ့ သုံးချက်တီးကျော်၊ လေးနာရီနှစ်ပါဒ်တွင် သားတော်ကာမမင်းသားကို သျှောင်ထုံးပေါက်ချပ် ဆင်တော်မူ၍ နားထွင်းတော်မူသည်။</t>
  </si>
  <si>
    <t xml:space="preserve">On Saturday, the 13th waxing day of Waso, at four hours and two parts past the third strike of the gong, [he] had the Kama Prince wear the topknot and ear-boring ornaments, and performed the ear-boring ceremony.</t>
  </si>
  <si>
    <t xml:space="preserve">vol1_s003079</t>
  </si>
  <si>
    <t xml:space="preserve">vol1_s003079_t01_56b49049a34b</t>
  </si>
  <si>
    <t xml:space="preserve">SPONSORED_RELIGIOUS_ORDINATION_OF</t>
  </si>
  <si>
    <t xml:space="preserve">Thirty-eight novice monks</t>
  </si>
  <si>
    <t xml:space="preserve">ဝါဆိုလဆန်း တစ်ဆယ့်လေးရက် တနင်္ဂနွေနေ့ ပထမပဉ္စင်းလောင်း သာမဏေ သုံးဆယ့်ရှစ်ပါး ပြုတော်မူသည်။</t>
  </si>
  <si>
    <t xml:space="preserve">On Sunday, the 14th waxing day of Waso, [he] performed the first ordination for the thirty-eight novice monks.</t>
  </si>
  <si>
    <t xml:space="preserve">vol1_s003080</t>
  </si>
  <si>
    <t xml:space="preserve">vol1_s003080_t01_22d478a1004f</t>
  </si>
  <si>
    <t xml:space="preserve">Shwetaung Prince</t>
  </si>
  <si>
    <t xml:space="preserve">Regalia and status symbols</t>
  </si>
  <si>
    <t xml:space="preserve">ဝါဆိုလပြည့်ကျော် တစ်ရက်ဖို အင်္ဂါနေ့ သားတော် ရွှေတောင်မင်းကို ဝေါပလာရွှေပိန်း၊ အတွင်း အနီသုတ် ကျိုင်းချက်နှစ် အထွတ်ရွှေပိန်း၊ ကွမ်းခွက်ရှစ်ထောင့်မှန်တပ်၊ အနားပတ္တမြား နှစ်ရစ်စီ၊ ကွမ်းလိပ်သုံးမြွာ အနား ပတ္တမြားနှစ်ရစ်စီ၊ လက်ဘက်အိုး တကောင်းပိတ်မှန်တပ် အထွတ်ပတ္တမြား နှစ်ရစ်စီ၊ ရွှေထွေးအင်၊ ဓားမိုးကြိုးစင် မည်းသရီ အိတ်သွတ်၊ ဗောင်းကတ္တီပါနီ ရွှေရောင်ပြား အစိမ်း,အနီ, အဝါ, အဖြူခြယ်၊ ပန်းနားချောင်း၊ မြင်းကကိုင်း ညောင်ရွက်ကိုး ရွှေဗုဇွန်ခွံမွမ်း နင်းနှင်းသိပ်၊ ဆက်ပါးကာ နားကာ ရွှေဇဝါပိန်း၊ ကတောင်ရွှေပိန်း၊ မြင်းကြိုး ဦးခက်ထိပ်ဆောင်း မြီးပျမ်း ရင်ဘတ်ကြိုး ကတ္တီပါ ရွှေကြယ်တပ်၊ စီးနှီးကတ္တီပါတင်ရမ်း၊ ဆက်ညွှန်းသုံးဆင့် ရွှေယက်ပြားကွပ်၊ ဆင်သက္ကလတ်ကြိုး ရွှေကြယ်တပ်၊ ရဲက ရွှေတစု အနီတစု၊ ဆင်ခြေဖုံး မိုးနဲရွှေလှံ ငါးဆယ်၊ စည်နီခုနစ်၊ စည်ပုတ်တစ်၊ ပုံသာတစ်၊ လင်းခွင်းတစ်၊ ငွေခရာတစ်၊ ငွေနှဲကြီးနှစ်၊ ငွေနှဲငယ်သုံး သနားတော်မူသည်။</t>
  </si>
  <si>
    <t xml:space="preserve">On Tuesday, the 1st waning day of Waso, [he] bestowed upon his son, the Shwetaung Prince: a gold-gilded palanquin, a red-lined inner [covering], two betel boxes with gold-gilded lids, eight-cornered betel boxes with glass insets and two rows of ruby trim, three betel rolls with two rows of ruby trim, a tea jar with a glass-inlaid lid and two rows of ruby trim, a gold spittoon, a meteoric iron sword with a black-lacquered sheath, a red velvet crown with gold-colored plates decorated in green, red, yellow, and white, a floral-patterned earpiece, a horse-saddle with nine banyan-leaf [motifs] and gold-prawn-shell inlay, a tight-fitting saddle pad, side-flaps and ear-flaps with gold-zwa-gilded [work], a gold-gilded saddle-skirt, a horse-bridle with a crown-top ornament, a tail-piece, a chest-strap with gold stars, a velvet-covered saddle-seat, a three-tiered saddle-flap with gold-woven trim, a wool-cloth horse-strap with gold stars, a group of red and gold [royal] guards, fifty Momeik gold-tipped spears for the elephant-foot soldiers, seven red drums, one drum-beater, one cymbal, one gong, one silver trumpet, two large silver oboes, and three small silver oboes.</t>
  </si>
  <si>
    <t xml:space="preserve">vol2</t>
  </si>
  <si>
    <t xml:space="preserve">vol2_s000542</t>
  </si>
  <si>
    <t xml:space="preserve">vol2_s000542_t01_4af888dba802</t>
  </si>
  <si>
    <t xml:space="preserve">PERFORMED_RITUAL_FOR</t>
  </si>
  <si>
    <t xml:space="preserve">Prince of Kawlin</t>
  </si>
  <si>
    <t xml:space="preserve">တပို့တွဲလဆန်းခုနစ်ရက် တနင်္လာနေ့ သားတော် ကောလင်းမင်းသား မင်းရဲမြတ်စွာကို နားဋောင်းကြက်ရင်၊ ဓားမိုးကြိုးစင် သက္ကလတ် အိတ်နီသွတ်၊ ဗောင်းကတ္တီပါရွှေသားခုနစ်ပွင့်၊ အထက်အောက် နဖူးစည်း၊ တမာရွက်ထောင်၊ မှောက်တိုရွှေပိန်း၊ ရွှေကုံး စိန်တောင်ကိုး၊ ရွှေထိပ်ရွှေထွတ် ငှက်မြတ်နားစိန်ပွင့် တစ်ဆယ့်နှစ်၊ နေရောင်ကာ ပါးကာ နားကာ မောက်ရူပါလည်ကွေး ရှေ့ကာ နောက်ကာ ကတ္တီပါယက်ပြားတပ် ပေးတော်မူသည်။</t>
  </si>
  <si>
    <t xml:space="preserve">On the seventh day of the waxing moon of Tabodwe, Monday, [the King] performed the ear-boring ceremony for his son, the Prince of Kawlin, Minye Myat Swa, and bestowed upon him a lightning-patterned sword with a red velvet sheath, a velvet crown with seven gold flowers, upper and lower headbands, a standing tamarind-leaf [ornament], a short-brimmed gold-plated hat, a gold necklace with nine diamond points, twelve gold-tipped and gold-topped precious bird-ear diamond ornaments, and sun-shades, cheek-shades, ear-shades, a neck-guard, front-shades, and back-shades with velvet-woven plates attached.</t>
  </si>
  <si>
    <t xml:space="preserve">vol2_s000542_t02_835f17bb6248</t>
  </si>
  <si>
    <t xml:space="preserve">BESTOWED_REGALIA_UPON</t>
  </si>
  <si>
    <t xml:space="preserve">vol2_s000542_t03_b082d7aec4bd</t>
  </si>
  <si>
    <t xml:space="preserve">RECEIVED_STATUS_FROM</t>
  </si>
  <si>
    <t xml:space="preserve">vol2_s000543</t>
  </si>
  <si>
    <t xml:space="preserve">vol2_s000543_t01_9cafd563090a</t>
  </si>
  <si>
    <t xml:space="preserve">COMMISSIONED_INFRASTRUCTURE</t>
  </si>
  <si>
    <t xml:space="preserve">Nanda Lake</t>
  </si>
  <si>
    <t xml:space="preserve">နန္ဒာကန်ကို ဆည်ဖို့လုပ်ဆောင်၍ စေတီတော်များကို ရွှေချပြီး ထီးတင်ခြင်း စသည်နှင့် သားတော်များ ဘွဲ့ပေးခြင်း ထိုနှစ် တပေါင်းလပြည့်ကျော် နှစ်ရက်ခံ သောကြာနေ့ သရက္ခန်ဥယျာဉ်တော်သို့ ထွက်တော်မူပြီးလျှင် သရက္ခန် ကန်တော်မြောက် ဥယျာဉ်တော်တွင် သဘင်နန်းနှင့် စံတော်မူသည်။</t>
  </si>
  <si>
    <t xml:space="preserve">After working on damming the Nanda Lake, gilding the pagodas, and hoisting the umbrellas, along with bestowing titles upon his sons, on the second day of the waning moon of Tabaung of that year, Friday, he departed for the Tharakkhan Royal Garden and resided in the festival palace in the garden north of the Tharakkhan Royal Lake.</t>
  </si>
  <si>
    <t xml:space="preserve">vol2_s000543_t02_6e7cb1adc6d9</t>
  </si>
  <si>
    <t xml:space="preserve">PERFORMED_RELIGIOUS_MERIT</t>
  </si>
  <si>
    <t xml:space="preserve">Pagodas</t>
  </si>
  <si>
    <t xml:space="preserve">vol2_s000543_t03_49afa18ddb8a</t>
  </si>
  <si>
    <t xml:space="preserve">BESTOWED_TITLES_UPON</t>
  </si>
  <si>
    <t xml:space="preserve">Sons</t>
  </si>
  <si>
    <t xml:space="preserve">vol2_s000543_t04_71ab65704a53</t>
  </si>
  <si>
    <t xml:space="preserve">Tharakkhan Royal Garden</t>
  </si>
  <si>
    <t xml:space="preserve">vol2_s000544</t>
  </si>
  <si>
    <t xml:space="preserve">vol2_s000544_t01_63715197613c</t>
  </si>
  <si>
    <t xml:space="preserve">ISSUED_ORDER_TO</t>
  </si>
  <si>
    <t xml:space="preserve">Princes and Ministers</t>
  </si>
  <si>
    <t xml:space="preserve">ထိုအခါ သားတော် မဟာဥပရာဇာ စသော မင်းညီမင်းသား မှူးတော်မတ်တော်တို့ကို အမိန့်တော်ရှိသည်ကား...မောင်းမကန်သည် ပုဂံ အလောင်းစည်သူမင်း တည်ထားသည့်ကန် ဖြစ်သည်။</t>
  </si>
  <si>
    <t xml:space="preserve">At that time, he gave an order to the princes, including his son the Maha Uparaja, and the ministers, saying: The Maungma Lake is a lake established by King Alaungsithu of Bagan.</t>
  </si>
  <si>
    <t xml:space="preserve">vol2_s000544_t02_309615632cb3</t>
  </si>
  <si>
    <t xml:space="preserve">CLAIMED_HISTORICAL_LEGITIMACY_THROUGH</t>
  </si>
  <si>
    <t xml:space="preserve">King Alaungsithu</t>
  </si>
  <si>
    <t xml:space="preserve">vol2_s000544_t03_a9de999f36fe</t>
  </si>
  <si>
    <t xml:space="preserve">Maungma Lake</t>
  </si>
  <si>
    <t xml:space="preserve">ESTABLISHED_BY</t>
  </si>
  <si>
    <t xml:space="preserve">vol2_s000545</t>
  </si>
  <si>
    <t xml:space="preserve">vol2_s000545_t01_7a7e1df7a9fa</t>
  </si>
  <si>
    <t xml:space="preserve">PLANNED_INFRASTRUCTURE_PROJECT</t>
  </si>
  <si>
    <t xml:space="preserve">ယခု ယိုယွင်းရှိသည်ကို ငါပြုစုတော်မူမည်၊ အောင်ပင်လယ်ကန်လည်း မန္တ လေး တောင်-တောင်က ဆက်၍ ရှိသည်၊ မောင်းမကန်မှာ မန္တ လေးတောင်-မြောက်ကဆက်၍ ကုလားမတောင်သို့ ဆက်မိအောင် ဆည်တားရလျှင် ရွှေလောင်းမြောင်းရေသွင်း အရှေ့, ရေတံခွန်ရေကျ ကြူဝန်းဆည် ရေလာများနှင့် ဖြစ်၍ ကန်ကြီးနှစ်ကန် ရေပြင်ချင်း စပ်မိသည့်ကာလ အမရပူရ ရွှေပြည်တော်ကြီးသည် ရေအပြင်၌ တင်ထားသကဲ့သို့ ရှိ၍ အလွန်တင့်တယ်မည်၊ တစ်ကြောင်းလည်း မြို့တော်အရှေ့မျက်နှာ ရေတစ်ပြင်တည်းဖြစ်၍ ရန်သူအပေါင်းတို့ မလှုပ်မရှားနိုင်ရာ၊ သို့ဖြစ်၍ နောက်တော်တွင် ပါသည့် ရဲမက်တော်အပေါင်းနှင့် ဆည်တော်မူမည်-အမိန့်တော် ရှိပြီးလျှင် တာပေးဝေတော်မူသည်ကား… မန္တ လေးတောင်ကို မြောက်က ဆက်၍ မြောက်သို့ အဖြောင့်တာ နှစ်ထောင်ကွာ ကုလားမတောင်သို့ အဆိုက်၊ ကန်ရိုးအခြေ တစ်ဆယ့်ငါးတာ, အမြင့် သံတောင်နှစ်ဆယ်, တာထိပ် နှစ်တာများကို နောက်တော်တွင်ပါသည့် ရဲမက်တော်တို့တွင် အသီးအသီး အကြီးအကြပ် ခန့်တော်မူ၍ ဆည်ဖို့ ကြရသည်။</t>
  </si>
  <si>
    <t xml:space="preserve">Now that it is in disrepair, I will restore it; the Aungpinle Lake also exists, connected from the south of Mandalay Hill; if the Maungma Lake is dammed so that it connects from the north of Mandalay Hill to Kularma Hill, and with the water inflow from the Shwelaung canal, the eastern water, the waterfall water, and the Kyu-wun dam water, when the water surfaces of the two great lakes meet, the great golden city of Amarapura will look as if it is placed on the surface of the water and will be very beautiful; furthermore, the eastern side of the city will be a single expanse of water, so that all enemies will be unable to move; therefore, I will dam it with all the soldiers who are in my retinue—after giving the order, he distributed the measurements, saying: From the north of Mandalay Hill, connecting to the north, in a straight line for two thousand ta, reaching Kularma Hill, with a lake embankment base of fifteen ta, a height of twenty iron-cubits, and a top width of two ta, he appointed the soldiers in his retinue to be in charge of each section to work on the damming.</t>
  </si>
  <si>
    <t xml:space="preserve">vol2_s000545_t02_add6139e8f57</t>
  </si>
  <si>
    <t xml:space="preserve">MOBILIZED_MILITARY_FOR_LABOR</t>
  </si>
  <si>
    <t xml:space="preserve">Soldiers</t>
  </si>
  <si>
    <t xml:space="preserve">vol2_s000545_t03_4864754b1b7b</t>
  </si>
  <si>
    <t xml:space="preserve">UTILIZED_GEOGRAPHY_FOR_DEFENSE</t>
  </si>
  <si>
    <t xml:space="preserve">Amarapura</t>
  </si>
  <si>
    <t xml:space="preserve">vol2_s000545_t04_006523b73738</t>
  </si>
  <si>
    <t xml:space="preserve">APPOINTED_OFFICIALS_TO_MANAGE</t>
  </si>
  <si>
    <t xml:space="preserve">vol2_s000546</t>
  </si>
  <si>
    <t xml:space="preserve">vol2_s000546_t01_75825a9073ae</t>
  </si>
  <si>
    <t xml:space="preserve">CONSTRUCTED_INFRASTRUCTURE</t>
  </si>
  <si>
    <t xml:space="preserve">Water sluice</t>
  </si>
  <si>
    <t xml:space="preserve">ရေပြွန်တလားမှာ အဝနှစ်တာ, အနက် တစ်ဆယ့်ငါးတောင်, အလျား ဆယ်တာများကို အုတ်ရိုး အင်္ဂတေများနှင့် ကောင်းမွန်သေချာအောင် လုပ်ဆောင်၍ အဖွင့်ကို ယန္တရားစက်နှင့် ထားတော်မူပြီးလျှင် နန္ဒာကန်ဟု ကမ္ပည်းစိုက်တော်မူသည်။</t>
  </si>
  <si>
    <t xml:space="preserve">For the water sluice, he had the opening of two ta, a depth of fifteen cubits, and a length of ten ta constructed well and securely with brick walls and mortar, and after setting the opening with a mechanical device, he named it Nanda Lake.</t>
  </si>
  <si>
    <t xml:space="preserve">vol2_s000546_t02_ef194947aec8</t>
  </si>
  <si>
    <t xml:space="preserve">NAMED_INFRASTRUCTURE</t>
  </si>
  <si>
    <t xml:space="preserve">vol2_s000547</t>
  </si>
  <si>
    <t xml:space="preserve">vol2_s000547_t01_11e7bc510e90</t>
  </si>
  <si>
    <t xml:space="preserve">NAMED_LOCATION</t>
  </si>
  <si>
    <t xml:space="preserve">Nandawun</t>
  </si>
  <si>
    <t xml:space="preserve">စံနေတော်မူသည့် ဥယျာဉ်တော်ကိုလည်း နန္ဒဝန်ဟု ကမ္ပည်းစိုက်တော်မူသည်။</t>
  </si>
  <si>
    <t xml:space="preserve">He also named the garden where he was residing Nandawun.</t>
  </si>
  <si>
    <t xml:space="preserve">vol2_s000548</t>
  </si>
  <si>
    <t xml:space="preserve">vol2_s000548_t01_3b5bd5879e86</t>
  </si>
  <si>
    <t xml:space="preserve">Eastern mountain range</t>
  </si>
  <si>
    <t xml:space="preserve">SUPPLIED_WATER_TO</t>
  </si>
  <si>
    <t xml:space="preserve">Shwelaung royal canal</t>
  </si>
  <si>
    <t xml:space="preserve">အရှေ့ တောင်ရိုး ရေလာရေကျ၊ ရွှေလောင်း မြောင်းတော် ရေသွင်းများက မပြတ်စီးဝင်ရောက်သည်။</t>
  </si>
  <si>
    <t xml:space="preserve">Water from the eastern mountain range and water from the Shwelaung royal canal continuously flow in.</t>
  </si>
  <si>
    <t xml:space="preserve">vol2_s000549</t>
  </si>
  <si>
    <t xml:space="preserve">vol2_s000549_t01_a5ece673b045</t>
  </si>
  <si>
    <t xml:space="preserve">ASSIGNED_SERVICE_GROUP</t>
  </si>
  <si>
    <t xml:space="preserve">Lamain group</t>
  </si>
  <si>
    <t xml:space="preserve">ကန်တော် ရေသောက် ပယ်နှစ်သောင်းကိုလည်း လမိုင်းအစုသားတို့ကို ချထားလုပ်ဆောင်စေသည်။</t>
  </si>
  <si>
    <t xml:space="preserve">He also assigned the Lamain group of people to work on the twenty thousand pe of land irrigated by the royal lake.</t>
  </si>
  <si>
    <t xml:space="preserve">vol2_s000549_t02_92c69842620d</t>
  </si>
  <si>
    <t xml:space="preserve">CULTIVATED_LAND</t>
  </si>
  <si>
    <t xml:space="preserve">Irrigated land</t>
  </si>
  <si>
    <t xml:space="preserve">vol2_s000550</t>
  </si>
  <si>
    <t xml:space="preserve">vol2_s000550_t01_3911ae65937c</t>
  </si>
  <si>
    <t xml:space="preserve">Aungpinle Royal Lake</t>
  </si>
  <si>
    <t xml:space="preserve">CONNECTED_TO</t>
  </si>
  <si>
    <t xml:space="preserve">အောင်ပင်လယ်ကန်တော် အရှေ့သို့ လှည့်သည့် ကန်ရိုးကကို မြောက်ကို နန္ဒာကန်ရိုး ကုလားမတောင်သို့ အဆိုက်၊ မန္တလေးတောင်ခြေကသည် အရှေ့ကို ရန်ကင်းတောင်အဆက် ရေပြင်ဖွေးဖွေး လှိုင်းတံပိုးထလျက် မဟာသမုဒ္ဒရာကဲ့သို့ ဖြစ်လေ၏။</t>
  </si>
  <si>
    <t xml:space="preserve">The embankment of the Aungpinle Royal Lake that turns to the east, connecting north to the Nanda Lake embankment and reaching Kularma Hill, from the foot of Mandalay Hill to the east, continuing to Yankin Hill, became a vast expanse of white water with rising waves, like the great ocean.</t>
  </si>
  <si>
    <t xml:space="preserve">vol2_s000550_t02_14b233f062d3</t>
  </si>
  <si>
    <t xml:space="preserve">Landscape</t>
  </si>
  <si>
    <t xml:space="preserve">TRANSFORMED_INTO</t>
  </si>
  <si>
    <t xml:space="preserve">Defensive water barrier</t>
  </si>
  <si>
    <t xml:space="preserve">vol2_s000551</t>
  </si>
  <si>
    <t xml:space="preserve">vol2_s000551_t01_fdb711fa0962</t>
  </si>
  <si>
    <t xml:space="preserve">COMPLETED_RELIGIOUS_INFRASTRUCTURE</t>
  </si>
  <si>
    <t xml:space="preserve">Four pagodas</t>
  </si>
  <si>
    <t xml:space="preserve">တပေါင်းလပြည့်ကျော် တစ်ဆယ့်ငါးရက်? ကြာသပတေးနေ့ ရွှေမြို့တော် လေးထောင့် စေတီတော်လေးဆူ အလုပ်အဆောင် အလုံးစုံ ပြီးပြေလျှင် ချရားသီးကသည် မြေတိုင်အောင် ရွှေထည့်တော်မူ၍ ရွှေထီးအထွတ် တင်လှူ တော်မူပြီးလျှင် နရပတိစည်သူမင်းကြီး ကောင်းမှုဖြစ်သော စံကားကိုးပိုင်းအဝင်, အလောင်းစည်သူမင်းကြီး ကောင်းမှ ဖြစ်သော သရက္ခန် ငါးပိုင်းအဝင် ရုပ်တုတော်များကို ပင့်ဆောင်တော်မူ၍ အရှေ့မြောက်ထောင့် အရပ်၌ နရပတိ စည်သူမင်းကြီး ကောင်းမှု၊ စံကားကိုးပိုင်းအဝင် ရွှေကွန်အုပ်ဘုရား၊ အရှေ့တောင်ထောင့်အရပ်၌ ရွှေစံကားဘုရား၊ အနောက်တောင်ထောင့်အရပ်၌ ရွှေလင်းပင်ဘုရား၊ အနောက်မြောက်ထောင့်အရပ်၌ အလောင်းစည်သူမင်းကြီး ကောင်းမှ သရက္ခန်ငါးပိုင်း အဝင်ဖြစ်သော ဆန်ကျိုးရွှေဂူဘုရား၊ ရုပ်တုတော်များကို သွင်းထားကိုးကွယ်တော်မူသည်။</t>
  </si>
  <si>
    <t xml:space="preserve">On the fifteenth day of the waning moon of Tabaung, Thursday, when all the work on the four pagodas at the four corners of the golden city was completed, he had them filled with gold from the top of the fruit down to the ground, hoisted the golden umbrella tops, and then brought the statues—including the nine-part Sankar, a meritorious deed of King Narapatisithu, and the five-part Tharakkhan, a meritorious deed of King Alaungsithu—and enshrined them: in the northeast corner, the Golden Kun-ok Pagoda, a meritorious deed of King Narapatisithu, including the nine-part Sankar; in the southeast corner, the Golden Sankar Pagoda; in the southwest corner, the Golden Linbin Pagoda; and in the northwest corner, the San-gyo Golden Gu Pagoda, including the five-part Tharakkhan, a meritorious deed of King Alaungsithu.</t>
  </si>
  <si>
    <t xml:space="preserve">vol2_s000551_t02_a0b6a6f22983</t>
  </si>
  <si>
    <t xml:space="preserve">ENSHRINED_SACRED_OBJECTS</t>
  </si>
  <si>
    <t xml:space="preserve">Statues of past kings</t>
  </si>
  <si>
    <t xml:space="preserve">These are sacred Buddha images associated with earlier kings' merit-making, not statues depicting those kings.</t>
  </si>
  <si>
    <t xml:space="preserve">King enshrines Buddha images patronized by Narapatisithu and Alaungsithu.</t>
  </si>
  <si>
    <t xml:space="preserve">vol2_s000551_t03_348494d7a794</t>
  </si>
  <si>
    <t xml:space="preserve">APPROPRIATED_LEGITIMACY_FROM</t>
  </si>
  <si>
    <t xml:space="preserve">King Narapatisithu</t>
  </si>
  <si>
    <t xml:space="preserve">vol2_s000551_t04_92a39f5c644a</t>
  </si>
  <si>
    <t xml:space="preserve">vol2_s000565</t>
  </si>
  <si>
    <t xml:space="preserve">vol2_s000565_t01_251eb3e399d4</t>
  </si>
  <si>
    <t xml:space="preserve">MOBILIZED_LABOR_AND_RESOURCES_FOR</t>
  </si>
  <si>
    <t xml:space="preserve">MonasteryConstruction</t>
  </si>
  <si>
    <t xml:space="preserve">အသောကာရာမတိုက်ကို မောင်းထောင်ဆရာတော် လှူခြင်းနှင့် ရွှေမော်ဓောဘုရား ထီးတင်၍ မဟာမုနိဘုရားကို ရွှေသင်းကျစ် လှူတော်မူခြင်း သက္ကရာဇ် တစ်ထောင့်တစ်ရာ့ငါးဆယ့်နှစ်ခု ဝါဆိုလ ရွှေမြို့တော်မြောက် တာတစ်ထောင်ကျော်ကွာ မဟာမုနိ ဘုရားရှင် မဟာရံတံတိုင်းပြင် လက်ယာဘက် တာလေးဆယ်ခန့်တွင် ဆောက်လုပ်သည့် ကျောင်းတော်ကြီး တိုင်စဉ် တွင်းဝန်းသည်မှာ…. တောင်မြောက် ရှေ့နောက် တိုင်စဉ်အကုန် မြောင်းအကျယ် ငါးတောင်, အနက် ခုနစ်တောင် တူး၍ သစ်ကြီးကို ဒု တစ်တောင့်လေးသစ်, ဗြက် တစ်တောင့်လေးသစ် ပြုပြီးလျှင် မြောင်းအတိုင်း ဆက်ကာခင်းထား၍ မြောင်းဆုံများတွင် အံချ၍ စရွေးပေါက်အကျယ် နှစ်မိုက်ဖောက်ပြီးလျှင် တိုင်စဉ်အတိုင်း တွင်းကို အုတ်အင်္ဂတေ သရွတ်နှင့် တွင်းဝန်းပြု၍ တိုင်ခြေ စရွေးပေါက်နှင့်ချည်း ထူမတ်ပြီးလျှင် တွင်းကို အင်္ဂတေသွတ်ရသည်။</t>
  </si>
  <si>
    <t xml:space="preserve">Regarding the donation of the Asokarama Monastery to the Maunghtaung Sayadaw, the hoisting of the umbrella for the Shwemawdaw Pagoda, and the donation of a golden headband to the Mahamuni Pagoda: In the year 1152, in the month of Waso, at a location over 1,000 ta over 1,000 ta north of the royal city, about 40 ta to the right of the outer wall of the Mahamuni Pagoda, the foundation and pit perimeter for the great monastery being built were as follows: For all the pillar rows from south to north and east to west, a trench five ta wide and seven ta deep was dug; large timbers were prepared with a thickness of one ta and four thit and a width of one ta and four thit, then laid continuously along the trench; at the trench intersections, joints were made and drainage holes two maik wide were opened; then, following the pillar rows, the pits were constructed with brick, mortar, and plaster, and the pillar bases were erected firmly with the drainage holes, and the pits were filled with mortar.</t>
  </si>
  <si>
    <t xml:space="preserve">vol2_s000565_t02_81bb72d0ceca</t>
  </si>
  <si>
    <t xml:space="preserve">LOCATED_NEAR</t>
  </si>
  <si>
    <t xml:space="preserve">MahamuniPagoda</t>
  </si>
  <si>
    <t xml:space="preserve">vol2_s000565_t03_750b47256044</t>
  </si>
  <si>
    <t xml:space="preserve">INITIATED_CONSTRUCTION_OF</t>
  </si>
  <si>
    <t xml:space="preserve">AsokaramaMonastery</t>
  </si>
  <si>
    <t xml:space="preserve">vol2_s000566</t>
  </si>
  <si>
    <t xml:space="preserve">vol2_s000566_t01_68853e824672</t>
  </si>
  <si>
    <t xml:space="preserve">Monastery</t>
  </si>
  <si>
    <t xml:space="preserve">DEMONSTRATED_ROYAL_PATRONAGE_SCALE</t>
  </si>
  <si>
    <t xml:space="preserve">ComplexArchitecture</t>
  </si>
  <si>
    <t xml:space="preserve">ကျောင်းတော် ခေါင်ဘုံ ကွန်းမခုနစ်စဉ်စီ၊ ဝဲယာကွန်းငယ်ခုနစ်စဉ်စီ၊ ရှေ့နောက် ယွန်းဆက်ကွန်း နှစ်စဉ်စီ၊ ယွန်းဆက်ပါ ကွန်း တစ်ဆယ့်တစ်စဉ်၊ သည်မဝဲယာ တိုင်နှစ်စဉ်စီ၊ သည်ထွေးဝဲယာ တိုင်နှစ်စဉ်စီ၊ မြေကသည် အထက်ကြမ်းထိ သံတောင် နှစ်ဆယ်၊ အမိုးစမြင် လေးမျက်နှာလှည့်၍ အခန်းစေ့မုခ်တံခါးနှင့်ချည်း ထားတော်မူသည်။</t>
  </si>
  <si>
    <t xml:space="preserve">The monastery has seven central roof tiers, seven small side roof tiers on the left and right, two connecting roof tiers in the front and back, eleven tiers including the connecting ones, two pillar rows on the left and right of these, and two pillar rows on the left and right of the inner section; from the ground to the upper floor, it is twenty san-ta high, and the roof eaves are turned in four directions, with entrance doors for every room.</t>
  </si>
  <si>
    <t xml:space="preserve">vol2_s000567</t>
  </si>
  <si>
    <t xml:space="preserve">vol2_s000567_t01_d8df27af6e76</t>
  </si>
  <si>
    <t xml:space="preserve">CONTAINED_ROYAL_SYMBOL</t>
  </si>
  <si>
    <t xml:space="preserve">RoyalThrone</t>
  </si>
  <si>
    <t xml:space="preserve">ရှေ့နောက် အမိုးမုခ်ကြီး လေး၊ မှန်ကင်းရှစ်ဆူ၊ မင်းတက် အရှေ့လှေကား တစ်ဆူ၊ တောင်လှေကား နှစ်ဆူ၊ မြောက်လှေကား နှစ်ဆူ၊ အနောက်လှေကား တစ်ဆူ၊ ပေါင်း အုတ်လှေကား ခြောက်ဆူ၊ အလယ် ကွန်းစဉ်တွင် တောင်မြောက် မာရဘင်ဆီး၍ ဥကင်ရာဇပလ္လင်နှင့် မြတ်စွာဘုရား သီတင်းသုံးနေတော်မူဟန် ရုပ်တုတော် ထားတော်မူသည်။</t>
  </si>
  <si>
    <t xml:space="preserve">There are four large front and back roof porches, eight spires, one eastern royal staircase, two southern staircases, two northern staircases, and one western staircase, totaling six brick staircases; in the central tier, a partition is placed from south to north, and a royal throne is set up with a statue of the Buddha in a posture of residing.</t>
  </si>
  <si>
    <t xml:space="preserve">vol2_s000567_t02_db107ee1ae7a</t>
  </si>
  <si>
    <t xml:space="preserve">CONTAINED_RELIGIOUS_ICON</t>
  </si>
  <si>
    <t xml:space="preserve">BuddhaStatue</t>
  </si>
  <si>
    <t xml:space="preserve">vol2_s000568</t>
  </si>
  <si>
    <t xml:space="preserve">vol2_s000568_t01_3ddf2d651eac</t>
  </si>
  <si>
    <t xml:space="preserve">WhiteUmbrellas</t>
  </si>
  <si>
    <t xml:space="preserve">ဥကင်ဝဲယာ ထီးဖြူတော်လေးချက် သွင်းထားသည်။</t>
  </si>
  <si>
    <t xml:space="preserve">Four white umbrellas are placed on the left and right of the throne.</t>
  </si>
  <si>
    <t xml:space="preserve">vol2_s000569</t>
  </si>
  <si>
    <t xml:space="preserve">vol2_s000569_t01_1a4a2c0bbfd5</t>
  </si>
  <si>
    <t xml:space="preserve">INCORPORATED_COSMOLOGICAL_SYMBOLISM</t>
  </si>
  <si>
    <t xml:space="preserve">WezayanStructure</t>
  </si>
  <si>
    <t xml:space="preserve">မာရဘင် အနောက်ကွန်းစဉ်လယ်တွင် ဝေဇယန် ဘုံခုနစ်ဆင့်နှင့် ဂန္ဓကုဋိတိုက် ထားတော်မူသည်။</t>
  </si>
  <si>
    <t xml:space="preserve">In the center of the western tier of the partition, a seven-tiered Wezayan and a Gandhakuti chamber are placed.</t>
  </si>
  <si>
    <t xml:space="preserve">vol2_s000570</t>
  </si>
  <si>
    <t xml:space="preserve">vol2_s000570_t01_49d7b679c3c6</t>
  </si>
  <si>
    <t xml:space="preserve">INVESTED_MATERIAL_RESOURCES_IN</t>
  </si>
  <si>
    <t xml:space="preserve">MonasteryGilding</t>
  </si>
  <si>
    <t xml:space="preserve">အမိုးခဲမဖြူ အုတ်ကြွပ်-အမွှမ်းခြင်ပိတ် အတွင်းပြင် ရွှေပိန်း၊ အထက်လည် နှစ်ဆင့်မှ စ၍ အတွင်းမာရဘင် အရှေ့ဘက် အနောက်ဘက် ရွှေပိန်းထည့်တော်မူသည်။</t>
  </si>
  <si>
    <t xml:space="preserve">The roof is made of tin and tiles, with gilded interior and exterior decorations; starting from the two upper levels, the interior partition on the east and west sides is gilded.</t>
  </si>
  <si>
    <t xml:space="preserve">vol2_s000572</t>
  </si>
  <si>
    <t xml:space="preserve">vol2_s000572_t01_ad37f7036ea3</t>
  </si>
  <si>
    <t xml:space="preserve">MonasteryComplex</t>
  </si>
  <si>
    <t xml:space="preserve">INCLUDED_FACILITIES_FOR</t>
  </si>
  <si>
    <t xml:space="preserve">MonasticSupport</t>
  </si>
  <si>
    <t xml:space="preserve">ကျောင်းတော်အရှေ့ အတွင်းမုခ်တံခါး တောင်ဘက်တွင် ရွှေပြာသာဒ်ကြီးတစ်၊ ၎င်းအရှေ့မြောက်ထောင့်တွင် ရေကန်ကြီး တစ်၊ ကျောင်းတော်မြောက် ပြင်မုခ်တံခါးကြီးအတွင်း အနောက်ဘက်တွင် ဆွမ်းစားကျောင်း ကွန်း ငါးစဉ်နှင့် လေးထပ်ဆောက်၍ ရွှေပိန်း ထည့်တော်မူသည်။</t>
  </si>
  <si>
    <t xml:space="preserve">To the south of the inner entrance door on the east of the monastery, there is a large golden pavilion; in its northeast corner, there is a large water tank; inside the large outer entrance door on the north of the monastery, to the west, a five-tiered dining hall is built with four stories and gilded.</t>
  </si>
  <si>
    <t xml:space="preserve">vol2_s000573</t>
  </si>
  <si>
    <t xml:space="preserve">vol2_s000573_t01_dc3ab9634af7</t>
  </si>
  <si>
    <t xml:space="preserve">NAMED_MONASTERY</t>
  </si>
  <si>
    <t xml:space="preserve">Asokarama</t>
  </si>
  <si>
    <t xml:space="preserve">ကျောင်းတော်ဆောင်မကို တိုင်ပေါင်း နှစ်ရာ့နှစ်ဆယ်နှင့် စုစု တိုင်လေးရာ့လေးဆယ့်နှစ်၊ တံတိုင်းမီးတား နှစ်ထပ်၊ အတွင်းပြင်မုခ်ကြီး ရှစ်မျက်နှာ၊ ကျောင်းတော်ကြီး အလုပ်အဆောင် အလုံးစုံ ပြီးပြေလျှင် သက္ကရာဇ် (၁၁၅၁) တစ်ထောင့်တစ်ရာ့ ငါးဆယ့်တစ်ခု တပေါင်းလဆန်း တစ်ဆယ့်လေးရက်ခံ စနေနေ့ ကျောင်းတိုက်ကို အသောကာရာမတိုက်, ကျောင်းတော်ကို ရတနာဘုံကျော် သမိုက် တော်မူပြီးလျှင် အရညဝါသီပုဂ္ဂိုလ်, ဂါမဝါသီပုဂ္ဂိုလ်, အရိယာ သံဃာတော်မြတ်တို့အား ပရိက္ခရာရှစ်ပါးနှင့် တကွ ရဟန်းတို့ အသုံးအဆောင်ကို များစွာ လှူတော်မူ၍ မောင်းထောင်ဆရာတော် ဉာဏာဘိဝံသဓမ္မသေနာပတိ မဟာဓမ္မရာဇာဓိ ရာဇဂုရု အား တင်လှူတော်မူသည်။</t>
  </si>
  <si>
    <t xml:space="preserve">The main monastery building has 220 pillars, with a total of 442 pillars, two layers of fire-break walls, and eight-sided inner and outer large entrances; when all the work on the great monastery was completed, on Saturday, the 14th day of the waxing moon of Tabaung, in the year 1151, the monastery complex was named Asokarama and the monastery was named Ratanabonkyaw; then, after donating many sets of the eight requisites and other monastic necessities to the forest-dwelling monks, village-dwelling monks, and noble Sangha, it was offered to the Maunghtaung Sayadaw, Nyanabhivamsa Dhammasenapati Mahadhammarajadhirajaguru.</t>
  </si>
  <si>
    <t xml:space="preserve">vol2_s000573_t02_99d21e6a53ef</t>
  </si>
  <si>
    <t xml:space="preserve">NAMED_MONASTERY_BUILDING</t>
  </si>
  <si>
    <t xml:space="preserve">Ratanabonkyaw</t>
  </si>
  <si>
    <t xml:space="preserve">vol2_s000573_t03_2665e0558ed5</t>
  </si>
  <si>
    <t xml:space="preserve">DONATED_REQUISITES_TO</t>
  </si>
  <si>
    <t xml:space="preserve">vol2_s000573_t04_6df935e5d672</t>
  </si>
  <si>
    <t xml:space="preserve">PATRONIZED_RELIGIOUS_AUTHORITY</t>
  </si>
  <si>
    <t xml:space="preserve">MaunghtaungSayadaw</t>
  </si>
  <si>
    <t xml:space="preserve">vol2_s000573_t05_b073eb707311</t>
  </si>
  <si>
    <t xml:space="preserve">NyanabhivamsaDhammasenapatiMahadhammarajadhirajaguru</t>
  </si>
  <si>
    <t xml:space="preserve">vol2_s000574</t>
  </si>
  <si>
    <t xml:space="preserve">vol2_s000574_t01_aaee967231dc</t>
  </si>
  <si>
    <t xml:space="preserve">PERFORMED_ASADISA_ALMSGIVING</t>
  </si>
  <si>
    <t xml:space="preserve">PublicCeremony</t>
  </si>
  <si>
    <t xml:space="preserve">ရက်ပေါင်း ခြောက်ဆယ်တိုင်တိုင်လည်း မှူးတော်မတ်တော် သူရဲသူခက် ပြည်သူပြည်သား အပေါင်းတို့ကို အသဒိသအလှူကြီးကို ပေးတော်မူသည်။</t>
  </si>
  <si>
    <t xml:space="preserve">For sixty days, he also gave a great, incomparable alms-giving to all the ministers, soldiers, and citizens.</t>
  </si>
  <si>
    <t xml:space="preserve">vol2_s000574_t02_0e46a0d555d3</t>
  </si>
  <si>
    <t xml:space="preserve">REINFORCED_SOCIAL_HIERARCHY_THROUGH</t>
  </si>
  <si>
    <t xml:space="preserve">MeritMaking</t>
  </si>
  <si>
    <t xml:space="preserve">vol2_s000574_t03_f7ecee10db3e</t>
  </si>
  <si>
    <t xml:space="preserve">DISTRIBUTED_LARGESSE_TO</t>
  </si>
  <si>
    <t xml:space="preserve">OfficialsAndCitizens</t>
  </si>
  <si>
    <t xml:space="preserve">vol2_s000576</t>
  </si>
  <si>
    <t xml:space="preserve">vol2_s000576_t01_21e1e6e383d8</t>
  </si>
  <si>
    <t xml:space="preserve">DELEGATED_RELIGIOUS_PROJECT_TO</t>
  </si>
  <si>
    <t xml:space="preserve">MinisterMahathihathura</t>
  </si>
  <si>
    <t xml:space="preserve">၎င်းနေ့ ကျောင်းတော်ကြီးကို ရေစက်သွန်းတော်မူသည်နှင့် တစ်ချိန်တစ်ခါတည်း ဟံသာဝတီ ရွှေမော်ဓော ဘုရား ထီးတော်ကိုလည်း ဝန်ကြီးမဟာသီဟသူရနှင့် မြင်းမှူးမင်းသား မင်းရဲမင်းလှကျော်ထင်, အမြောက်ဝန် နေမျိုးဇေယနော်ရထာတို့ ကြပ်မတ်၍ တင်ကြရ၏။</t>
  </si>
  <si>
    <t xml:space="preserve">On that same day, as the water was poured for the dedication of the great monastery, the umbrella of the Shwemawdaw Pagoda in Hanthawaddy was also hoisted under the supervision of Minister Mahathihathura, Prince Myin-hmu Minye Minla Kyawhtin, and Artillery Minister Nemyo Zeyanawrahta.</t>
  </si>
  <si>
    <t xml:space="preserve">vol2_s000576_t02_737f96b8428f</t>
  </si>
  <si>
    <t xml:space="preserve">PrinceMyinHmuMinyeMinlaKyawhtin</t>
  </si>
  <si>
    <t xml:space="preserve">vol2_s000576_t03_0fc22c7df9ee</t>
  </si>
  <si>
    <t xml:space="preserve">ArtilleryMinisterNemyoZeyanawrahta</t>
  </si>
  <si>
    <t xml:space="preserve">vol2_s000576_t04_deebc0607d06</t>
  </si>
  <si>
    <t xml:space="preserve">SUPERVISED_RELIGIOUS_CONSTRUCTION</t>
  </si>
  <si>
    <t xml:space="preserve">ShwemawdawPagodaUmbrellaHoisting</t>
  </si>
  <si>
    <t xml:space="preserve">vol2_s000761</t>
  </si>
  <si>
    <t xml:space="preserve">vol2_s000761_t01_91f5dffd8b55</t>
  </si>
  <si>
    <t xml:space="preserve">King of Amarapura</t>
  </si>
  <si>
    <t xml:space="preserve">ORDERED_INFRASTRUCTURE_PROJECT_TO</t>
  </si>
  <si>
    <t xml:space="preserve">မိတ္ထိလာကန်ကို ဆည်ဖို့ခြင်း စသည်နှင့် ဆင်ဖြူတော် ရောက်ခြင်း ထိုနှစ် ဘဝရှင်မင်းတရားကြီးဘုရားလည်း မိတ္ထိလာကန်တော်ကို ဆည်ဖို့တော်မူလိုသောကြောင့် သားတော် မဟာဥပရာဇာ စသော မင်းညီမင်းသား မှူးတော် မတ်တော်တို့ကို အမိန့်တော် ရှိသည်ကား...မိတ္ထိလာကန်သည် ငါတို့မြတ်စွာဘုရား ဘိုးတော် အဉ္စနမင်းကြီးသည် သက္ကရာဇ် (၈၆၄၅) ရှစ်ထောင့်ခြောက်ရာ့လေးဆယ့်ငါးကို ဖြို၍ ဇမ္ဗူဒီပါမြေအပြင်၌ ရေကန် ရှစ်သောင်းလေးထောင် ပြုစုသောအခါ မိတ္ထိလာကန်တည်ရာအရပ်ကို တောင်ရိုး တောင်စဉ် ရေလာရေဆင်း ကုန်းကျင်းချောင်းမြောင်း အရပ်ဒေသများနှင့် ချင့်ချိန်၍ ထာဝရ တည်ထွန်းရစ်အောင် အမွန်လက်ဦးစွာ တည်ထောင်သည့်ကာလ ဗြဟ္မာ, သိကြား, နတ်များနှင့်တကွ နဂါးမင်းတို့သည် အနဝတတ်အိုင်မှ ရေကို ဆောင်ခဲ့၍ ထိုကန်တွင် ရေကို အန်သည်။</t>
  </si>
  <si>
    <t xml:space="preserve">Regarding the damming of Meiktila Lake and the arrival of the white elephant, in that year, the Lord of Life, the Great King, wishing to dam the royal Meiktila Lake, gave orders to the royal princes, including the Crown Prince, and the ministers, saying: 'When our Lord Buddha's grandfather, King Anjana, in the year 8645, cleared [the land] and established 84,000 water lakes on the surface of the Jambudipa earth, at the time of first establishing the location of Meiktila Lake, having weighed the mountain ranges, mountain chains, water inflows and outflows, and the terrain of the plains and streams so that it would flourish forever, the Brahma, Sakka, and nats, along with the Naga King, brought water from the Anotatta Lake and vomited the water into that lake.'</t>
  </si>
  <si>
    <t xml:space="preserve">vol2_s000761_t02_aa757eebc3e3</t>
  </si>
  <si>
    <t xml:space="preserve">INITIATED_REPAIR_OF</t>
  </si>
  <si>
    <t xml:space="preserve">Meiktila Lake</t>
  </si>
  <si>
    <t xml:space="preserve">vol2_s000761_t03_7aa9959ff2eb</t>
  </si>
  <si>
    <t xml:space="preserve">INVOKED_LEGITIMACY_OF</t>
  </si>
  <si>
    <t xml:space="preserve">Buddhist Universal Monarchs</t>
  </si>
  <si>
    <t xml:space="preserve">vol2_s000762</t>
  </si>
  <si>
    <t xml:space="preserve">vol2_s000762_t01_f08583def4b0</t>
  </si>
  <si>
    <t xml:space="preserve">Brahma, Sakka, and nats</t>
  </si>
  <si>
    <t xml:space="preserve">PROPHECIED_LONGEVITY_OF</t>
  </si>
  <si>
    <t xml:space="preserve">ဗြဟ္မာ သိကြား နတ်တို့လည်း သည်ရေနှင့် သည်ကန်သည် နောင်နှစ်ပေါင်း ရှစ်သောင်းလေးထောင် တည်မည်ဟု သမိုက်ထားသည်။</t>
  </si>
  <si>
    <t xml:space="preserve">The Brahma, Sakka, and nats also prophesied that this water and this lake would last for 84,000 years.</t>
  </si>
  <si>
    <t xml:space="preserve">vol2_s000763</t>
  </si>
  <si>
    <t xml:space="preserve">vol2_s000763_t01_e9530af077e4</t>
  </si>
  <si>
    <t xml:space="preserve">Anathapindika</t>
  </si>
  <si>
    <t xml:space="preserve">MAINTAINED</t>
  </si>
  <si>
    <t xml:space="preserve">ထိုမင်းနောက် သာဝတ္ထိပြည်တွင် အနာထပိဏ်သူဌေးလည်း တစ်ကြိမ်ပြုစုသည်။</t>
  </si>
  <si>
    <t xml:space="preserve">After that king, Anathapindika the treasurer in Savatthi also maintained it once.</t>
  </si>
  <si>
    <t xml:space="preserve">vol2_s000764</t>
  </si>
  <si>
    <t xml:space="preserve">vol2_s000764_t01_6c495ba2ba68</t>
  </si>
  <si>
    <t xml:space="preserve">King Ajatasattu</t>
  </si>
  <si>
    <t xml:space="preserve">ထိုနောက် ရာဇဂြိုဟ်ပြည်ကို အစိုးရသော အဇာတသတ်မင်းလည်း တစ်ကြိမ်ပြုစုသည်။</t>
  </si>
  <si>
    <t xml:space="preserve">After that, King Ajatasattu, who ruled the city of Rajagaha, also maintained it once.</t>
  </si>
  <si>
    <t xml:space="preserve">vol2_s000765</t>
  </si>
  <si>
    <t xml:space="preserve">vol2_s000765_t01_fb61966df756</t>
  </si>
  <si>
    <t xml:space="preserve">King Kalasoka</t>
  </si>
  <si>
    <t xml:space="preserve">ထိုနောက် ကာလာသောကမင်း တစ်ကြိမ်ပြုစုသည်။</t>
  </si>
  <si>
    <t xml:space="preserve">After that, King Kalasoka maintained it once.</t>
  </si>
  <si>
    <t xml:space="preserve">vol2_s000766</t>
  </si>
  <si>
    <t xml:space="preserve">vol2_s000766_t01_4e72d1cd7857</t>
  </si>
  <si>
    <t xml:space="preserve">King Dhammasoka</t>
  </si>
  <si>
    <t xml:space="preserve">ထိုနောက် ပါဋလိပုတ်ပြည်ကို အစိုးရသော ဓမ္မာသောကမင်း တစ်ကြိမ် ပြုစုသည်။</t>
  </si>
  <si>
    <t xml:space="preserve">After that, King Dhammasoka, who ruled the city of Pataliputra, maintained it once.</t>
  </si>
  <si>
    <t xml:space="preserve">vol2_s000767</t>
  </si>
  <si>
    <t xml:space="preserve">vol2_s000767_t01_ca064cd09794</t>
  </si>
  <si>
    <t xml:space="preserve">King Anawrahta</t>
  </si>
  <si>
    <t xml:space="preserve">ထိုနောက် အရိမဒ္ဒနာ ပေါက္ကာရာမ အမည်ရှိသောပြည်ကို အစိုးရသော အနော်ရထာမင်းစောသည် စစ်အင်္ဂါလေးပါးနှင့်လာ၍ တောင်ဘက် ကိုးခရိုင်ဆည်ကို ပြုစု၍အပြန် ကျွဲတလင်းချောင်း မြွေကတူးကန်သို့ ရောက်၍ သဘင်နန်းနှင့် စံနေစဉ် မိတ္ထိလာကန်ကိုစောင့်သော နတ်ကြီးလေးပါး လာ၍ “အရှင် မင်းကြီး ဤမိတ္ထိလာကန်သည် သုံးလူ့ အထွတ် ဖြစ်တော်မူသော အရှင်ဂေါတမမြတ်စွာဘုရားသည် ဒေသစာရီ ကြွတော်မူလာ၍ ညီတော်ဖြစ်သော အရှင်အာနန္ဒာနှင့် ရေသပ္ပာယ်တော်မူသည်။</t>
  </si>
  <si>
    <t xml:space="preserve">After that, King Anawrahta Saw, who ruled the city named Arimaddana Pokkarama, came with the four branches of the army, and upon returning from maintaining the Nine Districts Dam in the south, arrived at the Kywetalin stream and the Mwekatu Lake, and while he was residing in the royal pavilion, the four great nats who guard Meiktila Lake came and said, 'Great King, this Meiktila Lake is where the Lord Gotama Buddha, the pinnacle of the three worlds, came on his travels and bathed with his younger brother, the Venerable Ananda.'</t>
  </si>
  <si>
    <t xml:space="preserve">vol2_s000767_t02_b5eff1d55263</t>
  </si>
  <si>
    <t xml:space="preserve">Four Great Nats</t>
  </si>
  <si>
    <t xml:space="preserve">LEGITIMIZED_SITE_BY_LINKING_TO</t>
  </si>
  <si>
    <t xml:space="preserve">Buddha</t>
  </si>
  <si>
    <t xml:space="preserve">vol2_s000768</t>
  </si>
  <si>
    <t xml:space="preserve">vol2_s000768_t01_3feed9509bbd</t>
  </si>
  <si>
    <t xml:space="preserve">SYMBOLIZED</t>
  </si>
  <si>
    <t xml:space="preserve">Cosmic status of Jambudipa</t>
  </si>
  <si>
    <t xml:space="preserve">ကန်မည်ကာ မဟုတ်၊ ဇမ္ဗူဒီပါ ကျွန်းတွင် တံခွန်ကဲ့သို့ ဖြစ်ပါသည်။</t>
  </si>
  <si>
    <t xml:space="preserve">It is not just a lake; it is like a banner in the Jambudipa continent.</t>
  </si>
  <si>
    <t xml:space="preserve">vol2_s000769</t>
  </si>
  <si>
    <t xml:space="preserve">vol2_s000769_t01_e711fa15c525</t>
  </si>
  <si>
    <t xml:space="preserve">Venerable Ananda</t>
  </si>
  <si>
    <t xml:space="preserve">PROPHECIED_FUTURE_MAINTENANCE_BY</t>
  </si>
  <si>
    <t xml:space="preserve">King Tampadi</t>
  </si>
  <si>
    <t xml:space="preserve">မင်းကြီးထပ်၍ ပြုစုရမည်ကို အရှင်အာနန္ဒာ ဟောသည့်တရားတွင် ဘက္ကယီမင်း ပြုစုသည့်နောက် ဧရာဝတီရဋ္ဌ တမ္ပဒီမင်း ပြုစုပြန်မည်။</t>
  </si>
  <si>
    <t xml:space="preserve">Regarding the fact that the Great King must maintain it further, in the sermon preached by the Venerable Ananda, it is said that after King Bakkayi maintains it, King Tampadi of the Irawaddy region will maintain it again.</t>
  </si>
  <si>
    <t xml:space="preserve">vol2_s000770</t>
  </si>
  <si>
    <t xml:space="preserve">vol2_s000770_t01_3f0bafac5bcf</t>
  </si>
  <si>
    <t xml:space="preserve">COMMANDED_MAINTENANCE_TO</t>
  </si>
  <si>
    <t xml:space="preserve">တရားတော် ရှိသည့်အတိုင်း ပြုစုတော်မူပါ” ဆို၍ ကွယ်လေသည်။</t>
  </si>
  <si>
    <t xml:space="preserve">Maintain it according to the Dhamma,' they said, and then vanished.</t>
  </si>
  <si>
    <t xml:space="preserve">vol2_s000771</t>
  </si>
  <si>
    <t xml:space="preserve">vol2_s000771_t01_1dc47aee1285</t>
  </si>
  <si>
    <t xml:space="preserve">CLEARED_VEGETATION_FROM</t>
  </si>
  <si>
    <t xml:space="preserve">အနော်ရထာမင်းစောလည်း ကန်ရိုးတွင်ရှိသည့် တောချုံများကို ရှင်းလင်းစေသည်တွင် ကြာမျိုး ငါးပါးနှင့် ပြည့်စုံသောရေကို မြင်၍ ထောက်စေသည်။</t>
  </si>
  <si>
    <t xml:space="preserve">King Anawrahta Saw also had the bushes and thickets on the lake embankment cleared, and upon seeing water filled with the five types of lotuses, he had it supported.</t>
  </si>
  <si>
    <t xml:space="preserve">vol2_s000771_t02_3097d3c53b01</t>
  </si>
  <si>
    <t xml:space="preserve">SUPPORTED_INFRASTRUCTURE_OF</t>
  </si>
  <si>
    <t xml:space="preserve">vol2_s000773</t>
  </si>
  <si>
    <t xml:space="preserve">vol2_s000773_t01_b24d4703b50a</t>
  </si>
  <si>
    <t xml:space="preserve">CONSTRUCTED_DAM_OF_DIMENSIONS</t>
  </si>
  <si>
    <t xml:space="preserve">500 ta by 50 ta</t>
  </si>
  <si>
    <t xml:space="preserve">ထိုကန်ရိုးဟောင်းတွင် အလျား တာငါးရာ, အနံ တာငါးဆယ် ဆည်ဖို့ပြုစုသည်။</t>
  </si>
  <si>
    <t xml:space="preserve">On that old lake embankment, he dammed and maintained a length of five hundred ta and a width of fifty ta.</t>
  </si>
  <si>
    <t xml:space="preserve">vol2_s000774</t>
  </si>
  <si>
    <t xml:space="preserve">vol2_s000774_t01_366aa872c3f8</t>
  </si>
  <si>
    <t xml:space="preserve">Meiktila Lake administration</t>
  </si>
  <si>
    <t xml:space="preserve">INCLUDED</t>
  </si>
  <si>
    <t xml:space="preserve">Water sluice stone gate</t>
  </si>
  <si>
    <t xml:space="preserve">ရေပြွန် ကျောက်တံခါးတစ်၊ ရေလမ်းမှတ်တိုင် တစ်ဆယ့်ခြောက်လုံး၊ ရေမှတ်တိုင် လေးလုံး၊ မိုးဥတုမှတ်, နွေဥတုမှတ် တိုင်သုံးတိုင်၊ ရေကြည့်လေး ရွာ၊ ကန်စောင့် နတ်၊ သိကြား၊ စတုလောကပါလာ၊ ကန်ရိုးလေးရပ်စောင့် နတ်ကြီးလေးပါး စီရင်ထားကြောင်းကို မိတ္ထိလာကန်သမိုင်းတွင် ဆိုသည်။</t>
  </si>
  <si>
    <t xml:space="preserve">The history of Meiktila Lake states that one water sluice stone gate, sixteen water route markers, four water level markers, three markers for the rainy season and summer season, four villages for watching the water, and the nats, Sakka, the Catulokapala, and the four great nats guarding the four sides of the lake embankment were arranged.</t>
  </si>
  <si>
    <t xml:space="preserve">vol2_s000774_t02_73a49912052a</t>
  </si>
  <si>
    <t xml:space="preserve">Water route and level markers</t>
  </si>
  <si>
    <t xml:space="preserve">vol2_s000774_t03_c43e651ea933</t>
  </si>
  <si>
    <t xml:space="preserve">Four water-watching villages</t>
  </si>
  <si>
    <t xml:space="preserve">vol2_s000774_t04_353503e90b96</t>
  </si>
  <si>
    <t xml:space="preserve">Guardian spirits and deities</t>
  </si>
  <si>
    <t xml:space="preserve">vol2_s000775</t>
  </si>
  <si>
    <t xml:space="preserve">vol2_s000775_t01_d7d35a6656f9</t>
  </si>
  <si>
    <t xml:space="preserve">Chinese army</t>
  </si>
  <si>
    <t xml:space="preserve">DESTROYED_INFRASTRUCTURE</t>
  </si>
  <si>
    <t xml:space="preserve">Natmauk dam</t>
  </si>
  <si>
    <t xml:space="preserve">နောက် ကာလဒေသအလိုက် ပုဂံပြည် နရသီဟပတေ့မင်းလက်ထက် တရုတ်စစ် ရောက်၍ မြန်မာတိုင်းခြေ ပြည်မြစ်ဖြစ်သည်ဟု မိတ္ထိလာကန် နတ်မောက် ဆည်ရိုးကို တရုတ်စစ်သည်တို့ ဖျက် ဆီးခဲ့သည်နှင့် သက္ကရာဇ် (၇၃၆)ခုနစ်ရာ့သုံးဆယ့်ခြောက်ခုတွင် အဝမင်းကြီးစွာစော်ကဲလည်း အလုံးအရင်းနှင့် ချီလာပြီးလျှင် နတ်မောက် မထောင်းတာဆည်ရိုးများကို ချန်ထားခဲ့၍ အရှေ့အနောက် အဖြောင့်တန်းလျက် လင်းဇင်း ဆည်ကိုသာ ပြုစု၍ ပြန်သွားကြောင်းကို ရာဇဝင်ကြီးတွင် ဆိုသည်။</t>
  </si>
  <si>
    <t xml:space="preserve">Later, according to the time and place, during the reign of King Narathihapate of Bagan, the Chinese army arrived, and because it became a time of war in the Burmese land, the Chinese soldiers destroyed the Natmauk dam embankment of Meiktila Lake, and in the year 736, King Swasawke of Ava also marched with his forces, left the Natmauk and Htaungta dam embankments, and only maintained the Linzin dam, which was straight from east to west, before returning, as stated in the Great Chronicle.</t>
  </si>
  <si>
    <t xml:space="preserve">vol2_s000775_t02_b559cfa159fa</t>
  </si>
  <si>
    <t xml:space="preserve">King Swasawke</t>
  </si>
  <si>
    <t xml:space="preserve">MAINTAINED_INFRASTRUCTURE</t>
  </si>
  <si>
    <t xml:space="preserve">Linzin dam</t>
  </si>
  <si>
    <t xml:space="preserve">vol2_s000775_t03_3b194bd702e8</t>
  </si>
  <si>
    <t xml:space="preserve">Great Chronicle</t>
  </si>
  <si>
    <t xml:space="preserve">RECORDS_HISTORY_OF</t>
  </si>
  <si>
    <t xml:space="preserve">infrastructure maintenance</t>
  </si>
  <si>
    <t xml:space="preserve">vol2_s000819</t>
  </si>
  <si>
    <t xml:space="preserve">vol2_s000819_t01_45114f970962</t>
  </si>
  <si>
    <t xml:space="preserve">Celestial Beings (Nats)</t>
  </si>
  <si>
    <t xml:space="preserve">SUPPORTED</t>
  </si>
  <si>
    <t xml:space="preserve">Chinese Emperor</t>
  </si>
  <si>
    <t xml:space="preserve">ကျွန်ုပ်မှာ သိကြားနတ်အပေါင်းတို့ ညီညာစောင်မပေသောကြောင့် အိမ်နိမ့် နှစ်ဆယ့်ငါးနှစ်၊ နန်းစံ ခြောက်ဆယ့်တစ်နှစ်၊ အသက် ရှစ်ဆယ့်ခြောက်နှစ်တိုင် မျက်စိသီခြင်း၊ နားပင်းခြင်း မရှိ၊ ပကတိခွန်အားနှင့် ပြည့်စုံသော်လည်း အိုမင်းပြီဖြစ်၍ သားရှိဂူရဲကို အရာကိုယ်စား လွှဲအပ်ပါသည်။</t>
  </si>
  <si>
    <t xml:space="preserve">Because all the celestial beings [nats] have united to support me, I have spent twenty-five years in a lower house, reigned for sixty-one years, and reached the age of eighty-six without failing eyesight or deafness; although I am endowed with natural strength, I am now old, so I am handing over the position to my son, Shi Wure.</t>
  </si>
  <si>
    <t xml:space="preserve">vol2_s000819_t02_855493d2e917</t>
  </si>
  <si>
    <t xml:space="preserve">LEGITIMIZED_REIGN_THROUGH</t>
  </si>
  <si>
    <t xml:space="preserve">Long Tenure and Physical Vigor</t>
  </si>
  <si>
    <t xml:space="preserve">vol2_s000819_t03_471386ac9be9</t>
  </si>
  <si>
    <t xml:space="preserve">ABDICATED_IN_FAVOR_OF</t>
  </si>
  <si>
    <t xml:space="preserve">Shi-wu-re</t>
  </si>
  <si>
    <t xml:space="preserve">vol2_s000820</t>
  </si>
  <si>
    <t xml:space="preserve">vol2_s000820_t01_7b9f72d022da</t>
  </si>
  <si>
    <t xml:space="preserve">POSSESSES_ADMINISTRATIVE_CAPACITY</t>
  </si>
  <si>
    <t xml:space="preserve">Chinese State</t>
  </si>
  <si>
    <t xml:space="preserve">သားရှိဝူရဲလည်း သားမည်ကာ မဟုတ်ပါ။</t>
  </si>
  <si>
    <t xml:space="preserve">My son Shi Wure is not just a son in name only.</t>
  </si>
  <si>
    <t xml:space="preserve">vol2_s000821</t>
  </si>
  <si>
    <t xml:space="preserve">vol2_s000821_t01_cd2199cef9db</t>
  </si>
  <si>
    <t xml:space="preserve">CAPABLE_OF_MANAGING</t>
  </si>
  <si>
    <t xml:space="preserve">State Affairs</t>
  </si>
  <si>
    <t xml:space="preserve">တိုင်းရေးပြည်ရေး အမှုကြီးငယ်ကို ဆောင်ရွက်နိုင်သူ ဖြစ်ပါသည်။</t>
  </si>
  <si>
    <t xml:space="preserve">He is someone capable of managing both major and minor affairs of the country.</t>
  </si>
  <si>
    <t xml:space="preserve">vol2_s000822</t>
  </si>
  <si>
    <t xml:space="preserve">vol2_s000822_t01_c74c008db374</t>
  </si>
  <si>
    <t xml:space="preserve">Myanmar</t>
  </si>
  <si>
    <t xml:space="preserve">MAINTAINS_ROYAL_ALLIANCE_WITH</t>
  </si>
  <si>
    <t xml:space="preserve">Udei (China)</t>
  </si>
  <si>
    <t xml:space="preserve">မြန်မာပြည်နှင့် ဥဒည်ပြည်လည်း ရာဇမဟာမိတ်ဖွဲ့၍ ရှိကြပါသည်။</t>
  </si>
  <si>
    <t xml:space="preserve">Myanmar and Udei [China] have formed a royal alliance.</t>
  </si>
  <si>
    <t xml:space="preserve">vol2_s000823</t>
  </si>
  <si>
    <t xml:space="preserve">vol2_s000823_t01_c26e508763bf</t>
  </si>
  <si>
    <t xml:space="preserve">ACCEPTED_DIPLOMATIC_MISSION_FROM</t>
  </si>
  <si>
    <t xml:space="preserve">Chinese Officials</t>
  </si>
  <si>
    <t xml:space="preserve">ရှိဝူရဲတွင် အမှုကြီးငယ် ရှိသမျှကို ညီရင်းသားရင်းကဲ့သို့ မှတ်ထင်တော်မူ၍ မစ ကြည့်ရှုတော်မူပါ-ဟု ရာဇသံရွှေပေ အထူးထူးသော လက်ဆောင်တော်နှင့် တရုတ်မှူးကြီးမတ်ကြီးတို့ လာရောက် ဆက်သသည်ကို အဆက်အသ ခံတော်မူ၍ ဥဒည်မင်းသို့ ရာဇသံရွှေပေ တုံ့ပေးလိုက်သည်မှာ- ကမ္ဘာဦးအစ၌ အမျိုးလေးပါးတို့ကို အစိုးရတော်မူသော မဟာသမ္မတမင်းမှစ၍ အနွယ်မပျက် ဆင်းသက် စိုးအုပ်သော နရာဓိပအနွယ်ဖြစ်၍ တိုင်းနိုင်ငံ အပေါင်းတို့ကို တရားသဖြင့် စိုးအုပ်တော်မူရသည်။</t>
  </si>
  <si>
    <t xml:space="preserve">Regarding the request that [you] consider Shi Wure as a younger brother and assist and look after him in all major and minor affairs, [I] accepted the royal letter and various special gifts brought by the high-ranking Chinese officials and sent a reply royal letter to the King of Udei stating: Beginning with the Mahasammata King who ruled over the four castes at the dawn of the world, [I] am of the lineage of rulers who have descended and reigned without breaking the line, and [I] must rule over all countries righteously.</t>
  </si>
  <si>
    <t xml:space="preserve">vol2_s000823_t02_bc930c9de0e8</t>
  </si>
  <si>
    <t xml:space="preserve">ASSERTED_LEGITIMACY_VIA</t>
  </si>
  <si>
    <t xml:space="preserve">Mahasammata Lineage</t>
  </si>
  <si>
    <t xml:space="preserve">vol2_s000823_t03_db9f01a17f33</t>
  </si>
  <si>
    <t xml:space="preserve">CLAIMED_DUTY_OF</t>
  </si>
  <si>
    <t xml:space="preserve">Righteous Rule</t>
  </si>
  <si>
    <t xml:space="preserve">vol2_s000824</t>
  </si>
  <si>
    <t xml:space="preserve">vol2_s000824_t01_45d5ace15a9f</t>
  </si>
  <si>
    <t xml:space="preserve">Myanmar and Udei</t>
  </si>
  <si>
    <t xml:space="preserve">DEFINED_RELATIONSHIP_AS</t>
  </si>
  <si>
    <t xml:space="preserve">Inseparable Alliance</t>
  </si>
  <si>
    <t xml:space="preserve">မြန်မာပြည် နှင့် ဥဒည်ပြည် မိတ်ဖြစ်၍ တစ်ပြည်ထောင်တည်းကဲ့သို့ မခြားမနား ရှိကြသည်။</t>
  </si>
  <si>
    <t xml:space="preserve">Myanmar and Udei are friends and remain inseparable, as if they were one country.</t>
  </si>
  <si>
    <t xml:space="preserve">vol2_s000825</t>
  </si>
  <si>
    <t xml:space="preserve">vol2_s000825_t01_a8a269730cce</t>
  </si>
  <si>
    <t xml:space="preserve">SOUGHT_CONTINUITY_OF_ALLIANCE_THROUGH</t>
  </si>
  <si>
    <t xml:space="preserve">Religious Merit and Prayer</t>
  </si>
  <si>
    <t xml:space="preserve">သံသရာစက် အဆက်ဆက်၌ လည်း ယခုဘဝကဲ့သို့ မေတ္တာမပျက် တစ်ဦးနှင့်တစ်ဦး ကျေးဇူးပြုကြမည့် အကြောင်းကို နေ့ညမပြတ် ဆုပတ္ထနာ သည်။</t>
  </si>
  <si>
    <t xml:space="preserve">In the cycle of rebirths, [I] pray day and night that we may continue to do favors for one another without our affection failing, just as in this life.</t>
  </si>
  <si>
    <t xml:space="preserve">vol2_s000826</t>
  </si>
  <si>
    <t xml:space="preserve">vol2_s000826_t01_31e00b644c6e</t>
  </si>
  <si>
    <t xml:space="preserve">PLEDGED_SUPPORT_TO</t>
  </si>
  <si>
    <t xml:space="preserve">မင်းဧကရာဇ်တို့ သဘောဓမ္မတာအားဖြင့် အသက်အရွယ်တန်၍ သား ရှိဝူရဲကို အရာကိုယ်စား လွှဲအပ်ပါ မည်၊ မဟာမိတ်ဖြစ်ကြသည့်အတိုင်း ညီရင်းသားရင်းကဲ့သို့ ကြည့်ရှုမစမည့် အကြောင်းနှင့် ရောက်သည်မှာ ဆွေရင်း မျိုးချာ ဖြစ်ကြသည်နှင့်အညီ သားကြီးနန်းလျာ ဥပရာဇာနှင့်တကွ ကောင်းသော သမ္မာဆန္ဒဖြင့် ဥဒည်ရှိဝူရဲတွင် အမှုရှိသမျှကို ညီရင်းသားရင်းကဲ့သို့ ကြည့်ရှု မစမည်-ဟု ရာဇသံ ရွှေပေတုံ့ပေး၍ တရုတ်မှူးမတ်တို့ကို ပြန်သွားစေ၏။</t>
  </si>
  <si>
    <t xml:space="preserve">In accordance with the natural way of emperors, as I am of age, I will hand over the position to my son Shi Wure; as we are allies, [I] will look after and assist [him] as a younger brother, and since we are close relatives, [I] will look after and assist in all matters of Udei's Shi Wure with good and honest intentions, along with my eldest son and heir, the Uparaja, as if he were a younger brother—[I] replied with a royal letter and had the Chinese officials return.</t>
  </si>
  <si>
    <t xml:space="preserve">vol2_s000826_t02_9ba37486af40</t>
  </si>
  <si>
    <t xml:space="preserve">INVOLVED_HEIR_IN</t>
  </si>
  <si>
    <t xml:space="preserve">Diplomatic Relations</t>
  </si>
  <si>
    <t xml:space="preserve">vol2_s000826_t03_2131354d3de0</t>
  </si>
  <si>
    <t xml:space="preserve">DISMISSED</t>
  </si>
  <si>
    <t xml:space="preserve">vol2_s000827</t>
  </si>
  <si>
    <t xml:space="preserve">vol2_s000827_t01_e517a3645af7</t>
  </si>
  <si>
    <t xml:space="preserve">PERFORMED_ROYAL_PROCESSION_FROM</t>
  </si>
  <si>
    <t xml:space="preserve">Myitnge River Camp</t>
  </si>
  <si>
    <t xml:space="preserve">ဘဝရှင်မင်းတရားကြီးဘုရားလည်း တန်ခူးလပြည့်ကျော်သုံးရက် နေ့ မြစ်ငယ်နား တပ်ကြီးကွန်းထောက် နန်းတော်က ချီတော်မူ၍ အောင်စည်းခုံတွင် ချတော်မူသည်။</t>
  </si>
  <si>
    <t xml:space="preserve">His Majesty the King also departed from the palace at the great military camp near the Myitnge River on the third day after the full moon of Taku and encamped at Aungmyaykhon.</t>
  </si>
  <si>
    <t xml:space="preserve">vol2_s000827_t02_8a2078b32bc7</t>
  </si>
  <si>
    <t xml:space="preserve">Aungmyaykhon</t>
  </si>
  <si>
    <t xml:space="preserve">The camp is Aungzigon/Aung Sè Khon (အောင်စည်းခုံ), not Aungmyaykhon (အောင်မြေ...).</t>
  </si>
  <si>
    <t xml:space="preserve">Burmese king ENCAMPED_AT Aungzigon.</t>
  </si>
  <si>
    <t xml:space="preserve">vol2_s000828</t>
  </si>
  <si>
    <t xml:space="preserve">vol2_s000828_t01_f320e3c6beaa</t>
  </si>
  <si>
    <t xml:space="preserve">Kanchaung</t>
  </si>
  <si>
    <t xml:space="preserve">ထိုကမှ ကန်ချောင်းတွင် ချတော်မူသည်။</t>
  </si>
  <si>
    <t xml:space="preserve">From there, he encamped at Kanchaung.</t>
  </si>
  <si>
    <t xml:space="preserve">vol2_s000829</t>
  </si>
  <si>
    <t xml:space="preserve">vol2_s000829_t01_7148f705e1bb</t>
  </si>
  <si>
    <t xml:space="preserve">Kyaukse</t>
  </si>
  <si>
    <t xml:space="preserve">The text identifies Kyauk Sauk (ကျောက်ဆောက်), not Kyaukse (ကျောက်ဆည်).</t>
  </si>
  <si>
    <t xml:space="preserve">Burmese king ENCAMPED_AT Kyauk Sauk.</t>
  </si>
  <si>
    <t xml:space="preserve">ထိုကမှ ကျောက်ဆောက်တွင် ချတော်မူသည်။</t>
  </si>
  <si>
    <t xml:space="preserve">From there, he encamped at Kyaukse.</t>
  </si>
  <si>
    <t xml:space="preserve">vol2_s000830</t>
  </si>
  <si>
    <t xml:space="preserve">vol2_s000830_t01_a829b3aaa14a</t>
  </si>
  <si>
    <t xml:space="preserve">Paukmyaing</t>
  </si>
  <si>
    <t xml:space="preserve">ထိုကမှ ပေါက်မြိုင်တွင် ချတော်မူသည်။</t>
  </si>
  <si>
    <t xml:space="preserve">From there, he encamped at Paukmyaing.</t>
  </si>
  <si>
    <t xml:space="preserve">vol2_s000831</t>
  </si>
  <si>
    <t xml:space="preserve">vol2_s000831_t01_55b4664ce55d</t>
  </si>
  <si>
    <t xml:space="preserve">Koing Village</t>
  </si>
  <si>
    <t xml:space="preserve">ထိုကမှ ကိုင်းရွာတွင် ချတော်မူသည်။</t>
  </si>
  <si>
    <t xml:space="preserve">From there, he encamped at Koing Village.</t>
  </si>
  <si>
    <t xml:space="preserve">vol2_s000832</t>
  </si>
  <si>
    <t xml:space="preserve">vol2_s000832_t01_21e06c284120</t>
  </si>
  <si>
    <t xml:space="preserve">Phale Pyin</t>
  </si>
  <si>
    <t xml:space="preserve">ထိုကမှ ဖားလယ်ပြင်တွင် ချတော်မူ၍ နှစ်ရက်စံနေတော်မူသည်။</t>
  </si>
  <si>
    <t xml:space="preserve">From there, he encamped at Phale Pyin and stayed for two days.</t>
  </si>
  <si>
    <t xml:space="preserve">vol2_s000833</t>
  </si>
  <si>
    <t xml:space="preserve">vol2_s000833_t01_5e960db00de7</t>
  </si>
  <si>
    <t xml:space="preserve">Myingyan</t>
  </si>
  <si>
    <t xml:space="preserve">ထိုကမှ မြင်းခြံတွင် ချတော်မူသည်။</t>
  </si>
  <si>
    <t xml:space="preserve">From there, he encamped at Myingyan.</t>
  </si>
  <si>
    <t xml:space="preserve">vol2_s000834</t>
  </si>
  <si>
    <t xml:space="preserve">vol2_s000834_t01_3249ef9da8cb</t>
  </si>
  <si>
    <t xml:space="preserve">PERFORMED_RITUAL_WORSHIP_AT</t>
  </si>
  <si>
    <t xml:space="preserve">Shwe Yin Myaw Pagoda</t>
  </si>
  <si>
    <t xml:space="preserve">ထိုကမှ အနောက်သို့ လှည့်၍ ရွှေယင်မြော်ဘုရား အရှေ့တောင်ကန်တွင်းတွင် ချတော်မူပြီးလျှင် ဘုရားရှင်ကို ပူဇော်တော်မူ၍ တစ်ရက် စံနေတော်မူသည်။</t>
  </si>
  <si>
    <t xml:space="preserve">From there, he turned west and encamped at the southeast pond of Shwe Yin Myaw Pagoda, then worshipped the Lord Buddha and stayed for one day.</t>
  </si>
  <si>
    <t xml:space="preserve">vol2_s000835</t>
  </si>
  <si>
    <t xml:space="preserve">vol2_s000835_t01_d4457cb8cf76</t>
  </si>
  <si>
    <t xml:space="preserve">ထိုကမှ မိတ္ထိလာကန်မြောက် အုတ်ဖိုကွန်းထောက်တွင် ချတော်မူသည်။</t>
  </si>
  <si>
    <t xml:space="preserve">From there, he encamped at the military camp at the brick kiln north of Meiktila Lake.</t>
  </si>
  <si>
    <t xml:space="preserve">vol2_s000836</t>
  </si>
  <si>
    <t xml:space="preserve">vol2_s000836_t01_89856030445e</t>
  </si>
  <si>
    <t xml:space="preserve">ESTABLISHED_RITUAL_CENTER_AT</t>
  </si>
  <si>
    <t xml:space="preserve">Shwe Saw Lu Palace</t>
  </si>
  <si>
    <t xml:space="preserve">The king arrives at the named ceremonial palace; ESTABLISHED_RITUAL_CENTER_AT overstates arrival as establishment, though the site and royal presence are correct.</t>
  </si>
  <si>
    <t xml:space="preserve">King ARRIVED_AT or OCCUPIED Shwe Saw Lu ceremonial palace.</t>
  </si>
  <si>
    <t xml:space="preserve">ထိုကမှ မိတ္ထိလာရွာဟောင်း အနောက်ကိုပတ်၍ အရှေ့သို့ ချီတော်မူပြီးလျှင် မိတ္ထိလာကန်တော်အတွင်း ရွှေစောလူးကုန်းသဘင် နန်းတော်သို့ (၁၁၅၇)တစ်ထောင့်တစ်ရာ့ ငါးဆယ့်ခုနစ်ခု ကဆုန်လဆန်းနှစ်ရက် နေ့ ရောက်တော်မူသည်။</t>
  </si>
  <si>
    <t xml:space="preserve">From there, he circled west of the old Meiktila village and marched east, arriving at the Shwe Saw Lu Kone festival palace inside Meiktila Lake on the second day of the waxing moon of Kason, [1157] one thousand one hundred and fifty-seven.</t>
  </si>
  <si>
    <t xml:space="preserve">vol2_s000837</t>
  </si>
  <si>
    <t xml:space="preserve">vol2_s000837_t01_ed83f4c26357</t>
  </si>
  <si>
    <t xml:space="preserve">Maha Uparaja</t>
  </si>
  <si>
    <t xml:space="preserve">MAINTAINED_PRESENCE_AT</t>
  </si>
  <si>
    <t xml:space="preserve">Mhtaungta Kone</t>
  </si>
  <si>
    <t xml:space="preserve">သားတော်မဟာဥပရာဇာမှာ ရွှေစောလူးကုန်း အရှေ့ မထောင်းတာကုန်းတွင် သဘင်တဲတော်နှင့် စံနေ တော်မူသည်။</t>
  </si>
  <si>
    <t xml:space="preserve">The royal son, the Maha Uparaja, stayed at the festival pavilion on Mhtaungta Kone, east of Shwe Saw Lu Kone.</t>
  </si>
  <si>
    <t xml:space="preserve">vol2_s000838</t>
  </si>
  <si>
    <t xml:space="preserve">vol2_s000838_t01_0cfe9d51a7e0</t>
  </si>
  <si>
    <t xml:space="preserve">Regional Princes</t>
  </si>
  <si>
    <t xml:space="preserve">Natmauk and Mhtaungta Dams</t>
  </si>
  <si>
    <t xml:space="preserve">ပြည်မင်း, ပုသိန်မင်း, တောင်ငူမင်း, ပုဂံမင်းမှစ၍ မင်းညီမင်းသားများမှာ နတ်မောက်, မထောင်း တာ ဆည်တော်အတွင်း ရေလွတ်ရာ ကုန်းများတွင် သင်းပင်းကိုယ်ရံနှင့်တကွ အသီးအသီး နေကြရသည်။</t>
  </si>
  <si>
    <t xml:space="preserve">The princes, including the King of Pyi, the King of Pathein, the King of Taungoo, and the King of Bagan, stayed separately on high ground free from water within the Natmauk and Mhtaungta dams, along with their retinues and bodyguards.</t>
  </si>
  <si>
    <t xml:space="preserve">vol2_s000839</t>
  </si>
  <si>
    <t xml:space="preserve">vol2_s000839_t01_15997b545911</t>
  </si>
  <si>
    <t xml:space="preserve">Regional Governors and Commanders</t>
  </si>
  <si>
    <t xml:space="preserve">CONCENTRATED_MILITARY_RESOURCES_AT</t>
  </si>
  <si>
    <t xml:space="preserve">မုတ္တမ သုံးဆယ့်နှစ်မြို့ သုံးဆယ့်နှစ်တပ်၊ ဟံသာဝတီ သုံးဆယ့်နှစ်မြို့ သုံးဆယ့်နှစ်တပ်၊ ဒွါရာဝတီမြို့ ဆယ်တပ်၊ ဝတီမြို့ ဆယ်တပ်၊ မေဃဝတီမြို့ ဆယ်တပ်၊ ဓညဝတီမြို့ ဆယ်တပ်၊ တပ်ပေါင်း တစ်ရာ့လေးတပ်မှာ မြို့ဝန်, စစ်ကဲ, တပ်မှူး ပြုသူတို့နှင့် အညီအညွတ် မိတ္ထိလာကန်တော်သို့ ရောက်ကြသည်။</t>
  </si>
  <si>
    <t xml:space="preserve">The thirty-two towns and thirty-two regiments of Mottama, the thirty-two towns and thirty-two regiments of Hanthawaddy, the ten regiments of Dvarawaddy, the ten regiments of Waddy, the ten regiments of Meghawaddy, and the ten regiments of Dhanyawaddy—a total of one hundred and four regiments—arrived at Meiktila Lake in unity with their respective town governors, military commanders, and regiment leaders.</t>
  </si>
  <si>
    <t xml:space="preserve">vol2_s000839_t02_1f956152e497</t>
  </si>
  <si>
    <t xml:space="preserve">Regional Regiments</t>
  </si>
  <si>
    <t xml:space="preserve">ASSEMBLED_AT</t>
  </si>
  <si>
    <t xml:space="preserve">vol2_s000925</t>
  </si>
  <si>
    <t xml:space="preserve">vol2_s000925_t01_ea004dabf38b</t>
  </si>
  <si>
    <t xml:space="preserve">Bodhisatta</t>
  </si>
  <si>
    <t xml:space="preserve">REPRESENTED_AS</t>
  </si>
  <si>
    <t xml:space="preserve">golden figure</t>
  </si>
  <si>
    <t xml:space="preserve">လုမ္ဗိနီအင်ကြင်းဥယျာဉ်၌ ဘုရားလောင်းဖွားမြင်တော်မူဟန်၊ ငွေအင်ကြင်းပင် တစ်ဆယ်၊ ငွေပန်းပင် တစ်ဆယ်၊ အင်ကြင်းခက် ဆွဲကိုင်လျက် မယ်တော်မာယာရွှေရုပ် တစ်၊ ဘုရားလောင်းမင်းသားရွှေရုပ် တစ်၊ မိထွေးတော် မဟာဂေါတမီမိဖုရား မယ်တော်ကို မစ ဟန် ဂေါတမီ မိဖုရား ငွေရုပ်တစ်။</t>
  </si>
  <si>
    <t xml:space="preserve">The scene of the Bodhisatta's birth in the Lumbini Sal grove; ten silver Sal trees, ten silver flowering trees, one golden figure of Queen Maya holding a Sal branch, one golden figure of the Bodhisatta prince, and one silver figure of Queen Mahapajapati supporting the Queen Mother.</t>
  </si>
  <si>
    <t xml:space="preserve">vol2_s000925_t02_3cf25cd59887</t>
  </si>
  <si>
    <t xml:space="preserve">Queen Maya</t>
  </si>
  <si>
    <t xml:space="preserve">vol2_s000925_t03_8ab438f67df2</t>
  </si>
  <si>
    <t xml:space="preserve">Queen Mahapajapati</t>
  </si>
  <si>
    <t xml:space="preserve">silver figure</t>
  </si>
  <si>
    <t xml:space="preserve">vol2_s000925_t04_4fd683b3a200</t>
  </si>
  <si>
    <t xml:space="preserve">Material hierarchy</t>
  </si>
  <si>
    <t xml:space="preserve">DISTINGUISHED_BY</t>
  </si>
  <si>
    <t xml:space="preserve">gold for royalty and silver for attendants</t>
  </si>
  <si>
    <t xml:space="preserve">vol2_s000926</t>
  </si>
  <si>
    <t xml:space="preserve">vol2_s000926_t01_2aeaa8cdb6d5</t>
  </si>
  <si>
    <t xml:space="preserve">Brahma kings</t>
  </si>
  <si>
    <t xml:space="preserve">RECEIVED_BODHISATTA_WITH</t>
  </si>
  <si>
    <t xml:space="preserve">golden net</t>
  </si>
  <si>
    <t xml:space="preserve">ဗြဟ္မာမင်းတို့ ဘုရားလောင်းမင်းသားကို ရွှေကွန်ရက်ဖြင့် ခံဟန်၊ ရွှေကွန်ရက် ကိုင်လျက် ငွေဗြဟ္မာရုပ် လေး၊ ဘုရားလောင်းရွှေရုပ် တစ်၊ စတုမဟာရာဇ် နတ်မင်း လေးယောက်တို့ သစ်နက်ရေဖြင့် ခံဟန်၊ ငွေလုပ် သစ်နက်ရေကိုင်လျက် ငွေနတ်ရုပ် လေး၊ ဘုရားလောင်းရွှေရုပ် တစ်၊ လူတို့ ဘွဲ့ဖြူပုဆိုးဖြင့် ခံဟန်၊ ငွေလုပ် ဘွဲ့ဖြူကိုင်လျက် ငွေလူရုပ် လေး၊ ဘုရားလောင်းရွှေရုပ် တစ်။</t>
  </si>
  <si>
    <t xml:space="preserve">The scene of the Brahma kings receiving the Bodhisatta prince with a golden net; four silver Brahma figures holding a golden net, one golden figure of the Bodhisatta, the scene of the four Catumaharajika devas receiving him with black antelope skin; four silver deva figures holding a silver-made black antelope skin, one golden figure of the Bodhisatta, the scene of humans receiving him with a white ceremonial cloth; four silver human figures holding a silver-made white ceremonial cloth, one golden figure of the Bodhisatta.</t>
  </si>
  <si>
    <t xml:space="preserve">vol2_s000926_t02_584a24901228</t>
  </si>
  <si>
    <t xml:space="preserve">Catumaharajika devas</t>
  </si>
  <si>
    <t xml:space="preserve">black antelope skin</t>
  </si>
  <si>
    <t xml:space="preserve">vol2_s000926_t03_711ae7e4b209</t>
  </si>
  <si>
    <t xml:space="preserve">Humans</t>
  </si>
  <si>
    <t xml:space="preserve">white ceremonial cloth</t>
  </si>
  <si>
    <t xml:space="preserve">vol2_s000927</t>
  </si>
  <si>
    <t xml:space="preserve">vol2_s000927_t01_b80d285f97bf</t>
  </si>
  <si>
    <t xml:space="preserve">Devas</t>
  </si>
  <si>
    <t xml:space="preserve">PROVIDED_RITUAL_PROTECTION_TO</t>
  </si>
  <si>
    <t xml:space="preserve">မြောက်သို့ ခုနစ်ဖဝါး လှမ်းတော်မူဟန် ဘုရားလောင်း ရွှေရုပ်တုတော် တစ်၊ နတ်တို့ ထီးမိုးဟန် ထီးကိုင် လျက် ငွေနတ်ရုပ် ငါး။</t>
  </si>
  <si>
    <t xml:space="preserve">One golden statue of the Bodhisatta in the scene of taking seven steps to the north, five silver deva figures holding umbrellas in the scene of devas shading him with umbrellas.</t>
  </si>
  <si>
    <t xml:space="preserve">vol2_s000927_t02_82495b1c8354</t>
  </si>
  <si>
    <t xml:space="preserve">HELD_UMBRELLAS_OVER</t>
  </si>
  <si>
    <t xml:space="preserve">vol2_s000928</t>
  </si>
  <si>
    <t xml:space="preserve">vol2_s000928_t01_6b637e497295</t>
  </si>
  <si>
    <t xml:space="preserve">Minister Channa</t>
  </si>
  <si>
    <t xml:space="preserve">ဖွားဘက်တော် ရွှေဗောဓိပင် တစ်၊ ရွှေအိုးကြီး လေး၊ ယသောဓရာရွှေရုပ် တစ်၊ အာနန္ဒာရွှေရုပ် တစ်၊ ကာဠုဒါယီရွှေရုပ် တစ်၊ ဆန္နအမတ်ငွေရုပ် တစ်၊ ကဏ္ဍကမြင်းငွေရုပ် တစ်။</t>
  </si>
  <si>
    <t xml:space="preserve">One golden Bodhi tree of his birth, four large golden pots, one golden figure of Yasodhara, one golden figure of Ananda, one golden figure of Kaludayi, one silver figure of Minister Channa, one silver figure of the horse Kanthaka.</t>
  </si>
  <si>
    <t xml:space="preserve">vol2_s000928_t02_09d4d54a3371</t>
  </si>
  <si>
    <t xml:space="preserve">Kanthaka horse</t>
  </si>
  <si>
    <t xml:space="preserve">vol2_s000928_t03_099db77fe906</t>
  </si>
  <si>
    <t xml:space="preserve">Yasodhara</t>
  </si>
  <si>
    <t xml:space="preserve">vol2_s000929</t>
  </si>
  <si>
    <t xml:space="preserve">vol2_s000929_t01_8ee841e00776</t>
  </si>
  <si>
    <t xml:space="preserve">King Father</t>
  </si>
  <si>
    <t xml:space="preserve">PERFORMED_HOMAGE_TO</t>
  </si>
  <si>
    <t xml:space="preserve">ဘုရားလောင်းကို ခမည်းတော်ပိုက်လျက် ဒေဝိလ ရသေ့အား ပြသည်တွင် ရသေ့ဆံကျစ်၌ ခြေတော် တည် ဟန်၊ ခမည်းတော်မင်းကြီး သားတော်ကို ရှိခိုးဟန်၊ ရွှေပြာသာဒ်ဆောင် တစ်၊ ဘုရားလောင်းရွှေရုပ်တု တစ်၊ ခမည်းတော် လက်အုပ်ချီလျက် ရွှေရုပ်တစ်၊ ဒေဝီလရသေ့ လက်အုပ်ချီလျက် ရွှေရုပ်တစ်။</t>
  </si>
  <si>
    <t xml:space="preserve">In the scene where the father carries the Bodhisatta and shows him to the hermit Devala, the scene of his feet resting on the hermit's topknot, the scene of the great King Father paying homage to his son; one golden palace pavilion, one golden statue of the Bodhisatta, one golden figure of the father with hands joined in prayer, one golden figure of the hermit Devala with hands joined in prayer.</t>
  </si>
  <si>
    <t xml:space="preserve">vol2_s000929_t02_eefa2c65e732</t>
  </si>
  <si>
    <t xml:space="preserve">Hermit Devala</t>
  </si>
  <si>
    <t xml:space="preserve">vol2_s000930</t>
  </si>
  <si>
    <t xml:space="preserve">vol2_s000930_t01_57c91503961e</t>
  </si>
  <si>
    <t xml:space="preserve">Brahmins</t>
  </si>
  <si>
    <t xml:space="preserve">READ_MARKS_OF</t>
  </si>
  <si>
    <t xml:space="preserve">ဘုရားလောင်းကို ပုဏ္ဏားတို့ လက္ခဏာဖတ်ဟန်၊ ရွှေပြာသာဒ်ဆောင် တစ်၊ ခမည်းတော်ရွှေရုပ် တစ်၊ ဘုရားလောင်း ရွှေရုပ်တုတော် တစ်၊ ငွေပုဏ္ဏားရုပ် ရှစ်။</t>
  </si>
  <si>
    <t xml:space="preserve">The scene of Brahmins reading the marks of the Bodhisatta; one golden palace pavilion, one golden figure of the father, one golden statue of the Bodhisatta, eight silver Brahmin figures.</t>
  </si>
  <si>
    <t xml:space="preserve">vol2_s000930_t02_7bcf43e6d7b0</t>
  </si>
  <si>
    <t xml:space="preserve">silver figures</t>
  </si>
  <si>
    <t xml:space="preserve">vol2_s000931</t>
  </si>
  <si>
    <t xml:space="preserve">vol2_s000931_t01_a015c55195f8</t>
  </si>
  <si>
    <t xml:space="preserve">လယ်ထွန်မင်္ဂလာ ထွက်တော်မူသည်တွင် သပြေပင်ရိပ်၌ ခမည်းတော် ရှိခိုးဟန်၊ ဘုရားလောင်းရွှေရုပ်၊ ခမည်းတော် လက်အုပ်ချီလျက် ရွှေရုပ်တစ်၊ အခြွေအရံ မင်းသမီးရုပ် ရှစ်၊ ငွေသပြေပင် နှစ်။</t>
  </si>
  <si>
    <t xml:space="preserve">In the scene of the royal ploughing ceremony, the scene of the father paying homage under the shade of a rose apple tree; one golden figure of the Bodhisatta, one golden figure of the father with hands joined in prayer, eight figures of attendant princesses, two silver rose apple trees.</t>
  </si>
  <si>
    <t xml:space="preserve">vol2_s000931_t02_20e723f084ca</t>
  </si>
  <si>
    <t xml:space="preserve">Attendant princesses</t>
  </si>
  <si>
    <t xml:space="preserve">figures</t>
  </si>
  <si>
    <t xml:space="preserve">vol2_s000932</t>
  </si>
  <si>
    <t xml:space="preserve">vol2_s000932_t01_6b82fd4b1b08</t>
  </si>
  <si>
    <t xml:space="preserve">POSSESSED_ROYAL_INSIGNIA</t>
  </si>
  <si>
    <t xml:space="preserve">golden sword</t>
  </si>
  <si>
    <t xml:space="preserve">ဘုရားလောင်း ရွှေနန်းသုံးဆောင်၌ စံတော်မူဟန်၊ ရွှေပြာသာဒ်သုံး၊ ဘုရားလောင်း ရွှေရုပ်တစ်၊ ယသော ဓရာ ရွှေရုပ်တစ်၊ အခြွေအရံမင်းသမီး ငွေရုပ်လေး၊ ရွှေကွမ်းအုပ် တစ်၊ ငွေထီးဖြူတစ်၊ ရွှေသင်းကျပ်တစ်၊ ရွှေခြေနင်း တစ်၊ ရွှေသန်လျက် တစ်၊ ငွေသားမြီးယပ် တစ်။</t>
  </si>
  <si>
    <t xml:space="preserve">The scene of the Bodhisatta residing in the three golden palaces; three golden pavilions, one golden figure of the Bodhisatta, one golden figure of Yasodhara, four silver figures of attendant princesses, one golden betel box, one silver white umbrella, one golden waist-band, one golden pair of sandals, one golden sword, one silver yak-tail whisk.</t>
  </si>
  <si>
    <t xml:space="preserve">vol2_s000932_t02_fbd8e5e67365</t>
  </si>
  <si>
    <t xml:space="preserve">silver white umbrella</t>
  </si>
  <si>
    <t xml:space="preserve">vol2_s000932_t03_af763236e7f1</t>
  </si>
  <si>
    <t xml:space="preserve">golden sandals</t>
  </si>
  <si>
    <t xml:space="preserve">vol2_s000933</t>
  </si>
  <si>
    <t xml:space="preserve">vol2_s000933_t01_6dd064e90a61</t>
  </si>
  <si>
    <t xml:space="preserve">Charioteer</t>
  </si>
  <si>
    <t xml:space="preserve">ဥယျာဉ်ကစားထွက်တော်မူဟန်၊ ငွေမြင်းရထား တစ်၊ ငွေမြင်းရုပ်လေး၊ ဘုရားလောင်း ရွှေရုပ်တစ်၊ ရထားမှူး ငွေရုပ်တစ်။</t>
  </si>
  <si>
    <t xml:space="preserve">The scene of going out to the garden for recreation; one silver horse-drawn carriage, four silver horse figures, one golden figure of the Bodhisatta, one silver figure of the charioteer.</t>
  </si>
  <si>
    <t xml:space="preserve">vol2_s000934</t>
  </si>
  <si>
    <t xml:space="preserve">vol2_s000934_t01_0c96911ba29d</t>
  </si>
  <si>
    <t xml:space="preserve">Four omens</t>
  </si>
  <si>
    <t xml:space="preserve">REPRESENTED_BY</t>
  </si>
  <si>
    <t xml:space="preserve">silver and golden figures</t>
  </si>
  <si>
    <t xml:space="preserve">နိမိတ်လေးပါးပြဟန်၊ ငွေလူရုပ်သုံး၊ ရွှေရဟန်းရုပ်တစ်၊ ငွေပန်းပင်ခြောက်၊ ငွေဝါးပင် နှစ်။</t>
  </si>
  <si>
    <t xml:space="preserve">The scene of showing the four omens; three silver human figures, one golden monk figure, six silver flowering trees, two silver bamboo trees.</t>
  </si>
  <si>
    <t xml:space="preserve">vol2_s000935</t>
  </si>
  <si>
    <t xml:space="preserve">vol2_s000935_t01_c08de1ea71e2</t>
  </si>
  <si>
    <t xml:space="preserve">Deva Visukamma</t>
  </si>
  <si>
    <t xml:space="preserve">DECORATED_FOR</t>
  </si>
  <si>
    <t xml:space="preserve">ဥယျာဉ်သို့ရောက်၍ ကျောက်ဖျာထက် နေတော်မူစဉ် ဝိသုကြုံနတ်သား တန်ဆာဆင်လာဟန်၊ သားတော် ဖွားမြင်ကြောင်းကို လျှောက်လာဟန်၊ ကျောက်ဖျာပေါ်တွင် ဘုရားလောင်းရွှေရုပ် တစ်၊ ငွေဝိသုကြုံနတ်ရုပ် တစ်၊ ငွေအမတ်ရုပ် တစ်၊ ကိဿဂေါတမီငွေရုပ် တစ်။</t>
  </si>
  <si>
    <t xml:space="preserve">The scene of the deva Visukamma coming to decorate while he was sitting on a stone slab after arriving at the garden, the scene of him coming to report the birth of the son; one golden figure of the Bodhisatta on the stone slab, one silver figure of the deva Visukamma, one silver figure of a minister, one silver figure of Kisa Gotami.</t>
  </si>
  <si>
    <t xml:space="preserve">vol2_s000935_t02_e3b4f4665fc9</t>
  </si>
  <si>
    <t xml:space="preserve">Minister</t>
  </si>
  <si>
    <t xml:space="preserve">vol2_s000936</t>
  </si>
  <si>
    <t xml:space="preserve">vol2_s000936_t01_96515b650293</t>
  </si>
  <si>
    <t xml:space="preserve">ORDERED</t>
  </si>
  <si>
    <t xml:space="preserve">နန်းတော်သို့ရောက်၍ ကက္ဍကမြင်းကို ကစေဟန်၊ ငွေမြင်းရုပ် တစ်၊ ငွေအမတ်ရုပ် တစ်။</t>
  </si>
  <si>
    <t xml:space="preserve">The scene of arriving at the palace and ordering the horse Kanthaka; one silver horse figure, one silver figure of a minister.</t>
  </si>
  <si>
    <t xml:space="preserve">vol2_s000937</t>
  </si>
  <si>
    <t xml:space="preserve">vol2_s000937_t01_8cd8af1d8a91</t>
  </si>
  <si>
    <t xml:space="preserve">HELD</t>
  </si>
  <si>
    <t xml:space="preserve">Bodhisatta son</t>
  </si>
  <si>
    <t xml:space="preserve">တံခါးခုံ၌ ရပ်လျက် ဘုရားလောင်းသားတော်ကို ရှုတော်မူဟန် ဘုရားလောင်းရွှေရုပ်၊ သားတော်ကို ပိုက် လျက် ယသောဓရာ လျောင်းနေဟန် ယသောဓရာရွှေရုပ်၊ သားတော် ရွှေရုပ်၊ ရွှေနန်းရွှေမြို့သဏ္ဌာန်။</t>
  </si>
  <si>
    <t xml:space="preserve">The scene of standing at the threshold and looking at the Bodhisatta son, the golden figure of the Bodhisatta, the scene of Yasodhara lying down while holding the son, the golden figure of Yasodhara, the golden figure of the son, in the likeness of a golden palace and golden city.</t>
  </si>
  <si>
    <t xml:space="preserve">vol2_s000937_t02_9fdf75f645af</t>
  </si>
  <si>
    <t xml:space="preserve">Palace and City</t>
  </si>
  <si>
    <t xml:space="preserve">golden model</t>
  </si>
  <si>
    <t xml:space="preserve">vol2_s000938</t>
  </si>
  <si>
    <t xml:space="preserve">vol2_s000938_t01_57cab5fc3d53</t>
  </si>
  <si>
    <t xml:space="preserve">SUPPORTED_HOOVES_OF</t>
  </si>
  <si>
    <t xml:space="preserve">တောထွက်တော်မူသောအခါ မြင်းခြေလေးဖက်ကို နတ်သားလေးယောက် လက်ဝါးဖြင့် ခံဟန် တံတိုင်း တံခါးပါ ငွေမြို့ ပုံ တစ်၊ ဘုရားလောင်း မြင်းစီးလျက် ရွှေရုပ်တစ်၊ ငွေနတ်သားရုပ် လေး၊ ဆန္ဒအမတ် ငွေရုပ် ငွေမြို့ပုံ တစ်။</t>
  </si>
  <si>
    <t xml:space="preserve">When he departed for the forest, the scene of four devas receiving the four hooves of the horse with their palms; one model of a silver city with walls and gates, one golden figure of the Bodhisatta riding the horse, four silver deva figures, one silver figure of Minister Channa, one model of a silver city.</t>
  </si>
  <si>
    <t xml:space="preserve">vol2_s000938_t02_822407cbd942</t>
  </si>
  <si>
    <t xml:space="preserve">vol2_s000939</t>
  </si>
  <si>
    <t xml:space="preserve">vol2_s000939_t01_292457816fc6</t>
  </si>
  <si>
    <t xml:space="preserve">Mara</t>
  </si>
  <si>
    <t xml:space="preserve">OBSTRUCTED_DEPARTURE_OF</t>
  </si>
  <si>
    <t xml:space="preserve">တောထွက်တော်မူသည်ကို မာရ်နတ် ဖီတားဟန်၊ ဘုရားလောင်း မြင်းစီးလျက် ရွှေရုပ်တစ်၊ ဆန္ဒအမတ် ငွေရုပ် တစ်၊ ငွေမာရ်နတ်ရုပ် တစ်။</t>
  </si>
  <si>
    <t xml:space="preserve">The scene of Mara obstructing his departure for the forest; one golden figure of the Bodhisatta riding the horse, one silver figure of Minister Channa, one silver figure of Mara.</t>
  </si>
  <si>
    <t xml:space="preserve">vol2_s001668</t>
  </si>
  <si>
    <t xml:space="preserve">vol2_s001668_t01_93c7bd6b3113</t>
  </si>
  <si>
    <t xml:space="preserve">DELEGATED_ADMINISTRATIVE_AUTHORITY_TO</t>
  </si>
  <si>
    <t xml:space="preserve">Maha_Uparaja</t>
  </si>
  <si>
    <t xml:space="preserve">စည်းစိမ်တော် တစ်ဆယ့်ခုနစ်နှစ်တွင် ရွေ့သာ တိုင်းရေးပြည်မှု တို့ကို စီရင် စံနေတော်မူပြီးလျှင် သားတော် မဟာဥပရာဇာ, မြေးတော် စစ်ကိုင်းမင်းတို့ကို တိုင်းရေးပြည်မှု၌ လွှဲအပ်တော်မူ၍ ကုသိုလ်-အကုသိုလ် စိတ်, စေတသိက်, ရုပ်, နိဗ္ဗာန်- ပရမတ္ထတရားတို့၏ အစိတ်အဖြာ အခွဲအဝေ၊ ဗေဒင်ကိန်းခန်း, နှစ်ဆယ့်ခုနစ်လုံးသော နက္ခတ်, နာရီ−ပါဒ်- ဗီဇနာ-ပြန်ခရာတို့၏ အစိတ်အဖြာ အခွဲအဝေတို့ကို ရဟန်းပညာရှိ ပုဏ္ဏားပညာရှိ, လူပညာရှိတို့နှင့် နေ့ည မခြားမလပ် နှစ်ပေါင်း နှစ်ဆယ်ကျော်တိုင်တိုင် ရွှေနန်း တော်ဦးဝယ် တရားသဘင် ခံတော်မူ၍ စံနေတော်မူသည်။</t>
  </si>
  <si>
    <t xml:space="preserve">After having reigned for seventeen years and having managed the affairs of the country, he handed over the affairs of the country to his son, the Maha Uparaja, and his grandson, the King of Sagaing, and for over twenty years, without interruption day or night, he held court at the royal palace and resided there, engaging in the analysis and classification of the ultimate realities—the wholesome and unwholesome consciousness, mental factors, matter, and Nibbana—as well as the analysis and classification of astrological calculations, the twenty-seven constellations, and the hours, parts, minutes, and seconds, together with learned monks, learned Brahmins, and learned laymen.</t>
  </si>
  <si>
    <t xml:space="preserve">vol2_s001668_t02_411600541330</t>
  </si>
  <si>
    <t xml:space="preserve">King_of_Sagaing</t>
  </si>
  <si>
    <t xml:space="preserve">vol2_s001668_t03_0764b15a5975</t>
  </si>
  <si>
    <t xml:space="preserve">MAINTAINED_INTELLECTUAL_COURT_WITH</t>
  </si>
  <si>
    <t xml:space="preserve">Learned_monks_Brahmins_and_laymen</t>
  </si>
  <si>
    <t xml:space="preserve">vol2_s001669</t>
  </si>
  <si>
    <t xml:space="preserve">vol2_s001669_t01_45a63dd53cd5</t>
  </si>
  <si>
    <t xml:space="preserve">STANDARDIZED_RITUAL_CALENDAR_AND_TIME</t>
  </si>
  <si>
    <t xml:space="preserve">Clergy_and_laity</t>
  </si>
  <si>
    <t xml:space="preserve">ဓိမာသ်ခုနစ်ပါး, မာသသုံးပါး, ရတုခြောက်ပါး, ဥတုသုံးပါး, ဝိထိသုံးပါး, အယာဉ်နှစ်ပါး, အမ္မာဝါသီ- ပုဏ္ဏမီ စသော အလုံးစုံသော ဥပုသ်ပဝါရဏာ ဝါဆို ဝါကပ် နှစ်-လ-နေ့-ရက် အခေါ်အဝေါ် အခွဲအဝေ အပိုင်းအခြား အမှတ်အသား စသည်တို့ကို နှစ်ဆယ့်ခုနစ်လုံးသော နက္ခတ်တို့၏ နာရီ-ပါဒ်-ဗီဇနာ-ပြန်-ခရာတို့ဖြင့် အလွန်သိမ်မွေ့ နူးညံ့စွာ စိတ်ဖြာခွဲဝေတော်မူ၍ ဘုရားဟော ပါဠိတော်ရင်းအတိုင်း မှန်ကန်စွာ ပြည်သူ ရှင်လူ သတ္တဝါ အပေါင်းတို့အား ပြသသင်ကြား မှတ်သားလေ့လာ ကျင့်ဆောင်စေ၏။</t>
  </si>
  <si>
    <t xml:space="preserve">He meticulously and delicately analyzed and classified all the Uposatha and Pavarana days, the Vassa (rains retreat) periods, and the designations, divisions, intervals, and markers of years, months, days, and dates—such as the seven Adhimasa, three Masa, six Ratu, three Utu, three Vithi, two Ayana, Amavasya, and Punnami—using the hours, parts, minutes, and seconds of the twenty-seven constellations, and he caused all the people, both clergy and laity, to be shown, taught, noted, studied, and practiced them correctly according to the original Pali texts preached by the Buddha.</t>
  </si>
  <si>
    <t xml:space="preserve">vol2_s001669_t02_41b57f77d6db</t>
  </si>
  <si>
    <t xml:space="preserve">ENFORCED_BUDDHIST_ORTHODOXY_ON</t>
  </si>
  <si>
    <t xml:space="preserve">vol2_s001670</t>
  </si>
  <si>
    <t xml:space="preserve">vol2_s001670_t01_8d935198e702</t>
  </si>
  <si>
    <t xml:space="preserve">ENFORCED_MORAL_CODE_VIA_PROCLAMATION</t>
  </si>
  <si>
    <t xml:space="preserve">Citizens</t>
  </si>
  <si>
    <t xml:space="preserve">ဂရုဓမ္မတရား ငါးပါးကို ပြည်သူပြည်သား အပေါင်းတို့ အမြဲကျင့်ဆောင်ကြရမည် ဟုလည်း တစ်ဆယ့်နှစ်ရာသီ လစဉ် လဆန်း ငါးရက်နေ့တိုင်း ပြည်တွင်းပြည်ပ စည်လည်စေ၏။</t>
  </si>
  <si>
    <t xml:space="preserve">He also had it proclaimed throughout the country and abroad on the fifth day of the waxing moon every month of the twelve seasons that all citizens must always practice the five Garudhamma.</t>
  </si>
  <si>
    <t xml:space="preserve">vol2_s001671</t>
  </si>
  <si>
    <t xml:space="preserve">vol2_s001671_t01_5219e1f9710b</t>
  </si>
  <si>
    <t xml:space="preserve">Dhanyawadi_Rakhine_state</t>
  </si>
  <si>
    <t xml:space="preserve">ဘုန်းတော် တန်ခိုးတော်တို့ကို ဆိုချေသည်ရှိသော် … မဟာဝိဟိကတိုင်း ဓညဝတီ ရခိုင်ပြည်နယ်ကြီးကို ရတော်မူလျှင် ရခိုင်မင်းနှင့်တကွ မင်းဆွေစိုးမျိုးတို့ကို ရွှေဖဝါးတော်အောက် ချီးမြှင့် ပြုစုထားတော်မူ၍ ဘုရား မြတ်စွာ သက်တော်ထင်ရှား ရှိတော်မူစဉ် ဓညဝတီ ရခိုင်ပြည်နယ်ကြီးဝယ် သွန်းလုပ် ကိုးကွယ်သော မဟာမုနိ ဘုရားရှင် ရုပ်တုတော်ကို နေပြည်တော်သို့ ပင့်ဆောင်တော်မူ၍ ကိုးကွယ်တော်မူရ၏။</t>
  </si>
  <si>
    <t xml:space="preserve">As for his glory and power... upon obtaining the great Mahavihika region and the Dhanyawadi Rakhine state, he bestowed favor and care upon the Rakhine king and the royal relatives and officials under his golden feet, and he had the Mahamuni Buddha image, which was cast and worshipped in the great Dhanyawadi Rakhine state while the Lord Buddha was still alive, brought to the capital city to be worshipped.</t>
  </si>
  <si>
    <t xml:space="preserve">vol2_s001671_t02_22a043e7a877</t>
  </si>
  <si>
    <t xml:space="preserve">INCORPORATED_ELITES_OF</t>
  </si>
  <si>
    <t xml:space="preserve">vol2_s001671_t03_b82880fcafa0</t>
  </si>
  <si>
    <t xml:space="preserve">CENTRALIZED_SACRED_OBJECT_IN_CAPITAL</t>
  </si>
  <si>
    <t xml:space="preserve">Mahamuni_Buddha_image</t>
  </si>
  <si>
    <t xml:space="preserve">vol2_s001672</t>
  </si>
  <si>
    <t xml:space="preserve">vol2_s001672_t01_943b37124c9a</t>
  </si>
  <si>
    <t xml:space="preserve">SPONSORED_PILGRIMAGE_TO</t>
  </si>
  <si>
    <t xml:space="preserve">Maha_Bodhi_tree</t>
  </si>
  <si>
    <t xml:space="preserve">ဘုရားမြတ်စွာ သစ္စာလေးပါးတို့ကို သိတော်မူရာ မဟာဗောဓိပင်သို့လည်း ကျွန်တော်မျိုးတို့ကို မပြတ် ခန့်ထား ဖူးရောက်စေရ၏။</t>
  </si>
  <si>
    <t xml:space="preserve">He also constantly arranged for us to visit the Maha Bodhi tree, where the Lord Buddha attained knowledge of the Four Noble Truths.</t>
  </si>
  <si>
    <t xml:space="preserve">vol2_s001673</t>
  </si>
  <si>
    <t xml:space="preserve">vol2_s001673_t01_0184eb15c1a1</t>
  </si>
  <si>
    <t xml:space="preserve">Maha_Palagiriguthanzika</t>
  </si>
  <si>
    <t xml:space="preserve">OFFERED_SACRED_RESOURCES_TO</t>
  </si>
  <si>
    <t xml:space="preserve">မဟာဗောဓိပင်ကို စောင့်ထိန်းသည့် ကျေးလက်တစ်ဆယ့်ရှစ်ရွာကို စားသော မဟာ ပါလဂီရိဂူသံဇိကလည်း မဟာဗောဓိပင်အောက်၌ တည်သော မြေနှင့်တကွ မဟာဗောဓိပင်မှ ပွားသော ဗောဓိ ညောင်တော် နှစ်ပင်ကိုဆက်သ၏။</t>
  </si>
  <si>
    <t xml:space="preserve">The Maha Palagiriguthanzika, who enjoyed the revenue of the eighteen rural villages that guarded the Maha Bodhi tree, also offered the land situated beneath the Maha Bodhi tree along with two Bodhi banyan trees propagated from the Maha Bodhi tree.</t>
  </si>
  <si>
    <t xml:space="preserve">vol2_s001674</t>
  </si>
  <si>
    <t xml:space="preserve">vol2_s001674_t01_99e45c143a21</t>
  </si>
  <si>
    <t xml:space="preserve">Chinese_King_Udayi</t>
  </si>
  <si>
    <t xml:space="preserve">SENT_TRIBUTE_AND_DIPLOMATIC_CORRESPONDENCE_TO</t>
  </si>
  <si>
    <t xml:space="preserve">တရုတ် ဥဒည်မင်းကလည်း အထူးထူးသော ပဏ္ဏာလက်ဆောင်တော်တို့နှင့် သာယာချေငံစွာ ရွှေပေ ရာဇသံ ဆက်ရောက်သည် တစ်ကြိမ်။</t>
  </si>
  <si>
    <t xml:space="preserve">Once, the Chinese King Udayi sent a golden royal letter with various special offerings in a pleasant and refined manner.</t>
  </si>
  <si>
    <t xml:space="preserve">vol2_s001675</t>
  </si>
  <si>
    <t xml:space="preserve">vol2_s001675_t01_c6aa9e4a9695</t>
  </si>
  <si>
    <t xml:space="preserve">SENT_ROYAL_DAUGHTERS_TO</t>
  </si>
  <si>
    <t xml:space="preserve">ဥဒည်မင်းက သမီးကညာ သုံးပါး ဆက်ရောက်သည် တစ်ကြိမ်။</t>
  </si>
  <si>
    <t xml:space="preserve">Once, King Udayi sent three royal daughters.</t>
  </si>
  <si>
    <t xml:space="preserve">vol2_s001676</t>
  </si>
  <si>
    <t xml:space="preserve">vol2_s001676_t01_2acb9c1678c8</t>
  </si>
  <si>
    <t xml:space="preserve">REQUESTED_PROTECTION_FOR_HEIR_FROM</t>
  </si>
  <si>
    <t xml:space="preserve">ဥဒည်မင်းက အသက်ရှစ်ဆယ်ကျော် ရှိပြီ ဖြစ်၍ သားအကြီး ရှိဝူရဲကို ကြာဆည်ဝင်း အမည်နှင့် ဥဒည်ပြည်ကြီး ထီးနန်းကို လွှဲအပ်ပါမည်၊ သား ကြာဆည်ဝင်းကို ညီရင်းသားကဲ့သို့ မစကြည့်ရှုတော်မူပါမည့်အကြောင်း အထူးထူးသော လက်ဆောင်ပဏ္ဏာတော် ရွှေပေရာဇသံနှင့် ရိုသေစွာ ဆက်ရောက်သည် တစ်ကြိမ်။</t>
  </si>
  <si>
    <t xml:space="preserve">Once, King Udayi, being over eighty years old, respectfully sent a golden royal letter with various special offerings, stating that he would hand over the throne of the great Udayi country to his eldest son, Shi Wu Rui, under the name Jasaewin, and requesting that he [the King] look after and care for his son Jasaewin as if he were his own younger brother.</t>
  </si>
  <si>
    <t xml:space="preserve">vol2_s001677</t>
  </si>
  <si>
    <t xml:space="preserve">vol2_s001677_t01_29ad1e236ec7</t>
  </si>
  <si>
    <t xml:space="preserve">MAINTAINED_TRIBUTARY_RELATIONSHIP_WITH</t>
  </si>
  <si>
    <t xml:space="preserve">ထို့ပြင်လည်း ဥဒည်မင်းက အထူးထူးသော လက်ဆောင်တော်တို့ဖြင့် အကြိမ်ကြိမ် ရွှေဖဝါးတော်အောက် ဆက်သ ဖူးရောက်၏။</t>
  </si>
  <si>
    <t xml:space="preserve">Furthermore, King Udayi repeatedly offered various special gifts and visited under his golden feet.</t>
  </si>
  <si>
    <t xml:space="preserve">vol2_s001678</t>
  </si>
  <si>
    <t xml:space="preserve">vol2_s001678_t01_b97711f8363a</t>
  </si>
  <si>
    <t xml:space="preserve">King_of_Vesali</t>
  </si>
  <si>
    <t xml:space="preserve">OFFERED_TRIBUTE_TO</t>
  </si>
  <si>
    <t xml:space="preserve">မဇ္ဈိမတိုက် ဖြစ်သော ဝဇ္ဇီတိုင်း ဝေသာလီပြည်ကြီးကို အစိုးရသော မင်းကလည်း သမီးတော်ငါးပါးနှင့် ဆင်ကြီးမြင်းကြီး လက်နက်လက်ဆောင်တော် များစွာတို့ကို ငါးကြိမ်ငါးခေါက် ဆက်သ၍ ဖဝါးကျွန်အဖြစ် ဖြင့် ကျွန်တော်ခံ၏။</t>
  </si>
  <si>
    <t xml:space="preserve">The king who ruled the great city of Vesali in the Vajji country, which is in the Middle Land (Majjhimadesa), also offered five royal daughters and many great elephants, great horses, and weapons five times, and he became a servant under his feet.</t>
  </si>
  <si>
    <t xml:space="preserve">vol2_s001678_t02_9b7499934243</t>
  </si>
  <si>
    <t xml:space="preserve">SUBMITTED_AS_SERVANT_TO</t>
  </si>
  <si>
    <t xml:space="preserve">vol2_s001679</t>
  </si>
  <si>
    <t xml:space="preserve">vol2_s001679_t01_b70f78353eb3</t>
  </si>
  <si>
    <t xml:space="preserve">Sixteen_countries_of_Solasa</t>
  </si>
  <si>
    <t xml:space="preserve">OFFERED_ANNUAL_TRIBUTE_TO</t>
  </si>
  <si>
    <t xml:space="preserve">မဇ္ဈိမတိုက် သောဠသ တစ်ဆယ့်ခြောက်တိုင်းကလည်း အထူးထူးသော လက်ဆောင် ပဏ္ဏာတို့ဖြင့် နိမ့်ကျရိုသေစွာ နှစ်စဉ်မပြတ် ဆက်သ ဖူးရောက်၏။</t>
  </si>
  <si>
    <t xml:space="preserve">The sixteen countries of the Solasa in the Middle Land also humbly and respectfully offered various special gifts every year without fail and visited.</t>
  </si>
  <si>
    <t xml:space="preserve">vol2_s001680</t>
  </si>
  <si>
    <t xml:space="preserve">vol2_s001680_t01_59e64d5e2f89</t>
  </si>
  <si>
    <t xml:space="preserve">Kings_of_Sri_Lanka</t>
  </si>
  <si>
    <t xml:space="preserve">OFFERED_SOVEREIGNTY_OF_ISLAND_TO</t>
  </si>
  <si>
    <t xml:space="preserve">- သိဃိုဠ်ကျွန်းကို အစိုးရသော မင်းတို့ကလည်း သာသနာတော် တည်ထွန်းပွင့်လင်းအောင် မစ သိမ်းပိုက် ပြုစုတော်မူပါမည့် အကြောင်းကို အထူးထူးသော လက်နက် လက်ဆောင်တော်တို့ဖြင့် နိမ့်ကျခယ ရိုသေစွာ ခြေတော်ဦးခိုက် ဖူးရောက်၍ သိဃိုဠ်တစ်ကျွန်းလုံး နှင်းအပ်ဆက်သ၏။</t>
  </si>
  <si>
    <t xml:space="preserve">The kings who ruled the island of Sri Lanka also humbly, submissively, and respectfully bowed at his feet and visited with various weapons and gifts, requesting that he help, protect, and care for the religion so that it might flourish and shine, and they surrendered and offered the entire island of Sri Lanka.</t>
  </si>
  <si>
    <t xml:space="preserve">vol2_s001680_t02_38231f46515c</t>
  </si>
  <si>
    <t xml:space="preserve">REQUESTED_RELIGIOUS_PROTECTION_FROM</t>
  </si>
  <si>
    <t xml:space="preserve">vol2_s001872</t>
  </si>
  <si>
    <t xml:space="preserve">vol2_s001872_t01_456e9d68db9b</t>
  </si>
  <si>
    <t xml:space="preserve">Inheritance Minister Lawathinkhashwetaung</t>
  </si>
  <si>
    <t xml:space="preserve">ဗောင်းပန်းသုံးပွင့်၊ နားချောင်း ကြက်ရင်ဆူးနှစ်ထပ်၊ ဇာဖျင်ဝတ်လုံ၊ ရွှေစလွယ် သုံးသွယ်၊ မှောက်တို ရွှေထိပ် ရွှေထွတ် အုံရွှေပိန်း, အရပ်အနား သံငါးသစ်ရွှေ, ရွှေကုံးရွှေပွင့် ခုနစ်၊ ပါးကာ နားကာ ရှေ့ကာ နောက်ကာ မောက်ရူ ပါလည်ကွေး မှိုင်းလုံးစိမ်း ဘဲကွပ်၊ မျဉ်းတို မှိုင်းလုံးပြာဘဲကွပ်၊ မျဉ်းရှည်ဇာဖျင် ဘဲကွပ်၊ မြင်းကကိုင်း ညောင်ရွက်ငါး၊ သမ္မရာခွံ ရက်ဘောက်၊ ကတောင်ဆွဲ၊ ဆက်ပါးကာ ရွှေဇဝါပိန်း နင်းနှင်း သိပ်၊ အိမ်မြောင်ရင်ပတ်ကွင်း ငွေဇဝါ၊ ကတောင်ရွှေရေး စာမရီရုပ် ပန်းခက်ကိုက်, အနားသံလေးသစ် ရွှေပိန်း၊ မြင်းကြိုး သက္ကလတ် ရွှေကြယ်တပ်၊ စီးနှီးသက္ကဒါန် ပေးတော်မူသည်။</t>
  </si>
  <si>
    <t xml:space="preserve">[He] bestowed three flower-shaped head ornaments, two-layered chicken-chest-thorn ear tubes, a lace-fabric robe, three gold salwe, a short-crowned gold-topped gold-pointed gold-gilded hat, a five-finger-width gold-gilded border, seven gold necklaces and gold flowers, cheek-guards, ear-guards, front-guards, back-guards, a helmet with a curved neck-guard and green velvet with duck-patterned trim, a short-line blue velvet with duck-patterned trim, a long-line lace-fabric with duck-patterned trim, five horse-bridle banyan-leaf ornaments, a Samra-shell hat, a chin-strap, a connected cheek-guard with gold-zwa-gilded pressed-down design, a lizard-chest-plate with silver-zwa, a chin-strap with gold-written yak-figure and floral-branch design, a four-finger-width gold-gilded border, and horse-reins with scarlet-cloth and gold-star attachments, and a saddle-cloth.</t>
  </si>
  <si>
    <t xml:space="preserve">vol2_s001873</t>
  </si>
  <si>
    <t xml:space="preserve">vol2_s001873_t01_61cf5e9832fa</t>
  </si>
  <si>
    <t xml:space="preserve">BESTOWED_TITLE_UPON</t>
  </si>
  <si>
    <t xml:space="preserve">Wun-sa-chi Thiri Kyaw Htin</t>
  </si>
  <si>
    <t xml:space="preserve">လက်ဝဲတော်-စနည်းနေရာနေ ဝင်းစချီ သီရိကျော်ထင်ကို သီရိကျော်ထင်ကျော်၊ အမိန့်တော်ရေး ပျံချီသူကို ပျံချီသီဟစည်သူ၊ အမိန့်တော်ရေး သီရိကျော်ထင်ကို သီရိရာဇကျော်ထင်၊ အသုံးစာရေး နရာဝေသူကို နရာဇေယသူ၊ အသုံးစာရေး စည်သူရာဇကျော်ကို စည်သူရာဇကျော်စွာ၊ အသုံးစာရေး သီရိနန္ဒမိတ်ကို သီရိနန္ဒမိတ်ကျော်သူ၊ အသုံးစာရေး လက်ဝဲဇေယကျော်ကို လက်ဝဲဇေယကျော်ထင်၊ အသုံးစာရေး ပျံချီသီရိကျော်ကို ပျံချီသီရိကျော်ထင်၊ အမှာရေး သီရိစည်သူကို သီရိစည်သူကျော်ထင်၊ အမှာရေး လက်ယာကျော်သူကို လက်ယာသီရိကျော်သူ၊ အဝေးရောက် စာရေး ပျံချီသီရိကို လက်ဝဲဇေယကျော်ထင်၊ အဝေးရောက်စာရေး နန္ဒကျော်ကို နန္ဒကျော်ထင်၊ အဝေးရောက်စာရေး ငရိုးကို သီရိသိင်္ခသူ၊ ကသောင်းမြောင်တိုက်စိုး ရာဇကျော်ထင်ကို ရာဇသီရိကျော်ထင်၊ အသည်စာရေး စည်သူကျော်ကို စည်သူသင်္ခယာ၊ အသည်စာရေး သီရိဇေယသူကို ဇေယသင်္ခယာ၊ ရှမ်းမြင်းစာရေးကြီး လက်ယာသိင်္ခကို လက်ယာသိင်္ခ ကျော်စွာ၊ မြန်မာမြင်းစာရေးကြီး ကျော်ထင်နရာကို ကျော်ထင်နရာသူ၊ ကျီဝန်စာရေး ရန္တ ကျော်ကို ဇေယရန္တ ကျော်သူ၊ ကျီဝန်စာရေး ကျော်ထင်သိင်္ခကို ကျော်ထင်ရာဇကျော်၊ ကျော်ထင်ဇေယကို နေမျိုးဂါမဏိသင်္ကြံ၊ ကျော်စွာ သူရကို ရာဇသီရိကျော်စွာ၊ ရာဇပျံချီကို ပျံချီရာဇသူ ဘွဲ့အမည်ကို ပေးတော်မူသည်။</t>
  </si>
  <si>
    <t xml:space="preserve">[He] bestowed the titles of Thiri Kyaw Htin Kyaw to the Left-side Sane-position Wun-sa-chi Thiri Kyaw Htin, Pyan Chi Thiha Sithu to the Royal Order Writer Pyan Chi Thu, Thiri Raza Kyaw Htin to the Royal Order Writer Thiri Kyaw Htin, Nara Zeya Thu to the Usage Clerk Nara We Thu, Sithu Raza Kyaw Swa to the Usage Clerk Sithu Raza Kyaw, Thiri Nanda Mit Kyaw Thu to the Usage Clerk Thiri Nanda Mit, Let-we Zeya Kyaw Htin to the Usage Clerk Let-we Zeya Kyaw, Pyan Chi Thiri Kyaw Htin to the Usage Clerk Pyan Chi Thiri Kyaw, Thiri Sithu Kyaw Htin to the Order Writer Thiri Sithu, Let-ya Thiri Kyaw Thu to the Order Writer Let-ya Kyaw Thu, Let-we Zeya Kyaw Htin to the Distant-affairs Clerk Pyan Chi Thiri, Nanda Kyaw Htin to the Distant-affairs Clerk Nanda Kyaw, Thiri Thinkha Thu to the Distant-affairs Clerk Nga Yoe, Raza Thiri Kyaw Htin to the Kasaung-myaung-taik-soe Raza Kyaw Htin, Sithu Thinkhaya to the A-thi Clerk Sithu Kyaw, Zeya Thinkhaya to the A-thi Clerk Thiri Zeya Thu, Let-ya Thinkha Kyaw Swa to the Great Shan Horse Clerk Let-ya Thinkha, Kyaw Htin Nara Thu to the Great Burmese Horse Clerk Kyaw Htin Nara, Zeya Ranta Kyaw Thu to the Kyi-wun Clerk Ranta Kyaw, Kyaw Htin Raza Kyaw to the Kyi-wun Clerk Kyaw Htin Thinkha, Nemyo Gamani Thinkyan to Kyaw Htin Zeya, Raza Thiri Kyaw Swa to Kyaw Swa Thu Ya, and Pyan Chi Raza Thu to Raza Pyan Chi.</t>
  </si>
  <si>
    <t xml:space="preserve">vol2_s001873_t02_3f18e60ea1e2</t>
  </si>
  <si>
    <t xml:space="preserve">Thiri Kyaw Htin Kyaw</t>
  </si>
  <si>
    <t xml:space="preserve">vol2_s001873_t03_03aadb7d574f</t>
  </si>
  <si>
    <t xml:space="preserve">Royal Order Writer Pyan Chi Thu</t>
  </si>
  <si>
    <t xml:space="preserve">vol2_s001873_t04_ec23813e2095</t>
  </si>
  <si>
    <t xml:space="preserve">Pyan Chi Thiha Sithu</t>
  </si>
  <si>
    <t xml:space="preserve">vol2_s001873_t05_201b80a27305</t>
  </si>
  <si>
    <t xml:space="preserve">Royal Order Writer Thiri Kyaw Htin</t>
  </si>
  <si>
    <t xml:space="preserve">vol2_s001873_t06_d3961156139f</t>
  </si>
  <si>
    <t xml:space="preserve">Thiri Raza Kyaw Htin</t>
  </si>
  <si>
    <t xml:space="preserve">vol2_s001873_t07_9ac637bc69f8</t>
  </si>
  <si>
    <t xml:space="preserve">Usage Clerk Nara We Thu</t>
  </si>
  <si>
    <t xml:space="preserve">vol2_s001873_t08_a07d5ef5333b</t>
  </si>
  <si>
    <t xml:space="preserve">Nara Zeya Thu</t>
  </si>
  <si>
    <t xml:space="preserve">vol2_s001873_t09_c4f7b7241a6c</t>
  </si>
  <si>
    <t xml:space="preserve">Usage Clerk Sithu Raza Kyaw</t>
  </si>
  <si>
    <t xml:space="preserve">vol2_s001873_t10_edd7b2a03fa1</t>
  </si>
  <si>
    <t xml:space="preserve">Sithu Raza Kyaw Swa</t>
  </si>
  <si>
    <t xml:space="preserve">vol2_s001873_t11_f390e07221b7</t>
  </si>
  <si>
    <t xml:space="preserve">Usage Clerk Thiri Nanda Mit</t>
  </si>
  <si>
    <t xml:space="preserve">vol2_s001873_t12_be790a754aaa</t>
  </si>
  <si>
    <t xml:space="preserve">Thiri Nanda Mit Kyaw Thu</t>
  </si>
  <si>
    <t xml:space="preserve">vol2_s001873_t13_e77469039c8b</t>
  </si>
  <si>
    <t xml:space="preserve">Usage Clerk Let-we Zeya Kyaw</t>
  </si>
  <si>
    <t xml:space="preserve">vol2_s001873_t14_9b1a0a05402b</t>
  </si>
  <si>
    <t xml:space="preserve">Let-we Zeya Kyaw Htin</t>
  </si>
  <si>
    <t xml:space="preserve">vol2_s001873_t15_60b35dc6e4c6</t>
  </si>
  <si>
    <t xml:space="preserve">Usage Clerk Pyan Chi Thiri Kyaw</t>
  </si>
  <si>
    <t xml:space="preserve">vol2_s001873_t16_59a1142dc4f6</t>
  </si>
  <si>
    <t xml:space="preserve">Pyan Chi Thiri Kyaw Htin</t>
  </si>
  <si>
    <t xml:space="preserve">vol2_s001873_t17_ed6fae55b41c</t>
  </si>
  <si>
    <t xml:space="preserve">Order Writer Thiri Sithu</t>
  </si>
  <si>
    <t xml:space="preserve">vol2_s001873_t18_fcb3932fc643</t>
  </si>
  <si>
    <t xml:space="preserve">Thiri Sithu Kyaw Htin</t>
  </si>
  <si>
    <t xml:space="preserve">vol2_s001873_t19_347907e4261f</t>
  </si>
  <si>
    <t xml:space="preserve">Order Writer Let-ya Kyaw Thu</t>
  </si>
  <si>
    <t xml:space="preserve">vol2_s001873_t20_1f4c08c387e7</t>
  </si>
  <si>
    <t xml:space="preserve">Let-ya Thiri Kyaw Thu</t>
  </si>
  <si>
    <t xml:space="preserve">vol2_s001873_t21_3d8d2b65c883</t>
  </si>
  <si>
    <t xml:space="preserve">Distant-affairs Clerk Pyan Chi Thiri</t>
  </si>
  <si>
    <t xml:space="preserve">vol2_s001873_t22_bb5596df4be0</t>
  </si>
  <si>
    <t xml:space="preserve">vol2_s001873_t23_fc26bde8caa8</t>
  </si>
  <si>
    <t xml:space="preserve">Distant-affairs Clerk Nanda Kyaw</t>
  </si>
  <si>
    <t xml:space="preserve">vol2_s001873_t24_94cb65f6f308</t>
  </si>
  <si>
    <t xml:space="preserve">Nanda Kyaw Htin</t>
  </si>
  <si>
    <t xml:space="preserve">vol2_s001873_t25_b76b4db8aaf5</t>
  </si>
  <si>
    <t xml:space="preserve">Distant-affairs Clerk Nga Yoe</t>
  </si>
  <si>
    <t xml:space="preserve">vol2_s001873_t26_40aad1565c1b</t>
  </si>
  <si>
    <t xml:space="preserve">Thiri Thinkha Thu</t>
  </si>
  <si>
    <t xml:space="preserve">vol2_s001873_t27_6e52fe7c974b</t>
  </si>
  <si>
    <t xml:space="preserve">Kasaung-myaung-taik-soe Raza Kyaw Htin</t>
  </si>
  <si>
    <t xml:space="preserve">vol2_s001873_t28_0cd130437b1c</t>
  </si>
  <si>
    <t xml:space="preserve">Raza Thiri Kyaw Htin</t>
  </si>
  <si>
    <t xml:space="preserve">vol2_s001873_t29_ab850aa6ffd4</t>
  </si>
  <si>
    <t xml:space="preserve">A-thi Clerk Sithu Kyaw</t>
  </si>
  <si>
    <t xml:space="preserve">vol2_s001873_t30_d4764fb22b1c</t>
  </si>
  <si>
    <t xml:space="preserve">Sithu Thinkhaya</t>
  </si>
  <si>
    <t xml:space="preserve">vol2_s001873_t31_c28428464121</t>
  </si>
  <si>
    <t xml:space="preserve">A-thi Clerk Thiri Zeya Thu</t>
  </si>
  <si>
    <t xml:space="preserve">vol2_s001873_t32_604db8c9c391</t>
  </si>
  <si>
    <t xml:space="preserve">Zeya Thinkhaya</t>
  </si>
  <si>
    <t xml:space="preserve">vol2_s001873_t33_42f7ef75817c</t>
  </si>
  <si>
    <t xml:space="preserve">Great Shan Horse Clerk Let-ya Thinkha</t>
  </si>
  <si>
    <t xml:space="preserve">vol2_s001873_t34_fd25b4b8882f</t>
  </si>
  <si>
    <t xml:space="preserve">Let-ya Thinkha Kyaw Swa</t>
  </si>
  <si>
    <t xml:space="preserve">vol2_s001873_t35_aee805db427c</t>
  </si>
  <si>
    <t xml:space="preserve">Great Burmese Horse Clerk Kyaw Htin Nara</t>
  </si>
  <si>
    <t xml:space="preserve">vol2_s001873_t36_e604fed0a437</t>
  </si>
  <si>
    <t xml:space="preserve">Kyaw Htin Nara Thu</t>
  </si>
  <si>
    <t xml:space="preserve">vol2_s001873_t37_daa7f2c9fcd2</t>
  </si>
  <si>
    <t xml:space="preserve">Kyi-wun Clerk Ranta Kyaw</t>
  </si>
  <si>
    <t xml:space="preserve">vol2_s001873_t38_58b1a7e154da</t>
  </si>
  <si>
    <t xml:space="preserve">Zeya Ranta Kyaw Thu</t>
  </si>
  <si>
    <t xml:space="preserve">vol2_s001873_t39_faf7c74f5fc1</t>
  </si>
  <si>
    <t xml:space="preserve">Kyi-wun Clerk Kyaw Htin Thinkha</t>
  </si>
  <si>
    <t xml:space="preserve">vol2_s001873_t40_10714690377a</t>
  </si>
  <si>
    <t xml:space="preserve">Kyaw Htin Raza Kyaw</t>
  </si>
  <si>
    <t xml:space="preserve">vol2_s001873_t41_a71ca762a5b5</t>
  </si>
  <si>
    <t xml:space="preserve">Kyaw Htin Zeya</t>
  </si>
  <si>
    <t xml:space="preserve">vol2_s001873_t42_7d3d4871075b</t>
  </si>
  <si>
    <t xml:space="preserve">Nemyo Gamani Thinkyan</t>
  </si>
  <si>
    <t xml:space="preserve">vol2_s001873_t43_e72750602fcc</t>
  </si>
  <si>
    <t xml:space="preserve">Kyaw Swa Thu Ya</t>
  </si>
  <si>
    <t xml:space="preserve">vol2_s001873_t44_ee377fd84662</t>
  </si>
  <si>
    <t xml:space="preserve">Raza Thiri Kyaw Swa</t>
  </si>
  <si>
    <t xml:space="preserve">vol2_s001873_t45_9891aee1f291</t>
  </si>
  <si>
    <t xml:space="preserve">Raza Pyan Chi</t>
  </si>
  <si>
    <t xml:space="preserve">vol2_s001873_t46_e17a454b960a</t>
  </si>
  <si>
    <t xml:space="preserve">Pyan Chi Raza Thu</t>
  </si>
  <si>
    <t xml:space="preserve">vol2_s001874</t>
  </si>
  <si>
    <t xml:space="preserve">vol2_s001874_t01_df65d8871f39</t>
  </si>
  <si>
    <t xml:space="preserve">Twenty-three Left-side Sane-position officials</t>
  </si>
  <si>
    <t xml:space="preserve">လက်ဝဲတော် - စနည်းနေရာနေ ထိုသူ နှစ်ဆယ့်သုံးဦးတို့မှာ အဝတ်အဆင် အစီးအနင်း အဆောင်အရွက်များကို လက်ဝဲတော် စနည်းနေရာဦးနေ အမွေဝန် နေမျိုးသီဟပတေ့နှင့် နည်းတူ ပေးတော်မူသည်။</t>
  </si>
  <si>
    <t xml:space="preserve">For those twenty-three people residing in the Left-side Sane-position, [he] bestowed clothing, ornaments, mounts, and regalia in the same manner as the Left-side Sane-position-head, Amwe-wun Nemyo Thiha Pate.</t>
  </si>
  <si>
    <t xml:space="preserve">vol2_s001875</t>
  </si>
  <si>
    <t xml:space="preserve">vol2_s001875_t01_e51a08603f4d</t>
  </si>
  <si>
    <t xml:space="preserve">Right-side Sane-position-head Tap-kaung-han-wun Arkar Kyaw Thu</t>
  </si>
  <si>
    <t xml:space="preserve">လက်ယာတော်-စနည်းနေရာဦးနေ တပ်ကောင်ဟန်ဝန် အာကာကျော်သူကို နေမျိုးကျော်သူ ဘွဲ့ အမည် ကို ပေးတော်မူသည်။</t>
  </si>
  <si>
    <t xml:space="preserve">[He] bestowed the title of Nemyo Kyaw Thu to the Right-side Sane-position-head, Tap-kaung-han-wun Arkar Kyaw Thu.</t>
  </si>
  <si>
    <t xml:space="preserve">vol2_s001875_t02_9dd60e05653b</t>
  </si>
  <si>
    <t xml:space="preserve">Nemyo Kyaw Thu</t>
  </si>
  <si>
    <t xml:space="preserve">vol2_s001876</t>
  </si>
  <si>
    <t xml:space="preserve">vol2_s001876_t01_b3b49ce091af</t>
  </si>
  <si>
    <t xml:space="preserve">အဝတ်အဆင် အစီးအနင်း အဆောင်အရွက်များကိုလည်း လက်ဝဲတော် စနည်း နေရာဦးနေ အမွေဝန် နေမျိုးသီဟပတေ့နှင့် နည်းတူ ပေးတော်မူသည်။</t>
  </si>
  <si>
    <t xml:space="preserve">[He] also bestowed clothing, ornaments, mounts, and regalia in the same manner as the Left-side Sane-position-head, Amwe-wun Nemyo Thiha Pate.</t>
  </si>
  <si>
    <t xml:space="preserve">vol2_s001877</t>
  </si>
  <si>
    <t xml:space="preserve">vol2_s001877_t01_6f842bcfd312</t>
  </si>
  <si>
    <t xml:space="preserve">Right-side Sane-position Royal Order Writer We Ra Kyaw Thu</t>
  </si>
  <si>
    <t xml:space="preserve">လက်ယာတော်-စနည်းနေရာနေ အမိန့်တော်ရေး ဝေရကျော်သူကို စည်သူကျော်စွာ၊ အမိန့်တော်ရေး သီရိ ဇေယကျော်ကို သီရိဇေယကျော်ထင်၊ အမိန့်တော်ရေး ရာဇသူကို ကျော်ထင်ရာဇာ၊ အသုံးစာရေး ကျော်ထင်ရာဇသူကို ကျော်ထင်ဇေယစည်သူ၊ အသုံးစာရေး ဇေယရာဇကျော်ကို ဇေယရာဇကျော်စွာ၊ အသုံးစာရေး သီဟရာဇသူကို ကျော်ထင်သီဟစည်သူ၊ အသုံးစာရေး ကျော်ထင်သူရကို ကျော်ထင်ဇေယသူ၊ အဝေးရောက်စာရေး ရွှေတောင်ငယ်ကို ကျော်ထင်သိင်္ခသူ၊ အမှာရေး လက်ဝဲသီရိကျော်ကို လက်ဝဲသီရိကျော်ထင်၊ အမှာရေး ဇေယစည်သူကို ဇေယသီရိစည်သူ၊ အဝေးရောက်စာရေး လက်ဝဲရာဇကျော်ကို လက်ဝဲရာဇကျော်ထင်၊ အဝေးရောက်စာရေး နရာရဲသူကို နရာသိင်္ခသူ၊ အမှာရေး ငညက်ကို ပျံချီသိင်္ခသူ၊ အသည်စာရေး သီရိရာဇကျော်ကို သီရိရာဇကျော်သူ၊ အသည်စာရေး ဝေသော်ဗလ ကို သီရိစည်သူကျော်၊ အသုံးစာရေး ငဘဲကို စည်သူရာဇာ၊ မြန်မာမြင်းစာရေးကြီး ရန္တ ဝေသူကို ရန္တ ဝေရကျော်သူ၊ ဇင်းမယ်ပါမြင်းစာရေး ဥဒိန်သင်္ကြံကို ဥဒိန်သီရိသင်္ကြံ၊ ကျီဝန်စာရေး ကျော်စွာသီရိကို ကျော်စွာသီရိစည်သူ၊ ကျီဝန်စာရေး ငမြတ်ညိုကို သီရိနရသူ၊ လက်ဝဲရာဇကျော်ကို သီရိသင်္ကြံ၊ အာကာကျော်ခေါင်ကို ဇေယသင်္ကြံ၊ သီရိနန္ဒကျော်ကို သီရိနန္ဒကျော်ထင် ဘွဲ့ အမည်ကို ပေးတော်မူသည်။</t>
  </si>
  <si>
    <t xml:space="preserve">[He] bestowed the titles of Sithu Kyaw Swa to the Right-side Sane-position Royal Order Writer We Ra Kyaw Thu, Thiri Zeya Kyaw Htin to the Royal Order Writer Thiri Zeya Kyaw, Kyaw Htin Raza to the Royal Order Writer Raza Thu, Kyaw Htin Zeya Sithu to the Usage Clerk Kyaw Htin Raza Thu, Zeya Raza Kyaw Swa to the Usage Clerk Zeya Raza Kyaw, Kyaw Htin Thiha Sithu to the Usage Clerk Thiha Raza Thu, Kyaw Htin Zeya Thu to the Usage Clerk Kyaw Htin Thu Ya, Kyaw Htin Thinkha Thu to the Distant-affairs Clerk Shwe Taung Nge, Let-we Thiri Kyaw Htin to the Order Writer Let-we Thiri Kyaw, Zeya Thiri Sithu to the Order Writer Zeya Sithu, Let-we Raza Kyaw Htin to the Distant-affairs Clerk Let-we Raza Kyaw, Nara Thinkha Thu to the Distant-affairs Clerk Nara Ye Thu, Pyan Chi Thinkha Thu to the Order Writer Nga Nget, Thiri Raza Kyaw Thu to the A-thi Clerk Thiri Raza Kyaw, Thiri Sithu Kyaw to the A-thi Clerk We-thaw-ba-la, Sithu Raza to the Usage Clerk Nga Bwe, Ranta We Ra Kyaw Thu to the Great Burmese Horse Clerk Ranta We Thu, U-dein Thiri Thinkyan to the Zin-mel-par Horse Clerk U-dein Thinkyan, Kyaw Swa Thiri Sithu to the Kyi-wun Clerk Kyaw Swa Thiri, Thiri Nara Thu to the Kyi-wun Clerk Nga Myat Nyo, Thiri Thinkyan to Let-we Raza Kyaw, Zeya Thinkyan to Arkar Kyaw Khaung, and Thiri Nanda Kyaw Htin to Thiri Nanda Kyaw.</t>
  </si>
  <si>
    <t xml:space="preserve">vol2_s001877_t02_a694b2575620</t>
  </si>
  <si>
    <t xml:space="preserve">Sithu Kyaw Swa</t>
  </si>
  <si>
    <t xml:space="preserve">vol2_s001877_t03_7038b7de916d</t>
  </si>
  <si>
    <t xml:space="preserve">Royal Order Writer Thiri Zeya Kyaw</t>
  </si>
  <si>
    <t xml:space="preserve">vol2_s001877_t04_b2955b340ff1</t>
  </si>
  <si>
    <t xml:space="preserve">Thiri Zeya Kyaw Htin</t>
  </si>
  <si>
    <t xml:space="preserve">vol2_s001877_t05_09ccff359b22</t>
  </si>
  <si>
    <t xml:space="preserve">Royal Order Writer Raza Thu</t>
  </si>
  <si>
    <t xml:space="preserve">vol2_s001877_t06_5616ee6444fd</t>
  </si>
  <si>
    <t xml:space="preserve">Kyaw Htin Raza</t>
  </si>
  <si>
    <t xml:space="preserve">vol2_s001877_t07_6fce460538fd</t>
  </si>
  <si>
    <t xml:space="preserve">Usage Clerk Kyaw Htin Raza Thu</t>
  </si>
  <si>
    <t xml:space="preserve">vol2_s001877_t08_1d10ed795127</t>
  </si>
  <si>
    <t xml:space="preserve">Kyaw Htin Zeya Sithu</t>
  </si>
  <si>
    <t xml:space="preserve">vol2_s001877_t09_cc2da5e54196</t>
  </si>
  <si>
    <t xml:space="preserve">Usage Clerk Zeya Raza Kyaw</t>
  </si>
  <si>
    <t xml:space="preserve">vol2_s001877_t10_2442193ecf6b</t>
  </si>
  <si>
    <t xml:space="preserve">Zeya Raza Kyaw Swa</t>
  </si>
  <si>
    <t xml:space="preserve">vol2_s001877_t11_c2675054a04f</t>
  </si>
  <si>
    <t xml:space="preserve">Usage Clerk Thiha Raza Thu</t>
  </si>
  <si>
    <t xml:space="preserve">vol2_s001877_t12_f600a7ce9824</t>
  </si>
  <si>
    <t xml:space="preserve">Kyaw Htin Thiha Sithu</t>
  </si>
  <si>
    <t xml:space="preserve">vol2_s001877_t13_153b91c835aa</t>
  </si>
  <si>
    <t xml:space="preserve">Usage Clerk Kyaw Htin Thu Ya</t>
  </si>
  <si>
    <t xml:space="preserve">vol2_s001877_t14_57e5a692e83c</t>
  </si>
  <si>
    <t xml:space="preserve">Kyaw Htin Zeya Thu</t>
  </si>
  <si>
    <t xml:space="preserve">vol2_s001877_t15_cb755688694e</t>
  </si>
  <si>
    <t xml:space="preserve">Distant-affairs Clerk Shwe Taung Nge</t>
  </si>
  <si>
    <t xml:space="preserve">vol2_s001877_t16_b9955bd5835a</t>
  </si>
  <si>
    <t xml:space="preserve">Kyaw Htin Thinkha Thu</t>
  </si>
  <si>
    <t xml:space="preserve">vol2_s001877_t17_b4e7474c6d85</t>
  </si>
  <si>
    <t xml:space="preserve">Order Writer Let-we Thiri Kyaw</t>
  </si>
  <si>
    <t xml:space="preserve">vol2_s001877_t18_f123f037cfdd</t>
  </si>
  <si>
    <t xml:space="preserve">Let-we Thiri Kyaw Htin</t>
  </si>
  <si>
    <t xml:space="preserve">vol2_s001877_t19_e50b6db83875</t>
  </si>
  <si>
    <t xml:space="preserve">Order Writer Zeya Sithu</t>
  </si>
  <si>
    <t xml:space="preserve">vol2_s001877_t20_27ead625365d</t>
  </si>
  <si>
    <t xml:space="preserve">Zeya Thiri Sithu</t>
  </si>
  <si>
    <t xml:space="preserve">vol2_s001877_t21_4ac7b98346d6</t>
  </si>
  <si>
    <t xml:space="preserve">Distant-affairs Clerk Let-we Raza Kyaw</t>
  </si>
  <si>
    <t xml:space="preserve">vol2_s001877_t22_2114eea66c1c</t>
  </si>
  <si>
    <t xml:space="preserve">Let-we Raza Kyaw Htin</t>
  </si>
  <si>
    <t xml:space="preserve">vol2_s001877_t23_99a7eb37e4e8</t>
  </si>
  <si>
    <t xml:space="preserve">Distant-affairs Clerk Nara Ye Thu</t>
  </si>
  <si>
    <t xml:space="preserve">vol2_s001877_t24_aac4752d9b80</t>
  </si>
  <si>
    <t xml:space="preserve">Nara Thinkha Thu</t>
  </si>
  <si>
    <t xml:space="preserve">vol2_s001877_t25_0ea2f5c39bd6</t>
  </si>
  <si>
    <t xml:space="preserve">Order Writer Nga Nget</t>
  </si>
  <si>
    <t xml:space="preserve">vol2_s001877_t26_2f8c900c6c20</t>
  </si>
  <si>
    <t xml:space="preserve">Pyan Chi Thinkha Thu</t>
  </si>
  <si>
    <t xml:space="preserve">vol2_s001877_t27_b36943d48d6c</t>
  </si>
  <si>
    <t xml:space="preserve">A-thi Clerk Thiri Raza Kyaw</t>
  </si>
  <si>
    <t xml:space="preserve">vol2_s001877_t28_6ce4a3dd0d2b</t>
  </si>
  <si>
    <t xml:space="preserve">Thiri Raza Kyaw Thu</t>
  </si>
  <si>
    <t xml:space="preserve">vol2_s001877_t29_d0a250aee104</t>
  </si>
  <si>
    <t xml:space="preserve">A-thi Clerk We-thaw-ba-la</t>
  </si>
  <si>
    <t xml:space="preserve">vol2_s001877_t30_04a2b05a89f6</t>
  </si>
  <si>
    <t xml:space="preserve">Thiri Sithu Kyaw</t>
  </si>
  <si>
    <t xml:space="preserve">vol2_s001877_t31_eaf5eeef2f51</t>
  </si>
  <si>
    <t xml:space="preserve">Usage Clerk Nga Bwe</t>
  </si>
  <si>
    <t xml:space="preserve">vol2_s001877_t32_7ccdd76161a5</t>
  </si>
  <si>
    <t xml:space="preserve">Sithu Raza</t>
  </si>
  <si>
    <t xml:space="preserve">vol2_s001877_t33_c3658abf3b50</t>
  </si>
  <si>
    <t xml:space="preserve">Great Burmese Horse Clerk Ranta We Thu</t>
  </si>
  <si>
    <t xml:space="preserve">vol2_s001877_t34_6132f0a21018</t>
  </si>
  <si>
    <t xml:space="preserve">Ranta We Ra Kyaw Thu</t>
  </si>
  <si>
    <t xml:space="preserve">vol2_s001877_t35_c04e467dc561</t>
  </si>
  <si>
    <t xml:space="preserve">Zin-mel-par Horse Clerk U-dein Thinkyan</t>
  </si>
  <si>
    <t xml:space="preserve">vol2_s001877_t36_9d1e3a974b69</t>
  </si>
  <si>
    <t xml:space="preserve">U-dein Thiri Thinkyan</t>
  </si>
  <si>
    <t xml:space="preserve">vol2_s001877_t37_009caa6ae020</t>
  </si>
  <si>
    <t xml:space="preserve">Kyi-wun Clerk Kyaw Swa Thiri</t>
  </si>
  <si>
    <t xml:space="preserve">vol2_s001877_t38_2af1108adc1e</t>
  </si>
  <si>
    <t xml:space="preserve">Kyaw Swa Thiri Sithu</t>
  </si>
  <si>
    <t xml:space="preserve">vol2_s001877_t39_c93b11e6e82d</t>
  </si>
  <si>
    <t xml:space="preserve">Kyi-wun Clerk Nga Myat Nyo</t>
  </si>
  <si>
    <t xml:space="preserve">vol2_s001877_t40_29d5824b1e49</t>
  </si>
  <si>
    <t xml:space="preserve">Thiri Nara Thu</t>
  </si>
  <si>
    <t xml:space="preserve">vol2_s001877_t41_da709f5f1932</t>
  </si>
  <si>
    <t xml:space="preserve">Let-we Raza Kyaw</t>
  </si>
  <si>
    <t xml:space="preserve">vol2_s001877_t42_ecce5d4bd1b8</t>
  </si>
  <si>
    <t xml:space="preserve">Thiri Thinkyan</t>
  </si>
  <si>
    <t xml:space="preserve">vol2_s001877_t43_ff8e5b98b070</t>
  </si>
  <si>
    <t xml:space="preserve">Arkar Kyaw Khaung</t>
  </si>
  <si>
    <t xml:space="preserve">vol2_s001877_t44_d7290049fb70</t>
  </si>
  <si>
    <t xml:space="preserve">Zeya Thinkyan</t>
  </si>
  <si>
    <t xml:space="preserve">vol2_s001877_t45_55cfb9d997f5</t>
  </si>
  <si>
    <t xml:space="preserve">Thiri Nanda Kyaw</t>
  </si>
  <si>
    <t xml:space="preserve">vol2_s001877_t46_ce4ffaf37b05</t>
  </si>
  <si>
    <t xml:space="preserve">Thiri Nanda Kyaw Htin</t>
  </si>
  <si>
    <t xml:space="preserve">vol2_s001878</t>
  </si>
  <si>
    <t xml:space="preserve">vol2_s001878_t01_a988d064e241</t>
  </si>
  <si>
    <t xml:space="preserve">BESTOWED_REGALIA_ON</t>
  </si>
  <si>
    <t xml:space="preserve">Right-side Sane-position officials</t>
  </si>
  <si>
    <t xml:space="preserve">လက်ယာတော်-စနည်းနေရာနေ ထိုသူ နှစ်ဆယ့်သုံးဦးတို့မှာ အဝတ်အဆင် အစီးအနင်း အဆောင်အရွက်များကို လက်ယာတော် စနည်းနေရာဦးနေ တပ်ကောင်ဟန်ဝန် နေမျိုးကျော်သူနှင့် နည်းတူ ပေးတော်မူသည်။</t>
  </si>
  <si>
    <t xml:space="preserve">For those twenty-three people residing in the Right-side Sane-position, [he] bestowed clothing, ornaments, mounts, and regalia in the same manner as the Right-side Sane-position-head, Tap-kaung-han-wun Nemyo Kyaw Thu.</t>
  </si>
  <si>
    <t xml:space="preserve">vol2_s001878_t02_49532ebe7422</t>
  </si>
  <si>
    <t xml:space="preserve">RECEIVED_STATUS_MARKERS_FROM</t>
  </si>
  <si>
    <t xml:space="preserve">vol2_s001914</t>
  </si>
  <si>
    <t xml:space="preserve">vol2_s001914_t01_6bc5297978ea</t>
  </si>
  <si>
    <t xml:space="preserve">Pakhangyi Sayadaw Shin Parama</t>
  </si>
  <si>
    <t xml:space="preserve">Paramayanadhaja Mahadhammarajadhirajaguru</t>
  </si>
  <si>
    <t xml:space="preserve">ပုခန်းကြီးဆရာတော် ရှင်ပရမကို ပရမဉာဏဓဇ မဟာဓမ္မရာဇာဓိရာဇဂုရု-တံဆိပ်ကို လှူတော်မူသည်။</t>
  </si>
  <si>
    <t xml:space="preserve">He bestowed the title of Paramayanadhaja Mahadhammarajadhirajaguru upon the Pakhangyi Sayadaw Shin Parama.</t>
  </si>
  <si>
    <t xml:space="preserve">vol2_s001915</t>
  </si>
  <si>
    <t xml:space="preserve">vol2_s001915_t01_2976839aae18</t>
  </si>
  <si>
    <t xml:space="preserve">Pale Sayadaw Shin Nandadipa</t>
  </si>
  <si>
    <t xml:space="preserve">RECEIVED_MONASTERY_ENDOWMENT_FROM_KING</t>
  </si>
  <si>
    <t xml:space="preserve">Weyansanlut Monastery</t>
  </si>
  <si>
    <t xml:space="preserve">ပုလဲဆရာတော် ရှင်နန္ဒဒီပကို ရွှေမြို့တော်မြောက် ဝေယန်စံလွတ်ကျောင်းကို တင်လှူတော်မူသည်။</t>
  </si>
  <si>
    <t xml:space="preserve">He bestowed the Weyansanlut Monastery, north of the golden city, upon the Pale Sayadaw Shin Nandadipa.</t>
  </si>
  <si>
    <t xml:space="preserve">vol2_s001916</t>
  </si>
  <si>
    <t xml:space="preserve">vol2_s001916_t01_e7fa83319d07</t>
  </si>
  <si>
    <t xml:space="preserve">BESTOWED_TITLE</t>
  </si>
  <si>
    <t xml:space="preserve">Narindabhi Siridhaja Mahadhammarajadhirajaguru</t>
  </si>
  <si>
    <t xml:space="preserve">နရိန္ဒာဘိ သီရိဓဇ မဟာဓမ္မ ရာဇာဓိရာဇဂုရု-တံဆိပ်ကိုလည်း တင်လှူတော်မူသည်။</t>
  </si>
  <si>
    <t xml:space="preserve">He also bestowed the title of Narindabhi Siridhaja Mahadhammarajadhirajaguru.</t>
  </si>
  <si>
    <t xml:space="preserve">vol2_s001917</t>
  </si>
  <si>
    <t xml:space="preserve">vol2_s001917_t01_cf7c63098746</t>
  </si>
  <si>
    <t xml:space="preserve">Bagan Sayadaw Shin Gunalankara</t>
  </si>
  <si>
    <t xml:space="preserve">Kavindabhi Siriparamadhaja Mahadhammarajadhirajaguru</t>
  </si>
  <si>
    <t xml:space="preserve">ပုဂံဆရာတော် ရှင်ဂုဏာလင်္ကာရကို ကဝိန္ဒာဘိ သီရိပရမဓဇ မဟာဓမ္မရာဇာဓိရာဇဂုရု-တံဆိပ်ကို လှူ တော်မူသည်။</t>
  </si>
  <si>
    <t xml:space="preserve">He bestowed the title of Kavindabhi Siriparamadhaja Mahadhammarajadhirajaguru upon the Bagan Sayadaw Shin Gunalankara.</t>
  </si>
  <si>
    <t xml:space="preserve">vol2_s001920</t>
  </si>
  <si>
    <t xml:space="preserve">vol2_s001920_t01_19a536969ae6</t>
  </si>
  <si>
    <t xml:space="preserve">Thae-in Sayadaw Shin Suriya</t>
  </si>
  <si>
    <t xml:space="preserve">Saddhammavamsabhi Siridhaja Mahadhammarajadhirajaguru</t>
  </si>
  <si>
    <t xml:space="preserve">သဲအင်းဆရာတော် ရှင်သူရိယကို သဒ္ဓမ္မဝံသာဘိ သီရိဓဇ မဟာဓမ္မရာဇာဓိရာဇဂုရု-တံဆိပ်ကို လှူတော် နေရင်းဆရာတော် ရှင်ဝိမလာစာရကို ဝိစိတ္တဝံသဓဇ မဟာဓမ္မရာဇာဓိရာဇဂုရု-တံဆိပ်ကို လှူတော်မူသည်။</t>
  </si>
  <si>
    <t xml:space="preserve">He bestowed the title of Saddhammavamsabhi Siridhaja Mahadhammarajadhirajaguru upon the Thae-in Sayadaw Shin Suriya, and he bestowed the title of Vicittavamsadhaja Mahadhammarajadhirajaguru upon the Nering Sayadaw Shin Vimalacara.</t>
  </si>
  <si>
    <t xml:space="preserve">vol2_s001920_t02_4d84ce8fe37f</t>
  </si>
  <si>
    <t xml:space="preserve">Nering Sayadaw Shin Vimalacara</t>
  </si>
  <si>
    <t xml:space="preserve">Vicittavamsadhaja Mahadhammarajadhirajaguru</t>
  </si>
  <si>
    <t xml:space="preserve">vol2_s001921</t>
  </si>
  <si>
    <t xml:space="preserve">vol2_s001921_t01_3aece8400d59</t>
  </si>
  <si>
    <t xml:space="preserve">Thitseint Sayadaw Shin Ukkamsa</t>
  </si>
  <si>
    <t xml:space="preserve">Ariyavamsa Saddhamma Mahadhammarajadhirajaguru</t>
  </si>
  <si>
    <t xml:space="preserve">သစ်ဆိမ့်ဆရာတော် ရှင်ဥက္ကံသကို အရိယဝံသ သဒ္ဓမ္မ မဟာဓမ္မရာဇာဓိရာဇဂုရု-တံဆိပ်ကို လှူတော်မူသည်။</t>
  </si>
  <si>
    <t xml:space="preserve">He bestowed the title of Ariyavamsa Saddhamma Mahadhammarajadhirajaguru upon the Thitseint Sayadaw Shin Ukkamsa.</t>
  </si>
  <si>
    <t xml:space="preserve">vol2_s001922</t>
  </si>
  <si>
    <t xml:space="preserve">vol2_s001922_t01_4a965c24aadd</t>
  </si>
  <si>
    <t xml:space="preserve">Wathae Sayadaw Shin Gunasara</t>
  </si>
  <si>
    <t xml:space="preserve">Gunabhisaddhamma Mahadhammarajadhirajaguru</t>
  </si>
  <si>
    <t xml:space="preserve">ဝသည်းဆရာတော် ရှင်ဂုဏသာရကို ဂုဏာဘိသဒ္ဓမ္မမဟာဓမ္မ ရာဇာဓိရာဇဂုရု-တံဆိပ်ကို လှူတော်မူသည်။</t>
  </si>
  <si>
    <t xml:space="preserve">He bestowed the title of Gunabhisaddhamma Mahadhammarajadhirajaguru upon the Wathae Sayadaw Shin Gunasara.</t>
  </si>
  <si>
    <t xml:space="preserve">vol2_s001923</t>
  </si>
  <si>
    <t xml:space="preserve">vol2_s001923_t01_d30e1ba4dde9</t>
  </si>
  <si>
    <t xml:space="preserve">Ywathitgyi Sayadaw Shin Candamala</t>
  </si>
  <si>
    <t xml:space="preserve">Nananabhiparamavamsa Mahadhammarajadhirajaguru</t>
  </si>
  <si>
    <t xml:space="preserve">ရွာသစ်ကြီးဆရာတော် ရှင်စန္ဒမာလာကို ဉာဏာဘိပရမဝံသမဟာဓမ္မ ရာဇာဓိရာဇဂုရု-တံဆိပ်ကို လှူတော် တူမောင်းဆရာတော် ရှင်ဒီပကို ဒီပပညာသာမိသီရိဓဇမဟာဓမ္မ ရာဇာဓိရာဇဂုရု‘တံဆိပ်ကို လှူတော်မူသည်။</t>
  </si>
  <si>
    <t xml:space="preserve">He bestowed the title of Nananabhiparamavamsa Mahadhammarajadhirajaguru upon the Ywathitgyi Sayadaw Shin Candamala, and he bestowed the title of Dipapanyasamithiridhaja Mahadhammarajadhirajaguru upon the Tumoung Sayadaw Shin Dipa.</t>
  </si>
  <si>
    <t xml:space="preserve">vol2_s001923_t02_aaed212ed901</t>
  </si>
  <si>
    <t xml:space="preserve">Tumoung Sayadaw Shin Dipa</t>
  </si>
  <si>
    <t xml:space="preserve">Dipapanyasamithiridhaja Mahadhammarajadhirajaguru</t>
  </si>
  <si>
    <t xml:space="preserve">vol2_s001924</t>
  </si>
  <si>
    <t xml:space="preserve">vol2_s001924_t01_f9d0205e9afd</t>
  </si>
  <si>
    <t xml:space="preserve">Hanlin Sayadaw Shin Panyasaddhamma</t>
  </si>
  <si>
    <t xml:space="preserve">Panyabhiparamadhaja Mahadhammarajadhirajaguru</t>
  </si>
  <si>
    <t xml:space="preserve">ဟန်လင်းဆရာတော် ရှင်ပညာသဒ္ဓမ္မကို ပညာဘိပရမဓဇမဟာဓမ္မရာဇာဓိရာဇဂုရု-တံဆိပ်ကို လှူတော်မူသည်။</t>
  </si>
  <si>
    <t xml:space="preserve">He bestowed the title of Panyabhiparamadhaja Mahadhammarajadhirajaguru upon the Hanlin Sayadaw Shin Panyasaddhamma.</t>
  </si>
  <si>
    <t xml:space="preserve">vol2_s001925</t>
  </si>
  <si>
    <t xml:space="preserve">vol2_s001925_t01_dd6341b6fe88</t>
  </si>
  <si>
    <t xml:space="preserve">Shwekyin Sayadaw Shin Candasiri</t>
  </si>
  <si>
    <t xml:space="preserve">Jinabhiparamadhaja Mahadhammarajadhirajaguru</t>
  </si>
  <si>
    <t xml:space="preserve">ရွှေကျင်ဆရာတော် ရှင်စန္ဒသီရိကို ဇိနာဘိပရမဓဇမဟာဓမ္မ ရာဇာဓိရာဇဂုရု-တံဆိပ်ကို လှူတော်မူသည်။</t>
  </si>
  <si>
    <t xml:space="preserve">He bestowed the title of Jinabhiparamadhaja Mahadhammarajadhirajaguru upon the Shwekyin Sayadaw Shin Candasiri.</t>
  </si>
  <si>
    <t xml:space="preserve">vol2_s001926</t>
  </si>
  <si>
    <t xml:space="preserve">vol2_s001926_t01_bab9270d5ec2</t>
  </si>
  <si>
    <t xml:space="preserve">Ratanasingha Sayadaw Shin Khemacara</t>
  </si>
  <si>
    <t xml:space="preserve">Gunabhiparamadhaja Mahadhammarajadhirajaguru</t>
  </si>
  <si>
    <t xml:space="preserve">ရတနာသိင်္ဃဆရာတော် ရှင်ခေမာစာရကို ဂုဏာဘိပရမဓဇမဟာဓမ္မ ရာဇာဓိရာဇဂုရု-တံဆိပ်ကို လှူတော်မူ သည်။</t>
  </si>
  <si>
    <t xml:space="preserve">He bestowed the title of Gunabhiparamadhaja Mahadhammarajadhirajaguru upon the Ratanasingha Sayadaw Shin Khemacara.</t>
  </si>
  <si>
    <t xml:space="preserve">vol2_s001927</t>
  </si>
  <si>
    <t xml:space="preserve">vol2_s001927_t01_ab71edb9c526</t>
  </si>
  <si>
    <t xml:space="preserve">Ratanasingha Sayadaw Shin Medhalankara</t>
  </si>
  <si>
    <t xml:space="preserve">Panyabhisaddhammadhaja Mahadhammarajadhirajaguru</t>
  </si>
  <si>
    <t xml:space="preserve">ရတနာသိင်္ဃ ဆရာတော်တစ်ပါး ရှင်မေဓာလင်္ကာရကို ပညာဘိသဒ္ဓမ္မဓဇ မဟာဓမ္မ ရာဇာဓိရာဇဂုရု - တံဆိပ်ကို လှူတော်မူသည်။</t>
  </si>
  <si>
    <t xml:space="preserve">He bestowed the title of Panyabhisaddhammadhaja Mahadhammarajadhirajaguru upon a Ratanasingha Sayadaw, Shin Medhalankara.</t>
  </si>
  <si>
    <t xml:space="preserve">vol2_s001928</t>
  </si>
  <si>
    <t xml:space="preserve">vol2_s001928_t01_2d768cd19c46</t>
  </si>
  <si>
    <t xml:space="preserve">Myogyi Sayadaw Shin Gunawa</t>
  </si>
  <si>
    <t xml:space="preserve">Kavindabhi Siridhaja Mahadhammarajadhirajaguru</t>
  </si>
  <si>
    <t xml:space="preserve">မြို့ကြီးဆရာတော်ရှင်ဂုဏဝါကို ကဝိန္ဒာဘိသီရိဓဇမဟာဓမ္မရာဇာဓိရာဇဂုရု-တံဆိပ်ကိုလှူတော်မူသည်။</t>
  </si>
  <si>
    <t xml:space="preserve">He bestowed the title of Kavindabhi Siridhaja Mahadhammarajadhirajaguru upon the Myogyi Sayadaw Shin Gunawa.</t>
  </si>
  <si>
    <t xml:space="preserve">vol2_s001929</t>
  </si>
  <si>
    <t xml:space="preserve">vol2_s001929_t01_d35cf8fccdef</t>
  </si>
  <si>
    <t xml:space="preserve">Myogyi Sayadaw Shin Gandama</t>
  </si>
  <si>
    <t xml:space="preserve">Gunabhilankaradhaja Mahadhammarajadhirajaguru</t>
  </si>
  <si>
    <t xml:space="preserve">မြို့ကြီးဆရာတော်တစ်ပါး ရှင်ဂန္ဓမာကို ဂုဏာဘိလင်္ကာရဓဇမဟာဓမ္မ ရာဇာဓိရာဇဂုရု-တံဆိပ်ကို လှူတော်မူသည်။</t>
  </si>
  <si>
    <t xml:space="preserve">He bestowed the title of Gunabhilankaradhaja Mahadhammarajadhirajaguru upon a Myogyi Sayadaw, Shin Gandama.</t>
  </si>
  <si>
    <t xml:space="preserve">vol2_s001930</t>
  </si>
  <si>
    <t xml:space="preserve">vol2_s001930_t01_c24c3e525cee</t>
  </si>
  <si>
    <t xml:space="preserve">Sipa Sayadaw Shin Silacara</t>
  </si>
  <si>
    <t xml:space="preserve">Saddhammadhaja Mahadhammarajadhirajaguru</t>
  </si>
  <si>
    <t xml:space="preserve">စည်ပါဆရာတော် ရှင်သီလာစာရကို သဒ္ဓမ္မဓဇ မဟာဓမ္မ ရာဇာဓိရာဇဂုရု-တံဆိပ်ကို လှူတော်မူသည်။</t>
  </si>
  <si>
    <t xml:space="preserve">He bestowed the title of Saddhammadhaja Mahadhammarajadhirajaguru upon the Sipa Sayadaw Shin Silacara.</t>
  </si>
  <si>
    <t xml:space="preserve">vol2_s001931</t>
  </si>
  <si>
    <t xml:space="preserve">vol2_s001931_t01_cf6c6677a7c2</t>
  </si>
  <si>
    <t xml:space="preserve">Manle Sayadaw Shin Kavinda</t>
  </si>
  <si>
    <t xml:space="preserve">Khemabhidhaja Mahadhammarajadhirajaguru</t>
  </si>
  <si>
    <t xml:space="preserve">မန်လည်ဆရာတော် ရှင်ကဝိန္ဒကို ခေမာဘိဓဇ မဟာဓမ္မ ရာဇာဓိရာဇဂုရု-တံဆိပ်ကို လှူတော်မူသည်။</t>
  </si>
  <si>
    <t xml:space="preserve">He bestowed the title of Khemabhidhaja Mahadhammarajadhirajaguru upon the Manle Sayadaw Shin Kavinda.</t>
  </si>
  <si>
    <t xml:space="preserve">vol2_s001932</t>
  </si>
  <si>
    <t xml:space="preserve">vol2_s001932_t01_4ec833dd75b4</t>
  </si>
  <si>
    <t xml:space="preserve">Kinsan Sayadaw Shin Wayama</t>
  </si>
  <si>
    <t xml:space="preserve">Vamsabhidhaja Mahadhammarajadhirajaguru</t>
  </si>
  <si>
    <t xml:space="preserve">ကင်းစမ်းဆရာတော် ရှင်ဝါယာမကို ဝံသာဘိဓဇ မဟာဓမ္မ ရာဇာဓိရာဇဂုရု-တံဆိပ်ကို လှူတော်မူသည်။</t>
  </si>
  <si>
    <t xml:space="preserve">He bestowed the title of Vamsabhidhaja Mahadhammarajadhirajaguru upon the Kinsan Sayadaw Shin Wayama.</t>
  </si>
  <si>
    <t xml:space="preserve">vol2_s001933</t>
  </si>
  <si>
    <t xml:space="preserve">vol2_s001933_t01_b6d9c1b2e159</t>
  </si>
  <si>
    <t xml:space="preserve">Salin Sayadaw Shin Dhammabhidhaja</t>
  </si>
  <si>
    <t xml:space="preserve">Dhammadipadhaja Mahadhammarajadhirajaguru</t>
  </si>
  <si>
    <t xml:space="preserve">စလင်းဆရာတော် ရှင်ဓမ္မာဘိဓဇကို ဓမ္မဒီပဓဇ မဟာဓမ္မ ရာဇာဓိရာဇဂုရု-တံဆိပ်ကို လှူတော်မူသည်။</t>
  </si>
  <si>
    <t xml:space="preserve">He bestowed the title of Dhammadipadhaja Mahadhammarajadhirajaguru upon the Salin Sayadaw Shin Dhammabhidhaja.</t>
  </si>
  <si>
    <t xml:space="preserve">vol2_s001934</t>
  </si>
  <si>
    <t xml:space="preserve">vol2_s001934_t01_dc11854071fd</t>
  </si>
  <si>
    <t xml:space="preserve">Inle Ywa Sayadaw Shin Nandamanju</t>
  </si>
  <si>
    <t xml:space="preserve">Dhammabhidhaja Mahadhammarajadhirajaguru</t>
  </si>
  <si>
    <t xml:space="preserve">အင်းလေးရွာဆရာတော် ရှင်နန္ဒမဉ္ဇူကို ဓမ္မာဘိဓဇ မဟာဓမ္မ ရာဇာဓိရာဇဂုရု-တံဆိပ်ကို လှူတော်မူသည်။</t>
  </si>
  <si>
    <t xml:space="preserve">He bestowed the title of Dhammabhidhaja Mahadhammarajadhirajaguru upon the Inle Ywa Sayadaw Shin Nandamanju.</t>
  </si>
  <si>
    <t xml:space="preserve">vol2_s001935</t>
  </si>
  <si>
    <t xml:space="preserve">vol2_s001935_t01_306ea5870482</t>
  </si>
  <si>
    <t xml:space="preserve">Bagan Sayadaw Shin Dhammaranthi</t>
  </si>
  <si>
    <t xml:space="preserve">Nandabhidhaja Mahadhammarajadhirajaguru</t>
  </si>
  <si>
    <t xml:space="preserve">ပုဂံဆရာတော် ရှင်ဓမ္မရံသီကို နန္ဒာဘိဓဇ မဟာဓမ္မ ရာဇာဓိရာဇဂုရု-တံဆိပ်ကို လှူတော်မူသည်။</t>
  </si>
  <si>
    <t xml:space="preserve">He bestowed the title of Nandabhidhaja Mahadhammarajadhirajaguru upon the Bagan Sayadaw Shin Dhammaranthi.</t>
  </si>
  <si>
    <t xml:space="preserve">vol2_s001936</t>
  </si>
  <si>
    <t xml:space="preserve">vol2_s001936_t01_7849e0373595</t>
  </si>
  <si>
    <t xml:space="preserve">Kyakhat Sayadaw Shin Vilatha</t>
  </si>
  <si>
    <t xml:space="preserve">Vimaladhaja Mahadhammarajaguru</t>
  </si>
  <si>
    <t xml:space="preserve">ကြခတ်ဆရာတော် ရှင်ဝိလာသကို ဝိမလဓဇ မဟာဓမ္မရာဇဂုရု-တံဆိပ်ကို လှူတော်မူသည်။</t>
  </si>
  <si>
    <t xml:space="preserve">He bestowed the title of Vimaladhaja Mahadhammarajaguru upon the Kyakhat Sayadaw Shin Vilatha.</t>
  </si>
  <si>
    <t xml:space="preserve">vol2_s001937</t>
  </si>
  <si>
    <t xml:space="preserve">vol2_s001937_t01_62073955f7ac</t>
  </si>
  <si>
    <t xml:space="preserve">Saepintale Sayadaw Shin Pandita</t>
  </si>
  <si>
    <t xml:space="preserve">Paramadhaja Mahadhammarajaguru</t>
  </si>
  <si>
    <t xml:space="preserve">ဆေးပင်းတလဲဆရာတော် ရှင်ပဏ္ဍိတကို ပရမဓဇ မဟာဓမ္မရာဇဂုရု-တံဆိပ်ကို လှူတော်မူသည်။</t>
  </si>
  <si>
    <t xml:space="preserve">He bestowed the title of Paramadhaja Mahadhammarajaguru upon the Saepintale Sayadaw Shin Pandita.</t>
  </si>
  <si>
    <t xml:space="preserve">vol2_s001938</t>
  </si>
  <si>
    <t xml:space="preserve">vol2_s001938_t01_bff4d4b0c1e3</t>
  </si>
  <si>
    <t xml:space="preserve">Taunglaylone Sayadaw Shin Lankadipa</t>
  </si>
  <si>
    <t xml:space="preserve">Vicittalankara Mahadhammarajaguru</t>
  </si>
  <si>
    <t xml:space="preserve">တောင်လေးလုံးဆရာတော် ရှင်လင်္ကာဒီပကို ဝိစိတ္တာလင်္ကာရ မဟာဓမ္မရာဇဂုရု-တံဆိပ်ကို လှူတော်မူသည်။</t>
  </si>
  <si>
    <t xml:space="preserve">He bestowed the title of Vicittalankara Mahadhammarajaguru upon the Taunglaylone Sayadaw Shin Lankadipa.</t>
  </si>
  <si>
    <t xml:space="preserve">vol2_s001939</t>
  </si>
  <si>
    <t xml:space="preserve">vol2_s001939_t01_467007ec01bf</t>
  </si>
  <si>
    <t xml:space="preserve">Depayin Sayadaw Shin Kalyana</t>
  </si>
  <si>
    <t xml:space="preserve">Kalyanasami Mahadhammarajaguru</t>
  </si>
  <si>
    <t xml:space="preserve">ဒီပဲယင်းဆရာတော် ရှင်ကလျာဏကို ကလျာဏသာမိ မဟာဓမ္မရာဇဂုရု-တံဆိပ်ကို လှူတော်မူသည်။</t>
  </si>
  <si>
    <t xml:space="preserve">He bestowed the title of Kalyanasami Mahadhammarajaguru upon the Depayin Sayadaw Shin Kalyana.</t>
  </si>
  <si>
    <t xml:space="preserve">vol2_s001940</t>
  </si>
  <si>
    <t xml:space="preserve">vol2_s001940_t01_2329fd193b8a</t>
  </si>
  <si>
    <t xml:space="preserve">Yodaya Kyaung Sayadaw Shin Tisarana</t>
  </si>
  <si>
    <t xml:space="preserve">Narindaja Mahadhammarajaguru</t>
  </si>
  <si>
    <t xml:space="preserve">ယိုးဒယားကျောင်းဆရာတော် ရှင်တိသရဏကို နရိန္ဒဇ မဟာဓမ္မရာဇဂုရု-တံဆိပ်ကို လှူတော်မူသည်။</t>
  </si>
  <si>
    <t xml:space="preserve">He bestowed the title of Narindaja Mahadhammarajaguru upon the Yodaya Kyaung Sayadaw Shin Tisarana.</t>
  </si>
  <si>
    <t xml:space="preserve">vol2_s001941</t>
  </si>
  <si>
    <t xml:space="preserve">vol2_s001941_t01_be29c7e820db</t>
  </si>
  <si>
    <t xml:space="preserve">Nyaungkan Sayadaw Shin Nandiya</t>
  </si>
  <si>
    <t xml:space="preserve">Tisasana Dhaja Mahadhammarajaguru</t>
  </si>
  <si>
    <t xml:space="preserve">ညောင်ကန်ဆရာတော် ရှင်နန္ဒိယကို တိသာသန ဓဇ မဟာဓမ္မရာဇဂုရု-တံဆိပ်ကို လှူတော်မူသည်။</t>
  </si>
  <si>
    <t xml:space="preserve">He bestowed the title of Tisasana Dhaja Mahadhammarajaguru upon the Nyaungkan Sayadaw Shin Nandiya.</t>
  </si>
  <si>
    <t xml:space="preserve">vol2_s001942</t>
  </si>
  <si>
    <t xml:space="preserve">vol2_s001942_t01_083ba4905595</t>
  </si>
  <si>
    <t xml:space="preserve">Siputtaya Sayadaw Shin Sirimala</t>
  </si>
  <si>
    <t xml:space="preserve">Sirivamsadhaja Mahadhammarajaguru</t>
  </si>
  <si>
    <t xml:space="preserve">စည်ပုတ္တရာဆရာတော် ရှင်သီရိမာလာကို သီရိဝံသဓဇ မဟာဓမ္မရာဇဂုရု-တံဆိပ်ကို လှူတော်မူသည်။</t>
  </si>
  <si>
    <t xml:space="preserve">He bestowed the title of Sirivamsadhaja Mahadhammarajaguru upon the Siputtaya Sayadaw Shin Sirimala.</t>
  </si>
  <si>
    <t xml:space="preserve">vol2_fr012_s01</t>
  </si>
  <si>
    <t xml:space="preserve">vol2_fr012_s01_t01_ebae0728a1c2</t>
  </si>
  <si>
    <t xml:space="preserve">SPONSORED_PRODUCTION_OF</t>
  </si>
  <si>
    <t xml:space="preserve">Great Royal Chronicle</t>
  </si>
  <si>
    <t xml:space="preserve">အထူးထူးသော တိုင်းကြီးပြည်ကြီး ထီးဆောင်းမင်းများသခင်၊ ရွှေတွင်း, ငွေတွင်း, ပတ္တမြားတွင်း, ပယင်းတွင်း စသော ရတနာအပေါင်းတို့၏အရှင်၊ စတုတ္ထ ရတနာပူရ မြို့တည်နန်းတည်၊ ဆဒ္ဒန်ဆင်မင်းသခင်၊ ဆင်ဖြူများသခင် အသျှင် ဘဝရှင်မင်းတရားကြီးဘုရား လက်ထက်တော် သက္ကရာဇ်(၁၁၉၁) တစ်ထောင့်တစ်ရာ့ကိုးဆယ့်တစ်ခု၊ နယုန်လဆန်း တစ်ရက်နေ့ကစ၍ ရဟန်းပညာရှိ ပုဏ္ဏားပညာရှိ မှူးမတ်ပညာရှိတို့နှင့်၊ အထူးထူးသော ရတနာတို့ဖြင့် ဆန်းကြယ်သော မှန်နန်းတော် ဆောင်တော်ဦး နန်းမစနု၌ နှိုင်းညှိ၍ အသင့် ယုတ္တိကျမ်းဂန် အာဂုံများနှင့်အညီ သုတ်သင် စီရင်တော်မူသော ဒုတိယ မဟာရာဇဝင်တော်ကြီး ပဉ္စမထုပ်၊ အဋ္ဌမတွဲ (၅/၈)ကား ဤတွင် ပြီး၏။</t>
  </si>
  <si>
    <t xml:space="preserve">Under the reign of the Lord of Life, the Great King, lord of the various great countries and umbrella-bearing kings, lord of all treasures such as the gold, silver, ruby, and amber mines, founder of the city and palace of the Fourth Ratanapura, lord of the Chaddanta elephant king and lord of white elephants, beginning on the first waxing day of Nayon in Myanmar year 1191, learned monks, learned Brahmans, and learned ministers compared sources in the Nanmasanu pavilion at the front of the jewel-adorned Glass Palace and revised and compiled the work in accordance with appropriate reasoning, treatises, and received traditions; here ends the second Maha Yazawin, fifth fascicle, eighth section (5/8).</t>
  </si>
  <si>
    <t xml:space="preserve">vol2_fr012_s01_t02_2b5adb24fac2</t>
  </si>
  <si>
    <t xml:space="preserve">CONVENED_SCHOLARLY_ELITE</t>
  </si>
  <si>
    <t xml:space="preserve">monks, Brahmins, and ministers</t>
  </si>
  <si>
    <t xml:space="preserve">vol2_fr012_s01_t03_f13a7813bbdc</t>
  </si>
  <si>
    <t xml:space="preserve">UTILIZED_PALACE_SPACE_FOR</t>
  </si>
  <si>
    <t xml:space="preserve">state knowledge production</t>
  </si>
  <si>
    <t xml:space="preserve">vol2_fr013_s01</t>
  </si>
  <si>
    <t xml:space="preserve">vol2_fr013_s01_t01_29c3c39c432d</t>
  </si>
  <si>
    <t xml:space="preserve">COMPLETED_STATE_CHRONICLE</t>
  </si>
  <si>
    <t xml:space="preserve">Maha Yazawin</t>
  </si>
  <si>
    <t xml:space="preserve">ရတနာပူရ စတုတ္ထ မြို့တည်နန်းတည် မဟာဝိဇရံသီစေတီတော် ဒါယကာ မင်းတရားကြီးလက်ထက် ရဟန်းပညာရှိ ပုဏ္ဏားပညာရှိ မှူးမတ်ပညာရှိတို့နှင့် မှန်နန်းတော် ဆောင်တော်ဦး နန်းမစနု၌ နှိုင်းညှိ၍ သုတ်သင် စီရင်တော်မူသော စာထုပ်ရေ ၅ အတွဲရေ ၃၈ ရှိသော မဟာရာဇဝင်တော်ကြီး ဤတွင် ပြီး၏။</t>
  </si>
  <si>
    <t xml:space="preserve">Here ends the Maha Yazawin, comprising five fascicles and thirty-eight sections, which was compared, corrected, and compiled with learned monks, learned Brahmans, and learned ministers in the Nanmasanu pavilion at the front of the Glass Palace during the reign of the Great King, founder of the city and palace of the Fourth Ratanapura and donor of the Maha Wizayanthi Pagoda.</t>
  </si>
  <si>
    <t xml:space="preserve">vol2_s002431</t>
  </si>
  <si>
    <t xml:space="preserve">vol2_s002431_t01_61321f083357</t>
  </si>
  <si>
    <t xml:space="preserve">Crown Prince</t>
  </si>
  <si>
    <t xml:space="preserve">SOUGHT_KNOWLEDGE_OF</t>
  </si>
  <si>
    <t xml:space="preserve">Mahabodhi tree</t>
  </si>
  <si>
    <t xml:space="preserve">အိမ်ရှေ့စံတော်မူစဉ် မဟာဗောဓိပင် အကြောင်းအရာ အလုံးစုံကို မဇ္ဈိမတိုက်မှ လာရောက်ကုန်သော ပုဏ္ဏားဇော်ဂျီ တပသီရသေ့တို့ ပြောဆိုလျှောက်ထား ကြားသိတော်မူသောကြောင့် စင်စစ်အမှန် သိတော်မူရအောင် ပုရောဟိတ်ပုဏ္ဏား, ဝါသိဋ္ဌဗြဟ္မာ, ရမ္မာဝတီမြို့ဝန် ရွှေတောင်သာဂသူ, ဇေယကျော်သူ, ဇေယကျော်ထင်, ဇေယကျော်စွာတို့ကို မဇ္ဈိမတိုက်သို့ ခန့်ထား စေလွှတ်တော်မူသည်။</t>
  </si>
  <si>
    <t xml:space="preserve">While he was the Crown Prince, because he heard the accounts of the Mahabodhi tree in their entirety as spoken and submitted by the Brahmins, Zawgyis, ascetics, and hermits who came from the Middle Country [India], he appointed and sent the Brahmin Purohita, Wasittha Brahma, the Ramawati City Governor Shwetaung Thagathu, Zeya Kyawthu, Zeya Kyawhtin, and Zeya Kyawswa to the Middle Country so that he might know the absolute truth.</t>
  </si>
  <si>
    <t xml:space="preserve">vol2_s002431_t02_989e6148875b</t>
  </si>
  <si>
    <t xml:space="preserve">MOBILIZED_OFFICIALS_FOR_RELIGIOUS_MISSION</t>
  </si>
  <si>
    <t xml:space="preserve">Middle Country</t>
  </si>
  <si>
    <t xml:space="preserve">vol2_s002431_t03_188d2f18572e</t>
  </si>
  <si>
    <t xml:space="preserve">APPOINTED_MISSION_MEMBERS</t>
  </si>
  <si>
    <t xml:space="preserve">Brahmin Purohita and city governors</t>
  </si>
  <si>
    <t xml:space="preserve">vol2_s002432</t>
  </si>
  <si>
    <t xml:space="preserve">vol2_s002432_t01_4a33eecaf55e</t>
  </si>
  <si>
    <t xml:space="preserve">ALLOCATED_ROYAL_RESOURCES_FOR</t>
  </si>
  <si>
    <t xml:space="preserve">Mahabodhi tree offerings</t>
  </si>
  <si>
    <t xml:space="preserve">လပေါင်း နှစ်ဆယ့်တစ်လနှင့် ပြန်ရောက်၍ သွားလမ်းစခန်းစဉ်, မဟာဗောဓိ မြေခုံ ပုံစံများနှင့်တကွ ရေးမှတ်ခဲ့၍ အတပ်ဆက်သ သိတော်မူရသည့် ကာလကပင် နောက် မင်းဖြစ်တော်မူသောအခါ သဗ္ဗညုရှင်တော်ဘုရား သစ္စာလေးပါးကို သိမြင်တော်မူသည့် မဇ္ဈိမတိုက် မဟာဗောဓိပင်ကို အထူးထူးသော အလှူတော်တို့ဖြင့် ပူဇော် တင်လှူတော်မူမည်၊ စေတနာတော် ရည်ကြံ ပြဋ္ဌာန်း တော်မူရင်းအတိုင်း အထွတ်အမြတ်သို့ ရောက်တော်မူလျှင် တင်လှူတော်မူရန် လုပ်ဆောင်တော်မူစေသည့် ရွှေပန်းခိုင်- ငွေပန်းခိုင်, ပတ္တမြားပန်းခိုင်, ရွှေတန်ဆောင်-ငွေတန်ဆောင်-ပတ္တမြားတန်ဆောင်, ရွှေပေါက်ပေါက်- ငွေပေါက်ပေါက်-ပတ္တမြားပေါက်ပေါက်, ရွှေထီး-ငွေထီး-ပတ္တမြားထီး, ရွှေတံခွန်-ငွေတံခွန်-ပတ္တမြားတံခွန်, ရွှေကုက္ကား-ငွေကုက္ကား-ပတ္တမြားကုက္ကား, ရွှေမုလေးပွား- ငွေမုလေးပွား-ပတ္တမြားမုလေးပွား, ရွှေမြူတာ-ငွေမြူတာ- ပတ္တမြားမြူတာမှစ၍ အထူးထူးသော အလှူတော်များနှင့် မဟာဗောဓိမြေခုံတွင် စိုက်ထားခဲ့ရန် ကုသိုလ်တော်၏ အဖို့ကို ဝေငှတော်မူသည့် ကျောက်အက္ခရာ ကျောက်တိုင်အလုပ်အဆောင် အလုံးစုံ ပြီးပြေလျှင် ပွဲသဘင်ကြီးစွာ ခံတော်မူ၍ မင်းညီမင်းသား, မှူးတော်မတ်တော် ကတော်မယား အပေါင်းခြံရံလျက် အောင်သူတကာတို့၏ အဓိပတိ ဖြစ်တော်မူသော မြတ်စွာဘုရား လေးပါးသော သစ္စာတို့ကို သိတော်မူသော မဟာဗောဓိပင်ကို မတုန်မလှုပ် သက်ဝင် ကြည်ညိုခြင်း တည်းဟူသော စေတနာတော် အဟုန်ဖြင့် အဖန်တလဲလဲ ရိုသေစွာ အရှင်မိဖုရားခေါင်ကြီးနှင့် ပူဇော်တော်မူပြီးလျှင် သက္ကရာဇ် (၁၁၈၃) တစ်ထောင့်တစ်ရာ့ရှစ်ဆယ့်သုံးခု နတ်တော်လဆန်း ကိုးရက် သောကြာ နေ့ ရေစက်သွန်းလှူတော်မူ၍ ပုဏ္ဏားပုရောဟိတ် မဟာရာဇိန္ဒအဂ္ဂမဟာဓမ္မရာဇဂုရု, မြေနန်းဝန် မဟာမင်းလှ သာဂသူ, အဆောင်တော်မြဲ စုရေးစုကိုင်တို့နှင့် သူရဲငါးရာကျော်တို့ကို မဟာဗောဓိပင်သို့ အလှူတော်, အတင်တော် စေလွှတ်တော်မူသည်။</t>
  </si>
  <si>
    <t xml:space="preserve">Upon their return after twenty-one months, having recorded the travel itinerary and the layout of the Mahabodhi terrace, and having submitted them for his knowledge, he resolved from that very time—when he later became King—that he would offer and dedicate various offerings to the Mahabodhi tree in the Middle Country, where the Omniscient Lord Buddha realized the Four Noble Truths; and when he reached the pinnacle [of power], he had prepared for the dedication: gold flower clusters, silver flower clusters, ruby flower clusters, gold pavilions, silver pavilions, ruby pavilions, gold popped rice, silver popped rice, ruby popped rice, gold umbrellas, silver umbrellas, ruby umbrellas, gold banners, silver banners, ruby banners, gold curtains, silver curtains, ruby curtains, gold jasmine garlands, silver jasmine garlands, ruby jasmine garlands, gold myuta, silver myuta, ruby myuta, and other various offerings, as well as all the work for the stone inscription pillar that would share the merit of the virtuous deed to be planted at the Mahabodhi terrace; and once all was completed, he held a grand festival, and surrounded by princes, ministers, and their wives, with the momentum of devotion that is unwavering faith in the Mahabodhi tree where the Lord Buddha, the sovereign of all victors, realized the four truths, he respectfully offered them repeatedly together with the Chief Queen, and then on Friday, the 9th day of the waxing moon of Natdaw, in the year 1183, he poured the water of dedication and sent the Brahmin Purohita Maharazinda Aggamahadhammarazaguru, the Palace Ground Minister Mahaminhla Thagathu, the royal attendants, the clerks, and over five hundred soldiers to the Mahabodhi tree with the offerings and dedications.</t>
  </si>
  <si>
    <t xml:space="preserve">vol2_s002432_t02_320a6c283912</t>
  </si>
  <si>
    <t xml:space="preserve">COMMISSIONED_RELIGIOUS_MONUMENT</t>
  </si>
  <si>
    <t xml:space="preserve">stone inscription pillar</t>
  </si>
  <si>
    <t xml:space="preserve">vol2_s002432_t03_39f9a979bff6</t>
  </si>
  <si>
    <t xml:space="preserve">MOBILIZED_STATE_PERSONNEL_FOR_MISSION</t>
  </si>
  <si>
    <t xml:space="preserve">Brahmin Purohita, Palace Ground Minister, and 500 soldiers</t>
  </si>
  <si>
    <t xml:space="preserve">vol2_s002432_t04_9da0fcc37ce5</t>
  </si>
  <si>
    <t xml:space="preserve">PERFORMED_RITUAL_LEGITIMATION</t>
  </si>
  <si>
    <t xml:space="preserve">vol2_s002433</t>
  </si>
  <si>
    <t xml:space="preserve">vol2_s002433_t01_17ea088f5017</t>
  </si>
  <si>
    <t xml:space="preserve">Ministers and Generals</t>
  </si>
  <si>
    <t xml:space="preserve">FACILITATED_ROYAL_RELIGIOUS_PROJECT</t>
  </si>
  <si>
    <t xml:space="preserve">offering transport</t>
  </si>
  <si>
    <t xml:space="preserve">သေနာပတိစသော မှူးတော်မတ်တော် အပေါင်းတို့လည်း ပွဲသဘင်ကြီးစွာနှင့် ခြံရံခင်းကျင်း၍ အလှူတော်ကို မြစ်ဆိပ်ရောက် ပို့ဆောင်လိုက်ကြရ၏။</t>
  </si>
  <si>
    <t xml:space="preserve">The ministers, including the generals, also surrounded and arranged a grand festival and escorted the offerings to the river landing.</t>
  </si>
  <si>
    <t xml:space="preserve">vol2_s002614</t>
  </si>
  <si>
    <t xml:space="preserve">vol2_s002614_t01_a8387108bdc5</t>
  </si>
  <si>
    <t xml:space="preserve">Text_Pathavatthu_gatha</t>
  </si>
  <si>
    <t xml:space="preserve">CONSTRUCTS_LEGITIMACY_FOR</t>
  </si>
  <si>
    <t xml:space="preserve">Mingaung Minphya</t>
  </si>
  <si>
    <t xml:space="preserve">ပညာဝေယျတ္တိယူပေတော-စသော ရှစ်လုံးဘွဲ့ ပထာဝတ္ထဂါထာဖြင့် ငါတို့ မင်းခေါင်မင်းဖျား မင်းတရားကြီး ၏ ထူးကဲလွန်မြတ်သော ဂုဏ်တော် ကျေးဇူးတော်ကို ချီးမွမ်းအံ့သြ ထောမနာအပ်သတည်း။</t>
  </si>
  <si>
    <t xml:space="preserve">With the eight-line Pathavatthu gatha beginning with 'Pannaveyyattiyupeto', we praise, marvel at, and extol the exceptionally noble virtues and merits of our great King, the Minghaung Minghyar.</t>
  </si>
  <si>
    <t xml:space="preserve">vol2_s002615</t>
  </si>
  <si>
    <t xml:space="preserve">vol2_s002615_t01_0987c2247268</t>
  </si>
  <si>
    <t xml:space="preserve">CLAIMS_WISDOM_COMPARABLE_TO</t>
  </si>
  <si>
    <t xml:space="preserve">Adasamukha_Kings</t>
  </si>
  <si>
    <t xml:space="preserve">ထိုဂါထာပါဌ် အပေါင်းတို့တွင် ပညာဝေယျတ္တိ ယူပေတော-ဟူသော ပါဌ်ဖြင့် အာဒါသမုခ မင်းတို့ကဲ့သို့ ဆန်းကြယ်သော ပညာဉာဏ်အထူး ရှိသည်၏ အဖြစ်ကို ပြ၏။</t>
  </si>
  <si>
    <t xml:space="preserve">Among all those gatha passages, the passage 'Pannaveyyattiyupeto' demonstrates the possession of extraordinary and wonderful wisdom, like that of the Adasamukha kings.</t>
  </si>
  <si>
    <t xml:space="preserve">vol2_s002616</t>
  </si>
  <si>
    <t xml:space="preserve">vol2_s002616_t01_bd6189d453c3</t>
  </si>
  <si>
    <t xml:space="preserve">CLAIMS_VIRTUES_COMPARABLE_TO</t>
  </si>
  <si>
    <t xml:space="preserve">King_Nemi</t>
  </si>
  <si>
    <t xml:space="preserve">ပိယဝါစောစ သမ္မနော-ဟူသော ပါဌ်ဖြင့် နေမိမင်း, သာမိနမင်း စသော မင်းကောင်းမင်းမြတ်တို့ကဲ့သို့ အမောင် ဦးရီး စသဖြင့် ချစ်ဖွယ်သော စကားကိုဆိုခြင်း, ကောင်းသော နှလုံးရှိခြင်း ဟူသော ဂုဏ်ထူးကို ပြ၏။</t>
  </si>
  <si>
    <t xml:space="preserve">The passage 'Piyavacoca Sammano' demonstrates the noble quality of speaking endearing words such as 'younger brother' or 'uncle', and having a good heart, like the great and noble kings such as King Nemi and King Samina.</t>
  </si>
  <si>
    <t xml:space="preserve">vol2_s002616_t02_ef52a88b5ab8</t>
  </si>
  <si>
    <t xml:space="preserve">King_Samina</t>
  </si>
  <si>
    <t xml:space="preserve">vol2_s002617</t>
  </si>
  <si>
    <t xml:space="preserve">vol2_s002617_t01_96cf80bac0dd</t>
  </si>
  <si>
    <t xml:space="preserve">King_Silava</t>
  </si>
  <si>
    <t xml:space="preserve">ခန္တိ မေတ္တာ ဒယာယုတ္တော - ဟူသော ပါဌ်ဖြင့် သီလဝ စသော မင်းကောင်း မင်းမြတ်တို့ကဲ့သို့ သည်းခံ ခြင်း-ခန္တီ, ချစ်ခြင်း-မေတ္တာ, သနားခြင်း- ကရုဏာနှင့် ယှဉ်သည်၏ အဖြစ်ကို ပြ၏။</t>
  </si>
  <si>
    <t xml:space="preserve">The passage 'Khanti Metta Dayayutto' demonstrates the state of being endowed with patience (khanti), love (metta), and compassion (karuna), like the great and noble kings such as Silava.</t>
  </si>
  <si>
    <t xml:space="preserve">vol2_s002618</t>
  </si>
  <si>
    <t xml:space="preserve">vol2_s002618_t01_ca0eac74b1e9</t>
  </si>
  <si>
    <t xml:space="preserve">King_Mahajanaka</t>
  </si>
  <si>
    <t xml:space="preserve">ပဏ္ဍိတမာမကောသုတော-ဟူသော ပါဌ်ဖြင့် မဟာဇနက စသော မင်းကောင်းမင်းမြတ်တို့ကဲ့သို့ ပညာ ရှိတို့ကို မြတ်နိုးခြင်း, အကြားအမြင်နှင့် ပြည့်စုံခြင်းကို ပြ၏။</t>
  </si>
  <si>
    <t xml:space="preserve">The passage 'Panditamamakosuto' demonstrates the cherishing of the wise and the possession of extensive learning, like the great and noble kings such as Mahajanaka.</t>
  </si>
  <si>
    <t xml:space="preserve">vol2_s002619</t>
  </si>
  <si>
    <t xml:space="preserve">vol2_s002619_t01_fa14b9cb6492</t>
  </si>
  <si>
    <t xml:space="preserve">UNDERWENT_RITUAL</t>
  </si>
  <si>
    <t xml:space="preserve">Muddhabhiseka_Coronation</t>
  </si>
  <si>
    <t xml:space="preserve">မဟာပုညောဝ ရာဇာယံ-စသော လေးဂါထာတို့ဖြင့် ငါတို့ မင်းခေါင်မင်းဖျား မင်းတရားကြီး၏ အထွတ် အမြတ်သို့ ရောက်တော်မူသောအခါ, မုဒ္ဓါဘိသိက်ကို ခံယူတော်မူသောအခါ, မုဒ္ဓါဘိသိက်ကို ခံယူတော်မူသော အခြင်းအရာ, ထိုကာလ သာသနာတော် ထွန်းတောက်ပသော အခြင်းအရာများကို ပြ၏။</t>
  </si>
  <si>
    <t xml:space="preserve">With the four gathas beginning with 'Mahapunyova Rajayam', we demonstrate the time when our great King, the Minghaung Minghyar, reached the supreme position, the time when he received the royal consecration (muddhabhiseka), the manner in which he received the royal consecration, and the manner in which the Sasana shone during that period.</t>
  </si>
  <si>
    <t xml:space="preserve">vol2_s002619_t02_2ad83f00e4a1</t>
  </si>
  <si>
    <t xml:space="preserve">ACHIEVED_STATUS</t>
  </si>
  <si>
    <t xml:space="preserve">Supreme_Monarch</t>
  </si>
  <si>
    <t xml:space="preserve">vol2_s002620</t>
  </si>
  <si>
    <t xml:space="preserve">vol2_s002620_t01_d5c748a9fd91</t>
  </si>
  <si>
    <t xml:space="preserve">Text_Katthakaveva_Agate_Sakkare</t>
  </si>
  <si>
    <t xml:space="preserve">VALIDATES_TIMING_OF</t>
  </si>
  <si>
    <t xml:space="preserve">Royal_Accession</t>
  </si>
  <si>
    <t xml:space="preserve">ထိုဂါထာတို့တွင် ကဋ္ဌကဃေဝ အာဂတေ သက္ကရာဇေ-ဟူသော ပါဌ်ဖြင့် အထွတ်အမြတ်သို့ ရောက်တော်မူသောအခါကို ပြ၏။</t>
  </si>
  <si>
    <t xml:space="preserve">Among those gathas, the passage 'Katthakaveva Agate Sakkare' demonstrates the time when he reached the supreme position.</t>
  </si>
  <si>
    <t xml:space="preserve">vol2_s002621</t>
  </si>
  <si>
    <t xml:space="preserve">vol2_s002621_t01_c2c6bc47cb54</t>
  </si>
  <si>
    <t xml:space="preserve">EMULATES_PRECEDENT_OF</t>
  </si>
  <si>
    <t xml:space="preserve">King_Siri_Dhamma_Asoka</t>
  </si>
  <si>
    <t xml:space="preserve">တဒါစတ္တာရိဝဿာနိ အတိက္ကမိတွာ-ဟူသော ပါဌ်ဖြင့် ပါဋလိပုတ်ပြည် ဘေးလောင်းတော် သီရိဓမ္မာ သောကမင်းသည် အထွတ်အမြတ်သို့ ရောက်တော်မူသည်မှ လေးနှစ်မြောက်၌ မုဒ္ဓါဘိသိက်ကို ခံတော်မူသော ထုံးစံနှင့်အညီ အထွတ်အမြတ်သို့ ရောက်တော်မူ၍ လေးနှစ်မြောက်၌ မုဒ္ဓါဘိသိက်ကို ခံယူတော်မူခြင်း၊ သီဟိုဠ်ကျွန်း ဘေးလောင်းတော် ဒေဝါနံပိယတိဿ မင်းသည် အဆွေတော်သီရိဓမ္မာသောကမင်းက သလိုက်သော အဘိသိက်တော် မင်းခမ်းမင်းနားများနှင့် ကဆုန်လ” ၌ ဝိသာခါနက္ခတ် ကြိုက်စေလျက် မုဒ္ဓါဘိသိက်ကို ခံယူသော ထုံးစံနှင့်အညီ ကဆုနိလ ိ ဝိသာခါနက္ခတ် ယှဉ်စေလျက် မုဒ္ဓါဘိသိက် ခံယူတော်မူခြင်းကို ပြ၏။</t>
  </si>
  <si>
    <t xml:space="preserve">The passage 'Tadasattarivassani Atikkamitva' demonstrates that, in accordance with the tradition of his great-grandfather, King Siri Dhamma Asoka of Pataliputra, who received the royal consecration in the fourth year after reaching the supreme position, [our King] reached the supreme position and received the royal consecration in the fourth year; and in accordance with the tradition of his great-grandfather, King Devanampiyatissa of Sri Lanka, who received the royal consecration in the month of Kason while the Visakha constellation was aligned, using the royal consecration regalia sent by his friend King Siri Dhamma Asoka, [our King] received the royal consecration while the Visakha constellation was aligned in the month of Kason.</t>
  </si>
  <si>
    <t xml:space="preserve">vol2_s002621_t02_232dc8000980</t>
  </si>
  <si>
    <t xml:space="preserve">King_Devanampiyatissa</t>
  </si>
  <si>
    <t xml:space="preserve">vol2_s002621_t03_6cbaabd4faab</t>
  </si>
  <si>
    <t xml:space="preserve">TIMED_CORONATION_TO</t>
  </si>
  <si>
    <t xml:space="preserve">Visakha_Constellation</t>
  </si>
  <si>
    <t xml:space="preserve">vol2_s002622</t>
  </si>
  <si>
    <t xml:space="preserve">vol2_s002622_t01_d4e07acf11ba</t>
  </si>
  <si>
    <t xml:space="preserve">PERFORMED_CORONATION_WITH</t>
  </si>
  <si>
    <t xml:space="preserve">Chief_Queen</t>
  </si>
  <si>
    <t xml:space="preserve">သဒ္ဓိ မဟေသိယာ-ဟူသော ပါဌ်ဖြင့် သုရုစိဇာတ်၌ သုမေဓာ မိဖုရားနှင့်တကွ သုရုစိမင်း အဘိသိက် ခံသည်ကို လည်းကောင်း, ဥဒယဘဒ္ဒဇာတ်၌ ဥဒယဘဒ္ဒါ မိဖုရားနှင့်တကွ ဥဒယဘဒ္ဒမင်း အဘိသိက်ခံသည်ကို လည်းကောင်း, သမ္ဘူလဇာတ်၌ သမ္ဘူလာမိဖုရားနှင့်တကွ သောတ္ထိသေနမင်း အဘိသိက်ခံသည်ကို လည်းကောင်း, သီရိမာယာဝတ္ထု၌ ကဏှာစိန်မိဖုရားနှင့်တကွ ဇာလီမင်း အဘိသိက်ခံသည်ကို လည်းကောင်း, ရာမပဏ္ဍိတဇာတ် ၌ သီတာမိဖုရားနှင့်တကွ ရာမမင်း အဘိသိက်ခံသည်ကို လည်းကောင်း၊ အနှုန်းထား၍ သဒ္ဓါ, သီလ, သုတ, စာဂ, ပညာ, ဟီရိ, သြတ္တပ္ပ - တည်းဟူသော သာဓုဇန ရတနာခုနစ်ပါးနှင့် ပြည့်စုံသော မိဖုရားခေါင်ကြီးနှင့်တကွ မုဒ္ဓါဘိသိက် ခံယူတော်မူကြောင်းကို ပြဆိုသည်။</t>
  </si>
  <si>
    <t xml:space="preserve">The passage 'Saddhim Mahesiya' demonstrates that he received the royal consecration together with his chief queen, who is endowed with the seven gems of a good person—namely faith, morality, learning, generosity, wisdom, moral shame, and moral dread—by using as a standard the examples of King Suruci receiving the consecration with Queen Sumedha in the Suruci Jataka, King Udayabhadda receiving the consecration with Queen Udayabhadda in the Udayabhadda Jataka, King Sotthisena receiving the consecration with Queen Sambula in the Sambula Jataka, King Jali receiving the consecration with Queen Kanhajina in the Sali-Maya story, and King Rama receiving the consecration with Queen Sita in the Rama Pandita Jataka.</t>
  </si>
  <si>
    <t xml:space="preserve">vol2_s002622_t02_78833108a886</t>
  </si>
  <si>
    <t xml:space="preserve">POSSESSES_VIRTUES_OF</t>
  </si>
  <si>
    <t xml:space="preserve">Seven_Gems_of_a_Good_Person</t>
  </si>
  <si>
    <t xml:space="preserve">vol2_s002622_t03_a36889e05e1a</t>
  </si>
  <si>
    <t xml:space="preserve">King_Suruci</t>
  </si>
  <si>
    <t xml:space="preserve">vol2_s002622_t04_a6f8c1510f88</t>
  </si>
  <si>
    <t xml:space="preserve">King_Udayabhadda</t>
  </si>
  <si>
    <t xml:space="preserve">vol2_s002622_t05_dbdabcbacd36</t>
  </si>
  <si>
    <t xml:space="preserve">King_Sotthisena</t>
  </si>
  <si>
    <t xml:space="preserve">vol2_s002622_t06_1d33771c969b</t>
  </si>
  <si>
    <t xml:space="preserve">King_Jali</t>
  </si>
  <si>
    <t xml:space="preserve">vol2_s002622_t07_04c5963aaddf</t>
  </si>
  <si>
    <t xml:space="preserve">King_Rama</t>
  </si>
  <si>
    <t xml:space="preserve">vol2_s002818</t>
  </si>
  <si>
    <t xml:space="preserve">vol2_s002818_t01_aa89be2b7987</t>
  </si>
  <si>
    <t xml:space="preserve">APPOINTED_OFFICIALS</t>
  </si>
  <si>
    <t xml:space="preserve">38 named persons</t>
  </si>
  <si>
    <t xml:space="preserve">မြင်းစုကြီးဝန် သီရိမဟာဇေယသူရ၊ ယွန်းစုဝန် မဟာမင်းလှကျော်ခေါင်၊ ဇရွှေမြို့စား မဟာမင်းခေါင်၊ ဆင်ကျေးတိုက်ဝန် မဟာမင်းလှကျော်သူ၊ သာယာဝတီမင်း အတွင်းဝန် နေမျိုးသီဟကျော်သူ၊ ညောင်ရမ်းမင်း စာရေးကြီး ကျော်ခေါင်နော်ရထာ၊ ယောမြို့စား မဟာမင်းလှကျော်စွာ၊ လွယ်ဘလူးစော်ဘွား ခန်းမြိုင်သီဟကျော်၊ တောင်ငူမြို့ဝန် စစ်ကဲနာခံအရာရှိ၊ ရွှေနန်းရိုး လမိုင်းဝန် နေမျိုးမင်းလှနော်ရထာ၊ အလုံသင်းမှူး နေမျိုးသီဟရဲခေါင်၊ ပုခန်းသင်းမှူး နေမျိုးရဲဖျားခေါင်၊ လက်စွဲတော် နရာရဲလှနော်ရထာ၊ အဆောင်တော်မြဲ နေမျိုးရဲခေါင်ကျော်သူတို့ အမည်ရ လူသုံးဆယ့်ရှစ်, ၎င်းတို့နှင့်ပါသည့် တော်အစု အမှုထမ်း လူတစ်ထောင်ကျော်, လှေသင်းမှူးနှင့် ရွှေဖဝါး တော်အောက် မြို့ ကျေးရွာ လှေအစုအမှုထမ်း လူသုံးရာကျော်, အောင်စည် အောင်မောင်း စစ်ကိရိယာအစုံ ပေးအပ် ပြီးလျှင် သက္ကရာဇ် (၁၁၈၆) တစ်ထောင့်တစ်ရာ့ရှစ်ဆယ့်ခြောက်ခု ကဆုန်လပြည့်ကျော် တစ်ဆယ့်နှစ်ရက် နေ့ ရွှေဖဝါးတော်အောက်က စစ်ကိုင်းမြို့ အောင်မြေလောက ဘုရားအနီး အောင်တပ် ချရပ်စေ၍ ဟံသာဝတီကြောင်း ချီထွက်စေရာ အောက်မြစ်စဉ်တစ်လျှောက် မြို့ကျေးရွာများမှာ မြို့ရွာအင်အားအလျောက် ခန့်ထား စည်းကြပ်ပြီးလျှင် ရသည့် ရဲမက် လက်နက်ကိုင် အမှုထမ်း လူတစ်သောင်းကျော်များနှင့် ချီတက်၍ ဟံသာဝတီ ရန်ကုန်မြို့သို့ ရောက်ကာလ တပ်ပါ ဗိုလ်ရဲမက် အပေါင်းတို့ကို အုပ်ကွပ်ချုပ်ထိန်းဆင့်ဆိုပြီးလျှင် မြို့ ရင်းသို့ ချဉ်းကပ်လုပ်ကြံကြ သည်ကို မြို့တွင်းတွင် ရှိသည့် ကုလားတို့က ပြောင်းသေနတ် အမြောက်အမြား ပစ်ခတ်လျက် ရေကြောင်းကလည်း သင်္ဘော သမ္မန် အများ ဆီးဆို့ရပ်ခံ အပစ်အခတ် ထူထပ်လှသောကြောင့် မပေါက်မမြောက်နိုင်သည်နှင့် ဝန်ကြီး သတိုးမင်းခေါင်, သတိုးမဟာသေနာပတိတို့လည်း အမှုထမ်းရဲမက် လက်နက်ကိုင်တို့နှင့် အုပ်စည်းမပျက် မြို ရင်းက ဆုတ်ခွာပြီးလျှင် ဟံသာဝတီ ရန်ကုန်မြို့ အနောက် ကြည့်မြင်တိုင် အရပ်တွင် တပ်အဖြီးအခိုင် တစ်တပ်နှင့်တစ်တပ် ကမ်းမီလှမ်းမီတပ်တန်း နားရွက်ထိုး၍ စွဲရပ်နေကြ၏။</t>
  </si>
  <si>
    <t xml:space="preserve">After appointing the Myinsugyi Wun Thiri Maha Zeyathura, the Yonsu Wun Maha Min Hla Kyaw Khaung, the Zay-shwe Myosa Maha Min Khaung, the Sin-gye Taikwun Maha Min Hla Kyaw Thu, the Tharyarwaddy Min Atwinwun Nemyo Thihakyawthu, the Nyaungyan Min Sar-ye-gyi Kyaw Khaung Nawrahta, the Yaw Myosa Maha Min Hla Kyawzwa, the Lawiblu Sawbwa Khan Myaing Thihakyaw, the Taungoo Myowun Sitke Nakhan official, the Shwenanyo Lamainwun Nemyo Min Hla Nawrahta, the Alon Thin-hmu Nemyo Thihayekhaung, the Pakhan Thin-hmu Nemyo Yephya Khaung, the Letswetaw Narayekhla Nawrahta, and the A-saungtaw-mye Nemyo Yekhawng Kyawthu—a total of thirty-eight named persons—along with the more than one thousand royal service personnel accompanying them, and more than three hundred boat service personnel from the towns and villages under the royal feet, including boat commanders, and providing them with a full set of victory drums, victory gongs, and military equipment, on the twelfth day of the waning moon of Kason in the year 1186 [1824 AD], they were ordered to set up a victory camp near the Aungmye Lawka Pagoda in Sagaing under the royal feet and march via the Hanthawaddy route. As they marched, they appointed and organized personnel according to the strength of the towns and villages along the lower river route, and with more than ten thousand armed service personnel recruited, they arrived at Hanthawaddy, Yangon. Upon arrival, they organized, controlled, and issued instructions to all the commanders and soldiers in the camp, and then approached and attacked the city. Because the Kalas [English] inside the city fired numerous muskets and also blocked and resisted from the water with many ships and boats, causing heavy fire, they were unable to break through or succeed. Therefore, the ministers Thado Mingaung and Thado Maha Senapati, along with the armed service personnel, withdrew from the city in good order and established a camp in the Kyimyindaing area west of Hanthawaddy, Yangon, where they remained, with each unit positioned within reach of the others, forming a continuous line of camps.</t>
  </si>
  <si>
    <t xml:space="preserve">vol2_s002818_t02_1c4ce7951b70</t>
  </si>
  <si>
    <t xml:space="preserve">PROVIDED_MILITARY_EQUIPMENT_TO</t>
  </si>
  <si>
    <t xml:space="preserve">royal service personnel</t>
  </si>
  <si>
    <t xml:space="preserve">vol2_s002818_t03_007825573217</t>
  </si>
  <si>
    <t xml:space="preserve">ORDERED_ESTABLISHMENT_OF_CAMP</t>
  </si>
  <si>
    <t xml:space="preserve">Aungmye Lawka Pagoda</t>
  </si>
  <si>
    <t xml:space="preserve">vol2_s002818_t04_8bfe42f21c32</t>
  </si>
  <si>
    <t xml:space="preserve">State</t>
  </si>
  <si>
    <t xml:space="preserve">LEVIED_TROOPS_FROM</t>
  </si>
  <si>
    <t xml:space="preserve">towns and villages</t>
  </si>
  <si>
    <t xml:space="preserve">vol2_s002818_t05_c095ae56eb2c</t>
  </si>
  <si>
    <t xml:space="preserve">Burmese forces</t>
  </si>
  <si>
    <t xml:space="preserve">vol2_s002818_t06_fd0db6a1f195</t>
  </si>
  <si>
    <t xml:space="preserve">English forces</t>
  </si>
  <si>
    <t xml:space="preserve">DEFENDED_WITH_MUSKETS_AND_SHIPS</t>
  </si>
  <si>
    <t xml:space="preserve">vol2_s002818_t07_1c1251616250</t>
  </si>
  <si>
    <t xml:space="preserve">Kyimyindaing</t>
  </si>
  <si>
    <t xml:space="preserve">vol2_s002819</t>
  </si>
  <si>
    <t xml:space="preserve">vol2_s002819_t01_b7b9df20bb46</t>
  </si>
  <si>
    <t xml:space="preserve">Commander Ministers</t>
  </si>
  <si>
    <t xml:space="preserve">APPOINTED_AS_REPRESENTATIVES</t>
  </si>
  <si>
    <t xml:space="preserve">Pathein Wun Nemyo Maha Kyawzwa</t>
  </si>
  <si>
    <t xml:space="preserve">ကြည့်မြင်တိုင်တပ်ကို တည်လုပ်စဉ် ဗိုလ်မှူး ဝန်ကြီး နှစ်ဦးတို့လည်း ပုသိန်ဝန် နေမျိုးမဟာကျော်စွာ, တရုတ်စာရေး နေမျိုးကျော်သူတို့ကို လူကြီးပြု၍ ခတ်လှေတစ်စင်း ပေးအပ်ပြီးလျှင် ကြည့်မြင်တိုင်တပ်က ရန်ကုန်မြို့ အင်္ဂလိပ်အရေးပိုင် ဗိုလ်ချုပ်တို့ရှိရာ နှစ်ဦးနှစ်ဝ ပြေကြေအောင် ပြောဆိုလျှင် ပြောဆိုမည့်အကြောင်းနှင့် စေလွှတ်ရာ ရောက်လျှင် စေလွှတ်သူ ပုသိန်ဝန်တို့က ဗိုလ်ချုပ်မင်းတို့ ကြည့်မြင်တိုင်တပ်သို့ စကားအပြောအဆို သွားသည့်အတွင်း ကျွန်ုပ်တို့ ရန်ကုန်မြို့တွင် ခံဝန်နေရစ်ပါမည်- ပြောဆိုလျှင် အင်္ဂလိပ်ဗိုလ်ချုပ်တို့က ဗိုလ်မှူး ဝန်ကြီးနှစ်ဦးတို့နှင့် အမှုပြီးမည် မဟုတ်၊ ရွှေနားတော်ကြား လျှောက်ထားသိသာမှ ပြီးမည်ဖြစ်၍ ကျွန်ုပ်တို့စာကို ရွှေဖဝါးတော်အောက်သို့ ပို့ပါ- အင်္ဂလိပ်အရေးပိုင် ဗိုလ်မှူး ဗိုလ်ချုပ်တို့က ပြောဆိုကာလ ယင်းသည့်အကြောင်းကို ဗိုလ်မှူး ဝန်ကြီးတို့ထံ တစ်ဆယ့်ငါးရက်နှင့် ပြန်ပြောလျှောက်ထား၍ သေချာမှ ပြောဆိုပါမည် ဆိုပြီးလျှင် မသွားမရောက် ရှိနေသည် နှင့် အင်္ဂလိပ်တို့က ဇနရံကြေမံ ခေါ် ကြက်တောင်ဗိုလ်ချုပ်ဆိုသူ ရဲမက်လက်နက်ကိုင် လူသုံးထောင်ကျော်, ရေကြောင်း ကလည်း သင်္ဘောသမ္ဗန် ရဲလှေအများ ဗိုလ်မှူး အကြီးတို့နှင့် ရန်ကုန်မြို့ က ထွက်၍ အစွန်အဖျား ကင်းတပ်များကို တိုက်ခိုက်ပြီးလျှင် ကြည့်မြင်တိုင်တပ်ကို ဝန်းဝိုင်း တိုက်ခိုက်ရာ ဗိုလ်မှူး တပ်မှူး ရဲမက်တော် အပေါင်းတို့ တပ်တွင်းက မီးပေါက်မိုးရွာ၏သို့ ပစ်လွှတ်ကြလျှင် အင်္ဂလိပ်တို့ မတိုးမဝှေ့နိုင် စစ်ပိုင်ဂေါ်ရာအများ ပြောင်းသေနတ် ထိခိုက် သေဆုံးလေ၏။</t>
  </si>
  <si>
    <t xml:space="preserve">While establishing the Kyimyindaing camp, the two commander ministers appointed the Pathein Wun Nemyo Maha Kyawzwa and the Chinese clerk Nemyo Kyawthu as senior representatives, provided them with a rowing boat, and sent them to the English commissioner and generals in Yangon to negotiate a settlement. Upon their arrival, the Pathein Wun and his party said, 'While you, the generals, go to the Kyimyindaing camp to discuss matters, we will remain in Yangon as hostages.' The English generals replied, 'The matter cannot be settled with the two commander ministers; it can only be settled after it is reported to the royal ears and understood. Send our letter to the royal feet.' When the English commissioner and generals said this, the Pathein Wun and his party replied that they would return and report this to the commander ministers within fifteen days to confirm before speaking further, and they remained without proceeding. Consequently, the English sent the person called General Campbell, along with more than three thousand armed soldiers and many ships, boats, and war canoes by water, who departed from Yangon, attacked the outlying picket camps, and surrounded and attacked the Kyimyindaing camp. When all the commander ministers and royal soldiers fired from within the camp like a downpour of fire, the English could not advance, and many of the English soldiers were hit and killed by musket fire.</t>
  </si>
  <si>
    <t xml:space="preserve">vol2_s002819_t02_f3c8b6780597</t>
  </si>
  <si>
    <t xml:space="preserve">Chinese Clerk Nemyo Kyawthu</t>
  </si>
  <si>
    <t xml:space="preserve">vol2_s002819_t03_b435a8bae738</t>
  </si>
  <si>
    <t xml:space="preserve">English Generals</t>
  </si>
  <si>
    <t xml:space="preserve">REJECTED_AUTHORITY_OF</t>
  </si>
  <si>
    <t xml:space="preserve">vol2_s002819_t04_560bf7bbf34e</t>
  </si>
  <si>
    <t xml:space="preserve">DEMANDED_COMMUNICATION_WITH</t>
  </si>
  <si>
    <t xml:space="preserve">Royal Center</t>
  </si>
  <si>
    <t xml:space="preserve">vol2_s002819_t05_566482756edf</t>
  </si>
  <si>
    <t xml:space="preserve">General Campbell</t>
  </si>
  <si>
    <t xml:space="preserve">3000 armed soldiers</t>
  </si>
  <si>
    <t xml:space="preserve">vol2_s002819_t06_5840363cf172</t>
  </si>
  <si>
    <t xml:space="preserve">English Forces</t>
  </si>
  <si>
    <t xml:space="preserve">Kyimyindaing Fort</t>
  </si>
  <si>
    <t xml:space="preserve">vol2_s002819_t07_3e7830d0234c</t>
  </si>
  <si>
    <t xml:space="preserve">Royal Soldiers</t>
  </si>
  <si>
    <t xml:space="preserve">DEFENDED</t>
  </si>
  <si>
    <t xml:space="preserve">vol2_s002873</t>
  </si>
  <si>
    <t xml:space="preserve">vol2_s002873_t01_84046bd7a77c</t>
  </si>
  <si>
    <t xml:space="preserve">ORDERED_PREPARATION_OF</t>
  </si>
  <si>
    <t xml:space="preserve">fortifications and provisions</t>
  </si>
  <si>
    <t xml:space="preserve">ယင်းသည့်နှစ် ပြာသိုလ အတွင်း ချီတော်မမူမီ ရွှေဖဝါးတော်အောက်က အဖြီးအခိုင် တပ်တည်လုပ်၍ မျိုးရိက္ခာအပြည့်အစုံ စည်းကြပ် အသင့်စုပုံ ရှိစေရမည်-စို့လေးဆယ်ဒိုင်းဝန် နေမျိုးမင်းလှမင်းကျော်, မြောက်ဒဝယ် ဗိုလ် မင်းကျော်မဟာမင်းခေါင်တို့ကို စစ်ကဲ၊ မင်းထင်ဇေယသူ, နေမျိုးဗလတို့ကို နာခံ၊ မာရဘင်တပ်မှူး နေမျိုးသိဒ္ဓိသူ, နေမျိုးသိဒ္ဓိကျော်တို့ကို တပ်ရေးခန့်ထားပြီးလျှင် အမှုထမ်း လက်နက်ကိုင် လူတစ်ထောင်ပေးအပ်၍ အတွင်းဝန်မင်းကြီး သီရိမဟာနန္ဒသင်္ကြံကို ပြည်မြို့က ချီတက်ရပ်နေရမည်ဟု စုန်ထွက်ရ၏။</t>
  </si>
  <si>
    <t xml:space="preserve">Before marching during the month of Pyatho of that year, under the Royal Feet, [the order was given] to establish strong and secure fortifications and to have full provisions of food supplies gathered and ready; [the King] ordered the Forty-Daing Wun Nemyo Min Hla Min Kyaw and the North Dawei Bo Min Kyaw Maha Min Khaung to be Sitke, Min Htin Zeya Thu and Nemyo Bala to be Nakhan, and the Marabin troop commander Nemyo Thiddi Thu and Nemyo Thiddi Kyaw to be appointed to troop affairs, and after assigning one thousand armed service personnel, [the King] ordered the Interior Minister Thiri Maha Nanda Thinkaya to march out and be stationed at Pyay City.</t>
  </si>
  <si>
    <t xml:space="preserve">vol2_s002873_t02_5b8c443241bc</t>
  </si>
  <si>
    <t xml:space="preserve">APPOINTED_AS_SITKE</t>
  </si>
  <si>
    <t xml:space="preserve">Forty-Daing Wun Nemyo Min Hla Min Kyaw</t>
  </si>
  <si>
    <t xml:space="preserve">vol2_s002873_t03_0c614ed6b059</t>
  </si>
  <si>
    <t xml:space="preserve">North Dawei Bo Min Kyaw Maha Min Khaung</t>
  </si>
  <si>
    <t xml:space="preserve">vol2_s002873_t04_85296b9b1576</t>
  </si>
  <si>
    <t xml:space="preserve">APPOINTED_AS_NAKHAN</t>
  </si>
  <si>
    <t xml:space="preserve">Min Htin Zeya Thu</t>
  </si>
  <si>
    <t xml:space="preserve">vol2_s002873_t05_33a9dce3668f</t>
  </si>
  <si>
    <t xml:space="preserve">Nemyo Bala</t>
  </si>
  <si>
    <t xml:space="preserve">vol2_s002873_t06_a066fd8ace01</t>
  </si>
  <si>
    <t xml:space="preserve">APPOINTED_TO_TROOP_AFFAIRS</t>
  </si>
  <si>
    <t xml:space="preserve">Marabin troop commander Nemyo Thiddi Thu</t>
  </si>
  <si>
    <t xml:space="preserve">vol2_s002873_t07_0c6a9d94d247</t>
  </si>
  <si>
    <t xml:space="preserve">Nemyo Thiddi Kyaw</t>
  </si>
  <si>
    <t xml:space="preserve">vol2_s002873_t08_7c067ff58b34</t>
  </si>
  <si>
    <t xml:space="preserve">ASSIGNED_TROOPS_TO</t>
  </si>
  <si>
    <t xml:space="preserve">Interior Minister Thiri Maha Nanda Thinkaya</t>
  </si>
  <si>
    <t xml:space="preserve">vol2_s002873_t09_f334f262d97c</t>
  </si>
  <si>
    <t xml:space="preserve">ORDERED_TO_STATION_AT</t>
  </si>
  <si>
    <t xml:space="preserve">Pyay City</t>
  </si>
  <si>
    <t xml:space="preserve">vol2_s002874</t>
  </si>
  <si>
    <t xml:space="preserve">vol2_s002874_t01_a1419996b5fd</t>
  </si>
  <si>
    <t xml:space="preserve">Commander-in-Chief Minister Thado Thudhamma Maha Bandula</t>
  </si>
  <si>
    <t xml:space="preserve">ORDERED_STATIONING_OF</t>
  </si>
  <si>
    <t xml:space="preserve">Thado Mingyi Maha Min Khaung</t>
  </si>
  <si>
    <t xml:space="preserve">ဗိုလ်မှူးဝန်ကြီး သတိုးသုဓမ္မမဟာဗန္ဓုလလည်း သတိုးမင်းကြီးမဟာမင်းခေါင်ကို ကျွန်းဦးသရက်တစ်ပင် အရပ်က နေရမည်။</t>
  </si>
  <si>
    <t xml:space="preserve">The Commander-in-Chief Minister Thado Thudhamma Maha Bandula also [ordered] Thado Mingyi Maha Min Khaung to be stationed at the Kyun-U Thayet-ta-pin area.</t>
  </si>
  <si>
    <t xml:space="preserve">vol2_s002874_t02_1cae89021577</t>
  </si>
  <si>
    <t xml:space="preserve">Kyun-U Thayet-ta-pin area</t>
  </si>
  <si>
    <t xml:space="preserve">vol2_s002875</t>
  </si>
  <si>
    <t xml:space="preserve">vol2_s002875_t01_1d90ec85747d</t>
  </si>
  <si>
    <t xml:space="preserve">Maha Thilawa</t>
  </si>
  <si>
    <t xml:space="preserve">This continues Maha Bandula's explicit stationing order in the preceding sentence; replacing him with the king changes the immediate commanding actor.</t>
  </si>
  <si>
    <t xml:space="preserve">Maha Bandula orders Maha Thilawa to station at Maw Hpi.</t>
  </si>
  <si>
    <t xml:space="preserve">မဟာသီလဝကို မော်ဖီမြို့က ရပ်နေရမည်။</t>
  </si>
  <si>
    <t xml:space="preserve">[He also ordered] Maha Thilawa to be stationed at Mawfi City.</t>
  </si>
  <si>
    <t xml:space="preserve">vol2_s002875_t02_f9883f3608ab</t>
  </si>
  <si>
    <t xml:space="preserve">Mawfi City</t>
  </si>
  <si>
    <t xml:space="preserve">vol2_s002876</t>
  </si>
  <si>
    <t xml:space="preserve">vol2_s002876_t01_9f0bf116eac1</t>
  </si>
  <si>
    <t xml:space="preserve">Danubyu defense force</t>
  </si>
  <si>
    <t xml:space="preserve">The fifteen-hundred-man allocations are Maha Bandula's forward detachments before he withdraws to Danubyu, not a king-to-Danubyu-force allocation.</t>
  </si>
  <si>
    <t xml:space="preserve">Maha Bandula assigns 1,500 men each to the preceding forward commanders.</t>
  </si>
  <si>
    <t xml:space="preserve">ရဲမက်လက်နက်ကိုင် အမှုထမ်း လူတစ်ထောင့်ငါးရာစီ ပေးအပ်၍ အစောင့်အနေ ခန့်ထားခဲ့ပြီးမှ ဓနုဖြူမြို့သို့ ဆုတ်ခွာ၍ မြို့ဟောင်းရာတွင် တပ်ဝန်းကျင် ပစ္စင်, ရင် လျှောက်, ကျုံးပတ်လည် သမင်ချို မြင်းတား, ဆင်ခလုတ်, မြင်းခလုတ်, ကျင်းမကန်းချ၍ အဖြီးအခိုင် ကောင်းမွန် အောင် ရက်ပေါင်း သုံးဆယ်အတွင်း ခံတပ်တည်လုပ်ပြီးလျှင် မျိုးရိက္ခာ လက်နက်ကိရိယာ အပြည့်အစုံ သွင်းထား၍ ကြံ့ကြံ့ ခုခံစွဲရပ်နေ၏။</t>
  </si>
  <si>
    <t xml:space="preserve">After assigning one thousand five hundred armed service personnel each and appointing them to guard positions, [they were to] retreat to Danubyu City, and at the old city site, [they were to] build a fortress within thirty days that was strong and secure by clearing the area around the fort, [building] ramparts, trenches, and surrounding the moat with deer-horn [stakes], horse-traps, elephant-traps, and horse-traps, and digging pits, and after stocking it with full provisions of food and weaponry, [they were to] stand firm and resist.</t>
  </si>
  <si>
    <t xml:space="preserve">vol2_s002876_t02_015766307d81</t>
  </si>
  <si>
    <t xml:space="preserve">ORDERED_TO_CONSTRUCT</t>
  </si>
  <si>
    <t xml:space="preserve">fortress</t>
  </si>
  <si>
    <t xml:space="preserve">vol2_s002876_t03_2ad22a06bba3</t>
  </si>
  <si>
    <t xml:space="preserve">ORDERED_TO_STOCK</t>
  </si>
  <si>
    <t xml:space="preserve">provisions and weaponry</t>
  </si>
  <si>
    <t xml:space="preserve">vol2_s002876_t04_592f0c94cff3</t>
  </si>
  <si>
    <t xml:space="preserve">ORDERED_TO_RESIST</t>
  </si>
  <si>
    <t xml:space="preserve">British forces</t>
  </si>
  <si>
    <t xml:space="preserve">vol2_s002877</t>
  </si>
  <si>
    <t xml:space="preserve">vol2_s002877_t01_226f8b5e21d7</t>
  </si>
  <si>
    <t xml:space="preserve">Minister Thado Maha Senapati</t>
  </si>
  <si>
    <t xml:space="preserve">The continuous deployment narrative names Maha Bandula as the issuer, not the king, when Thado Maha Senapati is sent to Pegu.</t>
  </si>
  <si>
    <t xml:space="preserve">Maha Bandula orders Thado Maha Senapati's Pegu deployment.</t>
  </si>
  <si>
    <t xml:space="preserve">ဝန်ကြီး သတိုးမဟာသေနာပတိကိုလည်း ချုပ်အုပ်မြဲ တပ်ပါ ဗိုလ်ရဲမက်တို့နှင့် ပဲခူးမြို့က ရပ်နေရမည် ခန့်ထား ချီသွားစေ၏။</t>
  </si>
  <si>
    <t xml:space="preserve">[The King] also ordered the Minister Thado Maha Senapati to be stationed at Bago City with the troops and soldiers he already commanded, and sent him off.</t>
  </si>
  <si>
    <t xml:space="preserve">vol2_s002877_t02_a72872dc21a5</t>
  </si>
  <si>
    <t xml:space="preserve">Bago City</t>
  </si>
  <si>
    <t xml:space="preserve">vol2_s002878</t>
  </si>
  <si>
    <t xml:space="preserve">vol2_s002878_t01_ab89b3700019</t>
  </si>
  <si>
    <t xml:space="preserve">Six-Line Commander Min Hla Thurein</t>
  </si>
  <si>
    <t xml:space="preserve">The named tactical stationing continues Maha Bandula's deployment sequence. No return to a royal speaker is supplied; the inferred issuer should remain the commander.</t>
  </si>
  <si>
    <t xml:space="preserve">Attribute this tactical stationing to Maha Bandula, retaining the named subordinate.</t>
  </si>
  <si>
    <t xml:space="preserve">လှိုင်မြို့ မြစ်ဝ ထန်းတစ်ပင်ကျွန်းများတွင်လည်း လှိုင်မြို့, အင်္ဂပူမြို့, ရွှေတောင်မြို့ သုံးမြို့ ရဲမက် လက်နက်ကိုင် လူငါးထောင်နှင့် ခြောက်ကြောင်းဗိုလ် မင်းလှသူရိန်, စားတော်ဝန် မင်းလှမင်းခေါင်, ဇွဲသဘုံးမြို့စား မဟာဇေယသူတို့ကို တပ်အခိုင်အလုံ တည်ထားရပ်နေစေ၏။</t>
  </si>
  <si>
    <t xml:space="preserve">At the Hlaing River mouth and the Htan-ta-pin islands, [the King] also had the Six-Line Commander Min Hla Thurein, the Royal Food Minister Min Hla Min Khaung, and the Zwe-tha-bon City Governor Maha Zeya Thu stationed with five thousand armed soldiers from the three cities of Hlaing, Ingapu, and Shwedaung, and had them establish strong and secure fortifications.</t>
  </si>
  <si>
    <t xml:space="preserve">vol2_s002878_t02_42cc7d3d23af</t>
  </si>
  <si>
    <t xml:space="preserve">Royal Food Minister Min Hla Min Khaung</t>
  </si>
  <si>
    <t xml:space="preserve">vol2_s002878_t03_ea9d1ec61b0e</t>
  </si>
  <si>
    <t xml:space="preserve">Zwe-tha-bon City Governor Maha Zeya Thu</t>
  </si>
  <si>
    <t xml:space="preserve">vol2_s002878_t04_2f0943ceab81</t>
  </si>
  <si>
    <t xml:space="preserve">MOBILIZED_TROOPS_FROM</t>
  </si>
  <si>
    <t xml:space="preserve">Hlaing, Ingapu, and Shwedaung</t>
  </si>
  <si>
    <t xml:space="preserve">vol2_s002878_t05_9980e756bc8a</t>
  </si>
  <si>
    <t xml:space="preserve">Min Hla Thurein, Min Hla Min Khaung, and Maha Zeya Thu</t>
  </si>
  <si>
    <t xml:space="preserve">Hlaing River mouth and Htan-ta-pin islands</t>
  </si>
  <si>
    <t xml:space="preserve">vol2_s002879</t>
  </si>
  <si>
    <t xml:space="preserve">vol2_s002879_t01_e575341366d6</t>
  </si>
  <si>
    <t xml:space="preserve">အတွင်းဝန် မင်းကြီးသီရိမဟာနန္ဒ သင်္ကြံကိုလည်း တပ်ပါ အရာရှိ အမှုထမ်း ရဲမက် လက်နက်ကိုင်တို့နှင့် ပြည်မြို့ က ခန့်ထားရပ်နေစေ၏။</t>
  </si>
  <si>
    <t xml:space="preserve">[The King] also had the Interior Minister Thiri Maha Nanda Thinkaya stationed at Pyay City with the officers, service personnel, and armed soldiers under his command.</t>
  </si>
  <si>
    <t xml:space="preserve">vol2_s002879_t02_7fb7055fbdb9</t>
  </si>
  <si>
    <t xml:space="preserve">vol2_s002880</t>
  </si>
  <si>
    <t xml:space="preserve">vol2_s002880_t01_24e7ddbd2701</t>
  </si>
  <si>
    <t xml:space="preserve">APPOINTED_TO_PATHEIN</t>
  </si>
  <si>
    <t xml:space="preserve">City Governor Mingyi Maha Min Kyaw</t>
  </si>
  <si>
    <t xml:space="preserve">The named existing official is assigned troops to defend Pathein, not clearly newly appointed to office there. After the intervening reiteration of an explicitly royal Prome deployment, the precise issuing authority is not certain enough to mark King as a hard attribution error. Retain the real defensive assignment and repair the appointment predicate.</t>
  </si>
  <si>
    <t xml:space="preserve">Royal command structure | ASSIGNED_TO_DEFEND_PATHEIN | named existing official (avoid asserting a fresh office appointment)</t>
  </si>
  <si>
    <t xml:space="preserve">ပုသိမ်မြို့တွင်လည်း မြို့ဝန် မင်းကြီးမဟာမင်းကျော်, အောက်မားဝန် မဟာမင်းလှမင်းထင်တို့ကို ရဲမက် လက်နက်ကိုင် အမှုထမ်း လူသူ ပေးအပ်၍ ပုသိန်မြို့ အမှုထမ်းတို့နှင့် စည်းကြပ်စောင့်နေစေ၏။</t>
  </si>
  <si>
    <t xml:space="preserve">At Pathein City, [the King] also assigned the City Governor Mingyi Maha Min Kyaw and the Aukma Wun Maha Min Hla Min Htin with armed service personnel and soldiers, and had them organize and guard [the city] with the Pathein service personnel.</t>
  </si>
  <si>
    <t xml:space="preserve">vol2_s002880_t02_fb7321576918</t>
  </si>
  <si>
    <t xml:space="preserve">Aukma Wun Maha Min Hla Min Htin</t>
  </si>
  <si>
    <t xml:space="preserve">vol2_s002880_t03_bedcd531941d</t>
  </si>
  <si>
    <t xml:space="preserve">City Governor Mingyi Maha Min Kyaw and Aukma Wun Maha Min Hla Min Htin</t>
  </si>
  <si>
    <t xml:space="preserve">ORDERED_TO_GUARD</t>
  </si>
  <si>
    <t xml:space="preserve">Pathein City</t>
  </si>
  <si>
    <t xml:space="preserve">vol2_s002881</t>
  </si>
  <si>
    <t xml:space="preserve">vol2_s002881_t01_86a8423b7a08</t>
  </si>
  <si>
    <t xml:space="preserve">ATTACKED_BY_WATER</t>
  </si>
  <si>
    <t xml:space="preserve">Burmese defensive positions</t>
  </si>
  <si>
    <t xml:space="preserve">ယင်းသို့ အကြောင်းကြောင်း အဝဝ ခန့်ထားစည်းကြပ် စောင့်နေစေသည့်အတွင်း အင်္ဂလိပ် ဗိုလ်မှူး တပ် မှူး စစ်သည်ရဲမက်အပေါ့င်းတို့ ရေကြောင်း ရဲလှေသမ္ဗန်အများ အင်ကြီးအားကြီး ချီတက်တိုက်ခိုက် လာရောက် သည်ကို ဗိုလ်မှူးတပ်မှူး ရဲမက်တော်အပေါင်းတို့လည်း အသီးအသီး စည်းကြပ် ခုခံတိုက်ခိုက်ကြရာ အင်္ဂလိပ် စစ်သည် ဂေါ်ရာဗိုလ် ငါး, အမြောက်ဗိုလ်နှစ်, အမှုထမ်း လက်နက်ကိုင် တစ်ရာ့ငါးဆယ်ကျော်ခန့် သေလေ သည်။</t>
  </si>
  <si>
    <t xml:space="preserve">While they were thus stationed and guarding under various orders, the English commanders, troop leaders, and all their soldiers came marching and attacking in great force by water with many armed boats, and as all the commanders and soldiers resisted and fought back, about five English officers, two artillery officers, and over one hundred and fifty armed service personnel were killed.</t>
  </si>
  <si>
    <t xml:space="preserve">vol2_s002881_t02_2eec49e44559</t>
  </si>
  <si>
    <t xml:space="preserve">Burmese commanders</t>
  </si>
  <si>
    <t xml:space="preserve">RESISTED_ATTACK_OF</t>
  </si>
  <si>
    <t xml:space="preserve">vol2_s002881_t03_f6d53383d5d9</t>
  </si>
  <si>
    <t xml:space="preserve">SUFFERED_CASUALTIES_FROM</t>
  </si>
  <si>
    <t xml:space="preserve">Burmese resistance</t>
  </si>
  <si>
    <t xml:space="preserve">vol2_s002882</t>
  </si>
  <si>
    <t xml:space="preserve">vol2_s002882_t01_ab17ce2e65b9</t>
  </si>
  <si>
    <t xml:space="preserve">Royal troops</t>
  </si>
  <si>
    <t xml:space="preserve">English musketry</t>
  </si>
  <si>
    <t xml:space="preserve">တပ်တော် ရဲမက်သားတို့လည်း ပြောင်းသေနတ် ထိခိုက်သေဆုံး ရှိချေသည်။</t>
  </si>
  <si>
    <t xml:space="preserve">The royal troops and soldiers were also hit by muskets and suffered casualties.</t>
  </si>
  <si>
    <t xml:space="preserve">vol2_s002883</t>
  </si>
  <si>
    <t xml:space="preserve">vol2_s002883_t01_f9f436f13ea0</t>
  </si>
  <si>
    <t xml:space="preserve">DESTROYED_DEFENSES_WITH</t>
  </si>
  <si>
    <t xml:space="preserve">artillery and bombs</t>
  </si>
  <si>
    <t xml:space="preserve">မနည်းကြာ တိုက်ခိုက်မိလျှင် တပ်တော်များကို ကုလားတို့က ဗုံးအမြောက် ထပ်မနား ပစ်ခတ်ဖန်များသဖြင့် ကျိုးပေါက် ပျက်စီးသည်နှင့် ထန်းတစ်ပင်ကျွန်းဦး, သရက်တစ်ပင်, မော်ဖီတပ်တော်များ ဆုတ်ခွာရချေ၏။</t>
  </si>
  <si>
    <t xml:space="preserve">After fighting for some time, because the Kala [English] fired bombs and artillery at the royal troops incessantly, causing them to break and be destroyed, the troops at Kyun-U, Thayet-ta-pin, and Mawfi had to retreat.</t>
  </si>
  <si>
    <t xml:space="preserve">vol2_s002883_t02_c36078fdba34</t>
  </si>
  <si>
    <t xml:space="preserve">Troops at Kyun-U, Thayet-ta-pin, and Mawfi</t>
  </si>
  <si>
    <t xml:space="preserve">English artillery fire</t>
  </si>
  <si>
    <t xml:space="preserve">vol2_s002884</t>
  </si>
  <si>
    <t xml:space="preserve">vol2_s002884_t01_e423dfa56254</t>
  </si>
  <si>
    <t xml:space="preserve">INITIATED_CASTING_OF</t>
  </si>
  <si>
    <t xml:space="preserve">Maha Sakya Thiha Buddha image</t>
  </si>
  <si>
    <t xml:space="preserve">ထိုသက္ကရာဇ် ပြာသိုလဆန်း ခုနစ်ရက်-နေ့ အခါ တော်အတိုင်း မဟာသကျသီဟဘုရား ကြေးဆင်းတုတော် သွန်းလုပ်ရန် မြေပုံ စ၍ကိုင်သည်။</t>
  </si>
  <si>
    <t xml:space="preserve">On the seventh day of the waxing moon of Pyatho of that year, according to the royal auspicious time, the ground-breaking for casting the bronze image of the Maha Sakya Thiha Buddha began.</t>
  </si>
  <si>
    <t xml:space="preserve">vol2_s002884_t02_fd7affbb0cf3</t>
  </si>
  <si>
    <t xml:space="preserve">SERVED_AS_SYMBOL_OF</t>
  </si>
  <si>
    <t xml:space="preserve">royal legitimacy</t>
  </si>
  <si>
    <t xml:space="preserve">vol2_s002885</t>
  </si>
  <si>
    <t xml:space="preserve">vol2_s002885_t01_0231011bb1fd</t>
  </si>
  <si>
    <t xml:space="preserve">Moe-ne Commander Prince</t>
  </si>
  <si>
    <t xml:space="preserve">ထိုသက္ကရာဇ် ပြာသိုလပြည့်ကျော် ခုနစ်ရက်နေ့ ဟံသာဝတီအရေးကို ထောက်၍ ညီတော် မိုးနဲဗိုလ်မှူး မင်းသား ခန့်ထားစည်းကြပ် အသင့်ရှိသည့် ရှမ်းပြည်နယ် မြေလတ်စော်ဘွားမြို့စားတို့နှင့် လက်နက်ကိုင်လူ တစ်သောင့်းငါးထောင်ကျော်အနက်လူငါးထောင်ကို စစ်ကဲကြီး တလုပ်မြို့ဝန် မင်းလှမင်းထင်နှင့် မိုးနဲတပ်တော်မှာ စည်းကြပ်စောင့်နေရစ်စေ၍ သံလွင်အရှေ့ဘက် စောင့်နေမြဲထား ကင်းများမှာလည်း ကျိုင်းထုံ, ကျိုင်းရုံးကြီး, ကျိုင်းချိုင်, မိုင်းလျဉ်းကြီး စော်ဘွားမြို့စားတို့ကို ရာဇဝတ်တော်ရေး ကင်းလွတ်လုံခြုံအောင် ဆင့်ဆို စောင့်နေစေပြီးလျှင် လူတစ်သောင်းကျော်ကို ဗိုလ်မှူး မင်းသားကိုယ်ချုပ်အုပ်၍ စစ်ကဲကြီး အသည်ဝန်မင်းကြီး အတုလ မဟာသီဟသူ စော်ဘွား မြို့စားတို့နှင့် ရွှေဖဝါးတော်အောက် ခေါ်တော်မူ၍ အလျင်ရောက်အောင် လာ ရသည်။</t>
  </si>
  <si>
    <t xml:space="preserve">On the seventh day of the waning moon of Pyatho of that year, considering the situation in Hanthawaddy, [the King] ordered the younger brother, the Moe-ne Commander Prince, to leave the Great Sitke Talok City Governor Min Hla Min Htin and the Moe-ne troops to guard and remain with five thousand of the over fifteen thousand armed men from the Shan State middle-land Sawbwas and city governors who had been organized and were ready; for the outposts that were already guarding the east of the Thanlwin [Salween] River, [the King] ordered the Sawbwas and city governors of Kengtung, Kengrung, Keng-chai, and Mong-leng to guard and ensure security against criminal activities, and then [the King] summoned the over ten thousand men, the Commander Prince himself, the Great Sitke, the Athi Wun Mingyi Atula Maha Thiha Thu, and the Sawbwas and city governors under the Royal Feet to come as quickly as possible.</t>
  </si>
  <si>
    <t xml:space="preserve">vol2_s002885_t02_efea5f7d74ce</t>
  </si>
  <si>
    <t xml:space="preserve">ORDERED_GUARD_DUTY_OF</t>
  </si>
  <si>
    <t xml:space="preserve">5000 Shan troops</t>
  </si>
  <si>
    <t xml:space="preserve">vol2_s002885_t03_09793459e4f6</t>
  </si>
  <si>
    <t xml:space="preserve">ORDERED_FRONTIER_SECURITY_FROM</t>
  </si>
  <si>
    <t xml:space="preserve">Sawbwas of Kengtung, Kengrung, Keng-chai, and Mong-leng</t>
  </si>
  <si>
    <t xml:space="preserve">vol2_s002885_t04_001611a26e7c</t>
  </si>
  <si>
    <t xml:space="preserve">SUMMONED_TO_CAPITAL</t>
  </si>
  <si>
    <t xml:space="preserve">Moe-ne Commander Prince, Great Sitke, Athi Wun Mingyi Atula Maha Thiha Thu, and Sawbwas</t>
  </si>
  <si>
    <t xml:space="preserve">vol2_s002937</t>
  </si>
  <si>
    <t xml:space="preserve">vol2_s002937_t01_fcdef626f2a1</t>
  </si>
  <si>
    <t xml:space="preserve">Burmese Officials</t>
  </si>
  <si>
    <t xml:space="preserve">REJECT_DEMAND_FOR</t>
  </si>
  <si>
    <t xml:space="preserve">WarIndemnity</t>
  </si>
  <si>
    <t xml:space="preserve">၎င်းပြင် မြန်မာမင်းပြည် အင်္ဂလိပ်မင်း ပြည်များသို့ ကူးသန်းဖောက်ကား သွားလာကြသည်တို့ကိုလည်း နှစ်ဦးနှစ်ဖက် အနှောင့်အယှက် မရှိစေရ၊ စာချုပ်ဆို ပြုလုပ်ပါရစေ- ပြောဆိုလျှင် ဝန်ကြီးမင်းနှင့် ပါသည့် အရာရှိတို့က ပြောဆို ပြန်သည်ကား-နှစ်တိုင်းနှစ်ပြည် ရန်စစ်ဖြစ်ကြသည့်နေ့က ယခုတိုင် အခွန်ဘဏ္ဍာ မရ လစ်ဟင်းရသည်၊ ပြည်ကြီး နှစ်ပြည် မဟာမိတ်လက္ခဏာ ညီညွတ်မည်မှန်လျှင် မြို့ကျေးရွာများနှင့် စစ်စရိတ်ဆို၍ ကြေးငွေတောင်းသည် မှာ သင့်မည် မထင်၊ ရှေးအထက်က တရုတ်ပြည်ကြီးနှင့် မြန်မာပြည်ကြီး စစ်ဖြစ်ကြရာလည်း စစ်ပြေငြိမ်း၍ မဟာမိတ် ဖြစ်ကြသည့်ကာလ ငါတို့က မြို့ပြကျေးရွာ စရိတ်ကြေးငွေ မတောင်းမခံ ပြေငြိမ်း ပြန်သွားစေသည် ပြောဆိုပြန်လျှင် အင်္ဂလိပ်တို့က ပြောဆိုပြန်သည်ကား-အထက် တရုတ်နှင့် စစ်ဖြစ်ကြသည် ဆိုသည်မှာ တရုတ်က အရေးလှသူ မဟုတ်၊ ရှုံးသူ ဖြစ်ပါသည်၊ ယခုမှာ အင်္ဂလိပ်က အရေးလှသူဖြစ်၍ တောင်းပါသည်၊ နှစ်တိုင်းနှစ်ပြည် စစ်ဖြစ်ကြ သည့် အတွင်းလည်း မြန်မာတိုင်းပြည်မှာ ချုပ်ထားရှိသည့် အင်္ဂလိပ် အမျိုးသားတို့ကို လွှတ်ပါ၊ ဘင်္ဂလားမြို့တွင် ရှိသည့် မြန်မာကျွန်တော်မျိုးတို့ကိုလည်း လွှတ်ပါမည် ဆိုလျှင် မြန်မာအရာရှိမင်းတို့က အင်္ဂလိပ်အရာရှိတို့ မိတ်လက္ခဏာသဘော မှန်ကန်မည် ဖြစ်လျှင် အင်္ဂလိပ်အရာရှိတို့ အလိုရှိသည့် စကားကို ရွှေနားတော်ကြား တင် လျှောက်သည့်အတွင်း စစ်မတိုက်စေရ ဆိုင်းငံ့ရပ်နေကြ၍ နှစ်ဦးချုပ်ထားရှိသူတို့ကို လွှတ်ရမည် ပြောဆိုသည်ကို အင်္ဂလိပ်အရာရှိတို့ သဘောတူညီ၍ နှစ်ဦး စစ်မတိုက်မခိုက် ဆိုင်းငံ့နေကြပြီးလျှင် ချုပ်ထားရှိသူတို့ကို လွှတ်မည် အကြောင်းနှင့် ကတိထားကြ၍ မြန်မာအရာရှိမင်းတို့နှင့် အင်္ဂလိပ်အရာရှိတို့ စကားပြောတဲက တပ်သို့ပြန်သွားကြ၏။</t>
  </si>
  <si>
    <t xml:space="preserve">Furthermore, regarding the trade and travel between the Burmese King's territory and the English King's territories, let there be no obstruction on either side, and let us make a treaty—when this was said, the Minister and the accompanying officials replied: Since the day the two countries became enemies and went to war, we have not received tax revenue and it has been neglected; if the two great countries are to be truly allied, it does not seem appropriate to demand money for towns, villages, and war expenses; in the past, when the great country of China and the great country of Burma were at war, when peace was made and we became allies, we did not demand or accept money for towns, villages, or expenses, and let them return in peace—when this was said, the English replied: The aforementioned war with China was not a case where China was the victor, but the loser; now, the English are the victors, so we are demanding it; while the two countries are at war, release the English nationals held in the Burmese country, and we will also release the Burmese subjects in Bengal—when this was said, the Burmese officials said that if the English officials' friendly intentions were genuine, while the matters desired by the English officials were being submitted to the Royal Ears, they should stop fighting and wait, and both sides should release those held in custody; the English officials agreed to this, and after promising that both sides would stop fighting and wait and would release those held in custody, the Burmese officials and the English officials returned to their camps from the place where they had been talking.</t>
  </si>
  <si>
    <t xml:space="preserve">vol2_s002937_t02_81bbeede80be</t>
  </si>
  <si>
    <t xml:space="preserve">INVOKE_PRECEDENT_OF</t>
  </si>
  <si>
    <t xml:space="preserve">ChinaBurmaPeaceTreaty</t>
  </si>
  <si>
    <t xml:space="preserve">vol2_s002937_t03_e6d15cf440dc</t>
  </si>
  <si>
    <t xml:space="preserve">British Commissioners</t>
  </si>
  <si>
    <t xml:space="preserve">JUSTIFY_DEMAND_THROUGH</t>
  </si>
  <si>
    <t xml:space="preserve">StatusAsVictor</t>
  </si>
  <si>
    <t xml:space="preserve">vol2_s002937_t04_1e020b106bf0</t>
  </si>
  <si>
    <t xml:space="preserve">DEMAND_RELEASE_OF</t>
  </si>
  <si>
    <t xml:space="preserve">EnglishNationalsInBurma</t>
  </si>
  <si>
    <t xml:space="preserve">vol2_s002937_t05_947bf7afc558</t>
  </si>
  <si>
    <t xml:space="preserve">BurmeseSubjectsInBengal</t>
  </si>
  <si>
    <t xml:space="preserve">vol2_s002937_t06_3e8ccdc85ec5</t>
  </si>
  <si>
    <t xml:space="preserve">CONDITION_PEACE_ON</t>
  </si>
  <si>
    <t xml:space="preserve">RoyalApproval</t>
  </si>
  <si>
    <t xml:space="preserve">vol2_s002937_t07_e1e82a202c66</t>
  </si>
  <si>
    <t xml:space="preserve">AGREE_TO_CEASEFIRE_PENDING</t>
  </si>
  <si>
    <t xml:space="preserve">vol2_s002938</t>
  </si>
  <si>
    <t xml:space="preserve">vol2_s002938_t01_6361fc0bdc7c</t>
  </si>
  <si>
    <t xml:space="preserve">REPORT_NEGOTIATIONS_TO</t>
  </si>
  <si>
    <t xml:space="preserve">RoyalCourt</t>
  </si>
  <si>
    <t xml:space="preserve">မြန်မာအရာရှိမင်းတို့ မလွန်မြို့ သို့ ရောက်လျှင် အင်္ဂလိပ်ဗိုလ်တို့နှင့် စကားပြောဆိုသည့် အကြောင်းအရာ များကို ညီတော် ဗိုလ်မှူး မွင်းသားထံ လျှောက်ထားသည်တွင် မြို့ပြကျေးရွာ စရိတ် ကြေးငွေမှုများနှင့် စပ်လျဉ်းသည့် စကားဖြစ်၍ ရွှေဖဝါးတော်အောက် အလျှောက်အထား စေလွှတ်သည့်အတွင်း အင်္ဂလိပ်အရေးပိုင် ဗိုလ်ချုပ်က အထက် ကတိရှိသည့်အတိုင်း အင်းဝမြို့တွင်ရှိသည့် အင်္ဂလိပ်အမျိုးသားတို့ကို လွှတ်မည်အကြောင်း ချိန်းချက်သည့် နေ့ရက် စေ့ရောက်သည့်ကာလ မည်သို့ပြုမည် အကြောင်းများနှင့် ဝန်ကြီး သတိုးမင်းကြီး မဟာမင်းခေါင်ထံ စာရောက်၍ ဝန်ကြီးမင်းက စာပြန်ပေးလိုက်သည်ကား အင်္ဂလိပ်အရေးပိုင် ဗိုလ်ချုပ်တို့နှင့် စာချုပ်ကတိ ထားကြ သည်အတွင်း အင်္ဂလိပ်တို့တပ် ဓညဝတီပြည်က ဟံသာဝတီမြို့ သို့ မော်တင်လမ်း ချီတက်လာသည်ဖြစ်၍ စာချုပ် နှင့် မညီ ကတိပျက်သင့်သောကြောင့် မြန်မာတိုင်းပြည်တွင်ရှိသည့် အင်္ဂလိပ် အမျိုးသားတို့ကို မလွှတ်သာသေး ဖြစ်၍ တိုင်းကြီးပြည်ကြီးချင်း နှစ်တိုင်းနှစ်ပြည် မဟာမိတ်ဖြစ်ကြလျှင် တစ်ဦးပိုင်သည်ကို တစ်ဦးမပိုင်မယူလိုသည့် အစဉ်ထုံးစံ ရှိသည့်အတိုင်း မဟာမိတ်လက္ခဏာ သဘောမှန်ကန်လျှင် မြို့ပြကျေးရွာများနှင့် စရိတ်ကြေးငွေများကို မတောင်းမယူမှ မိတ်လက္ခဏာ ညီကြောင်းနှင့် စာပြန်ပေးလိုက်သည်။</t>
  </si>
  <si>
    <t xml:space="preserve">When the Burmese officials arrived at Malun, they reported the matters discussed with the English commanders to the younger brother, the Commander-in-Chief, and while they were sending a report to the Royal Feet regarding the matters concerning the towns, villages, and war expenses, a letter arrived to Minister Thado Mingyi Maha Minhkaung from the English Commissioner General regarding what would be done when the date arrived for the release of the English nationals held in Ava as previously promised; the Minister sent a reply stating: While the treaty and promises were being made with the English Commissioner General, the English troops marched from Dhanyawaddy to Hanthawaddy via the Mawdin road, which is not in accordance with the treaty and constitutes a breach of promise, so it is not yet possible to release the English nationals held in the Burmese country; if two great countries are to be allies, according to the customary practice where one does not wish to take what belongs to the other, if the friendly intentions are genuine, it is only when there is no demand or taking of money for towns, villages, and expenses that the friendly intentions are consistent, and he sent the reply accordingly.</t>
  </si>
  <si>
    <t xml:space="preserve">vol2_s002938_t02_09a69a7efb82</t>
  </si>
  <si>
    <t xml:space="preserve">British Troops</t>
  </si>
  <si>
    <t xml:space="preserve">BREACH_TREATY_BY</t>
  </si>
  <si>
    <t xml:space="preserve">AdvancingToHanthawaddy</t>
  </si>
  <si>
    <t xml:space="preserve">vol2_s002938_t03_efa7fb98574e</t>
  </si>
  <si>
    <t xml:space="preserve">Minister Thado Mingyi Maha Minhkaung</t>
  </si>
  <si>
    <t xml:space="preserve">REFUSE_RELEASE_OF</t>
  </si>
  <si>
    <t xml:space="preserve">EnglishNationals</t>
  </si>
  <si>
    <t xml:space="preserve">vol2_s002938_t04_537a43276af9</t>
  </si>
  <si>
    <t xml:space="preserve">JUSTIFY_REFUSAL_BY</t>
  </si>
  <si>
    <t xml:space="preserve">BritishBreachOfPromise</t>
  </si>
  <si>
    <t xml:space="preserve">vol2_s002938_t05_5bec96a9f941</t>
  </si>
  <si>
    <t xml:space="preserve">REITERATE_PRINCIPLE_OF</t>
  </si>
  <si>
    <t xml:space="preserve">SovereigntyAndReciprocity</t>
  </si>
  <si>
    <t xml:space="preserve">vol2_s002939</t>
  </si>
  <si>
    <t xml:space="preserve">vol2_s002939_t01_ebdd70b1d8cc</t>
  </si>
  <si>
    <t xml:space="preserve">Royal Court</t>
  </si>
  <si>
    <t xml:space="preserve">DEPLOY_OFFICIAL</t>
  </si>
  <si>
    <t xml:space="preserve">MinisterOfKawlin</t>
  </si>
  <si>
    <t xml:space="preserve">ရွှေဖဝါးတော်အောက်ကလည်း ကောလင်းမြို့စား ဝန်ကြီးမင်းကြီး သီရိမဟာဥဇနာကို လူငါးရာနှင့် လွှတ်၍ ထိုနှစ် တန်ဆောင်မုန်းလပြည့်ကျော် နှစ်ရက်” နေ့ မလွန်မြို့ သို့ ဆိုက်ရောက်၏။</t>
  </si>
  <si>
    <t xml:space="preserve">From the Royal Feet, the Minister of Kawlin, Thiri Maha Uzana, was also sent with five hundred men, and he arrived at Malun on the second day after the full moon of Tazaungmon of that year.</t>
  </si>
  <si>
    <t xml:space="preserve">vol2_s002939_t02_bad3fb3ef262</t>
  </si>
  <si>
    <t xml:space="preserve">DEPLOYED_WITH</t>
  </si>
  <si>
    <t xml:space="preserve">FiveHundredMen</t>
  </si>
  <si>
    <t xml:space="preserve">vol2_s002939_t03_7896af1557f0</t>
  </si>
  <si>
    <t xml:space="preserve">ARRIVE_AT</t>
  </si>
  <si>
    <t xml:space="preserve">Malun</t>
  </si>
  <si>
    <t xml:space="preserve">vol2_s002940</t>
  </si>
  <si>
    <t xml:space="preserve">vol2_s002940_t01_562a1255c81b</t>
  </si>
  <si>
    <t xml:space="preserve">APPOINT_AS_COMMANDER_IN_CHIEF</t>
  </si>
  <si>
    <t xml:space="preserve">PrinceSalin</t>
  </si>
  <si>
    <t xml:space="preserve">စလင်းမြို့စားမင်းသား သတိုးမဟာသုဓမ္မရာဇာကို ဗိုလ်မှူး၊ ဒေဝမင်းခေါင်, မဟာစည်သူတို့ကို စစ်ကဲ၊ မဟာမင်းလှကျော်, နေမျိုးစည်သူ သင်္ခယာတို့ကို နာခံ၊ နေမျိုးမင်းကျော်ရာဇသူ, နေမျိုးဇေယနော်ရထာတို့ကို တပ်ရေးခန့်ထား၍ ထောင့်သုံးရာဘွဲ့အစု အမှုထမ်းပါ လူတစ်ထောင်ကျော် ပေးအပ်ပြီးလျှင် ထိုသက္ကရာဇ် တန်ဆောင်မုန်းလပြည့်ကျော် ဆယ်ရက် နေ့ အမိန့်တော်နှင့် စလင်းမြို့က ရပ်နေရ၏။</t>
  </si>
  <si>
    <t xml:space="preserve">Prince Salin, Thado Maha Sudhamma Raja, was appointed as Commander-in-Chief; Dewa Minhkaung and Maha Sithu were appointed as War Commanders; Maha Minhla Kyaw and Nemyo Sithu Thinkhaya were appointed as Adjutants; Nemyo Minkyaw Yaza Thu and Nemyo Zeya Nawrahta were appointed as Camp Officers; and after being assigned over one thousand service personnel from the 1300-title group, they were ordered to stay at Salin on the tenth day after the full moon of Tazaungmon of that year.</t>
  </si>
  <si>
    <t xml:space="preserve">vol2_s002940_t02_5aba089af7c8</t>
  </si>
  <si>
    <t xml:space="preserve">APPOINT_AS_WAR_COMMANDERS</t>
  </si>
  <si>
    <t xml:space="preserve">DewaMinhkaungAndMahaSithu</t>
  </si>
  <si>
    <t xml:space="preserve">vol2_s002940_t03_51fb54d8b2a9</t>
  </si>
  <si>
    <t xml:space="preserve">APPOINT_AS_ADJUTANTS</t>
  </si>
  <si>
    <t xml:space="preserve">MahaMinhlaKyawAndNemyoSithuThinkhaya</t>
  </si>
  <si>
    <t xml:space="preserve">vol2_s002940_t04_474235909d16</t>
  </si>
  <si>
    <t xml:space="preserve">APPOINT_AS_CAMP_OFFICERS</t>
  </si>
  <si>
    <t xml:space="preserve">NemyoMinkyawYazaThuAndNemyoZeyaNawrahta</t>
  </si>
  <si>
    <t xml:space="preserve">vol2_s002940_t05_5dd9affbe8db</t>
  </si>
  <si>
    <t xml:space="preserve">ASSIGN_SERVICE_PERSONNEL_TO</t>
  </si>
  <si>
    <t xml:space="preserve">vol2_s002940_t06_dc84db759d68</t>
  </si>
  <si>
    <t xml:space="preserve">Salin</t>
  </si>
  <si>
    <t xml:space="preserve">vol2_s002941</t>
  </si>
  <si>
    <t xml:space="preserve">vol2_s002941_t01_b5b00f4caae2</t>
  </si>
  <si>
    <t xml:space="preserve">Bo-hmu Mintha</t>
  </si>
  <si>
    <t xml:space="preserve">ORDERED_MILITARY_STRATEGY_FOR</t>
  </si>
  <si>
    <t xml:space="preserve">Siege of Prome</t>
  </si>
  <si>
    <t xml:space="preserve">နောက် အင်္ဂလိပ်တို့နှင့် စကားအရေးအရာ ပြောဆို ပြီးပြေမည့် လက္ခဏာ မထင်မမြင်သည်နှင့် ညီတော် ဗိုလ်မှူးမင်းသားလည်း ပြည်မြို့ကို ဝန်းရံလုပ်ကြံရမည် ခန့်ထားစည်းကြပ်သည်ကား- ဝန်ကြီး သတိုးမင်းကြီးမဟာ မင်းခေါင်ကို ပါသည့် ဗိုလ်ရဲမက်တို့နှင့် စားတော်ဝန်တပ်ကို ချုပ်အုပ်စေပြီးလျှင် ကြည်းရေဖက်၍ တစ်ကြောင်း, မဟာနေမျိုးကိုလည်း ပါသည့် ဗိုလ်ရဲမက်အမှုထမ်းတို့နှင့် စော်ဘွားမြို့စားတို့တပ်ကို ချုပ်အုပ်စေပြီးလျှင် ကြည်း ကြောင်း, ရသေ့မြို့က ချီတက်တိုက်ခိုက်ရမည်- ခန့်ထားစည်းကြပ် လုပ်ကြံစေရာ ထိုသက္ကရာဇ် နတ်တော်လပ အတွင်း ဝန်ကြီးသတိုးမင်းကြီး မဟာမင်းခေါင်လည်း ချုပ်အုပ်ချီတက်ခဲ့ရင်း ရေတပ်ကို ကြည်းတပ်သို့ ပေါင်း၍ ပြည်မြို့ အထက် ကုန်းတလင်း နတ်ပုတီးမော်က စွဲရပ်ပြီးလျှင် စားတော်ဝန် မင်းလှမင်းခေါင်တပ်ကို ပြည်မြို့ အနောက်ဘက် ဘိုးဦးတောင် စင်္ကြံကျွန်းက ခွဲ၍ စွဲရပ်စေ၏။</t>
  </si>
  <si>
    <t xml:space="preserve">Later, as there was no sign that the matters being discussed with the English would be settled, the younger brother, the Bo-hmu Mintha [Prince Commander], ordered and arranged for Prome City to be surrounded and attacked as follows: Minister Thado Mingyi Maha Minhkaung was to take command of the accompanying soldiers and the royal steward's troop, and by combining land and water forces, to advance and attack from one direction; Maha Ne Myo was to take command of the accompanying soldiers and the Sawbwas' and town governors' troops, and to advance and attack by land from the direction of Yathe City. As he ordered and arranged for the attack, during the month of Natdaw of that year, Minister Thado Mingyi Maha Minhkaung, while advancing in command, combined the naval force with the land force, stationed himself at Kon-ta-lin Nat-pu-ti-maw above Prome City, and separated the royal steward Min-hla Minhkaung's troop to station itself at Bo-u-taung San-kyan-kyun to the west of Prome City.</t>
  </si>
  <si>
    <t xml:space="preserve">vol2_s002941_t02_b0c09442bc7a</t>
  </si>
  <si>
    <t xml:space="preserve">Royal steward's troop and soldiers</t>
  </si>
  <si>
    <t xml:space="preserve">vol2_s002941_t03_a38dbde16c27</t>
  </si>
  <si>
    <t xml:space="preserve">Maha Ne Myo</t>
  </si>
  <si>
    <t xml:space="preserve">Sawbwas and town governors' troops</t>
  </si>
  <si>
    <t xml:space="preserve">vol2_s002941_t04_0a5356dcead4</t>
  </si>
  <si>
    <t xml:space="preserve">STATIONED_TROOPS_AT</t>
  </si>
  <si>
    <t xml:space="preserve">Kon-ta-lin Nat-pu-ti-maw</t>
  </si>
  <si>
    <t xml:space="preserve">vol2_s002941_t05_86f9c476e477</t>
  </si>
  <si>
    <t xml:space="preserve">Royal steward Min-hla Minhkaung</t>
  </si>
  <si>
    <t xml:space="preserve">Bo-u-taung San-kyan-kyun</t>
  </si>
  <si>
    <t xml:space="preserve">vol2_s002942</t>
  </si>
  <si>
    <t xml:space="preserve">vol2_s002942_t01_959be81be327</t>
  </si>
  <si>
    <t xml:space="preserve">Maha Ne Myo and Sawbwas' troop units</t>
  </si>
  <si>
    <t xml:space="preserve">Wet-hti-kan</t>
  </si>
  <si>
    <t xml:space="preserve">မဟာနေမျိုးနှင့် စော်ဘွား မြို့စားတို့ တပ်စုလည်း ပြည်မြို့ အရှေ့ ဝက်ထီးကန်က စွဲရပ်ကြ၏။</t>
  </si>
  <si>
    <t xml:space="preserve">Maha Ne Myo and the Sawbwas' and town governors' troop units also stationed themselves at Wet-hti-kan to the east of Prome City.</t>
  </si>
  <si>
    <t xml:space="preserve">vol2_s002943</t>
  </si>
  <si>
    <t xml:space="preserve">vol2_s002943_t01_d3d74514dd88</t>
  </si>
  <si>
    <t xml:space="preserve">English commissioners</t>
  </si>
  <si>
    <t xml:space="preserve">REJECTED_DIPLOMATIC_PROPOSAL_FROM</t>
  </si>
  <si>
    <t xml:space="preserve">ယင်းသို့ ပြည်မြို့ကို စစ်သုံးကြောင်း ပိတ်ဆို့ထားသည့်အတွင်း အင်္ဂလိပ်အရေးပိုင် ဗိုလ်ချုပ်တို့က ဝန်ကြီး သတိုးမင်းကြီးမဟာမင်းခေါင် ပြန်ပေးလိုက်သည့် စာကို သဘောမတူ၍ ရဲမက်လက်နက်ကိုင်အများ ခန့်ထား စည်းကြပ်ပြီးလျှင် ပြည်မြို့ အထက် ဝက်ထီးကန်တပ်ကို ထိုသက္ကရာဇ် နတ်တော်လာ အတွင်း ချီတက် စတင် တိုက်ခိုက်လာသောကြောင့် ဗိုလ်ချုပ်မဟာနေမျိုးနှင့် စော်ဘွားမြို့စားတို့လည်း တပ်ပါ ဗိုလ်ရဲမက် အပေါင်းတို့ကို အပြင်းကွပ်ညှပ် အုပ်ချုပ်ခုခံတိုက်ခိုက်စေရာ ရဲမက်တော်တို့လည်း မဆုတ်မနစ် ပြောင်းအမြောက် သေနတ်မီးပေါက် မိုးရွာ၏သို့ ပစ်ခတ်တိုက်ခိုက်ကြသည်တွင် အင်္ဂလိပ်ဗိုလ် အကြီးပြုသူ ငါးယောက်နှင့် တပ်ပါ ရဲမက်စစ်သည် အပေါင်းတို့ ပြောင်းအမြောက် သေနတ် ထိခိုက်သေဆုံးကြသည်ကား တံတားခင်း၏သို့ သူကောင်အတင်တင် ရှိသော ဟူ၏။</t>
  </si>
  <si>
    <t xml:space="preserve">While the three military columns were blockading Prome City in this way, the English commissioners and commanders did not agree with the letter that Minister Thado Mingyi Maha Minhkaung had sent back, so they ordered and arranged for many armed soldiers to advance and begin attacking the Wet-hti-kan troop stationed above Prome City during that month of Natdaw. Because of this, General Maha Ne Myo and the Sawbwas and town governors strictly commanded and led all the soldiers in their troops to defend and fight back. The soldiers fought back relentlessly, firing cannons and muskets like falling rain, and it is said that the five English officers in command and all the accompanying soldiers were hit and killed by cannon and musket fire, with corpses piled up like a bridge.</t>
  </si>
  <si>
    <t xml:space="preserve">vol2_s002943_t02_23649d635558</t>
  </si>
  <si>
    <t xml:space="preserve">Wet-hti-kan troop</t>
  </si>
  <si>
    <t xml:space="preserve">vol2_s002943_t03_7d0c5f70c6eb</t>
  </si>
  <si>
    <t xml:space="preserve">Maha Ne Myo and Sawbwas</t>
  </si>
  <si>
    <t xml:space="preserve">COMMANDED_DEFENSE_OF</t>
  </si>
  <si>
    <t xml:space="preserve">vol2_s002943_t04_a01cf5c8669c</t>
  </si>
  <si>
    <t xml:space="preserve">Burmese soldiers</t>
  </si>
  <si>
    <t xml:space="preserve">English officers and soldiers</t>
  </si>
  <si>
    <t xml:space="preserve">vol2_s002944</t>
  </si>
  <si>
    <t xml:space="preserve">vol2_s002944_t01_1beae2522961</t>
  </si>
  <si>
    <t xml:space="preserve">Prome City</t>
  </si>
  <si>
    <t xml:space="preserve">ထိုအခါ အင်္ဂလိပ်ဗိုလ်ရဲမက် စစ်သည်အပေါင်းတို့လည်း တပ်လုံးပျက်ပြား၍ ရုံးမိသမျှ ဗိုလ်ရဲမက် လက်နက်ကိုင်နှင့် ပြည်မြို့ သို့ အပြင်းဆုတ်ခွာ ထွက်ပြေးကြလေ၏။</t>
  </si>
  <si>
    <t xml:space="preserve">At that time, all the English officers and soldiers had their entire troop broken, and they retreated and fled in haste to Prome City with all the armed soldiers they could gather.</t>
  </si>
  <si>
    <t xml:space="preserve">vol2_s002945</t>
  </si>
  <si>
    <t xml:space="preserve">vol2_s002945_t01_c41250008666</t>
  </si>
  <si>
    <t xml:space="preserve">PRESENTED_CAPTURED_RESOURCES_TO</t>
  </si>
  <si>
    <t xml:space="preserve">အမြောက်ကြီးလုံးရေငါး, သေနတ်လက်နက်ရေ သုံးရာ, သုံ့ရကုလား ငါးဆယ်ကျော် ရလိုက်သည်များကို ညီတော် ဗိုလ်မှူးမင်းသားထံ ဆက်သရ၏။</t>
  </si>
  <si>
    <t xml:space="preserve">The five large cannons, three hundred muskets and weapons, and over fifty captured foreigners that were obtained were presented to the younger brother, the Bo-hmu Mintha.</t>
  </si>
  <si>
    <t xml:space="preserve">vol2_s002945_t02_7ca3afd3e98a</t>
  </si>
  <si>
    <t xml:space="preserve">Captured resources</t>
  </si>
  <si>
    <t xml:space="preserve">Cannons, muskets, and prisoners</t>
  </si>
  <si>
    <t xml:space="preserve">vol2_s002946</t>
  </si>
  <si>
    <t xml:space="preserve">vol2_s002946_t01_e45e0e3e9406</t>
  </si>
  <si>
    <t xml:space="preserve">English commanders</t>
  </si>
  <si>
    <t xml:space="preserve">CO-OPTED_LOCAL_INTERMEDIARY</t>
  </si>
  <si>
    <t xml:space="preserve">Nga Tha Ka-to</t>
  </si>
  <si>
    <t xml:space="preserve">ယင်းသို့ အင်္ဂလိပ်တို့တပ် အဆီးအတားမရှိ ကစဉ့်ကလျား ပျက်ပြားဆုတ်ခွာ ထွက်သွားပြီးလျှင် အင်္ဂလိပ် ဗိုလ်မှူးတပ်မှူးတို့က ပြည်မြို့သူကြီးဟောင်းကို ကြေးငွေပေး၍ ဝက်ထီးကန်တွင် စွဲရပ်ရှိသည့် ဗိုလ်ချုပ်မဟာ နေမျိုးတို့တပ်စုကို ပြည်မြို့သို့ ချီတက်လာအောင် ပြောဆိုပါ ဆိုလျှင် ကုလားတို့ မှာထားသည့်အတိုင်း ပြည်မြို့ သူကြီးဟောင်း ငသာကတိုး ပြောဆိုလာ၍ မဟာနေမျိုးတို့တပ်စုလည်း နဝင်းချောင်းသင်ပန်းအရပ်သို့ ချီတက် ချရပ်သည့်အတွင်း အမှတ်မဲ့နေခိုက် အင်္ဂလိပ်တို့က ဇနင်ကာတင်ခေါ် တိုက်သင်္ဘောဗိုလ် ချုပ်အုပ်၍ စစ်သည် အများ ပြည်မြို့က ထွက်လာပြီးလျှင် အပြင်းဝင်၍ တိုက်သည်တွင် မဟာနေမျိုးနှင့် မောက်မယ်စော်ဘွားတို့လည်း ထိုသက္ကရာဇ် နတ်တော်လပြည့်ကျော် ခုနစ်ရက် နေ့ ယင်းတွင်ပင် ဆုံးချေ၏။</t>
  </si>
  <si>
    <t xml:space="preserve">After the English troops had retreated and fled in disarray without any resistance, the English majors and commanders gave money to the former headman of Prome City and told him to persuade General Maha Ne Myo's troop unit, which was stationed at Wet-hti-kan, to advance toward Prome City. As the former headman of Prome City, Nga Tha Ka-to, came and spoke as the foreigners had instructed, Maha Ne Myo's troop unit advanced and stopped at the Nawin Creek Thin-pan area. While they were off guard, the English, led by the commander of a warship called the 'Zaninkatin', brought out many soldiers from Prome City and attacked fiercely, during which Maha Ne Myo and the Sawbwa of Mong Nai died right there on the seventh day after the full moon of Natdaw of that year.</t>
  </si>
  <si>
    <t xml:space="preserve">vol2_s002946_t02_e75d8fbead92</t>
  </si>
  <si>
    <t xml:space="preserve">MANIPULATED_MOVEMENT_OF</t>
  </si>
  <si>
    <t xml:space="preserve">Maha Ne Myo's troop</t>
  </si>
  <si>
    <t xml:space="preserve">vol2_s002946_t03_97d872598b69</t>
  </si>
  <si>
    <t xml:space="preserve">AMBUSHED</t>
  </si>
  <si>
    <t xml:space="preserve">Maha Ne Myo's troop at Nawin Creek</t>
  </si>
  <si>
    <t xml:space="preserve">vol2_s002946_t04_bd7627a26083</t>
  </si>
  <si>
    <t xml:space="preserve">Maha Ne Myo and Sawbwa of Mong Nai</t>
  </si>
  <si>
    <t xml:space="preserve">DIED_IN_BATTLE_AGAINST</t>
  </si>
  <si>
    <t xml:space="preserve">The slain sawbwa is of Maukme/Mawkmai (မောက်မယ်), not Mong Nai (မိုးနဲ). The Maha Ne Myo part is correct.</t>
  </si>
  <si>
    <t xml:space="preserve">Maha Ne Myo and the Maukme sawbwa die in the battle.</t>
  </si>
  <si>
    <t xml:space="preserve">vol2_s002947</t>
  </si>
  <si>
    <t xml:space="preserve">vol2_s002947_t01_6736056b86e3</t>
  </si>
  <si>
    <t xml:space="preserve">Nawin Creek troop</t>
  </si>
  <si>
    <t xml:space="preserve">Command structure</t>
  </si>
  <si>
    <t xml:space="preserve">တပ်ပါ အရာရှိတို့လည်း ဗိုလ် ရဲမက်တို့ကို မအုပ်မစည်းနိုင် နဝင်းချောင်း တပ်ပျက်၍ ဆုတ်ခွာခဲ့ရ၏။</t>
  </si>
  <si>
    <t xml:space="preserve">The officers with the troop could not control the soldiers, and the Nawin Creek troop was broken and had to retreat.</t>
  </si>
  <si>
    <t xml:space="preserve">vol2_s002948</t>
  </si>
  <si>
    <t xml:space="preserve">vol2_s002948_t01_7ed1fafa29ec</t>
  </si>
  <si>
    <t xml:space="preserve">English military forces</t>
  </si>
  <si>
    <t xml:space="preserve">Minister Thado Mingyi Maha Minhkaung's troop</t>
  </si>
  <si>
    <t xml:space="preserve">အင်္ဂလိပ် ဗိုလ်မှူးတပ်မှူး ရဲမက်စစ်သည် အပေါင်းတို့လည်း နဝင်းချောင်းတပ် ဆုတ်ခွာလျှင် ထပ်မံအား သစ်၍ ကုန်းတလင်း နတ်ပုတီးမော်တွင် စွဲရပ်သည့် ဝန်ကြီး သတိုးမင်းကြီး မဟာမင်းခေါင်တပ်, ဘိုးဦးတောင် စင်္ကြံကျွန်းတွင် စွဲရပ်သည့် စားတော်ဝန်တပ်များကို တိုက်ခိုက်လာသည်တွင် ဗိုလ်ချုပ်ဝန်ကြီး သတိုးမင်းကြီး မဟာမင်းခေါင်နှင့် တပ်ဗိုလ်ရဲမက် လက်နက်ကိုင် အမှုထမ်းတို့ ပြောင်း အမြောက်သေနတ် ဖြော်ဖြော်ပစ်လွှတ် ၍ အင်္ဂလိပ်စစ်သည် ရဲမက်တို့နှင့် ဆိုင်ပြိုင်တိုက်ခိုက်ကြရာ မနည်းကြာ တိုက်ခိုက်မိကြလျှင် အင်္ဂလိပ်ဗိုလ် အကြီးပြုသူ ခုနစ်, ဂေါ်ရာ စစ်ပိုင်အမှုထမ်း လူငါးဆယ်ကျော်ခန့် သေလေ၏။</t>
  </si>
  <si>
    <t xml:space="preserve">After the Nawin Creek troop retreated, the English majors, commanders, and all the soldiers gathered their strength again and attacked the troop of Minister Thado Mingyi Maha Minhkaung, which was stationed at Kon-ta-lin Nat-pu-ti-maw, and the royal steward's troop, which was stationed at Bo-u-taung San-kyan-kyun. General Minister Thado Mingyi Maha Minhkaung and the troop commanders and armed soldiers fired cannons and muskets continuously and fought against the English soldiers. After fighting for some time, seven English officers in command and over fifty Ghoorka soldiers and service personnel died.</t>
  </si>
  <si>
    <t xml:space="preserve">vol2_s002948_t02_c388133b76b5</t>
  </si>
  <si>
    <t xml:space="preserve">Royal steward's troop</t>
  </si>
  <si>
    <t xml:space="preserve">vol2_s002948_t03_53677dd31e89</t>
  </si>
  <si>
    <t xml:space="preserve">vol2_s002948_t04_0e28af627c66</t>
  </si>
  <si>
    <t xml:space="preserve">seven officers and fifty Ghoorka soldiers</t>
  </si>
  <si>
    <t xml:space="preserve">The source's ဂေါ်ရာ denotes European/white soldiers, not Ghoorka/Gurkha soldiers. The casualty event and approximate count are otherwise supported.</t>
  </si>
  <si>
    <t xml:space="preserve">English forces lose seven officers and about fifty-plus European (gora) soldiers.</t>
  </si>
  <si>
    <t xml:space="preserve">vol2_s002965</t>
  </si>
  <si>
    <t xml:space="preserve">vol2_s002965_t01_2c72ef584899</t>
  </si>
  <si>
    <t xml:space="preserve">military engagement</t>
  </si>
  <si>
    <t xml:space="preserve">သေလေ သည်လည်း များ၏။</t>
  </si>
  <si>
    <t xml:space="preserve">Many also died.</t>
  </si>
  <si>
    <t xml:space="preserve">vol2_s002966</t>
  </si>
  <si>
    <t xml:space="preserve">vol2_s002966_t01_baa1d313d25f</t>
  </si>
  <si>
    <t xml:space="preserve">MOBILIZED_AUXILIARY_FORCES</t>
  </si>
  <si>
    <t xml:space="preserve">Gorkha soldiers</t>
  </si>
  <si>
    <t xml:space="preserve">The source says ဂေါ်ရာ (European/white soldiers), not Gorkha; labeling them auxiliary Gorkha forces changes the troop identity.</t>
  </si>
  <si>
    <t xml:space="preserve">English commanders assemble their armed European/gora troops.</t>
  </si>
  <si>
    <t xml:space="preserve">နောက် လေးရက်ကျော် ငါးရက်ခန့်ရှိလျှင် အင်္ဂလိပ်ဗိုလ်မှူးတပ်မှူးတို့က ရေကြောင်း ကြည်းကြောင်း ချီတက်လာခဲ့သမျှ တပ်ပါ ဂေါ်ရာစစ်ပိုင် လက်နက်ကိုင်တို့ကို စုရုံးစည်းကြပ်၍ ဗုံးအမြောက် အများ ထပ်မနား ပစ်လွှတ်ပြီးလျှင် အင်ကြီးအားကြီး ဖိစီးတိုက်ခိုက်ပြန်သည်တွင် ရဲမက်တော်တို့ မခံမရပ်နိုင်၊ လောကနန္ဒာ ဘုရားတွင် စွဲရပ်သည့်တပ် ပျက်ချေ၍ ညီတော် မိုးနဲဗိုလ်မှူး ဒွါရာဝတီမြို့စား မင်းသား သီရိမဟာဓမ္မရာဇာနှင့် ဗိုလ်ချုပ်ဝန်ကြီး သတိုးမင်းကြီးမဟာမင်းခေါင်, ကောလင်းမြို့စား ဝန်ကြီး မင်းကြီးသီရိမဟာဥဇနာတို့လည်း ဆင်မြင်းရဲမက် လက်နက်ကိုင် အမှုထမ်း အလုံးအရင်းနှင့်တကွ တလုပ်မြို့ စီရင်စု ဆီမီးခုံရွာသို့ ဆုတ်ခွာရပ်နေကြ၏။</t>
  </si>
  <si>
    <t xml:space="preserve">After more than four days, about five days later, the English commanders and leaders gathered and organized all the Gorkha armed forces that had marched by water and land, and after continuously firing many bombs and cannons, they pressed and attacked with great force, which the royal soldiers could not withstand; the unit stationed at Lokananda Pagoda was destroyed, and the younger brother, the Moe Hne Bo Hmu, the Prince of Dvaravati, Siri Maha Dhamma Raja, along with the Commander-in-Chief Minister Thado Mingyi Maha Minhgaung and the Minister of Kawlin, Mingyi Siri Maha Uzana, retreated and stationed themselves at Seemikhon Village in the Talok Township jurisdiction, along with their elephants, horses, soldiers, and armed personnel.</t>
  </si>
  <si>
    <t xml:space="preserve">vol2_s002966_t02_e009b76a6627</t>
  </si>
  <si>
    <t xml:space="preserve">FAILED_TO_DEFEND</t>
  </si>
  <si>
    <t xml:space="preserve">Loka Nanda Pagoda</t>
  </si>
  <si>
    <t xml:space="preserve">vol2_s002966_t03_1c257f159ca3</t>
  </si>
  <si>
    <t xml:space="preserve">Prince of Dvaravati</t>
  </si>
  <si>
    <t xml:space="preserve">Seemikhon Village</t>
  </si>
  <si>
    <t xml:space="preserve">vol2_s002966_t04_294b8aa8e0ef</t>
  </si>
  <si>
    <t xml:space="preserve">Thado Mingyi Maha Minhgaung</t>
  </si>
  <si>
    <t xml:space="preserve">vol2_s002966_t05_4c3bc753589b</t>
  </si>
  <si>
    <t xml:space="preserve">Mingyi Siri Maha Uzana</t>
  </si>
  <si>
    <t xml:space="preserve">vol2_s002967</t>
  </si>
  <si>
    <t xml:space="preserve">vol2_s002967_t01_ac3146a2f926</t>
  </si>
  <si>
    <t xml:space="preserve">English_commanders</t>
  </si>
  <si>
    <t xml:space="preserve">RECOGNIZED_LIMITATION_OF</t>
  </si>
  <si>
    <t xml:space="preserve">military_occupation</t>
  </si>
  <si>
    <t xml:space="preserve">ပုဂံမြို့တွင် ဝန်ထောက် မင်းကျော်ဇေယသူရတပ် ပျက်လျှင် အင်္ဂလိပ်တို့ ကြည်းတပ်ရေတပ် မြစ်ဆုံအထက် ရန္တပိုရွာဆိပ်ရောက် ဆန်တက်ပြီးလျှင် အင်္ဂလိပ် ဗိုလ်မှူးဗိုလ်ချုပ်တို့ တိုင်ပင် ပြောဆိုကြသည်ကား ... ယခု မြန်မာနိုင်ငံကို စစ်သည် ဗိုလ်ပါ ရဲမက်အများနှင့် ချီတက်တိုက်ခိုက်ရာ ဟံသာဝတီ ရန်ကုန်မြို့က မြစ်ဆုံအထက် ရန္တပိုရွာရောက်အောင် မြစ်စဉ်တစ်လျှောက် မြို့ကျေးရွာများကို ငါတို့က တိုက်ခိုက်ရယူသည် ဆိုသော်လည်း မြန်မာလူမျိုးတို့ကို သိမ်းသွင်းမရ၊ မြို့ကျေးရွာနေ မြေမျှသာ ရှိချေသည်၊ ရှေ့သို့ကို သည်ကဲ့သို့ မြို့ကျေးရွာများကို ချီတက်တိုက်ခိုက် သိမ်းသွင်းမရ ရှိချေကလည်း ဗိုလ်ရဲမက်အများ နွမ်းရိပင်ပန်း သေဆုံးပျောက်ပျက်၍ ကုန်ခန်းကာ သာ အကျိုးမရှိချေ၊ တစ်ကြောင်းလည်း ငါတို့ဗိုလ်ပါရဲမက်ကား ဧည့်သည်, မြန်မာတို့မှာမူကား အိမ်နေ ဖြစ်ချေသည်၊ မြန်မာအမျိုးသားတို့ကို သိမ်းသွင်းရမည့် အရေးလည်း အလွန်ခဲယဉ်းချေသည်၊ ထပ်မံ၍ အားသစ် တိုက်ခိုက်ပြန် လျှင်လည်း အရေးမသာ၍ ဆုတ်ခွာရလျှင် သူ ့တိုင်းသူ ပြည်အလယ် ဖြစ်၍ ဗိုလ်ရဲမက်တို့ကို သိမ်းရုံးဆုတ်ခွာရန် အရေး သာခက်တော့မည်၊ ယင်းသို့ဖြစ်၍ အထက်ပြည်မြို့ ညောင်ပင်ဆိပ်, မလွန်မြို့များတွင် ပြောဆိုရင်း စကား အတိုင်း နှစ်တိုင်းနှစ်ပြည် မိတ်လက္ခဏာမပျက် စစ်တိုက်ရာ ကျကုန်သမျှ စရိတ်တွင် တစ်စိတ်တစ်ဝက်မျှ တောင်းခံပြီး လျှင် တပ်ပါ ဗိုလ်ရဲမက်တို့ကို နုတ်သိမ်းပြန်သွားမှ သင့်မည် ထင်သည်ဟု ပြောဆိုတိုင်ပင်ကြပြီးလျှင် ပြည်မြို့ မလွန်မြို့ တပ်တော်များသို့ စကားအပြောအဆို လာရောက်သူ သင်္ဘောသူကြီး သာရကျစ်ကို ဗိုလ်မှူးမင်းသားနှင့် ဝန်ကြီးမင်းတို့ကို တိုင်တန်း ပြောဆိုစေပြီးလျှင် ရွှေဖဝါးတော်အောက် ဝန်ကြီး အတွင်းဝန် မှူးမတ်အရာရှိတို့ထံ စေလွှတ်၍ အထက်ပြည်မြို့ ညောင်ပင်ဆိပ်, မလွန်မြို့ တပ်တော်များတွင် ပြောဆိုရင်း စကားအတိုင်း ပြေကြေ လိုကြောင်းနှင့် လျှောက်ထားပြောဆိုလာရာ ဝန်ကြီး အတွင်းဝန် မှူးမတ်အရာရှိတို့က သင်္ဘောသူကြီး သာကျစ် ပြောဆိုသော စကားကို ရွှေနားတော်ကြား လျှောက်ထားသည်တွင် ဆဒ္ဒန်ဆင်မင်းသခင် ဘဝရှင် မင်းတရားကြီးလည်း ဆရာတော် သံဃာတော် မင်းညီ မင်းသား မှူးတော်မတ်တော်တို့ကို စည်းဝေးညှိုညွတ် တိုင်ပင်တော်မူရာ ဆရာတော် သံဃာတော်တို့က ဘဝရှင် မဟာဓမ္မရာဇ် တရားမင်းမြတ်သည် ရှေးဖြည့်ဆည်းပူးတော်မူအပ်သော ပါရမီ အဆောက် အအုံတော်ကြောင့် မြတ်သောမင်းအဖြစ်သို့ ရောက်တော်မူလျှင် မင်းကျင့်တရား ဆယ်ပါး, သင်္ဂဟတရားလေးပါး, အပရိဟာနိယတရား ခုနစ်ပါး စသည်များကို ဖြည့်ကျင့်တော်မူလျက် သာသနာတော်မြတ်စီးပွား, ပြည်သူသတ္တဝါ အပေါင်းတို့ အကျိုးစီးပွားကို ရွက်ဆောင်တော်မူသည့် သာသနာ့ဒါယကာ သာသနာပြု မင်းကောင်းမင်းမြတ် ဖြစ်ပါသည်၊ အင်္ဂလိပ် အမျိုးသားတို့မှာ သာသနာတော်ကို အလေးအမြတ် မပြု၊ သာသနာတော်၌ မသက်ဝင် မကြည်ညိုသော အမျိုးသားဖြစ်သည်၊ ယင်းသို့ဖြစ်၍ နှစ်ပြည်ထောင် ရန်စစ် ပြေငြိမ်းလိုကြောင်းများကို တောင်းပန် တင်လျှောက်သော အရာသည် မဟာဓမ္မရာဇ် တရားမင်းမြတ်အား တော်မှန်ဖြောင့်မတ်စွာ သစ္စာတရားကို ဖြစ်စေခြင်း အကျိုးအကြောင်း ဟုတ်သည် မဟုတ်သည်၌ အဆင်အခြင် ဝိစာရဏပညာတော်နှင့် ယှဉ်ခြင်း၊ သာသနာတော်မြတ် အကျိုးစီးပွား, ပြည်သူသတ္တဝါ အပေါင်းတို့ အကျိုးစီးပွား များမည့်အကြောင်းကို မပြတ် လုံ့လပြုတော်မူခြင်း၊ သူမတူသော ပေးကမ်းစွန့်ကြဲခြင်း ဟူသော ရန်အောင်ကြောင်း တရားလေးပါးတွင် ပြည်သူ သတ္တဝါအပေါင်းတို့အား သနားငဲ့ကွက်တော်မူ၍ နှစ်တိုင်းနှစ်ပြည် ရန်စစ်ပြေငြိမ်းသဖြင့် မဟာမိတ်အဖြစ် သင့်တင့် ညီညွတ်အောင် နှလုံးသွင်း တော်မူခြင်းသည် ဘုရားစသော သူတော်ကောင်းတို့ ချီးမွမ်းအပ်သော အကျိုးတရား များစွာ ပြည့်စုံရာသော အကြောင်းဖြစ်သည်ဟု မိန့်ဆိုကြသည်။</t>
  </si>
  <si>
    <t xml:space="preserve">When the unit of the Wundauk Min Kyaw Zeya Thu Ra in Bagan was destroyed, the English land and naval forces marched up to the Yandabo village landing above the confluence, and the English commanders and generals consulted and said: 'Now, as we march and attack the Burmese country with many soldiers and troops, although we say that we have attacked and taken the towns and villages along the river from Hanthawaddy Yangon to Yandabo village above the confluence, we cannot win over the Burmese people; there is only the land where the towns and villages are located. If we continue to march, attack, and fail to win over the towns and villages like this, the many soldiers will become exhausted, die, disappear, and be depleted, which is of no benefit. Furthermore, our soldiers are guests, while the Burmese are the residents; it is also very difficult to win over the Burmese nationals. If we attack again with renewed strength and fail, and have to retreat, it will be in the middle of their country and territory, and it will be very difficult to gather the soldiers and retreat. Therefore, it would be appropriate to demand half of the expenses incurred in the war, as discussed in the upper country towns of Nyaungbinseik and Malun, without breaking the signs of friendship between the two countries, and then withdraw the soldiers and return,' they said and consulted. After that, they had the ship captain, Thara Kyit, who came to discuss matters at the royal units in Pyi and Malun, report and speak to the Prince Commander and the Ministers, and sent him to the Ministers, Secretaries, and officials under the royal feet to request and state that they wished for a settlement according to the words discussed at the royal units in the upper country towns of Nyaungbinseik and Malun. When the Ministers, Secretaries, and officials reported the words spoken by the ship captain Thara Kyit to the royal ears, the Lord of the Saddan Elephant, the Living King, gathered and consulted with the Sayadaws, the Sangha, the princes, and the ministers. The Sayadaws and the Sangha said: 'The Living King, the Great Dhamma Raja, the righteous king, is a good and noble king who is a patron of the religion and a promoter of the religion, who carries out the benefits of the noble religion and the benefits of all the people, having fulfilled the ten royal virtues, the four virtues of assistance, and the seven virtues of non-decline upon reaching the noble kingship due to the accumulation of merits fulfilled in the past. The English people are a people who do not respect the religion and do not believe in or revere the religion. Therefore, the matter of requesting and submitting that they wish for the war between the two countries to be settled is a matter that causes the Great Dhamma Raja, the righteous king, to have true and upright faith; it is the application of wisdom in considering whether the reasons are true or not; it is the constant effort for the benefits of the noble religion and the benefits of all the people; and it is the act of compassion for all the people among the four virtues of victory over enemies, which is the act of considering and intending for the two countries to be in harmony and alliance by settling the war, which is a cause filled with many beneficial results praised by the Buddha and other good people,' they said.</t>
  </si>
  <si>
    <t xml:space="preserve">vol2_s002967_t02_9c200599b058</t>
  </si>
  <si>
    <t xml:space="preserve">IDENTIFIED_STRATEGIC_VULNERABILITY</t>
  </si>
  <si>
    <t xml:space="preserve">depletion_of_troops</t>
  </si>
  <si>
    <t xml:space="preserve">vol2_s002967_t03_d04da4537db2</t>
  </si>
  <si>
    <t xml:space="preserve">PROPOSED_DIPLOMATIC_SETTLEMENT</t>
  </si>
  <si>
    <t xml:space="preserve">Burmese_court</t>
  </si>
  <si>
    <t xml:space="preserve">vol2_s002967_t04_fbb0a06d88c8</t>
  </si>
  <si>
    <t xml:space="preserve">SENT_ENVOY</t>
  </si>
  <si>
    <t xml:space="preserve">Thara_Kyit</t>
  </si>
  <si>
    <t xml:space="preserve">vol2_s002967_t05_1cd48adc1e5d</t>
  </si>
  <si>
    <t xml:space="preserve">DELIVERED_PROPOSAL_TO</t>
  </si>
  <si>
    <t xml:space="preserve">Burmese_ministers</t>
  </si>
  <si>
    <t xml:space="preserve">vol2_s002967_t06_56b742bcfcbb</t>
  </si>
  <si>
    <t xml:space="preserve">REPORTED_PROPOSAL_TO</t>
  </si>
  <si>
    <t xml:space="preserve">vol2_s002967_t07_8cc5968b5958</t>
  </si>
  <si>
    <t xml:space="preserve">CONSULTED_WITH</t>
  </si>
  <si>
    <t xml:space="preserve">Sangha_and_officials</t>
  </si>
  <si>
    <t xml:space="preserve">vol2_s002967_t08_5e8ce856ccec</t>
  </si>
  <si>
    <t xml:space="preserve">LEGITIMIZED_KING_AS</t>
  </si>
  <si>
    <t xml:space="preserve">Patron_of_Sasana</t>
  </si>
  <si>
    <t xml:space="preserve">vol2_s002967_t09_b8e781946991</t>
  </si>
  <si>
    <t xml:space="preserve">ADVISED_KING_TO</t>
  </si>
  <si>
    <t xml:space="preserve">pursue_peaceful_alliance</t>
  </si>
  <si>
    <t xml:space="preserve">vol2_s002967_t10_f55fbc75d94e</t>
  </si>
  <si>
    <t xml:space="preserve">POSSESSED_VIRTUE_OF</t>
  </si>
  <si>
    <t xml:space="preserve">Dana_upaya</t>
  </si>
  <si>
    <t xml:space="preserve">vol2_s003033</t>
  </si>
  <si>
    <t xml:space="preserve">vol2_s003033_t01_52218cc6ac4c</t>
  </si>
  <si>
    <t xml:space="preserve">Maha Minhla Kyaw Khaung</t>
  </si>
  <si>
    <t xml:space="preserve">5 military units</t>
  </si>
  <si>
    <t xml:space="preserve">မဟာမင်းလှကျော်ခေါင် တစ်တပ်၊ မင်းခေါင်ရဲထင်ကျော် တစ်တပ်၊ မင်းထင်သီဟရဲခေါင် တစ်တပ်၊ မင်းထင်ရဲခေါင် တစ်တပ်၊ မင်းလှတန်ဆောင် တစ်တပ်၊ တပ်ပေါင်း ငါးတပ်၊ ရဲမက်အမှုထမ်းလူ နှစ်ထောင့်ခြောက်ရာ နှင့် မဟာမင်းလှကျော်ခေါင် တချုပ်။</t>
  </si>
  <si>
    <t xml:space="preserve">One unit of Maha Minhla Kyaw Khaung, one unit of Min Khaung Ye Htin Kyaw, one unit of Min Htin Thiha Ye Khaung, one unit of Min Htin Ye Khaung, one unit of Minhla Tansuang, totaling five units, with two thousand six hundred service personnel, under the command of Maha Minhla Kyaw Khaung.</t>
  </si>
  <si>
    <t xml:space="preserve">vol2_s003034</t>
  </si>
  <si>
    <t xml:space="preserve">vol2_s003034_t01_70809f775dfe</t>
  </si>
  <si>
    <t xml:space="preserve">Maha Min Khaung Kyaw</t>
  </si>
  <si>
    <t xml:space="preserve">6 military units</t>
  </si>
  <si>
    <t xml:space="preserve">မဟာမင်းခေါင်ကျော် တစ်တပ်၊ မဟာနန္ဒရာဇာ တစ်တပ်၊ နေမျိုးရဲခေါင်ကျော်ထင် တစ်တပ်၊ မင်းကျော် ရဲခေါင် တစ်တပ်၊ ဥဒိန်ဂါမဏိကျော်ထင် တစ်တပ်၊ မင်းခေါင်ကျော်ထင် တစ်တပ်၊ တပ်ပေါင်းခြောက်တပ်၊ ရဲမက် အမှုထမ်း လူသုံးထောင်ကျော်နှင့် မဟာမင်းခေါင်ကျော် တချုပ်။</t>
  </si>
  <si>
    <t xml:space="preserve">One unit of Maha Min Khaung Kyaw, one unit of Maha Nanda Raza, one unit of Ne Myo Ye Khaung Kyaw Htin, one unit of Min Kyaw Ye Khaung, one unit of Udein Gamani Kyaw Htin, one unit of Min Khaung Kyaw Htin, totaling six units, with over three thousand service personnel, under the command of Maha Min Khaung Kyaw.</t>
  </si>
  <si>
    <t xml:space="preserve">vol2_s003035</t>
  </si>
  <si>
    <t xml:space="preserve">vol2_s003035_t01_aefe774e92e9</t>
  </si>
  <si>
    <t xml:space="preserve">Maha Minhla Thurein</t>
  </si>
  <si>
    <t xml:space="preserve">7 military units</t>
  </si>
  <si>
    <t xml:space="preserve">မဟာမင်းလှသူရိန် တစ်တပ်၊ မင်းခေါင်ရဲကျော် တစ်တပ်၊ မင်းကျော်အာကာ တစ်တပ်၊ မဟာသူရ တစ် တပ်၊ မင်းထင်တန်ဆောင် တစ်တပ်၊ နေမျိုးရဲခေါင် တစ်တပ်၊ နေမျိုးသူရကျော်ခေါင် တစ်တပ်၊ ပေါင်း ခုနစ်တပ်၊ ရဲမက်အမှုထမ်း လူသုံးထောင့်ငါးရာကျော်နှင့် မဟာမင်းလှသူရိန် တချုပ်။</t>
  </si>
  <si>
    <t xml:space="preserve">One unit of Maha Minhla Thurein, one unit of Min Khaung Ye Kyaw, one unit of Min Kyaw Arkar, one unit of Maha Thura, one unit of Min Htin Tansuang, one unit of Ne Myo Ye Khaung, one unit of Ne Myo Thura Kyaw Khaung, totaling seven units, with over three thousand five hundred service personnel, under the command of Maha Minhla Thurein.</t>
  </si>
  <si>
    <t xml:space="preserve">vol2_s003036</t>
  </si>
  <si>
    <t xml:space="preserve">vol2_s003036_t01_2512190204ba</t>
  </si>
  <si>
    <t xml:space="preserve">Maha Minhla Min Khaung</t>
  </si>
  <si>
    <t xml:space="preserve">မဟာမင်းလှမင်းခေါင် တစ်တပ်၊ အိန္ဒမင်းခေါင် တစ်တပ်၊ မင်းခေါင်သူရိန် တစ်တပ်၊ မင်းထင်မင်းခေါင် ကျော် တစ်တပ်၊ နေမျိုးမင်းခေါင်ကျော်ထင် တစ်တပ်၊ နေမျိုးသီဟမင်းခေါင် တစ်တပ်၊ အဂ္ဂသေနကျော်ခေါင် တစ်တပ်၊ တပ်ပေါင်း ခုနစ်တပ်၊ ရဲမက်အမှုထမ်း လူသုံးထောင်ကျော်နှင့် မဟာမင်းလှမင်းခေါင် တချုပ်၊ စုစု တပ်ပေါင်း သုံးဆယ်ကျော်များကို ဝန်ကြီး မင်းကြီးကျော်ထင်ကို ဗိုလ်မှူးခန့်ထားပြီးလျှင် ထိုသက္ကရာဇ် ပြာသိုလဆန်း သုံးရက်- နေ့က စ၍ တပ်စဉ်မပြတ် ဟံသာဝတီကြောင်း ချီထွက်ကြရ၏။</t>
  </si>
  <si>
    <t xml:space="preserve">One unit of Maha Minhla Min Khaung, one unit of Inda Min Khaung, one unit of Min Khaung Thurein, one unit of Min Htin Min Khaung Kyaw, one unit of Ne Myo Min Khaung Kyaw Htin, one unit of Ne Myo Thiha Min Khaung, one unit of Aggasena Kyaw Khaung, totaling seven units, with over three thousand service personnel, under the command of Maha Minhla Min Khaung; having appointed Minister Mingyi Kyaw Htin as the commander-in-chief of the total of over thirty units, they were to march out toward Hanthawaddy in continuous order starting from the third day of the waxing moon of Pyatho of that year.</t>
  </si>
  <si>
    <t xml:space="preserve">vol2_s003036_t02_7ab6d1dd42a3</t>
  </si>
  <si>
    <t xml:space="preserve">APPOINTED_COMMANDER_IN_CHIEF</t>
  </si>
  <si>
    <t xml:space="preserve">Mingyi Kyaw Htin</t>
  </si>
  <si>
    <t xml:space="preserve">vol2_s003036_t03_f8eeefbd67de</t>
  </si>
  <si>
    <t xml:space="preserve">30+ military units</t>
  </si>
  <si>
    <t xml:space="preserve">vol2_s003037</t>
  </si>
  <si>
    <t xml:space="preserve">vol2_s003037_t01_90a306ea3ba7</t>
  </si>
  <si>
    <t xml:space="preserve">Hanthawaddy Minister</t>
  </si>
  <si>
    <t xml:space="preserve">REPAIRED_DEFENSIVE_INFRASTRUCTURE</t>
  </si>
  <si>
    <t xml:space="preserve">wooden stockades</t>
  </si>
  <si>
    <t xml:space="preserve">ဟံသာဝတီဝန်ကြီး မင်းကြီးမဟာမင်းလှရာဇာလည်း ဟံသာဝတီ ရန်ကုန်မြို့ ဝန်းကျင်ပတ်လည် ယိုယွင်း ပျက်ပြားရှိသည့် သစ်တပ်နှင့် ပစ္စင်ရင်လျှောက်များကို ပြင်ဆင်လုပ်ဆောင်၍ တပ်ပြင် သမင်ချို မြင်းတား ဆူးငြောင့်ချထားစေပြီးလျှင် မြို့တွင်းမြို့ပြင် အိမ်ရာ မသန့်မရှင်း ရှိသည်များကို သုတ်သင် သန့်ရှင်း သိမ်းဆည်းစေ ပြီးမှ မြို့အရှေ့တောင်မြစ်ဆိပ် ခရာတာတွင် အမြောက် တစ်ဆယ်ကျော်, မြို့တွင်းမှာလည်း အမြောက်လုံးရေ နှစ်များကို ဆေးကျည်စေ့အစုံနှင့် အသင့် ပြင်ဆင်ထားစေ၏။</t>
  </si>
  <si>
    <t xml:space="preserve">Hanthawaddy Minister Mingyi Maha Minhla Raza also repaired and worked on the wooden stockades and defensive breastworks that were in a state of disrepair around the Hanthawaddy Yangon city, had deer-antler spikes and horse-deterrent thorns placed outside the stockades, and after having the houses and areas inside and outside the city cleaned, cleared, and tidied, he had over ten cannons prepared and ready with full sets of gunpowder and shot at the Khara jetty at the southeast river landing of the city, and also had many cannons prepared and ready inside the city.</t>
  </si>
  <si>
    <t xml:space="preserve">vol2_s003037_t02_8ddf51204f45</t>
  </si>
  <si>
    <t xml:space="preserve">INSTALLED_DEFENSIVE_OBSTACLES</t>
  </si>
  <si>
    <t xml:space="preserve">deer-antler spikes and thorns</t>
  </si>
  <si>
    <t xml:space="preserve">vol2_s003037_t03_beafad2f1fe2</t>
  </si>
  <si>
    <t xml:space="preserve">PREPARED_ARTILLERY</t>
  </si>
  <si>
    <t xml:space="preserve">10+ cannons</t>
  </si>
  <si>
    <t xml:space="preserve">vol2_s003038</t>
  </si>
  <si>
    <t xml:space="preserve">vol2_s003038_t01_abeebd3c41f2</t>
  </si>
  <si>
    <t xml:space="preserve">Martaban Minister</t>
  </si>
  <si>
    <t xml:space="preserve">SENT_MILITARY_REINFORCEMENTS</t>
  </si>
  <si>
    <t xml:space="preserve">Tax Minister Ne Myo Ye Htin Nawrahta</t>
  </si>
  <si>
    <t xml:space="preserve">၎င်းလပြည့်ကျော် တစ်ဆယ့်သုံးရက်နေ့ မုတ္တမမြို့ ဝန် မင်းကြီးမဟာဥဇနာက ခန့်ထား ချီတက်လာစေသည့် အခွန်ဝန် နေမျိုးရဲထင်နော်ရထာနှင့် အမှုထမ်း လူတစ်ထောင် ဆိုက်ရောက်လာသည်ကို ရန်ကုန်မြို့ မြောက်မျက်နှာ အသုတ်ဘုရားကုန်းတွင် ချထား စွဲရပ်နေစေ၏။</t>
  </si>
  <si>
    <t xml:space="preserve">On the thirteenth day of the waning moon of the same month, Tax Minister Ne Myo Ye Htin Nawrahta, who had been appointed and sent by Martaban City Minister Mingyi Maha Uzana, arrived with one thousand service personnel, and he was stationed and held at the Athok Pagoda hill on the north side of Yangon city.</t>
  </si>
  <si>
    <t xml:space="preserve">vol2_s003038_t02_3e894e67ab27</t>
  </si>
  <si>
    <t xml:space="preserve">1,000 service personnel</t>
  </si>
  <si>
    <t xml:space="preserve">vol2_s003038_t03_46e9760ed9c1</t>
  </si>
  <si>
    <t xml:space="preserve">STATIONED_REINFORCEMENTS</t>
  </si>
  <si>
    <t xml:space="preserve">Athok Pagoda hill</t>
  </si>
  <si>
    <t xml:space="preserve">vol2_s003039</t>
  </si>
  <si>
    <t xml:space="preserve">vol2_s003039_t01_a4124f9718eb</t>
  </si>
  <si>
    <t xml:space="preserve">Hanthawaddy Wungyi Mingyi Maha Minhla Raza</t>
  </si>
  <si>
    <t xml:space="preserve">ORDERED_MOBILIZATION_OF</t>
  </si>
  <si>
    <t xml:space="preserve">Pegu City Sitke Ne Myo Thiri Ye Khaung</t>
  </si>
  <si>
    <t xml:space="preserve">ပဲခူးမြို့တွင်လည်း ဟံသာဝတီမြို့ စစ်ကဲနေမျိုးသီရိရဲခေါင်နှင့် မြို့သူကြီး ရဲခေါင်သီဟတို့ကို ဟံသာဝတီ မြို့နယ်တွင်း ကျေးရွာများက လူငါးရာ, သေနတ် နှစ်ရာ, စည်းကြပ် ပေးအပ် အုပ်ထိန်း စောင့်နေစေပြီးလျှင် အရေးကိုထောက်၍ ပြည်အောက်တစ်လျှောက် မြို့ကျေးရွာများမှာ အစောင့်အနေ လက်နက် လူသူ အတော်အသင့် စည်းကြပ် ခန့်ထားခဲ့သည့်ပြင် အမှုထမ်း လက်နက်ကိုင် လူနှစ်ထောင်ကျော်တန်သည်, သုံးထောင်တန်သည် လာရောက်ရမည်- စေလွှတ် ခန့်ထား နှိုးဆော်စေ၍ တောင်ငူမြို့ ကျောက်မော်မြို့များကလည်း သင့်ရာ အရာရှိတို့ ကိုယ်နှင့် အမှုထမ်း လက်နက်ကိုင် လူခုနစ်ရာ စည်းကြပ်ပြီးလျှင် ရန်ကုန်မြို့ ရောက် ချီတက်လာရမည် ခန့်ထားဆင့်ဆို စေပြီးမှ ထိုသက္ကရာဇ် နတ်တော်လပြည့်ကျော် တစ်ရက် နေ့ ဟံသာဝတီဝန်ကြီး မင်းကြီးမဟာမင်းလှရာဇာက မှူးမတ်အရာရှိ ဗိုလ်ရဲမက်တို့ကို ပြောဆိုသည်မှာ- ယခု ငစပ်ငယ်သည် ရန်ကုန်မြို့သို့ အလျင်တစ်ကြိမ် လာရောက် တိုက်ခိုက် ဆုတ်သွားသည်၊ နောက် မလာမရောက် မချဉ်းမကပ်ဝံ့၊ သန်လျင်မြို့တွင် တပ်မြေကတုတ် အဖြီးအခိုင် လုပ်ဆောင်၍ တိုးမုတ်, ဖျာပုံကျွန်းနေ မွန် လူခြောက်ရာကျော် ခုနစ်ရာခန့်နှင့် စုရုံးစည်းကြပ် ရပ်ခံပြီးလျှင် ဒလမြို့ စီရင်စု ကျေးရွာများမှာ ငငံ, ငထွန်းမြ, ငထော်လေးတို့ကို တိုက်ခိုက် ဖျက်ဆီး သိမ်းယူစေသည်၊ ပဲခူးမြို့ စီရင်စု ကျေးရွာများကိုလည်း ငစပ်အစ်ကို ငတိကြီး, ငမိဆံ, ငထိပ်ပြောင်တို့ကို စေလွှတ် ဖျက်ဆီးသိမ်းယူစေသည်၊ သံမြင်တုံ, ပန်းတနော်မှစ၍ ပင်လယ်နားတစ်လျှောက် ကျေးရွာများကိုလည်း ကရင်ဗိုလ် ငဖြူနှင့် လူနှစ်ထောင်ကျော် သုံးထောင် စေလွှတ်တိုက်ခိုက် သိမ်းယူကြောင်းများကို ကြားသိရသည်၊ မည်သို့ တိုက်လှန်လုပ်ကြံရသော် သင့်မည် ညှိနှိုင်းမေးမြန်းသည်တွင် တပ်ပါအရာရှိ ဗိုလ်ရဲမက်တို့က အရပ်ရပ် မြို့ကျေးရွာများကို မွန်တို့က တိုက်ခိုက်သည် ဆိုသည်မှာ အပါအဝင် အသင်းအပင်းမျှသာ ဖြစ်ပါသည်၊ အရင်းမူလကို ထောက်လျှင် သန်လျင်မြို့သာ အခြေအမြစ် ဖြစ်၍ သန်လျင်မြို့ကို ရွပ်ရွပ်ချွံချွံ လုပ်ကြံ သိမ်းယူရလျှင် ကုံတွင် ပြီးပြေလွယ်မည့် အကြောင်းနှင့် အရေးစိုင်းပြင်း ကြသည်ကို ဟံသာဝတီဝန်ကြီးလည်း တပ်ဗိုလ်အရာရှိတို့ ပြောဆိုသော အရေးကို သဘောကြိုက်ညီ၍ ချီတက် တိုက်ခိုက်စေရန် မုတ္တမမြို့ ဝန် မင်းကြီးမဟာဥဇနာက စေလွှတ်လာရောက်သူ အခွန်ဝန် နေမျိုးရဲထင်နော်ရထာနှင့် ရဲမက်အမှုထမ်း လူတစ်ထောင်၊ ပဲခူးစစ်ကဲ နေမျိုးသီရိကျော်ခေါင်, ပဲခူးမြို့ သူကြီး ရဲခေါင်သီဟတို့နှင့် ရဲမက် အမှုထမ်း လူငါးရာ၊ ယွန်းအုပ် ငရွှေစ, ပုဂံတောင် တိုက်သူကြီး ငမှိုင်းတို့နှင့် ရဲမက်အမှုထမ်း လူတစ်ရာ၊ ကျောက် မော် မြို့သူကြီး ငသာရွဲနှင့် ရဲမက်အမှုထမ်း လူနှစ်ရာ၊ စုစု ရဲမက်လက်နက်ကိုင် အမှုထမ်း လူတစ်ထောင့်ရှစ်ရာ ကို မော်လုံမြို့ဆိပ်က ကူးပြီးလျှင် အရှေ့ဘက်ကြောင်း သန်လျင်မြို့ကို ချီတက်လုပ်ကြံရမည်-ဆင့်ဆိုမှာထား၍ ထိုသက္ကရာဇ် နတ်တော်လပြည့်ကျော် သုံးရက် နေ့ ရန်ကုန်မြို့က ချီသွားစေ၏။</t>
  </si>
  <si>
    <t xml:space="preserve">In Pegu city as well, Hanthawaddy City Sitke Ne Myo Thiri Ye Khaung and City Mayor Ye Khaung Thiha were made to gather, provide, and oversee five hundred men and two hundred muskets from the villages within the Hanthawaddy township, and in addition to having guards, weapons, and personnel appropriately gathered and appointed in the cities and villages along the lower country as the situation required, they were ordered and instructed that armed service personnel numbering over two thousand or three thousand must come; and from Taungoo and Kyaukmaw cities, the appropriate officials were ordered and instructed to gather seven hundred armed service personnel themselves and march to arrive at Yangon city; and after that, on the first day of the waning moon of Natdaw of that year, Hanthawaddy Minister Mingyi Maha Minhla Raza spoke to the officials, commanders, and soldiers, saying: 'Now, Nga Sap Nge has come to attack Yangon city once before and retreated; later, he did not dare to come, arrive, or approach; he has built strong defensive earthworks at the Thanlyin city site, gathered and assembled over six hundred to seven hundred Mon people living in Twante and Pyapon islands, and is holding his ground; he has had Nga Ngan, Nga Htun Mya, and Nga Htaw Lay attack, destroy, and seize villages in the Dala city jurisdiction; he has also sent Nga Sap's older brother Nga Ti Gyi, Nga Mi San, and Nga Hteik Pyaung to destroy and seize villages in the Pegu city jurisdiction; and I have heard that he has sent the Karen commander Nga Hpyu and over two thousand to three thousand men to attack and seize villages along the coast starting from Thanmyintun and Pantanaw. How should we fight back and deal with this?' When he asked for their consultation, the officers and commanders of the units said: 'The Mon attacking various cities and villages is only a matter of their associates; if we look at the root cause, Thanlyin city is the base, and if we resolutely attack and seize Thanlyin city, the matter will be easily resolved.' As they were pressing the issue, the Hanthawaddy Minister agreed with the opinion expressed by the unit commanders and officers, and to have them march and attack, he ordered and instructed Tax Minister Ne Myo Ye Htin Nawrahta and one thousand soldiers sent by Martaban City Minister Mingyi Maha Uzana, Pegu Sitke Ne Myo Thiri Kyaw Khaung, Pegu City Mayor Ye Khaung Thiha and five hundred soldiers, Yun Governor Nga Shwe Za, Pagan Taung Township Chief Nga Hmaing and one hundred soldiers, Kyaukmaw City Mayor Nga Tha Ywe and two hundred soldiers, totaling one thousand eight hundred armed soldiers, to cross from the Mawlon city jetty and march toward the east to attack Thanlyin city; and on the third day of the waning moon of Natdaw of that year, they were made to march out from Yangon city.</t>
  </si>
  <si>
    <t xml:space="preserve">vol2_s003039_t02_e03222eddbac</t>
  </si>
  <si>
    <t xml:space="preserve">Pegu City Mayor Ye Khaung Thiha</t>
  </si>
  <si>
    <t xml:space="preserve">vol2_s003039_t03_0905b26643dc</t>
  </si>
  <si>
    <t xml:space="preserve">IDENTIFIED_STRATEGIC_CENTER_OF_REBELLION_AS</t>
  </si>
  <si>
    <t xml:space="preserve">Thanlyin City</t>
  </si>
  <si>
    <t xml:space="preserve">vol2_s003039_t04_e7d7f0c499d6</t>
  </si>
  <si>
    <t xml:space="preserve">Nga Sap Nge</t>
  </si>
  <si>
    <t xml:space="preserve">ESTABLISHED_DEFENSIVE_WORKS_AT</t>
  </si>
  <si>
    <t xml:space="preserve">vol2_s003039_t05_efb1928fbad1</t>
  </si>
  <si>
    <t xml:space="preserve">MOBILIZED_REBEL_FORCES_FROM</t>
  </si>
  <si>
    <t xml:space="preserve">Twante and Pyapon islands</t>
  </si>
  <si>
    <t xml:space="preserve">The source names တိုးမုတ် and Pyapon; Twante is not a direct transliteration. A historical place-name equivalence was not established by a targeted search, so this normalization is left unresolved rather than penalized as a proven error.</t>
  </si>
  <si>
    <t xml:space="preserve">Verify Twante against တိုးမုတ်; otherwise retain the source name To-mok/To-mut.</t>
  </si>
  <si>
    <t xml:space="preserve">vol2_s003039_t06_50dc85f2b838</t>
  </si>
  <si>
    <t xml:space="preserve">ORDERED_ATTACK_ON</t>
  </si>
  <si>
    <t xml:space="preserve">Dala city jurisdiction villages</t>
  </si>
  <si>
    <t xml:space="preserve">vol2_s003039_t07_dc910671d4d6</t>
  </si>
  <si>
    <t xml:space="preserve">Pegu city jurisdiction villages</t>
  </si>
  <si>
    <t xml:space="preserve">vol2_s003039_t08_ec5e8b9c38ab</t>
  </si>
  <si>
    <t xml:space="preserve">Thanmyintun and Pantanaw coastal villages</t>
  </si>
  <si>
    <t xml:space="preserve">vol2_s003039_t09_4723082cd3ba</t>
  </si>
  <si>
    <t xml:space="preserve">ORDERED_MILITARY_CAMPAIGN_AGAINST</t>
  </si>
  <si>
    <t xml:space="preserve">vol2_s003114</t>
  </si>
  <si>
    <t xml:space="preserve">vol2_s003114_t01_135401e7944d</t>
  </si>
  <si>
    <t xml:space="preserve">Karen commander Nga Phyu</t>
  </si>
  <si>
    <t xml:space="preserve">EVADED_CAPTURE_BY</t>
  </si>
  <si>
    <t xml:space="preserve">concealing identity</t>
  </si>
  <si>
    <t xml:space="preserve">အမှူးအကြီး ပြုသူ ကရင်ဗိုလ်ငဖြူနှင့် ငတိလွတ်, ငရွှေနု, ငရွှေမောင်တို့မူကား ကိုယ်ရုပ်ဖျောက် ထွက်ပြေးလေသောကြောင့် လွတ်လေသည်။</t>
  </si>
  <si>
    <t xml:space="preserve">As for the ringleaders, Karen commander Nga Phyu, Nga Ti Lwat, Nga Shwe Nu, and Nga Shwe Maung, they escaped by concealing their identities, and thus were free.</t>
  </si>
  <si>
    <t xml:space="preserve">vol2_s003114_t02_b936f0ec139c</t>
  </si>
  <si>
    <t xml:space="preserve">Nga Ti Lwat</t>
  </si>
  <si>
    <t xml:space="preserve">vol2_s003114_t03_03704dd5896d</t>
  </si>
  <si>
    <t xml:space="preserve">Nga Shwe Nu</t>
  </si>
  <si>
    <t xml:space="preserve">vol2_s003114_t04_2f6d34a2b494</t>
  </si>
  <si>
    <t xml:space="preserve">Nga Shwe Maung</t>
  </si>
  <si>
    <t xml:space="preserve">vol2_s003115</t>
  </si>
  <si>
    <t xml:space="preserve">vol2_s003115_t01_8b930f8674ec</t>
  </si>
  <si>
    <t xml:space="preserve">ADVANCED_TOWARD</t>
  </si>
  <si>
    <t xml:space="preserve">Yankinsanya Chaung-pauk</t>
  </si>
  <si>
    <t xml:space="preserve">ကျိုက်ကလွန်ပွန်းတပ် ပျက်၍ ရဲမက်တော် ဗိုလ်မှူးတပ်မှူးတို့ ရန်ကင်းစံရာချောင်းပေါက်သို့ စုန်ဆင်း လာခဲ့ကြသည်များကို ကျွန်းဦးသရက်တပင် လွင်ကြီးတက်သစ်အရပ်တွင် စွဲရပ်သည့် မွန်တို့တပ်ကမြင်လျှင် မရပ် မနေဝံ့ အပြင်းဆုတ်ခွာ ထွက်ပြေးကြလေ၏။</t>
  </si>
  <si>
    <t xml:space="preserve">When the Mon troops stationed at the Kyaik-kalunpun Pagoda saw the royal soldiers and commanders descending downstream toward Yankinsanya Chaung-pauk after the defeat of the Kyaik-kalunpun unit, they did not dare to stay and retreated in haste.</t>
  </si>
  <si>
    <t xml:space="preserve">vol2_s003115_t02_1d72189d84e5</t>
  </si>
  <si>
    <t xml:space="preserve">Mon troops</t>
  </si>
  <si>
    <t xml:space="preserve">Kyaik-kalunpun Pagoda</t>
  </si>
  <si>
    <t xml:space="preserve">vol2_s003116</t>
  </si>
  <si>
    <t xml:space="preserve">vol2_s003116_t01_7be941f228f5</t>
  </si>
  <si>
    <t xml:space="preserve">Hanthawaddy Wungyi</t>
  </si>
  <si>
    <t xml:space="preserve">DEPLOYED_MILITARY_UNITS_AT</t>
  </si>
  <si>
    <t xml:space="preserve">Obo landing</t>
  </si>
  <si>
    <t xml:space="preserve">ဟံသာဝတီဝန်ကြီးလည်း ထိုသက္ကရာဇ် ပြာသိုလပြည့်ကျော် တစ်ဆယ့်ငါးရက် နေ့ ရွှေဖဝါးတော်အောက်က ဆိုက်ရောက်သည့် မြင်းခုံတိုင်မြို့စား မဟာမင်းခေါင်သင်္ခယာတို့ ငါးတပ်ကို အိုးဘိုဆိပ် ရှမ်းတံတား, ရန်ပုံခွင်း အရပ်များတွင် ကြည်းလမ်း ရေလမ်း အနေအထားသင့်အောင် ချထား စွဲရပ်စေပြီးလျှင် မင်းလှတန်ဆောင်နှင့် ထပ်မံရောက်သည့် ပုခန်းကြီးမြို့ အမှုထမ်း လူငါးရာကိုလည်း မြို့တွင်း တောင်မျက်နှာက ချထားစီးနင်း စောင့်ရှောက် စေ၏။</t>
  </si>
  <si>
    <t xml:space="preserve">The Hanthawaddy Wungyi also, on the 15th day of the waning moon of Pyatho of that year, had the five units of the Myinkhontaing Myosa Maha Minkhaung Thinkhaya, who had arrived from under the Golden Feet, stationed and deployed at the Obo landing, Shan bridge, and Yanponkhwin areas in positions suitable for both land and water routes, and also had the 500 service personnel from Pakhan-gyi city who arrived later with Minla Tansuang deployed to guard the southern side of the city.</t>
  </si>
  <si>
    <t xml:space="preserve">vol2_s003116_t02_7b724514b1dc</t>
  </si>
  <si>
    <t xml:space="preserve">Shan bridge</t>
  </si>
  <si>
    <t xml:space="preserve">vol2_s003116_t03_f04c1c487d2c</t>
  </si>
  <si>
    <t xml:space="preserve">Yanponkhwin</t>
  </si>
  <si>
    <t xml:space="preserve">vol2_s003116_t04_078a48e1330b</t>
  </si>
  <si>
    <t xml:space="preserve">Myinkhontaing Myosa Maha Minkhaung Thinkhaya</t>
  </si>
  <si>
    <t xml:space="preserve">COMMANDED_UNITS_DEPLOYED_BY</t>
  </si>
  <si>
    <t xml:space="preserve">vol2_s003116_t05_e08fa2e70f46</t>
  </si>
  <si>
    <t xml:space="preserve">DEPLOYED_SERVICE_PERSONNEL_AT</t>
  </si>
  <si>
    <t xml:space="preserve">southern side of Yangon</t>
  </si>
  <si>
    <t xml:space="preserve">vol2_s003116_t06_2cfe876f04f3</t>
  </si>
  <si>
    <t xml:space="preserve">Pakhan-gyi service personnel</t>
  </si>
  <si>
    <t xml:space="preserve">GUARDED</t>
  </si>
  <si>
    <t xml:space="preserve">vol2_s003117</t>
  </si>
  <si>
    <t xml:space="preserve">vol2_s003117_t01_62d011437e10</t>
  </si>
  <si>
    <t xml:space="preserve">ENTRUSTED_COMMAND_OF_TROOPS_TO</t>
  </si>
  <si>
    <t xml:space="preserve">Mottama Myowun Mingyi Maha Uzana</t>
  </si>
  <si>
    <t xml:space="preserve">မုတ္တမမြို့ဝန် မင်းကြီးမဟာဥဇနာသို့လည်း ရွှေဖဝါးတော်အောက်က ဆိုက်ရောက်သည့် ငါးတပ်အမှုထမ်း လူသုံးထောင်ကျော်ကို ပေးအပ်၍ တပ်ကလေး ရှမ်းတံတား အိုးဘိုဆိပ်များတွင် ချထားစွဲရပ်စေသည်။</t>
  </si>
  <si>
    <t xml:space="preserve">He also entrusted the 3,000-plus service personnel of the five units who arrived from under the Golden Feet to the Mottama Myowun Mingyi Maha Uzana, and had them stationed and deployed at the Tat-gale, Shan bridge, and Obo landing areas.</t>
  </si>
  <si>
    <t xml:space="preserve">vol2_s003117_t02_34ae0dddc564</t>
  </si>
  <si>
    <t xml:space="preserve">DEPLOYED_TROOPS_AT</t>
  </si>
  <si>
    <t xml:space="preserve">Tat-gale</t>
  </si>
  <si>
    <t xml:space="preserve">vol2_s003117_t03_a80ab0652daa</t>
  </si>
  <si>
    <t xml:space="preserve">vol2_s003117_t04_613a84dc11f8</t>
  </si>
  <si>
    <t xml:space="preserve">vol2_s003118</t>
  </si>
  <si>
    <t xml:space="preserve">vol2_s003118_t01_8ac838e6fbed</t>
  </si>
  <si>
    <t xml:space="preserve">ISSUED_MILITARY_ORDER_TO</t>
  </si>
  <si>
    <t xml:space="preserve">Sitke Nemyo Thiri Kyaw Khaung</t>
  </si>
  <si>
    <t xml:space="preserve">ရန်ကုန်မြို့တွင်းကလည်း မြို့အရှေ့မျက်နှာ ပုဇွန်တောင် မွေ့နွန်းဘုရား သိမ်ကြီးအရပ်များတွင် စွဲရပ်ရှိသည့် မွန်တို့ ရံတပ်ကို တိုက်ခိုက်စေမည်ဖြစ်၍ မုတ္တမ, တောင်ငူ, ကျောက်မော်, ရွှေကျင်, စစ်တောင်းမြို့များက ခန့်ထား စည်းကြပ်ရ အမှုထမ်းတို့နှင့် ကိုယ်တိုင်ချုပ်အုပ်၍ အရှေ့ဘက်ကြောင်း ချီတက်ပြီးလျှင် သန်လျင်မြို့ကို လုပ်ကြံ သိမ်းယူရမည်- စစ်ကဲ နေမျိုးသီရိကျော်ခေါင်သို့ စာပေးအပ် ဆင့်ဆိုစေလွှတ်၏။</t>
  </si>
  <si>
    <t xml:space="preserve">As he intended to have the Mon siege troops stationed at the eastern side of the city, at Pazundaung and the Mwe-nun Pagoda and Thein-gyi areas, attacked from within Yangon, he gave orders and sent a letter to the Sitke Nemyo Thiri Kyaw Khaung to personally take command of the service personnel appointed and gathered from Mottama, Taungoo, Kyaukmaw, Shwegyin, and Sittoung cities, march along the eastern route, and attack and capture Thanlyin city.</t>
  </si>
  <si>
    <t xml:space="preserve">vol2_s003118_t02_1f2b862723df</t>
  </si>
  <si>
    <t xml:space="preserve">COMMANDED_SERVICE_PERSONNEL_FROM</t>
  </si>
  <si>
    <t xml:space="preserve">Mottama</t>
  </si>
  <si>
    <t xml:space="preserve">vol2_s003118_t03_74d62e73c0b4</t>
  </si>
  <si>
    <t xml:space="preserve">vol2_s003118_t04_bf9953d3e50d</t>
  </si>
  <si>
    <t xml:space="preserve">Kyaukmaw</t>
  </si>
  <si>
    <t xml:space="preserve">vol2_s003118_t05_72856f1bffd6</t>
  </si>
  <si>
    <t xml:space="preserve">Shwegyin</t>
  </si>
  <si>
    <t xml:space="preserve">vol2_s003118_t06_558532d5e729</t>
  </si>
  <si>
    <t xml:space="preserve">Sittoung</t>
  </si>
  <si>
    <t xml:space="preserve">vol2_s003118_t07_a91d880aa506</t>
  </si>
  <si>
    <t xml:space="preserve">MANDATED_TO_CAPTURE</t>
  </si>
  <si>
    <t xml:space="preserve">Thanlyin city</t>
  </si>
  <si>
    <t xml:space="preserve">vol2_s003119</t>
  </si>
  <si>
    <t xml:space="preserve">vol2_s003119_t01_a3e66c90aa33</t>
  </si>
  <si>
    <t xml:space="preserve">Pathein Myowun Min Kyaw Min Htin</t>
  </si>
  <si>
    <t xml:space="preserve">ပုသိမ်မြို့ဝန် မင်းကျော်မင်းထင်သို့လည်း ပုသိမ်မြို့ စည်းကြပ်ရ အမှုထမ်းတို့နှင့် မွန်တို့ ပေါက်ရောက်လာ လျှင် မထွက်မလွတ်စေရ ဖမ်းဆီး သတ်ညှစ်ရမည်၊ ပုသိန်မြို့ အမှုထမ်း ငရွှေစံတွင် မှာစာ ပေးအပ် ပြန်သွား စေ၏။</t>
  </si>
  <si>
    <t xml:space="preserve">He also gave orders to the Pathein Myowun Min Kyaw Min Htin that if the Mons arrived with the service personnel gathered in Pathein city, they must not be allowed to escape and must be captured and suppressed, and he sent a written order to the Pathein city service personnel Nga Shwe San to return.</t>
  </si>
  <si>
    <t xml:space="preserve">vol2_s003119_t02_9c048e78944e</t>
  </si>
  <si>
    <t xml:space="preserve">MANDATED_TO_SUPPRESS</t>
  </si>
  <si>
    <t xml:space="preserve">vol2_s003119_t03_dba12e736cd7</t>
  </si>
  <si>
    <t xml:space="preserve">SENT_WRITTEN_ORDER_TO</t>
  </si>
  <si>
    <t xml:space="preserve">Nga Shwe San</t>
  </si>
  <si>
    <t xml:space="preserve">vol2_s003120</t>
  </si>
  <si>
    <t xml:space="preserve">vol2_s003120_t01_73cf28ecfce1</t>
  </si>
  <si>
    <t xml:space="preserve">DEPLOYED_COMMANDERS_TO</t>
  </si>
  <si>
    <t xml:space="preserve">Khetkar</t>
  </si>
  <si>
    <t xml:space="preserve">သံမြင်တုံမြို့, မြင်းကတောင်, ခက်ကားရွာများတွင်လည်း မွန်တို့ မလာမရောက်နိုင်အောင် ခက်ကား ဘက်က ပုသိမ်မြို့ဝန် နေမျိုးမင်းခေါင်ကျော်သူ, အမှာရေး နေမျိုးနရာကျော်တို့ ဓနုဖြူ, ကနောင်, ဟင်္သာတ, သာရဝေါ, ဇရွံ, ခဲပေါင်မြို့များက အမှုထမ်း လူလေးထောင်ကျော်များနှင့် စည်းကြပ် စွဲရပ်စောင့်နေစေ၏။</t>
  </si>
  <si>
    <t xml:space="preserve">In the areas of Thanmyintun city, Myinkataung, and Khetkar village, to prevent the Mons from arriving, he had the Pathein Myowun Nemyo Minkhaung Kyaw Thu and the Amwaye Nemyo Naya Kyaw from the Khetkar side stationed and waiting with over 4,000 service personnel gathered from Danubyu, Kanaung, Hinthada, Tharrawaw, Zayon, and Khepaung cities.</t>
  </si>
  <si>
    <t xml:space="preserve">vol2_s003120_t02_a699785e6afd</t>
  </si>
  <si>
    <t xml:space="preserve">Pathein Myowun Nemyo Minkhaung Kyaw Thu</t>
  </si>
  <si>
    <t xml:space="preserve">Danubyu</t>
  </si>
  <si>
    <t xml:space="preserve">vol2_s003120_t03_941dd753e2a7</t>
  </si>
  <si>
    <t xml:space="preserve">Kanaung</t>
  </si>
  <si>
    <t xml:space="preserve">vol2_s003120_t04_25c24d94c2a2</t>
  </si>
  <si>
    <t xml:space="preserve">Hinthada</t>
  </si>
  <si>
    <t xml:space="preserve">vol2_s003120_t05_c5435c287f67</t>
  </si>
  <si>
    <t xml:space="preserve">Tharrawaw</t>
  </si>
  <si>
    <t xml:space="preserve">vol2_s003120_t06_43e9ba2b406b</t>
  </si>
  <si>
    <t xml:space="preserve">vol2_s003120_t07_da3cc149ad74</t>
  </si>
  <si>
    <t xml:space="preserve">Khepaung</t>
  </si>
  <si>
    <t xml:space="preserve">vol2_s003120_t08_fcb0b448e7b2</t>
  </si>
  <si>
    <t xml:space="preserve">MANDATED_TO_BLOCK</t>
  </si>
  <si>
    <t xml:space="preserve">vol2_s003121</t>
  </si>
  <si>
    <t xml:space="preserve">vol2_s003121_t01_d12f531daf1c</t>
  </si>
  <si>
    <t xml:space="preserve">Yangon Wungyi</t>
  </si>
  <si>
    <t xml:space="preserve">APPROVED_MILITARY_STRATEGY_OF</t>
  </si>
  <si>
    <t xml:space="preserve">Five-unit commanders</t>
  </si>
  <si>
    <t xml:space="preserve">ထိုသက္ကရာဇ် တပို့တွဲလဆန်းငါးရက်-နေ့ ရန်ကုန်မြို့တွင်းရှိ ရုံးအရာရှိ မှူးမတ်တို့နှင့် ရွှေဖဝါးတော်အောက်က လာရောက်သည့် ငါးတပ်ချုပ် မဟာမင်းခေါင်သင်္ခယာ, ဗန့်ကျီတိုက်ဝန် မဟာမင်းခေါင်ရဲထင်, မြောက်မာရဘင်ဗိုလ် မဟာသီဟမင်းကျော်, ဘုန်းတော်ဖြစ်ဗိုလ် နေမျိုးသီဟမင်းခေါင်ကျော်, သူရဲတပ်မှူး ရဲထင်ရန်အောင်တို့ လုပ်ရေး ကြံရေးများကို ညှိနှိုင်းတိုင်ပင်ကြရာ ငါးတပ်ချုပ်ဗိုလ် မဟာမင်းခေါင်သင်္ခယာနှင့် အုပ်စု ဗိုလ်အရာရှိတို့က ရန်ကုန်မြို့ကို တစ်လကျော်ခန့် မွန်တို့က စစ်အားကြီး ဖိစီးဝန်းရံ တိုက်ခိုက်သည်များကို မြဲမြဲလုံခြုံအောင် စီးနင်းစောင့်နေပြီး လျှင် ရံတပ်သို့ထွက်၍ အကြိမ်ကြိမ် စီးနင်းတိုက်ခိုက် ပွဲလမ်းရအောင် ယူကြသော အရေးသည် ချီးမွမ်းသင့်သော အရေးပင် ဖြစ်ပေသည်၊ တစ်ကြောင်းလည်း ရန်ကုန်မြို့ နေ အရာရှိမင်းတို့ အကြိမ်ကြိမ် စီးနင်းတိုက်ခိုက်၍ မွန်တို့တပ် မရပ်မခံနိုင် ဆုတ်ခွာထွက်ပြေး ရှိသော်လည်း မြို့တွင်းက တပ်ရပ်တပ်ခံ မထားနိုင်ချေသည်နှင့် မွန်တို့က ရံနေမြဲ ရံနေနိုင်ပြန်သည်၊ ယင်းသို့ဖြစ်၍ အရှေ့မျက်နှာက ဝန်းရံစွဲရပ် ရှိနေသည့် မွန်တို့ကို ကျွန်တော်တို့ ဗိုလ်ရဲမက် ငါးတပ်သားတို့က တိုက်ဖျက်သိမ်းယူပါမည် ပြောဆိုရာ ရန်ကုန်ဝန်ကြီးကလည်း ယခု ဗိုလ်မင်းငါးဦးတို့ ပြောဆိုသော အရေးသည် ခွင့်ပေးရမည့် အရေးပင် ဖြစ်ပေသည်၊ သို့ရာတွင် မွန်လူမျိုးတို့လည်း ပရိယာယ်ဝေဝုစ် များပြား ထူထပ်သည့် လူမျိုးဖြစ်သည်၊ နောက်က လှည့်လည် မတိုက်သာအောင် မြို့ မြောက်မျက်နှာက ပတ်၍ တစ်စသတ် တည်း တိုက်မှ သင့်မည်ဟု ပြောဆိုသည်ကို မဟာမင်းခေါင်သင်္ခယာတို့ ကြိုက်ညီကြသည်နှင့် ထိုသက္ကရာဇ် တပို့တွဲလဆန်း ခြောက်ရက် နေ့ ဗန့်ကျီတိုက်ဝန် မဟာမင်းခေါင်ရဲထင်နှင့် အမှုထမ်း လူငါးရာ၊ မြောက်မာရဘင်ဗိုလ် မဟာသီဟမင်းကျော်နှင့် အမှုထမ်းလူနှစ်ရာ၊ ဘုန်းတော်ဖြစ်ဗိုလ် နေမျိုးမင်းခေါင်ကျော်နှင့် အမှုထမ်းလူနှစ်ရာ၊ သူရဲတပ်မှူး ရဲထင်ရန်အောင်နှင့် အမှုထမ်းလူနှစ်ရာ၊ မဟာမင်းခေါင်သင်္ခယာနှင့် အမှုထမ်း လူသုံးရာ့ရှစ်ဆယ်၊ စုစု အမှုထမ်း လူတစ်ထောင့်လေးရာကျော်ကို ပန်းပဲတန်းလမ်း ရွှေတိဂုံဘုရားက မြောက်ကို ပတ်ပြီးလျှင် အရှေ့က လှည့်၍ တိုက်ခိုက်ရမည်၊ စားတော်ဝန် မင်းလှမင်းခေါင်နှင့် အမှုထမ်းလူငါးရာမှာ သိင်္ဂုတ္တရကုန်းက ဆင်း၍ မြောက်က တိုက်ခိုက်ရမည်၊ အသီးအသီး ဆင့်ဆိုချီထွက်စေရာ ပုဇွန်တောင် သိမ်ဖြူ တပ်သို့ ရောက်လျှင် မဟာ မင်းခေါင်ရဲထင်, မဟာသီဟမင်းကျော်, မဟာမင်းခေါင်သင်္ခယာတို့ သုံးတပ် ပေါင်း၍ အရှေ့မျက်နှာက ချဉ်းကပ် တိုက်ခိုက်သည်။</t>
  </si>
  <si>
    <t xml:space="preserve">On the 5th day of the waxing moon of Tabodwe of that year, when the office officials and ministers in Yangon and the five-unit commander Maha Minkhaung Thinkhaya, Bantgyi Taikwun Maha Minkhaung Yehtin, Myauk Marabin commander Maha Thiha Minkhaung, Bhondaw-phit commander Nemyo Thiha Minkhaung Kyaw, and cavalry commander Yehtin Yan Aung, who had arrived from under the Golden Feet, were discussing and planning, the five-unit commander Maha Minkhaung Thinkhaya and the group of commanders said that the matter of the Mons having heavily besieged and attacked Yangon for over a month, while they guarded it securely and went out to the siege lines to repeatedly attack and achieve victories, was a matter worthy of praise; however, on the other hand, although the officials residing in Yangon had repeatedly attacked and the Mon troops could not stand and retreated, they could not maintain a defensive line from within the city, and the Mons were able to remain in their siege positions; therefore, they said that they, the five units of soldiers and commanders, would attack and clear out the Mons who were surrounding and stationed on the eastern side, and the Yangon Wungyi said that the matter the five commanders spoke of was indeed a matter to be permitted, but the Mon people were a people with many tricks and deceptions, so it would be appropriate to circle around the northern side of the city and attack in a single sweep so they could not turn around and fight back, and when Maha Minkhaung Thinkhaya and the others agreed, on the 6th day of the waxing moon of Tabodwe of that year, Bantgyi Taikwun Maha Minkhaung Yehtin and 500 service personnel, Myauk Marabin commander Maha Thiha Minkhaung and 200 service personnel, Bhondaw-phit commander Nemyo Minkhaung Kyaw and 200 service personnel, cavalry commander Yehtin Yan Aung and 200 service personnel, and Maha Minkhaung Thinkhaya and 380 service personnel, totaling over 1,400 service personnel, were ordered to circle the north of the Shwedagon Pagoda via the Panbe-tan road and turn from the east to attack, while the Satdaw-wun Minla Minkhaung and 500 service personnel were to descend from the Singuttara hill and attack from the north, and as they were each ordered to march out, when they reached the Pazundaung Thein-phyu camp, the three units of Maha Minkhaung Yehtin, Maha Thiha Minkhaung, and Maha Minkhaung Thinkhaya joined together and approached and attacked from the eastern side.</t>
  </si>
  <si>
    <t xml:space="preserve">vol2_s003121_t02_d726d9a08a3e</t>
  </si>
  <si>
    <t xml:space="preserve">PROPOSED_MILITARY_STRATEGY_TO</t>
  </si>
  <si>
    <t xml:space="preserve">vol2_s003121_t03_3d9b6207f128</t>
  </si>
  <si>
    <t xml:space="preserve">ORDERED_TO_ATTACK_FROM</t>
  </si>
  <si>
    <t xml:space="preserve">Eastern side</t>
  </si>
  <si>
    <t xml:space="preserve">vol2_s003121_t04_31626cd40eb8</t>
  </si>
  <si>
    <t xml:space="preserve">Satdaw-wun Minla Minkhaung</t>
  </si>
  <si>
    <t xml:space="preserve">Northern side</t>
  </si>
  <si>
    <t xml:space="preserve">vol2_s003121_t05_2eeb67f56832</t>
  </si>
  <si>
    <t xml:space="preserve">Bantgyi Taikwun Maha Minkhaung Yehtin</t>
  </si>
  <si>
    <t xml:space="preserve">COMMANDED_UNIT_OF</t>
  </si>
  <si>
    <t xml:space="preserve">500 service personnel</t>
  </si>
  <si>
    <t xml:space="preserve">vol2_s003121_t06_75a2a108f3a2</t>
  </si>
  <si>
    <t xml:space="preserve">Myauk Marabin commander Maha Thiha Minkhaung</t>
  </si>
  <si>
    <t xml:space="preserve">200 service personnel</t>
  </si>
  <si>
    <t xml:space="preserve">The 200-man command and office match, but the commander's honorific is transcribed as Maha Thiha Minkhaung instead of Maha Thiha Min Kyaw.</t>
  </si>
  <si>
    <t xml:space="preserve">Myauk Marabin commander Maha Thiha Min Kyaw | COMMANDED_UNIT_OF | 200 service personnel</t>
  </si>
  <si>
    <t xml:space="preserve">vol2_s003121_t07_e66d7110a714</t>
  </si>
  <si>
    <t xml:space="preserve">Bhondaw-phit commander Nemyo Minkhaung Kyaw</t>
  </si>
  <si>
    <t xml:space="preserve">vol2_s003121_t08_ae26587f1a05</t>
  </si>
  <si>
    <t xml:space="preserve">Cavalry commander Yehtin Yan Aung</t>
  </si>
  <si>
    <t xml:space="preserve">The command and name are supported, but the source calls Ye Htin Yan Aung a thuyè troop commander, not explicitly a cavalry commander. The wrong office qualifier is a construction/detail error, not a false command relation.</t>
  </si>
  <si>
    <t xml:space="preserve">Thuyè troop commander Ye Htin Yan Aung | COMMANDED_UNIT_OF | 200 service personnel</t>
  </si>
  <si>
    <t xml:space="preserve">vol2_s003121_t09_22e1df8d284d</t>
  </si>
  <si>
    <t xml:space="preserve">Maha Minkhaung Thinkhaya</t>
  </si>
  <si>
    <t xml:space="preserve">380 service personnel</t>
  </si>
  <si>
    <t xml:space="preserve">vol2_s003385</t>
  </si>
  <si>
    <t xml:space="preserve">vol2_s003385_t01_96c8287c6553</t>
  </si>
  <si>
    <t xml:space="preserve">Tharrawaddy</t>
  </si>
  <si>
    <t xml:space="preserve">MOVED_THROUGH_TERRITORY</t>
  </si>
  <si>
    <t xml:space="preserve">Myinmwe, Aungtha, and Ywetingkhaung Baukthauklinyin villages</t>
  </si>
  <si>
    <t xml:space="preserve">ညီတော် သာယာဝတီမင်းလည်း မြင်းမွေးရွာက အစဉ်အတိုင်း ထွက်သွားရာ ထိုနေ့ ညဉ့်နှစ်ချက်တီးကျော် အချိန် အောင်သာရွာ၊ ညဉ့်သုံးချက်တီးကျော် သောက်လင်းအချိန် ရေတွင်းခေါင်း ဘောက်သောက်လင်းယဉ်ရွာသို့ ရောက်တော်မူ၏။</t>
  </si>
  <si>
    <t xml:space="preserve">The younger brother, King Tharrawaddy, departed from Myinmwe village in order, and at a time past 8:00 PM that day, he reached Aungtha village, and at the time past 3:00 AM, at dawn, he reached Ywetingkhaung Baukthauklinyin village.</t>
  </si>
  <si>
    <t xml:space="preserve">vol2_s003386</t>
  </si>
  <si>
    <t xml:space="preserve">vol2_s003386_t01_7b2a5e4f0fd2</t>
  </si>
  <si>
    <t xml:space="preserve">INCORPORATED_LOCAL_FORCES_FROM</t>
  </si>
  <si>
    <t xml:space="preserve">Hlatogyi village</t>
  </si>
  <si>
    <t xml:space="preserve">ထိုတွင် လှတောကြီးရွာနေ ငရှိန်းခို, ငရွှေမှုံတို့ လက်ရှိစည်းကြပ်ရင်း အမှုထမ်း လူငါးဆယ်နှင့် ကြိုဆို ဆိုက်ရောက်လာသည်ကို တွေ့ပြန်ရာ ယင်းသည့်စခန်းတွင် ရတနာပူရ အဝမြို့ က ချီတက်လိုက်လာသည့် တပ်များကို ခုခံတိုက်ခိုက်စေရန် ကျွန်တော်မျိုး ဘဏ္ဍာစိုး ရွှေတောင်ပျံချီ, ငရွှေတုတ်တို့ကို ရတနာသိင်္ဃမြို့ မြင်းမြေကျေးရွာများက မြင်းငါးဆယ်, စစ်ကိုင်းမြို့က မြင်းငါးဆယ်၊ နှစ်စုခြင်း အမှုထမ်းလူတစ်ရာ ခန့်ထားစည်းကြပ် ပေးအပ်တော်မူပြီးမှ ယင်းတွင် စခန်းမရပ်မဆိုင်း ထွက်သွားတော်မူပြန်လျှင် ကူစောင်းရွာ, ခေါတောဝက်လည်ရွဲ ရွာများသို့ ဆိုက်ရောက်ကာလ တစ်နာရီခန့် ရပ်တင်း ထွက်သွားတော်မူပြန်ရာ ၎င်းလပြည့်ကျော် ရှစ်ရက် နေ့- နေ့ တစ်ချက်တီးကျော်အချိန် လှတောကြီးရွာသို့ ဆိုက်ရောက်တော်မူ၏။</t>
  </si>
  <si>
    <t xml:space="preserve">There, finding that Nga Shin Kho and Nga Shwe Hmon from Hlatogyi village had arrived to welcome him with fifty service men they were currently organizing, he assigned and organized the royal treasurer Shwetaungpyanchi and Nga Shwe Tut to resist and fight the troops marching and following from the royal city of Ratanapura-Ava, giving them fifty horses from the horse-land villages of Ratanasingha city and fifty horses from Sagaing city, for a total of one hundred service men; after having assigned them, he departed from there without stopping at that camp, and upon reaching Kusaung village and Khataw-Wetlyarwe villages, he stopped for about an hour before departing again, and at a time past 7:00 AM on the eighth day of the waning moon of that month, he arrived at Hlatogyi village.</t>
  </si>
  <si>
    <t xml:space="preserve">vol2_s003386_t02_495a9beeb8a6</t>
  </si>
  <si>
    <t xml:space="preserve">APPOINTED_AS_COMMANDERS</t>
  </si>
  <si>
    <t xml:space="preserve">Shwetaungpyanchi and Nga Shwe Tut</t>
  </si>
  <si>
    <t xml:space="preserve">vol2_s003386_t03_175f24eb7794</t>
  </si>
  <si>
    <t xml:space="preserve">ALLOCATED_RESOURCES_TO</t>
  </si>
  <si>
    <t xml:space="preserve">vol2_s003386_t04_7fa92d694556</t>
  </si>
  <si>
    <t xml:space="preserve">TASKED_WITH_RESISTING</t>
  </si>
  <si>
    <t xml:space="preserve">Ratanapura-Ava troops</t>
  </si>
  <si>
    <t xml:space="preserve">vol2_s003387</t>
  </si>
  <si>
    <t xml:space="preserve">vol2_s003387_t01_8b6642475345</t>
  </si>
  <si>
    <t xml:space="preserve">ယင်းတွင် စခန်းချရပ်တော်မူပြီးမှ သားတော်များနှင့် ကျွန်တော်မျိုး အပေါင်းတို့ကို အရေးစိုင်းပြင်း တိုင်ပင်တော်မူရာ သားတော် မင်းရဲသီဟကျော်, မင်းရဲကျော်ထင်, မင်းရဲဇေယတို့ လျှောက်ထားကြသည်ကား... အထက် ရတနာပူရ မြို့တော်က မထွက်မီ တပေါင်းလပြည့်ကျော် လေးရက်-နေ့ အမိန့်တော်နှင့် ရတနာသိင်္ဃမြို့တွင် အမှုထမ်း လူသူ သိမ်းသွင်း စည်းကြပ် ကြိုဆိုလာရမည်- ကျွန်တော်မျိုး ငရှမ်းအိုနှင့်အတူ စေလွှတ်ရင်းသူ ကျွန်တော်မျိုးခေါင်း ငရွှေဦး မည်သည့်အရပ်က ကြိုဆိုရှိနှင့်ကြောင်းကိုလည်း တပ်ရာ မသိရသေး ဖြစ်ပါသောကြောင့် သည်စခန်းတွင်ပင် ရပ်ဆိုင်းတော်မူ၍ ရေးခြားလိမ္မာသူ တစ်ယောက်ကို ရတနာသိင်္ဃမြို့ရောက် ရွေးချယ်ခန့်ထား စေလွှတ်တော်မူပြီးမှ ထွက်တော်မူသော် သင့်မည် ထင်ကြောင်းများနှင့် လျှောက်ထားကြသည်တွင် သားတော်များ လျှောက်ထားကြသော အရေးကို ကြိုက် တော်မူ၍ အတွင်းဝန် နေမျိုးဗန္ဓုကျော်ကို လူတစ်ရာကျော်နှင့် ရတနာသိင်္ဃမြို့ ရောက် သွားနှင့်ရမည်ဟု စေလွှတ်တော် မူ၏။</t>
  </si>
  <si>
    <t xml:space="preserve">After camping and stopping there, he consulted urgently with his sons and all of us subjects, and his sons Minye Thiha Kyaw, Minye Kyawhtin, and Minye Zeya submitted: 'Before departing from the royal city of Ratanapura above, on the fourth day of the waning moon of Tabaung, by royal order, [we] were to recruit, organize, and welcome service men in Ratanasingha city; because it is not yet known where the service head Nga Shwe U, who was sent along with our subject Nga Shan O, is welcoming [the troops] from, we think it would be appropriate to stop at this camp, select and send a capable person to reach Ratanasingha city, and then depart,' and upon their submitting this, he approved of the matter submitted by his sons and sent the interior minister Nemyo Bandu Kyaw with over one hundred men to go ahead to Ratanasingha city.</t>
  </si>
  <si>
    <t xml:space="preserve">vol2_s003387_t02_d1bda3d03102</t>
  </si>
  <si>
    <t xml:space="preserve">Royal Order</t>
  </si>
  <si>
    <t xml:space="preserve">MANDATED_RECRUITMENT_IN</t>
  </si>
  <si>
    <t xml:space="preserve">Ratanasingha city</t>
  </si>
  <si>
    <t xml:space="preserve">vol2_s003387_t03_9bedce08171e</t>
  </si>
  <si>
    <t xml:space="preserve">DISPATCHED_AS_ENVOY</t>
  </si>
  <si>
    <t xml:space="preserve">Nemyo Bandu Kyaw</t>
  </si>
  <si>
    <t xml:space="preserve">vol2_s003387_t04_6e4e2647cf4c</t>
  </si>
  <si>
    <t xml:space="preserve">COMMANDED_FORCE_OF</t>
  </si>
  <si>
    <t xml:space="preserve">100 men</t>
  </si>
  <si>
    <t xml:space="preserve">vol2_s003388</t>
  </si>
  <si>
    <t xml:space="preserve">vol2_s003388_t01_84e2b7ce6568</t>
  </si>
  <si>
    <t xml:space="preserve">Nga Shwe U</t>
  </si>
  <si>
    <t xml:space="preserve">RECRUITED_SERVICE_MEN</t>
  </si>
  <si>
    <t xml:space="preserve">600 men</t>
  </si>
  <si>
    <t xml:space="preserve">ထိုအခါ အထက် အမှုထမ်း လူသူစည်းကြပ်ရန် စေလွှတ်တော်မူသည့် ပေါက္ကံဗိုလ် ငရွှေဦးလည်း နေရင်း ပေါက္ကံရွာမှ စ၍ ရတနာသိင်္ဃမြို့ စီရင်စု ရှေ့မျက်နှာ ကျေးရွာများတွင် သိမ်းသွင်းစည်းကြပ်ရ အမှုထမ်း လူ ခြောက်ရာကျော်နှင့် ၎င်းလပြည့်ကျော် ရှစ်ရက်နေ့ နံနက် တစ်ချက်တီးအချိန် ရတနာသိင်္ဃ မြို့ အရှေ့ ဂိုဏ်းအုပ်ဆရာ ရှင်ပညာသီဟကျောင်းတိုက်တွင် တပ်ချရပ်နေသည့်အတွင်း အလျင် စေလွှတ်တော်မူသည့် အတွင်းဝန် နေမျိုးဗန္ဓု ကျော်နှင့် ပေါင်းဆုံမိကြသည်တွင် အတွင်းဝန် နေမျိုးဗန္ဓုကျော်, ပေါက္ကံဗိုလ် ငရွှေဦးတို့လည်း ထိုနေ့ မွန်းတည့်အချိန် ရတနာသိင်္ဃ မြို့တွင်းသို့ ဝင်၍ ဘုန်းကြီးသည့်အရှင် ထွက်တော်မူလာသည်၊ မြင်းတပ်ဗိုလ် မြို့သူကြီးတို့ အမှုတော် ကောင်းရာ ထမ်းမည်-မထမ်းမည် အကြောင်းနှင့် မေးမြန်းရာ ဗိုလ်ငရော ဆိုသူ သားမယား ကျေးကျွန်တို့နှင့် တိုင်ပင်ပြီးလျှင် တိတ်တဆိတ် ထွက်ပြေးလေ၏။</t>
  </si>
  <si>
    <t xml:space="preserve">At that time, the Pagan commander Nga Shwe U, who had been sent to organize the aforementioned service men, was also staying and camping at the monastery of the eastern sect leader Shin Panyathiha in Ratanasingha city with over six hundred service men he had recruited and organized starting from his home village of Pagan and the villages in the front of the Ratanasingha city jurisdiction, at 7:00 AM on the eighth day of the waning moon of that month, when he met with the previously sent interior minister Nemyo Bandu Kyaw; then, at noon that day, interior minister Nemyo Bandu Kyaw and Pagan commander Nga Shwe U entered Ratanasingha city, and when the venerable lord came out and asked the cavalry commanders and town mayors whether they would serve well or not, the one called commander Nga Nyo, after consulting with his wife, children, and servants, fled secretly.</t>
  </si>
  <si>
    <t xml:space="preserve">vol2_s003388_t02_c41862b7c131</t>
  </si>
  <si>
    <t xml:space="preserve">CAMPED_AT</t>
  </si>
  <si>
    <t xml:space="preserve">monastery of Shin Panyathiha</t>
  </si>
  <si>
    <t xml:space="preserve">vol2_s003388_t03_ddcbc3c52a20</t>
  </si>
  <si>
    <t xml:space="preserve">vol2_s003388_t04_3dc52fa953ec</t>
  </si>
  <si>
    <t xml:space="preserve">Nemyo Bandu Kyaw and Nga Shwe U</t>
  </si>
  <si>
    <t xml:space="preserve">DEMANDED_SERVICE_FROM</t>
  </si>
  <si>
    <t xml:space="preserve">cavalry commanders and town mayors</t>
  </si>
  <si>
    <t xml:space="preserve">vol2_s003388_t05_2e6dcaa81b7b</t>
  </si>
  <si>
    <t xml:space="preserve">Nga Nyo</t>
  </si>
  <si>
    <t xml:space="preserve">REJECTED_SERVICE_BY</t>
  </si>
  <si>
    <t xml:space="preserve">fleeing</t>
  </si>
  <si>
    <t xml:space="preserve">The refusal through flight is correct and the local commander is identifiable, but ငရော is Nga Yaw/Raw rather than Nga Nyo.</t>
  </si>
  <si>
    <t xml:space="preserve">Nga Yaw (Raw) | REJECTED_SERVICE_BY | fleeing</t>
  </si>
  <si>
    <t xml:space="preserve">vol2_fr024_s01</t>
  </si>
  <si>
    <t xml:space="preserve">vol2_fr024_s01_t01_d33596ac933e</t>
  </si>
  <si>
    <t xml:space="preserve">COMMISSIONED_HISTORICAL_COMPILATION</t>
  </si>
  <si>
    <t xml:space="preserve">Second Maha Yazawin</t>
  </si>
  <si>
    <t xml:space="preserve">အထူးထူးသော တိုင်းကြီးပြည်ကြီး ထီးဆောင်းမင်းများသခင်၊ ရွှေတွင်း, ငွေတွင်း, ပတ္တမြားတွင်း, ပယင်းတွင်း စသော ရတနာအပေါင်းတို့၏ အရှင်၊ ရတနာပုံ ရွှေပြည်တော်ကြီးကို ရှေးဦးလက်မွန် တည်ထောင် ဖန်ဆင်းတော်မူသော ဆဒ္ဒန်ဆင်မင်းသခင်, ဆင်ဖြူများရှင်, ပဉ္စမသင်္ဂါယနာတင် အသျှင် ဘဝရှင်မင်းတရားကြီးဘုရား လက်ထက်တော် အမိန့်တော်မြတ်နှင့် သက္ကရာဇ် (၁၂၂၉) တစ်ထောင့်နှစ်ရာ့နှစ်ဆယ့်ကိုးခု တော်သလင်းလဆန်း ငါးရက် နေ့က စ၍ အထူးထူးသော ရတနာတို့ဖြင့် တင့်တယ်ဆန်းကြယ်စွာသော မှန်နန်းတော်ရှေ့ ဇေတဝန်ဆောင်တော်တွင် ရဟန်းပညာရှိ ပုဏ္ဏားပညာရှိ မှူးမတ်ပညာရှိတို့နှင့် နှိုင်းညှိတိုင်ပင်ပြီးလျှင် အသင့်ယုတ္တိရှိရာ ကျောက်စာ, စာတမ်းစာဟောင်း, မော်ကွန်း, အမိန့်တော်, နေ့စဉ်မှတ်များနှင့်အညီ ဆက်လက်စီကုံး ရေးသားသည့် ဒုတိယ မဟာရာဇဝင်တော်ကြီး စတုတ္ထတွဲ ဤတွင် ပြီး၏။</t>
  </si>
  <si>
    <t xml:space="preserve">By the noble command issued during the reign of the Lord of Life, the Great King, lord of the various great countries and umbrella-bearing kings, lord of all treasures such as the gold, silver, ruby, and amber mines, first founder and creator of the golden capital of Ratanabon, lord of the Chaddanta elephant king and of white elephants, and convener of the Fifth Buddhist Council, the continued compilation began on the fifth waxing day of Tawthalin in Myanmar year 1229. In the jewel-adorned Jetavana pavilion before the Glass Palace, learned monks, learned Brahmans, and learned ministers compared and consulted together and continued writing the work in accordance with suitable inscriptions, old documents, mawgun, royal orders, and daily records; here ends the fourth section of the second Maha Yazawin.</t>
  </si>
  <si>
    <t xml:space="preserve">vol2_fr024_s01_t02_b1506517ad16</t>
  </si>
  <si>
    <t xml:space="preserve">COMPILED_CHRONICLE_UNDER_AUTHORITY_OF</t>
  </si>
  <si>
    <t xml:space="preserve">vol2_fr024_s01_t03_508c6dc3d617</t>
  </si>
  <si>
    <t xml:space="preserve">Jetavana pavilion</t>
  </si>
  <si>
    <t xml:space="preserve">state historical production</t>
  </si>
  <si>
    <t xml:space="preserve">vol2_fr024_s01_t04_c7aab7fd2102</t>
  </si>
  <si>
    <t xml:space="preserve">Historical records</t>
  </si>
  <si>
    <t xml:space="preserve">SERVED_AS_BASIS_FOR</t>
  </si>
  <si>
    <t xml:space="preserve">dynastic legitimacy</t>
  </si>
  <si>
    <t xml:space="preserve">vol2_s003389</t>
  </si>
  <si>
    <t xml:space="preserve">vol2_s003389_t01_1f3147268c7f</t>
  </si>
  <si>
    <t xml:space="preserve">Maha Zeya Bo</t>
  </si>
  <si>
    <t xml:space="preserve">PLEDGED_SERVICE_TO</t>
  </si>
  <si>
    <t xml:space="preserve">Prince Tharrawaddy</t>
  </si>
  <si>
    <t xml:space="preserve">မြို့သူကြီး မဟာဇေယဗိုလ်မူကား အရှင့်အမှုတော်ကို သက်စွန့် ကြိုးပမ်း ထမ်းပါမည် ဝန်ခံ၍ သားငရွှေလှိုင်ကို အမှုထမ်း လူခြောက်ရာ စည်းကြပ်ပေးအပ် လိုက်ထမ်းစေရာ ကျွန်တော်မျိုးခေါင်း ပေါက္ကံဗိုလ် ငရွှေဦးနှင့် ငရွှေလှိုင်တို့ အမှုထမ်း လူတစ်ထောင့်နှစ်ရာကျော်ကို ချုပ်အုပ်ပြီးလျှင် ရတနာသိင်္ဃမြို့ က ချီထွက်ခဲ့၍ မြို့တောင် ဆီးတောအရပ်တွင် တပ်ချရပ်နေ၏။</t>
  </si>
  <si>
    <t xml:space="preserve">As for the town headman Maha Zeya Bo, he pledged to serve the royal duty with his life, and having organized and assigned his son Nga Shwe Hlaing with six hundred service men to serve, I, the headman [and] Pagan Bo Nga Shwe U, and Nga Shwe Hlaing, having taken control of over one thousand two hundred service men, marched out from Ratanasingha City and camped at the Htee Taw area south of the city.</t>
  </si>
  <si>
    <t xml:space="preserve">vol2_s003389_t02_dbee97dcb4cd</t>
  </si>
  <si>
    <t xml:space="preserve">ASSIGNED_SERVICE_UNIT_TO</t>
  </si>
  <si>
    <t xml:space="preserve">Nga Shwe Hlaing</t>
  </si>
  <si>
    <t xml:space="preserve">vol2_s003389_t03_4a3a147a07ad</t>
  </si>
  <si>
    <t xml:space="preserve">600 service men</t>
  </si>
  <si>
    <t xml:space="preserve">vol2_s003389_t04_a844d3d1885e</t>
  </si>
  <si>
    <t xml:space="preserve">Nga Shwe U and Nga Shwe Hlaing</t>
  </si>
  <si>
    <t xml:space="preserve">COMMANDED_COMBINED_FORCE</t>
  </si>
  <si>
    <t xml:space="preserve">1,200 service men</t>
  </si>
  <si>
    <t xml:space="preserve">vol2_s003389_t05_9edfedd45a6f</t>
  </si>
  <si>
    <t xml:space="preserve">OCCUPIED_STRATEGIC_LOCATION</t>
  </si>
  <si>
    <t xml:space="preserve">Htee Taw area</t>
  </si>
  <si>
    <t xml:space="preserve">The combined force's campsite is correct as an event, but ဆီးတော is Si Taw, not Htee Taw. Treat as a recoverable place-name transcription error rather than an invented deployment.</t>
  </si>
  <si>
    <t xml:space="preserve">Nga Shwe U and Nga Shwe Hlaing | OCCUPIED_STRATEGIC_LOCATION | Si Taw area</t>
  </si>
  <si>
    <t xml:space="preserve">vol2_s003390</t>
  </si>
  <si>
    <t xml:space="preserve">vol2_s003390_t01_db6bc6b6b087</t>
  </si>
  <si>
    <t xml:space="preserve">Htee Taw village</t>
  </si>
  <si>
    <t xml:space="preserve">Correct movement, but ဆီးတော is transcribed Htee Taw instead of Si Taw.</t>
  </si>
  <si>
    <t xml:space="preserve">Prince Tharrawaddy | MARCHED_TO | Si Taw village</t>
  </si>
  <si>
    <t xml:space="preserve">ညီတော် သာယာဝတီမင်းလည်း ထိုနေ့ အတွင်းဝန် နေမျိုးဗန္ဓုကျော်ကို စေလွှတ်ပြီးနောက် တစ်နာရီခန့် ရှိလျှင် လှတောကြီးရွာက ချီထွက်တော်မူခဲ့ရာ ညနေ သုံးချက်တီးအချိန် ဆီးတောရွာသို့ ဆိုက်ရောက်တော်မူ၍ ကြိုဆိုရှိနေသည့် ကျွန်တော်မျိုးခေါင်း ငရွှေဦးတပ်နှင့် ပေါင်းစည်းမိကြသည်တွင် ကျွန်တော်မျိုးခေါင်း ပေါက္ကံ ဗိုလ် ငရွှေဦးလည်း ရတနာသိင်္ဃမြို့ကို အလိုတော်ပြည့်၍ မြင်းတပ်ဗိုလ်ဆိုသူ ငရော ထွက်ပြေးကြောင်း၊ မြို့သူကြီး မဟာဇေယဗိုလ် အမှုတော်ကို ထမ်းရွက်ပါမည် ခံဝန်၍ သားငရွှေလှိုင်ကို အမှုထမ်း လူခြောက်ရာကျော် ခန့်ထား စည်းကြပ် ပေးအပ်ထမ်းရွက်စေကြောင်းများနှင့် လျှောက်ထားကြားသိတော်မူလျှင် ယင်းသည့် လပြည့်ကျော်ရှစ်ရက် နေ့ ရတနာသိင်္ဃမြို့ ကို သိမ်းယူတော်မူမည် အကြံတော်ရှိသည့်အတွင်း တင့်တယ်သိမ်မွေ့ သော ရဟန်းတစ်ဦးသည် နီမြန်းသော သင်္ကန်းကို ဝတ်ရုံ၍ ရှေ့တော်တူရူ ရပ်လာပြီးလျှင် မည်သည့်အရပ်သို့ သွားမည် မေးမြန်းရာ ရတနာ သိင်္ဃမြို့သို့ သွားမည် ပြောဆိုကာလ မရပ်မဆိုင်း ယခုနေ့ပင် ဝင်သွားရမည်- အလိုခပ်သိမ်းလည်း ပြီးပြည့်စုံမည် ဆို၍ ပြန်သွားသည့်နောက် ကြည့်မြင်တော်မူစဉ်အတွင်း ထိုရဟန်းလည်း ကွယ်ပျောက်လေ၏။</t>
  </si>
  <si>
    <t xml:space="preserve">The younger brother, King Tharrawaddy, after sending the Wundauk Nemyo Bandu Kyaw that day, marched out from Hla Taw Gyi village about an hour later, and upon arriving at Htee Taw village at the three-stroke time of the evening, he joined with the force of the headman Nga Shwe U who was there to welcome him; when the headman Pagan Bo Nga Shwe U reported that Ratanasingha City had been fulfilled according to [the King's] will, that the person called the cavalry commander Nga Yaw had fled, and that the town headman Maha Zeya Bo had pledged to serve the royal duty and had appointed, organized, and assigned his son Nga Shwe Hlaing with over six hundred service men to serve, while [the King] was intending to capture Ratanasingha City on that eighth day of the waning moon, a dignified and refined monk wearing a crimson robe stood before him and asked where he was going; when [the King] said he was going to Ratanasingha City, [the monk] said, 'Do not stop, you must enter this very day—all your wishes will be fulfilled,' and after he left, while [the King] was looking, that monk disappeared.</t>
  </si>
  <si>
    <t xml:space="preserve">vol2_s003390_t02_2b830c3cc678</t>
  </si>
  <si>
    <t xml:space="preserve">REPORTED_STATUS_TO</t>
  </si>
  <si>
    <t xml:space="preserve">vol2_s003390_t03_9c55f311c5f5</t>
  </si>
  <si>
    <t xml:space="preserve">DEFIED_AUTHORITY_BY</t>
  </si>
  <si>
    <t xml:space="preserve">The flight is true, but ငရော is Nga Yaw/Raw rather than Nga Nyo.</t>
  </si>
  <si>
    <t xml:space="preserve">Nga Yaw (Raw) | DEFIED_AUTHORITY_BY | fleeing</t>
  </si>
  <si>
    <t xml:space="preserve">vol2_s003390_t04_8c9fdbc846ba</t>
  </si>
  <si>
    <t xml:space="preserve">vol2_s003390_t05_a5ce11ba10f7</t>
  </si>
  <si>
    <t xml:space="preserve">INTENDED_CONQUEST_OF</t>
  </si>
  <si>
    <t xml:space="preserve">vol2_s003390_t06_23bcfe5db52e</t>
  </si>
  <si>
    <t xml:space="preserve">Mysterious Monk</t>
  </si>
  <si>
    <t xml:space="preserve">PROVIDED_DIVINE_LEGITIMATION_TO</t>
  </si>
  <si>
    <t xml:space="preserve">vol2_s003390_t07_4f8a55bceede</t>
  </si>
  <si>
    <t xml:space="preserve">divine support</t>
  </si>
  <si>
    <t xml:space="preserve">vol2_s003391</t>
  </si>
  <si>
    <t xml:space="preserve">vol2_s003391_t01_e48719e76362</t>
  </si>
  <si>
    <t xml:space="preserve">LINKED_LEGITIMACY_TO</t>
  </si>
  <si>
    <t xml:space="preserve">ယင်းသည့် အကြောင်းအရာကို ဆီးတောရွာအနီး စုံစမ်းမေးမြန်းရာ တစ်စုံတစ်ရာ ကျောင်းသင်္ခမ်း ရဟန်း သာမဏေ မတွေ့ မရှိသည်နှင့် ညီတော် သာယာဝတီမင်းလည်း ဘေးတော် အလောင်းမင်းတရားကြီးဘုရား အပြည်ပြည်ထောင်ကို လက်နက်နိုင်ငံ သိမ်းသွင်းတော်မူရာ ဖြစ်သော ရတနာသိင်္ဃမြို့ ကုန်းဘောင်ပြည်ကြီးကို ရှေးဦးမဆွ အလိုတော်ပြည့်၍ ရန်အပေါင်းကို အောင်မြင်တော်မူသဖြင့် သာသနာတော်ကို ချီးမြှင့်ပြုစုရအံ့သော အကြောင်းနိမိတ်ကို နတ်ကောင်းနတ်မြတ်တို့ ကူညီစောင်မ ညွှန်ပြသည် မချွတ်ဖြစ်သည်- ဖတ်ယူတော်မူပြီးလျှင် ယင်းသည့်နေ့ ညဉ့်လေးချက်တီးကျော်အချိန် မင်းမိဖုရား သားတော်သမီးတော် ကျွန်တော်မျိုး အမှုထမ်း ရဲမက် အပေါင်းတို့နှင့် မြို့တော် ရှေ့မျက်နှာ ဣန္ဒာတံခါးက ဝင်တော်မူ၍ မိဖုရားခေါင်ကြီး အရီးတော် ပေါင်းတည် မြို့စား နေရန် ဆောက်လုပ်ရှိသည့် တဲတော်တွင် စံနေတော်ပြီးလျှင် ရတနာသိင်္ဃမြို့ စီရင်စု လေးဆယ့်ခြောက်ခေါင်း မြင်းမြေကျေးရွာများက ဝင်ရောက် ထမ်းရွက်လာသည့် မြင်းခေါင်း မြင်းစီး သူကြီးကလန်တို့နှင့် စော်ဘွား, မြို့စား, မြို့ဝန်, စစ်ကဲတို့ကို ရှေးဦးစွာ ဗိုလ်ဝင်ခံတော်မူ၏။</t>
  </si>
  <si>
    <t xml:space="preserve">When he inquired about this matter near Htee Taw village and found no monastery, monk, or novice whatsoever, the younger brother, King Tharrawaddy, interpreted it as a sign that the good and noble spirits were helping, supporting, and pointing out that the Sasana would be promoted and maintained, just as his grandfather, the great Alaungmintaya, had first fulfilled his will and conquered all enemies in Ratanasingha City, the great Konbaung kingdom, which was the place where he had brought all the countries under his rule by force of arms; after reading this, at the time past the four-stroke time of the night of that same day, he entered through the Inda Gate on the front side of the city with the Queen, the princes, the princesses, and all the servants and soldiers, and after residing in the pavilion built for the Chief Queen, his aunt, the Princess of Paungde, to stay in, he first received the submission of the cavalry heads, cavalry riders, village headmen, and officials, as well as the Sawbwas, town governors, town ministers, and military commanders who had come in to serve from the forty-six cavalry head jurisdictions and horse-land villages of Ratanasingha City.</t>
  </si>
  <si>
    <t xml:space="preserve">vol2_s003391_t02_cf9a657f7890</t>
  </si>
  <si>
    <t xml:space="preserve">ENTERED_CAPITAL_WITH</t>
  </si>
  <si>
    <t xml:space="preserve">royal entourage and military force</t>
  </si>
  <si>
    <t xml:space="preserve">vol2_s003391_t03_d7e7495ee2ee</t>
  </si>
  <si>
    <t xml:space="preserve">ESTABLISHED_TEMPORARY_RESIDENCE_IN</t>
  </si>
  <si>
    <t xml:space="preserve">pavilion of Chief Queen</t>
  </si>
  <si>
    <t xml:space="preserve">The temporary residence is correctly identified as a royal pavilion, but it had been built for the chief queen's aunt, the Lady of Paungde, not simply for the chief queen herself.</t>
  </si>
  <si>
    <t xml:space="preserve">Prince Tharrawaddy | ESTABLISHED_TEMPORARY_RESIDENCE_IN | pavilion built for the chief queen's aunt, Lady of Paungde</t>
  </si>
  <si>
    <t xml:space="preserve">vol2_s003391_t04_31543dcb1393</t>
  </si>
  <si>
    <t xml:space="preserve">RECEIVED_SUBMISSION_FROM</t>
  </si>
  <si>
    <t xml:space="preserve">local officials</t>
  </si>
  <si>
    <t xml:space="preserve">vol2_s003391_t05_72a32a5d0e85</t>
  </si>
  <si>
    <t xml:space="preserve">Local officials</t>
  </si>
  <si>
    <t xml:space="preserve">SUBMITTED_TO</t>
  </si>
  <si>
    <t xml:space="preserve">vol3</t>
  </si>
  <si>
    <t xml:space="preserve">vol3_s000001</t>
  </si>
  <si>
    <t xml:space="preserve">vol3_s000001_t01_31defc210ae0</t>
  </si>
  <si>
    <t xml:space="preserve">Sawbwa of Mong Leng Gyi</t>
  </si>
  <si>
    <t xml:space="preserve">REQUESTED_RELIGIOUS_PATRONAGE_FROM</t>
  </si>
  <si>
    <t xml:space="preserve">Shwebo King</t>
  </si>
  <si>
    <t xml:space="preserve">တတိယတွဲ အမရပူရ ဒုတိယမြို့ တည်နန်းတည် ရွှေဘိုမင်းတရားကြီး ၁၂၀၃- ခု မိုင်းလျဉ်းကြီးစော်ဘွားကို ရုပ်ပွားတော်နှင့် ပိဋကတ်တော်များ ပေးခြင်း စသည်နှင့် ဥက္ကလာပသို့ ထွက်တော်မူရန် စီစဉ်ခြင်း သက္ကရာဇ် (၁၂ဝ၃) တစ်ထောင့်နှစ်ရာ့သုံးခုနှစ် တွင် မိုင်းလျဉ်းကြီးစော်ဘွား ခေမာရဋ္ဌ မဟာနဂရပဝရရာဇာက မြတ်စွာဘုရား ရုပ်ပွားဆင်းတုတော်, ပိဋကတ်စာများကို ကိုးကွယ်လိုကြောင်းနှင့် အမတ်ကြီးတို့ကို စေလွှတ် လျှောက်ထားလာရာ ဆဒ္ဒန်ဆင်မင်းသခင် ဘဝရှင် မင်းတရားကြီးဘုရားလည်း သာသနာတော် အရောင်အဝါ မညှိုးမနွမ်း တညီတညွတ်တည်း ပျံ့နှံ့ထွန်းလင်းတိုးပွားရန် အကြောင်းဖြစ်သည်ကို နှလုံးသွင်းတော်မူ၍ မြတ်စွာဘုရား ရုပ်ပွားတော်, ပိဋကတ်စာများကို ဆောင်ယူကိုးကွယ်စေ၏။</t>
  </si>
  <si>
    <t xml:space="preserve">Volume 3: The Shwebo King, who established the second city of Amarapura, in the year 1203, giving Buddha images and Pitaka scriptures to the Sawbwa of Mong Leng Gyi, and planning to depart for Okkalapa. In the year 1203 (one thousand two hundred and three), the Sawbwa of Mong Leng Gyi, Khemaraṭṭha Mahānagarapavararājā, sent ministers to submit a request stating that he wished to worship Buddha images and Pitaka scriptures; the Lord of the Saddan Elephant, the Sovereign King, bearing in mind that this would be a cause for the radiance of the Sāsana to spread, shine, and increase in unity without fading, caused [him] to take and worship the Buddha images and Pitaka scriptures.</t>
  </si>
  <si>
    <t xml:space="preserve">vol3_s000001_t02_36f288d51926</t>
  </si>
  <si>
    <t xml:space="preserve">GRANTED_RELIGIOUS_OBJECTS_TO</t>
  </si>
  <si>
    <t xml:space="preserve">vol3_s000001_t03_d2f8328c6de7</t>
  </si>
  <si>
    <t xml:space="preserve">LEGITIMIZED_PATRONAGE_AS</t>
  </si>
  <si>
    <t xml:space="preserve">SPREADING_SASANA</t>
  </si>
  <si>
    <t xml:space="preserve">vol3_s000002</t>
  </si>
  <si>
    <t xml:space="preserve">vol3_s000002_t01_b9d6c90812a4</t>
  </si>
  <si>
    <t xml:space="preserve">BESTOWED_REGALIA_AND_ELEPHANTS_ON</t>
  </si>
  <si>
    <t xml:space="preserve">မိုင်းလျဉ်းကြီးစော်ဘွားကိုလည်း ဆင်ပေါက် နှစ်၊ ဆင်မတစ်များနှင့် အဆောင်အယောင် ကြီးကျယ်စွာ ပေးတော်မူ၏။</t>
  </si>
  <si>
    <t xml:space="preserve">He also bestowed upon the Sawbwa of Mong Leng Gyi two young elephants, one female elephant, and grand regalia.</t>
  </si>
  <si>
    <t xml:space="preserve">vol3_s000003</t>
  </si>
  <si>
    <t xml:space="preserve">vol3_s000003_t01_897f29cda2da</t>
  </si>
  <si>
    <t xml:space="preserve">APPOINTED_AS_GOVERNOR_OF_MONGLENGGYI</t>
  </si>
  <si>
    <t xml:space="preserve">Sawbwa's son</t>
  </si>
  <si>
    <t xml:space="preserve">ကျမိုင်း designates the sawbwa's heir/deputy succession position, not appointment as the ruler/governor of Mong Leng Gyi. His father remains the sawbwa in this passage, and the son is retained for service at court.</t>
  </si>
  <si>
    <t xml:space="preserve">Shwebo King | APPOINTED_AS_HEIR_OF_MONGLENGGYI | Sawbwa's son</t>
  </si>
  <si>
    <t xml:space="preserve">စော်ဘွားသား ခေမာရဋ္ဌ မဟာဝံသရာဇာကိုလည်း မိုင်းလျဉ်းကြီးမြို့ ကျမိုင်း ခန့်တော်မူ၍ ရွှေစက် တော်ရင်းတွင် မြဲစွဲ ထမ်းရွက်စေ၏။</t>
  </si>
  <si>
    <t xml:space="preserve">He also appointed the Sawbwa's son, Khemaraṭṭha Mahāvaṃsarājā, as the governor of Mong Leng Gyi city and caused him to serve firmly at the foot of the Royal Footprint.</t>
  </si>
  <si>
    <t xml:space="preserve">vol3_s000003_t02_ea7f51150720</t>
  </si>
  <si>
    <t xml:space="preserve">BOUND_TO_SERVICE_OF</t>
  </si>
  <si>
    <t xml:space="preserve">vol3_s000004</t>
  </si>
  <si>
    <t xml:space="preserve">vol3_s000004_t01_b2bd59705fea</t>
  </si>
  <si>
    <t xml:space="preserve">Bhamo Queen's family</t>
  </si>
  <si>
    <t xml:space="preserve">REQUESTED_RETURN_TO</t>
  </si>
  <si>
    <t xml:space="preserve">ထိုသက္ကရာဇ်အတွင်း အာသံတိုင်းပြည်တွင် ရှိနေသည့် ဗန်းမော်မိဖုရား အမိ, သား တပန်းရာဇာညီတို့ ရွှေဖဝါးတော်အောက်သို့ လာလိုသည်ကို အမိန့်တော်နှင့် မိုးကောင်းမြို့ဝန်က လက်နက်သေနတ် လူသူ အကြီးအကြပ် သင့်ရာ ခန့်ထား ကြိုယူစေပြီးလျှင် ရွှေဖဝါးတော်အောက်သို့ ပို့ရောက်သည်ကို ၎င်းနှစ် တန်ခူးလပြည့်ကျော် တစ်ဆယ့်နှစ်ရက်- နေ့ သမီး ဗန်းမော်မြို့ စားမိဖုရား သီရိအတုလ မဟာရတနာဒေဝီကို လှေတော် လှေလောင်း သင့်ရာ မှူးမတ်အရာရှိတို့နှင့် မင်းကွန်းရောက် ကြိုယူစေ၍ ၎င်းနေ့ သမီး-မိဖုရားနှင့်အတူ ရွှေနန်းတော်သို့ အဖူးအမြော် ဝင်ရသည်။</t>
  </si>
  <si>
    <t xml:space="preserve">Within that same year, the mother of the Bhamo Queen and her son, the younger brother of Tapanraja, who were in the Assam country, wished to come under the Royal Foot [the King's protection]; by royal order, the Wun of Mogaung city was commanded to appoint appropriate weapons, firearms, and personnel to go and fetch them, and after they were sent and arrived under the Royal Foot, on the twelfth day of the waning moon of Tagu of that same year, the daughter, the Bhamo city-eating Queen Siri Atula Mahāratanādevī, was fetched by royal boats and suitable vessels, along with ministers and officials, to Minkun, and on that same day, she entered the Golden Palace to pay homage together with the daughter-Queen.</t>
  </si>
  <si>
    <t xml:space="preserve">vol3_s000004_t02_8992183a47bf</t>
  </si>
  <si>
    <t xml:space="preserve">ORDERED_LOGISTICAL_RECOVERY_OF</t>
  </si>
  <si>
    <t xml:space="preserve">vol3_s000004_t03_71276be7fa6a</t>
  </si>
  <si>
    <t xml:space="preserve">Wun of Mogaung</t>
  </si>
  <si>
    <t xml:space="preserve">EXECUTED_RECOVERY_OF</t>
  </si>
  <si>
    <t xml:space="preserve">vol3_s000004_t04_3e3dbe403731</t>
  </si>
  <si>
    <t xml:space="preserve">Bhamo Queen</t>
  </si>
  <si>
    <t xml:space="preserve">SUBMITTED_HOMAGE_TO</t>
  </si>
  <si>
    <t xml:space="preserve">vol3_s000005</t>
  </si>
  <si>
    <t xml:space="preserve">vol3_s000005_t01_0de47821da26</t>
  </si>
  <si>
    <t xml:space="preserve">ARRANGED_RESIDENCE_FOR</t>
  </si>
  <si>
    <t xml:space="preserve">Mother of Bhamo Queen</t>
  </si>
  <si>
    <t xml:space="preserve">နောက် ဗန်းမော်မိဖုရားအမိကို သမီးမိဖုရားဝန်အိမ်တွင် နေစေသည်။</t>
  </si>
  <si>
    <t xml:space="preserve">Afterwards, the mother of the Bhamo Queen was made to stay at the residence of the daughter-Queen's minister.</t>
  </si>
  <si>
    <t xml:space="preserve">vol3_s000006</t>
  </si>
  <si>
    <t xml:space="preserve">vol3_s000006_t01_4ac2e63dddeb</t>
  </si>
  <si>
    <t xml:space="preserve">Tapanraja's brother</t>
  </si>
  <si>
    <t xml:space="preserve">မောင် တပန်းရာဇာညီကိုလည်း မင်းရဲဇေယရာဇာ’အမည်နှင့် မိုးကောင်းမြို့ အဝင် မော်လူးမြို့ ကို မြို့စားပေးတော်မူ၏။</t>
  </si>
  <si>
    <t xml:space="preserve">He also bestowed upon the younger brother of Tapanraja the title of Minye Zeyaraza and gave him Mawlu city, which is under Mogaung city, as a fief.</t>
  </si>
  <si>
    <t xml:space="preserve">vol3_s000006_t02_261adc828e18</t>
  </si>
  <si>
    <t xml:space="preserve">APPOINTED_AS_GOVERNOR_OF_MAWLU</t>
  </si>
  <si>
    <t xml:space="preserve">vol3_s000006_t03_3165741583c8</t>
  </si>
  <si>
    <t xml:space="preserve">Mawlu</t>
  </si>
  <si>
    <t xml:space="preserve">PLACED_UNDER_JURISDICTION_OF</t>
  </si>
  <si>
    <t xml:space="preserve">vol3_s000007</t>
  </si>
  <si>
    <t xml:space="preserve">vol3_s000007_t01_d68a1d48b8a5</t>
  </si>
  <si>
    <t xml:space="preserve">Prince of Pakhan</t>
  </si>
  <si>
    <t xml:space="preserve">SUPERVISED_CONSTRUCTION_OF</t>
  </si>
  <si>
    <t xml:space="preserve">Canal</t>
  </si>
  <si>
    <t xml:space="preserve">မြစ်လောင်း ဥယျာဉ်တော်အထက် မြစ်ငယ်ကသည် တောင်သမန်အင်းရောက် သားတော်ပုခန်းမင်း ကြီးကြပ် တူးဖောက်စေသည့် မြောင်းကို ၎င်းနှစ် နယုန်လဆန်း တစ်ဆယ့်တစ်ရက် နေ့ ဘဝရှင် မင်းတရားကြီးဘုရား ထွက်တော်မူ၍ ကြည့်တော်မူသည်။</t>
  </si>
  <si>
    <t xml:space="preserve">On the eleventh day of the waxing moon of Nayon of that same year, the Sovereign King departed and inspected the canal that ran from the Myitnge river above the Myitlaung royal garden to the Taungthaman lake, which had been excavated under the supervision of his son, the Prince of Pakhan.</t>
  </si>
  <si>
    <t xml:space="preserve">vol3_s000007_t02_aad2cba79031</t>
  </si>
  <si>
    <t xml:space="preserve">INSPECTED_PUBLIC_WORKS_OF</t>
  </si>
  <si>
    <t xml:space="preserve">vol3_s000435</t>
  </si>
  <si>
    <t xml:space="preserve">vol3_s000435_t01_f8a846e1c5a2</t>
  </si>
  <si>
    <t xml:space="preserve">Great King</t>
  </si>
  <si>
    <t xml:space="preserve">ORDAINED</t>
  </si>
  <si>
    <t xml:space="preserve">Shin Uttama and eight novices</t>
  </si>
  <si>
    <t xml:space="preserve">တရားနာတော်မူပြီးဆုံးတွင် မဟာဝိဇယာရာမတိုက်တော်နေ ရှင်ဥတ္တမနှင့် သာမဏေ ရှစ်ပါးကို ပရိက္ခရာရှစ်ပါး ရဟန်းအသုံးအဆောင်များနှင့် ပဉ္စင်းခံတော်မူ၏၊ သင်္ကန်းအချုပ်အလုပ် အဖွပ်အဆိုး လူတစ်ထောင့်နှစ်ရာကျော်ကိုလည်း ပုဆိုးခေါင်းပေါင်းအုပ်တစ်စီ ပေးဝေတော်မူသည်။</t>
  </si>
  <si>
    <t xml:space="preserve">Upon the conclusion of the sermon, [the King] ordained Shin Uttama, who resided at the Maha Vijayarama monastery, and eight novices, providing them with the eight monastic requisites and monk's utensils; he also distributed one set of a sarong and headcloth to each of the more than 1,200 people who had performed the sewing, washing, and dyeing of the robes.</t>
  </si>
  <si>
    <t xml:space="preserve">vol3_s000435_t02_91e1880f935a</t>
  </si>
  <si>
    <t xml:space="preserve">1200 service personnel</t>
  </si>
  <si>
    <t xml:space="preserve">vol3_s000436</t>
  </si>
  <si>
    <t xml:space="preserve">vol3_s000436_t01_d6d9a6f1b202</t>
  </si>
  <si>
    <t xml:space="preserve">EXPENDED_RESOURCES_ON</t>
  </si>
  <si>
    <t xml:space="preserve">monastic donation project</t>
  </si>
  <si>
    <t xml:space="preserve">သင်္ကန်းချုပ်သည့် ပိတ်အုပ် ပေါင်း သုံးထောင့်လေးရာလေးဆယ့်ခြောက်၊ ချုပ်ချည်လုံးပေါင်း နှစ်သောင်းငါးထောင့်ခြောက်ရာ၊ ပိန္နဲချိန် တစ်သောင်း ကိုးထောင့် ခွက်လေးဆယ့် ကျပ်ငါးဆယ်၊ ချဉ်မှုန့်အချင့်သုံးရာ၊ သပိတ်ဆွမ်းစမဲဟင်းလျာဖိုး ငွေတော် သပြာ တစ်ထောင့်ငါးရာကျော် ကုန်သောဟူ၏။</t>
  </si>
  <si>
    <t xml:space="preserve">It is said that the total expenditure was 3,446 bolts of cloth for sewing robes, 25,600 spools of sewing thread, 19,040 kyats and 50 pyas of jackfruit wood [dye], 300 measures of sour powder, and over 1,500 silver tapyas for the cost of alms-food and side dishes.</t>
  </si>
  <si>
    <t xml:space="preserve">vol3_s000437</t>
  </si>
  <si>
    <t xml:space="preserve">vol3_s000437_t01_550b7941cfea</t>
  </si>
  <si>
    <t xml:space="preserve">EXERCISED_RITUAL_AUTHORITY_AT</t>
  </si>
  <si>
    <t xml:space="preserve">Sipa monastery</t>
  </si>
  <si>
    <t xml:space="preserve">ထိုနှစ် နတ်တော်လပြည့်ကျော် နှစ်ရက်ခံ နေ့ စစ်ကိုင်းမြို့ စည်ပါတိုက်သို့ အလှူအတန်း အဖူးအမြော် ဘဝရှင် မင်းတရားကြီးဘုရား မင်းမိဖုရား မင်းညီမင်းသား မှူးတော်မတ်တော်တို့ ခြံရံ၍ ကြည်းတပ်ရေတပ် အခင်း အကျင်းများနှင့် ထွက်တော်မူပြီးလျှင် စည်ပါတိုက်တွင် သီတင်းသုံးနေသည့် ရဟန်း သံဃာတော်တို့ကို ဖယောင်းတိုင်, ကွမ်းသီး, ဆွမ်းဆန်, ငါးသိုင်း, ငါးခြောက်, ဆီ, ဆား, ငါးပိမှ စ၍ လှူဒါန်းတော်မူ၏။</t>
  </si>
  <si>
    <t xml:space="preserve">On the second day after the full moon of Natdaw of that year, the Lord of Life, the Great King, accompanied by the Queen, princes, and ministers, traveled to the Sipa monastery in Sagaing city with land and naval formations for the purpose of making offerings and paying respects, and he offered items including candles, betel nuts, rice for alms, featherback fish, dried fish, oil, salt, and shrimp paste to the monks residing at the Sipa monastery.</t>
  </si>
  <si>
    <t xml:space="preserve">vol3_s000437_t02_584521642704</t>
  </si>
  <si>
    <t xml:space="preserve">OFFERED_PROVISIONS_TO</t>
  </si>
  <si>
    <t xml:space="preserve">Sipa monastery monks</t>
  </si>
  <si>
    <t xml:space="preserve">vol3_s000438</t>
  </si>
  <si>
    <t xml:space="preserve">vol3_s000438_t01_f575574316e2</t>
  </si>
  <si>
    <t xml:space="preserve">Lord of Sale</t>
  </si>
  <si>
    <t xml:space="preserve">ADVISED_KING_ON</t>
  </si>
  <si>
    <t xml:space="preserve">state governance</t>
  </si>
  <si>
    <t xml:space="preserve">သက္ကရာဇ် (၁၂၁၃) တစ်ထောင့်နှစ်ရာ့တစ်ဆယ့်သုံးခု သီတင်းကျွတ် လပြည့်ကျော်ငါးရက်နေ့ ညဉ့်နှစ်ချက် တီးကျော်အချိန် စက်တော်ခေါ်တော်မူစဉ် စလေမြို့ စား ဝန်ကြီးဟောင်း ဝတ်ဖြူစင်ကြယ်နှင့် ခြေရင်းတော်သို့ လာပြီးလျှင် တိုင်းပြည်ကို ကြည့်ရှုတော်မူပါ လျှောက်ထားသည်၊ မည်သို့ကြည့်ရှုရမည် မေးတော်မူရာ မြောက် စမုတ်တော်တွင် ရုပ်စုံပွဲခံ၍ ကြည့်တော်မူလျှင် သိတော်မူပါမည် တင်လျှောက်သည့်အတွင်း နိုးတော်မူသည်။</t>
  </si>
  <si>
    <t xml:space="preserve">In the year 1213, on the fifth day after the full moon of Thadingyut, while he was sleeping past the time of the second bell at night, the former minister, the Lord of Sale, came to his feet dressed in pure white and requested that he look after the country; when [the King] asked how he should look after it, [the Lord of Sale] submitted that if he held a puppet show at the northern pavilion and watched it, he would know, and [the King] then awoke.</t>
  </si>
  <si>
    <t xml:space="preserve">vol3_s000439</t>
  </si>
  <si>
    <t xml:space="preserve">vol3_s000439_t01_bbbd8ca04b1b</t>
  </si>
  <si>
    <t xml:space="preserve">City Governor Nga Paing That</t>
  </si>
  <si>
    <t xml:space="preserve">ABUSED_ADMINISTRATIVE_POWER</t>
  </si>
  <si>
    <t xml:space="preserve">legal interrogation process</t>
  </si>
  <si>
    <t xml:space="preserve">နောက် တန်ဆောင်မုန်းလဆန်း ခြောက်ရက် နေ့ ရုပ်စုံပွဲခံ၍ ကြည့်တော်မူရာ မြို့ဝန်ခန့်ထားသူ ငပိုင်သတ်သည် နာခံငရွှေရသမီးပြုလုပ်သူ မိနှစ်ကို ရွှေနားချောင်းမှုနှင့် လက်မထောက်တန်းမှာ ချုပ်ထားရာက လွှတ်ပြီးလျှင် နန်းတော် အနောက်အတွင်း စံကားမိဖုရားအဆောင်မှာ ဝင်ထွက်၍ ရွှေဖလားကို ခိုးယူသောကြောင့် ရှေ့ ရုံးသို့အပ်၍ စစ်ကြောသည်ကို မဟုတ်မမှန် စစ်ချက်ရေးပြီးလျှင် ရွှေနန်းတော် အနောက် အတွင်း စစ်ချက်ထွက်ပေါ်သည်ဆို၍ အတွင်းတော်မှာ မတိုင်မကြား အလျောက် ဖမ်းဆီးသည်ကို ပွဲကြည့်တော်မူသည့်အတွင်း ကြားသိတော်မူ၍ မြို့ဝန် ငပိုင်သတ်နှင့် မြို့ စာရေးငပိန်တို့ကို မေးတော်မူရာ မတိုင်မပြော ခေါ်ကြောင်းကို ထွက်ဆိုသည်။</t>
  </si>
  <si>
    <t xml:space="preserve">Later, on the sixth day of the waxing moon of Tazaungmon, while he was watching a puppet show, [he learned that] the city governor appointee, Nga Paing That, had released Mi Nit, who acted as the daughter of the Na-khan Nga Shwe Ya, from being detained at the thumb-support stocks for a gold earring case, and because she had entered and exited the Sanda Queen's quarters in the inner west of the palace and stolen a gold cup, he had handed her over to the front court for interrogation, but after writing a false interrogation report and claiming that the testimony had emerged from within the inner west of the golden palace, he had arrested her on his own authority without reporting it to the inner court; upon hearing this while watching the show, [the King] questioned the city governor Nga Paing That and the city clerk Nga Pein, who testified that they had summoned her without reporting it.</t>
  </si>
  <si>
    <t xml:space="preserve">vol3_s000439_t02_e5ad879e90f9</t>
  </si>
  <si>
    <t xml:space="preserve">CIRCUMVENTED_ROYAL_AUTHORITY</t>
  </si>
  <si>
    <t xml:space="preserve">inner court reporting</t>
  </si>
  <si>
    <t xml:space="preserve">vol3_s000439_t03_66f770028603</t>
  </si>
  <si>
    <t xml:space="preserve">INVESTIGATED_MALPRACTICE_OF</t>
  </si>
  <si>
    <t xml:space="preserve">vol3_s000440</t>
  </si>
  <si>
    <t xml:space="preserve">vol3_s000440_t01_f22c9380d48d</t>
  </si>
  <si>
    <t xml:space="preserve">City Governor Nga Paing That and accomplices</t>
  </si>
  <si>
    <t xml:space="preserve">OPPRESSED</t>
  </si>
  <si>
    <t xml:space="preserve">citizens</t>
  </si>
  <si>
    <t xml:space="preserve">နောက် ၎င်းတို့ မဟုတ်မမှန် ပြည်သူပြည်သားတို့ကို ညှဉ်းပန်းနှိပ်စက် ကြေးငွေစားယူ ထောင်တွင် သတ်ဖြတ်ပြုကျင့်ကြောင်းများကို အလုံးစုံ သိတော်မူ၍ မြို့ဝန်ငပိုင်သတ်နှင့် လျှပ်ဖြတ်ဆိုးသွမ်းရာပါသူ မြို့စာရေး ငပိန်, တံခါးနီမှူး ငရွှေဘော်, ဈေးခေါင်းငမှုန်, တန်းခေါင်းငရှင်ကလေး, ငကျားကြီး, ငကြံတို့ကို လွှတ်တော်က မေးမြန်းစေ၍ စာဆက်သွင်းချက် အတိုင်း နတ်တော်လပြည့်ကျော် ခုနစ်ရက်နေ့ ကွပ်မျက်တော်မူ၏။</t>
  </si>
  <si>
    <t xml:space="preserve">Later, having learned in full that they had falsely oppressed and tortured the citizens, taken bribes, and killed people in prison, [the King] had the Hluttaw interrogate the city governor Nga Paing That and his accomplices in the wicked acts—the city clerk Nga Pein, the Red Gate Chief Nga Shwe Baw, the Market Chief Nga Hmun, the Ward Chief Nga Shin Gale, Nga Kya Gyi, and Nga Kyan—and, in accordance with the submitted report, had them executed on the seventh day after the full moon of Natdaw.</t>
  </si>
  <si>
    <t xml:space="preserve">vol3_s000440_t02_febe42c42cf9</t>
  </si>
  <si>
    <t xml:space="preserve">Hluttaw</t>
  </si>
  <si>
    <t xml:space="preserve">INTERROGATED</t>
  </si>
  <si>
    <t xml:space="preserve">corrupt officials</t>
  </si>
  <si>
    <t xml:space="preserve">vol3_s000440_t03_f8121206068c</t>
  </si>
  <si>
    <t xml:space="preserve">vol3_s000529</t>
  </si>
  <si>
    <t xml:space="preserve">vol3_s000529_t01_d1c173a22547</t>
  </si>
  <si>
    <t xml:space="preserve">Princes</t>
  </si>
  <si>
    <t xml:space="preserve">DEPARTED_WITH_ESCORT_OF</t>
  </si>
  <si>
    <t xml:space="preserve">Senior_Officials_and_Commanders</t>
  </si>
  <si>
    <t xml:space="preserve">ကျုံးထိပ်သို့ရောက်လျှင် ရှေ့နောက်ဝဲယာ ကျွန်တော်မျိုးတို့ကို အကြီးတော်, အကြီးစာရေး, အကြီးအအုပ်နှင့် စည်းကြပ်၍ ထွက်တော်မူသည်။</t>
  </si>
  <si>
    <t xml:space="preserve">Upon reaching the edge of the moat, [the Prince] departed with us, the servants, arranged in front, behind, left, and right, under the supervision of the senior officials, senior clerks, and senior commanders.</t>
  </si>
  <si>
    <t xml:space="preserve">vol3_s000530</t>
  </si>
  <si>
    <t xml:space="preserve">vol3_s000530_t01_b83a0a7c813f</t>
  </si>
  <si>
    <t xml:space="preserve">North_Outer_City_Gate_Commander_Nga_Shwe_Ye</t>
  </si>
  <si>
    <t xml:space="preserve">ATTEMPTED_TO_BLOCK</t>
  </si>
  <si>
    <t xml:space="preserve">Princes_Flight</t>
  </si>
  <si>
    <t xml:space="preserve">Nga Shwe Ye's armed obstruction is correct, but မြောက်ပြင်ထောင်မှူး identifies the north-side prison chief, not a city-gate commander.</t>
  </si>
  <si>
    <t xml:space="preserve">North-side prison chief Nga Shwe Ye | ATTEMPTED_TO_BLOCK | Princes' flight</t>
  </si>
  <si>
    <t xml:space="preserve">မဟာမုနိဘုရားကြီးရောက် လမ်းတစ်လျှောက် မြောက်ပြင်ထောင်မှူး ငရွှေရဲနှင့် ကင်းများက သေနတ်ပစ်ဖောက် တားဆီးသည်ကို ကျွန်တော်မျိုးတို့ သေနတ် ဓားလှံများကို သိမ်းယူခဲ့ရသည်။</t>
  </si>
  <si>
    <t xml:space="preserve">Along the way to the Mahamuni Pagoda, the North Outer City Gate Commander Nga Shwe Ye and the guards fired guns to block [the path], so we had to seize their guns, swords, and spears.</t>
  </si>
  <si>
    <t xml:space="preserve">vol3_s000530_t02_b6d702a5e65f</t>
  </si>
  <si>
    <t xml:space="preserve">Princes_Party</t>
  </si>
  <si>
    <t xml:space="preserve">SEIZED_WEAPONS_FROM</t>
  </si>
  <si>
    <t xml:space="preserve">Gate_Guards</t>
  </si>
  <si>
    <t xml:space="preserve">vol3_s000531</t>
  </si>
  <si>
    <t xml:space="preserve">vol3_s000531_t01_53a51ab841ba</t>
  </si>
  <si>
    <t xml:space="preserve">Local_Supporter</t>
  </si>
  <si>
    <t xml:space="preserve">OFFERED_HORSE_TO</t>
  </si>
  <si>
    <t xml:space="preserve">Prince</t>
  </si>
  <si>
    <t xml:space="preserve">ရွာဟိုင်းဈေးလမ်းသို့ ရောက်ကာလ လူတစ်ဦးက မြင်းဘောင်းဝတ်တစ်စီး ဆက်လာ သည်ကို ရွှေစက်တော်တင်၍ ထွက်တော်မူသည်။</t>
  </si>
  <si>
    <t xml:space="preserve">When [the party] reached the Ywa Haing market road, a person offered a horse with a saddle, which [the Prince] mounted and departed.</t>
  </si>
  <si>
    <t xml:space="preserve">vol3_s000532</t>
  </si>
  <si>
    <t xml:space="preserve">vol3_s000532_t01_c85469f023d9</t>
  </si>
  <si>
    <t xml:space="preserve">Nga_Min</t>
  </si>
  <si>
    <t xml:space="preserve">JOINED_AND_SERVED</t>
  </si>
  <si>
    <t xml:space="preserve">ရွှေတချောင်း မြောင်းရိုး လမ်းတစ်လျှောက်များမှလည်း မြေဒူး မိဖုရား အကြီးစာရေးဟောင်း ငမင်းနှင့် လူငါး၊ ငသိုင်းနှင့် လူသုံး၊ ရွှေခဲကြီး ငဘိုးမောင်နှင့် မြင်းငါးစီး, သေနတ် တစ်လက်, လူတစ်ဆယ်ကျော်၊ ငဝိုင်းနှင့် လူတစ်ဆယ်ကျော်၊ သေနတ်တစ်ဆယ်များနှင့် ဝင်ရောက် ထမ်းရွက်သည်။</t>
  </si>
  <si>
    <t xml:space="preserve">Along the Shwe Ta Chaung canal route, [the party] was joined by the former senior clerk of the Myedu Queen, Nga Min, with five men; Nga Thaing with three men; Shwe Khe Gyi Nga Bo Maung with five horses, one gun, and over ten men; and Nga Waing with over ten men and ten guns, who entered to serve.</t>
  </si>
  <si>
    <t xml:space="preserve">vol3_s000532_t02_959a624ee257</t>
  </si>
  <si>
    <t xml:space="preserve">Nga_Thaing</t>
  </si>
  <si>
    <t xml:space="preserve">vol3_s000532_t03_d9f63f9ef1f8</t>
  </si>
  <si>
    <t xml:space="preserve">Shwe_Khe_Gyi_Nga_Bo_Maung</t>
  </si>
  <si>
    <t xml:space="preserve">JOINED_AND_SERVED_WITH_RESOURCES</t>
  </si>
  <si>
    <t xml:space="preserve">vol3_s000532_t04_892bb5965c41</t>
  </si>
  <si>
    <t xml:space="preserve">Nga_Waing</t>
  </si>
  <si>
    <t xml:space="preserve">vol3_s000533</t>
  </si>
  <si>
    <t xml:space="preserve">vol3_s000533_t01_363ec5d77fce</t>
  </si>
  <si>
    <t xml:space="preserve">Nga_Hmat_Gyi</t>
  </si>
  <si>
    <t xml:space="preserve">FACILITATED_ENTRY_TO</t>
  </si>
  <si>
    <t xml:space="preserve">Madaya_Town</t>
  </si>
  <si>
    <t xml:space="preserve">မတ္တရာမြို့ သို့ အလျင် စေလွှတ်လူ ငမှတ်ကြီးလည်း ဆွေသားမျိုးသား လူတစ်ဆယ်ကျော်နှင့် မြို့တံခါးကို ဆီးကြို ဖွင့်ပေး၍ ဝင်တော်မူပြီးလျှင် မတ္တရာမြို့ ရုံးသို့ တက်၍ စံနေတော်မူ၏။</t>
  </si>
  <si>
    <t xml:space="preserve">Nga Hmat Gyi, the man sent ahead to Madaya town, also met [the party] with over ten relatives and kin, opened the town gate, and after [the Prince] entered, he went up to the Madaya town office and resided there.</t>
  </si>
  <si>
    <t xml:space="preserve">vol3_s000533_t02_a4a6dfb99d28</t>
  </si>
  <si>
    <t xml:space="preserve">Madaya_Town_Office</t>
  </si>
  <si>
    <t xml:space="preserve">vol3_s000534</t>
  </si>
  <si>
    <t xml:space="preserve">vol3_s000534_t01_d7012df1e288</t>
  </si>
  <si>
    <t xml:space="preserve">Brahmin_Minister_Nga_Kular</t>
  </si>
  <si>
    <t xml:space="preserve">REPORTED_FLIGHT_TO</t>
  </si>
  <si>
    <t xml:space="preserve">Golden_Palace</t>
  </si>
  <si>
    <t xml:space="preserve">ထိုအခါ ပုဏ္ဏားဝန် အောင်ပင်လယ်လမိုင်းဝန် ငကုလားလည်း ယင်းသည့်နေ့ ညဉ့်လေးချက်တီးကျော် လေးမောင်းခန့်အချိန် မင်းတုန်းမင်း နောင်တော်, ညီတော်, သားမယား ကျေးကျွန်တို့နှင့် လေးကျွန်းတံခါးဗိုလ် ငဘိုးခေါင်ကို သတ်ဖြတ်ထွက်သွားကြောင်းများကို ရွှေနန်းတော်မှာ လျှောက်ထားလာ၏။</t>
  </si>
  <si>
    <t xml:space="preserve">At that time, the Brahmin Minister and Aung Pinle Lamine Minister Nga Kular also reported to the Golden Palace that on that same night, at approximately four hours past midnight, Prince Mindon, his elder brother, younger brother, wives, children, and servants had killed the Four Islands Gate Commander Nga Bo Khaung and departed.</t>
  </si>
  <si>
    <t xml:space="preserve">vol3_s000535</t>
  </si>
  <si>
    <t xml:space="preserve">vol3_s000535_t01_08744300994b</t>
  </si>
  <si>
    <t xml:space="preserve">DISPATCHED_HERALD_TO_VERIFY_PRESENCE_OF</t>
  </si>
  <si>
    <t xml:space="preserve">Prince_Mindon</t>
  </si>
  <si>
    <t xml:space="preserve">ဆဒ္ဒန်ဆင်မင်းသခင် ဘဝရှင်မင်းတရားကြီးဘုရားလည်း ညီတော်မင်းတုန်းမင်း ပါ မပါများကို အိမ်တော်သို့ ဗြဲတိုက်သံဆင့် ငထွန်းအောင်ကို စေလွှတ်ကြည့်ရ၏။</t>
  </si>
  <si>
    <t xml:space="preserve">The Lord of the Saddan Elephant, the Sovereign King, also sent the Royal Court Herald Nga Htun Aung to the residence to see whether or not the younger brother, Prince Mindon, was present.</t>
  </si>
  <si>
    <t xml:space="preserve">vol3_s000536</t>
  </si>
  <si>
    <t xml:space="preserve">vol3_s000536_t01_aa02a3840840</t>
  </si>
  <si>
    <t xml:space="preserve">Taung Dawei Commander</t>
  </si>
  <si>
    <t xml:space="preserve">ပါကြောင်းကို သိတော်မူလျှင် တောင်ဒဝယ်ဗိုလ် မဟာမင်းလှ မင်းခေါင်ကျော်ထင်, ပုဏ္ဏားဝန် အောင်ပင်လယ်လမိုင်းဝန် မင်းကြီးမဟာမင်းကျော်တန်ဆောင်တို့ကို အုပ်စုအမှုထမ်း လူငါးရာပေးအပ်၍ ၎င်းညဉ့် တစ်ချက်တီးကျော်အချိန် အဖမ်းအဆီး စေလွှတ်တော်မူ၏။</t>
  </si>
  <si>
    <t xml:space="preserve">Upon learning that he was present, [the King] entrusted the Taung Dawei Commander Maha Min Hla Min Khaung Kyaw Htin and the Brahmin Minister and Aung Pinle Lamine Minister Mingyi Maha Min Kyaw Tan Saung with five hundred men to serve in the group, and dispatched them to arrest [the Prince] at one hour past midnight that same night.</t>
  </si>
  <si>
    <t xml:space="preserve">vol3_s000536_t02_b82f1428212f</t>
  </si>
  <si>
    <t xml:space="preserve">Brahmin Minister and Aung Pinle Lamine Minister</t>
  </si>
  <si>
    <t xml:space="preserve">vol3_s000536_t03_8c9a163d0449</t>
  </si>
  <si>
    <t xml:space="preserve">MOBILIZED_SERVICE_GROUP</t>
  </si>
  <si>
    <t xml:space="preserve">500 men</t>
  </si>
  <si>
    <t xml:space="preserve">vol3_s000573</t>
  </si>
  <si>
    <t xml:space="preserve">vol3_s000573_t01_0eb98be2f5ba</t>
  </si>
  <si>
    <t xml:space="preserve">Nga Shwe Thaik</t>
  </si>
  <si>
    <t xml:space="preserve">ငရွှေဘေး, ငရွှေသိုက်, ၎င်းအဘ ငမောင်ကြီး, ငှက်စားရွာနေ ငဝိုင်း, ငကျီတို့ကိုလည်း လူငါးရာ, လက်နက် ကိရိယာ ပေးအပ်၍ ရတနာသိင်္ဃမြို့ ရှေ့တစ်ပြင်ကျေးရွာများက သိမ်းရုံးရလူတို့နှင့် တအုံရွာ, ကော့ရွာများက ရပ်နေ၍ တောင်ဒဝယ်ဗိုလ်ငတုတ်, ပုဏ္ဏားဝန် ငကုလားတို့တပ်နှင့် ချီတက်လာသမျှ တပ်များကို ဆီးဆို့ခုခံ တိုက်ခိုက်ရမည်-ငရွှေသိုက်ကို ဗိုလ်ချုပ် ခန့်ထား ချီတက်ရပ်ခံစေ၏။</t>
  </si>
  <si>
    <t xml:space="preserve">He also gave five hundred men and weapons to Nga Shwe Bay, Nga Shwe Thaik, their father Nga Maung Gyi, Nga Waing of Hngat Sar village, and Nga Kyi, and ordered them to stay at Ta-on village and Kaw village with the people gathered from the villages in the front area of Ratanasingha city, and to intercept, resist, and fight against all the troops marching with the troops of the Southern Dawei commander Nga Tut and the Brahmin minister Nga Kular; he appointed Nga Shwe Thaik as commander and had them march and take up positions.</t>
  </si>
  <si>
    <t xml:space="preserve">vol3_s000573_t02_72e22b927ced</t>
  </si>
  <si>
    <t xml:space="preserve">Nga Shwe Bay, Nga Shwe Thaik, Nga Maung Gyi, Nga Waing, Nga Kyi</t>
  </si>
  <si>
    <t xml:space="preserve">vol3_s000573_t03_207d0b90701a</t>
  </si>
  <si>
    <t xml:space="preserve">Southern Dawei commander Nga Tut</t>
  </si>
  <si>
    <t xml:space="preserve">vol3_s000573_t04_668bc4905365</t>
  </si>
  <si>
    <t xml:space="preserve">Brahmin minister Nga Kular</t>
  </si>
  <si>
    <t xml:space="preserve">vol3_s000574</t>
  </si>
  <si>
    <t xml:space="preserve">vol3_s000574_t01_d084c0f496d4</t>
  </si>
  <si>
    <t xml:space="preserve">APPOINTED_AS_ADMINISTRATOR</t>
  </si>
  <si>
    <t xml:space="preserve">Bo Hlaing</t>
  </si>
  <si>
    <t xml:space="preserve">ပဉ္စာလ, ထန်းတပင်, မြေဒူးမြို့များသို့လည်း မြေဒူးမြို့ ဝန်ဟောင်း ဗိုလ်လှိုင်ကို လက်နက်လူသူ စေလွှတ် ခန့်ထား သိမ်းရုံးစေ၏။</t>
  </si>
  <si>
    <t xml:space="preserve">He also sent the former Myedu city minister, Bo Hlaing, to the cities of Panchala, Htantabin, and Myedu, and appointed him to send out weapons and men and gather them.</t>
  </si>
  <si>
    <t xml:space="preserve">vol3_s000574_t02_22840eca19d7</t>
  </si>
  <si>
    <t xml:space="preserve">TASKED_WITH_RESOURCE_MOBILIZATION_IN</t>
  </si>
  <si>
    <t xml:space="preserve">Myedu, Panchala, Htantabin</t>
  </si>
  <si>
    <t xml:space="preserve">vol3_s000575</t>
  </si>
  <si>
    <t xml:space="preserve">vol3_s000575_t01_d3cdec15346f</t>
  </si>
  <si>
    <t xml:space="preserve">Sawbwas, city governors, city ministers, city administrators, cavalry leaders, village headmen</t>
  </si>
  <si>
    <t xml:space="preserve">ယင်းသို့ အလုံးစုံ စီရင်ခန့်ရန်တော်မူပြီးမှ ဧရာဝတီမြစ် မြောက်ဘက်တစ်ပြင် အညာမြစ်စဉ် တစ်လျှောက် မြို့ ပြကျေးရွာများက အသီးအသီး ကျွန်တော်ခံ ဝင်ရောက်ထမ်းရွက်ကြသည့် စော်ဘွား, မြို့စား, မြို့ဝန်, မြို့ အုပ်, မြင်းစီးမြင်းခေါင်း, သူကြီးကလန်တို့ကို ဗိုလ်ဝင်ခံတော်မူ၏။</t>
  </si>
  <si>
    <t xml:space="preserve">After having arranged and appointed everything in this way, he received the submission of the Sawbwas, city governors, city ministers, city administrators, cavalry leaders, and village headmen who had individually come to serve as subjects from the cities and villages along the northern side of the Irrawaddy River and along the Anyar river route.</t>
  </si>
  <si>
    <t xml:space="preserve">vol3_s000576</t>
  </si>
  <si>
    <t xml:space="preserve">vol3_s000576_t01_2ee02f82057a</t>
  </si>
  <si>
    <t xml:space="preserve">ထိုအခါ ကျွန်တော်ခံ ထမ်းရွက်ကြသည့် စော်ဘွား, မြို့စား, မြို့ဝန်, ပြဝန် မြင်းစီးမြင်းခေါင်း, သူကြီးကလန် အအုပ်အထိန်းတို့ကလည်း ပြည်သူ သတ္တဝါအပေါင်းတို့ဝယ် ဆင်းရဲကြီးစွာ ဖြစ်ကြမည်ကို မြော်ထောက်တော် မူ၍ ဘုန်းကြီးသည့်အရှင် မင်းအဖြစ်ကိုသာ ယူတော်မူပါ၊ ကျွန်တော်မျိုးတို့ အမှုတော်ကို သက်စွန့်ကြိုးပမ်း ကုံတွင် အောင် ထမ်းရွက်ပါမည် လျှောက်ထားကြသည်ကို ဘဝရှင် မင်းတရားကြီးဘုရားလည်း ပြည်သူတို့နှင့် မဆန့်ကျင် ရာသော အဝိရောဓန တရားကို နှလုံးထားပြီးလျှင် ဝန်ကြီး, အတွင်းဝန်, လွှတ်အရာရှိမှ စ၍ ဝန်အအုပ်အထိန်း ခန့်ထားတော်မူသည်ကား- ခမည်းတော်ဘုရားလက်ထက် အတွင်းဝန် ငစိုးကို မင်းကြီးမဟာရာဇသင်္ကြံ အမည်နှင့် ဝန်ကြီးခန့်တော်မူ၏။</t>
  </si>
  <si>
    <t xml:space="preserve">At that time, the Sawbwas, city governors, city ministers, city administrators, cavalry leaders, and village headmen who were serving as subjects also considered that the entire populace would suffer greatly, and they petitioned him to take the position of the glorious lord king, promising that they would serve his royal duties with all their might and life; the Lord of Life, the Great King, keeping in mind the principle of non-conflict (avirodhana) so as not to be at odds with the people, appointed ministers, interior ministers, and officials of the Hluttaw, starting with the appointment of Nga Soe, an interior minister from the time of his royal father, as minister with the title of Mingyi Maha Raza Thinkyan.</t>
  </si>
  <si>
    <t xml:space="preserve">vol3_s000576_t02_9865735d3376</t>
  </si>
  <si>
    <t xml:space="preserve">ADOPTED_POLICY_OF</t>
  </si>
  <si>
    <t xml:space="preserve">Non-opposition (avirodhana)</t>
  </si>
  <si>
    <t xml:space="preserve">vol3_s000576_t03_89743dafbc04</t>
  </si>
  <si>
    <t xml:space="preserve">APPOINTED_AS_MINISTER</t>
  </si>
  <si>
    <t xml:space="preserve">Nga Soe</t>
  </si>
  <si>
    <t xml:space="preserve">vol3_s000576_t04_847f04c25c3b</t>
  </si>
  <si>
    <t xml:space="preserve">Mingyi Maha Raza Thinkyan</t>
  </si>
  <si>
    <t xml:space="preserve">vol3_s000577</t>
  </si>
  <si>
    <t xml:space="preserve">vol3_s000577_t01_f7671fcb4fbb</t>
  </si>
  <si>
    <t xml:space="preserve">APPOINTED_AS_INTERIOR_MINISTER</t>
  </si>
  <si>
    <t xml:space="preserve">Nga Yan Way</t>
  </si>
  <si>
    <t xml:space="preserve">မင်္ဂလာအိမ်တော်ပါ အကြီးငရန်ဝေးကို မင်းကြီးမဟာမင်းလှစည်သူ အမည်နှင့် အတွင်းဝန်၊ အကြီးစာရေး ငဘိုးကို မဟာမင်းလှစည်သူ အမည်နှင့် ဝန်ထောက်၊ အကြီးစာရေး ငတက်တူကို မဟာမင်းလှသီရိ အမည်နှင့် မြင်းစုကြီးဝန်၊ အကြီးစာရေး ငနုကို မင်းကြီးမဟာမင်းခေါင် အမည်နှင့် ရှေ့ဝင်းမှူး သူရဲဝန်၊ အကြီးစာရေး ငရှင်ကလေးကို မင်းကြီး မဟာတရဖျား အမည်နှင့် လက်ယာဝင်းမှူး၊ မြေဒူးမြို့ ဝန်ဟောင်း ဗိုလ်လှိုင်ကို မင်းကြီးမဟာမင်းခေါင် အမည်နှင့် လက်ဝဲဝင်းမှူး၊ ငဘားကို မင်းကြီးမဟာမင်းခေါင ်အမည်နှင့် နောက်ဝင်းမှူး၊ ဘဏ္ဍာစိုး ငရှင်ကလေးကို မင်းလှစည်သူကျော် အမည်နှင့် ရွှေတိုက်ဝန်၊ ငဘိုးကြီးကို မင်းရဲဇေယကျော် အမည်နှင့် ဆင်ဝန်၊ ငန်းမြာရွာအုပ် ငတုတ်ကြီးကို မဟာသီရိစည်သူ အမည်နှင့် ကျီဝန်၊ ရွှေခဲကြီးလှေအုပ် ငဘိုးမောင်ကို မင်းလှမင်းကျော်သင်္ခယာ အမည်နှင့် ကင်းဝန်၊ ငရွှေအိုကို မင်းလှမင်းကျော်ရာဇာ အမည်နှင့် စီးတော်မြင်းဝန်၊ အကြီးစာရေး ငပေကို မဟာမင်းလှကျော် အမည်နှင့် ငွေခွန်ဝန်၊ ရဲဘက်မြင်းတပ်ဗိုလ်ဟောင်း ငခဲကို မင်းကြီးမဟာဇေယသူရ အမည်နှင့် ရတနာသိင်္ဃမြို့ဝန်၊ ရဲဘက်မြင်းဝန် ငမာလိန်ကို မင်းလှရာဇသူ အမည်နှင့် ယွန်းစုဝန်၊ ငမှုံကို မဟာမင်းထင်ရာဇာ အမည်နှင့် ရွှေနန်းရိုးလမိုင်းဝန်၊ ငရံ့ကို မင်းထင်စည်သူ အမည်နှင့် ရေကြည်ဝန်၊ ရမည်းသင်းဗိုလ်ဟောင်း ငရွှေစိုကို မဟာမင်းကျော်မင်းခေါင် အမည်နှင့် မြို့ဝန်၊ အောင်ပင်လယ်လမိုင်းဝန် ငရွှေဘော်ကို ပုဏ္ဏားဝန်၊ ငရွှေရိတ်ကို မင်းလှရာဇစည်သူ အမည်နှင့် အက္ကပတ်မြင်းဝန်၊ ငအောဇာကို မဟာမင်းခေါင်ရာဇာ အမည်နှင့် မင်းတုန်းတောင်စဉ် ခုနစ်ခရိုင်မြို့ဝန်၊ ငရွှေမောင်ကို မင်းလှသိင်္ခသူ အမည်နှင့် စို့လေးဆယ်ဒိုင်းဝန်၊ ငမှုံကို မင်းလှမင်းထင်နော်ရထာ အမည်နှင့် အနောက်ဝန်၊ ဝန်းကျင်ဝန် စားတော်ကွမ်းရေ ငဘဲကို နေမျိုးသိင်္ခကျော်ထင် အမည်နှင့် တရုတ်ဝန်၊ ငစောင်ရှုတ်ကို မင်းတဲဒေးဝန်းအကောက်ဝန်၊ ဇိုင်းဂနိုင်းမြို့စားဟောင်း မုက္ကတစ်ကို မဟာမင်းထင်သီဟသူ အမည်နှင့် ကုလားဝန်၊ ငရွှေဇင်ကို မင်းလှသီရိမင်းထင် အမည်နှင့် အမြောက်ဝန်၊ ရတနာသိင်္ဃမြို့ကို အလိုမပြည့်မီ မြို့တွင်းသို့ဝင်၍ မီးပြသူ ငစီကိုလည်း မင်းကျော်နတ်မီးအမည်၊ မြကန်ဗိုလ် ငရွှေသီးကို ဒီပဲယင်းမြို့ ဝန် ခန့်တော်မူ၏။</t>
  </si>
  <si>
    <t xml:space="preserve">He appointed the senior official from the royal household, Nga Yan Way, as interior minister with the title of Mingyi Maha Min Hla Sithu; the senior clerk Nga Bo as minister assistant with the title of Maha Min Hla Sithu; the senior clerk Nga Tet Tu as minister of the Great Cavalry with the title of Maha Min Hla Thiri; the senior clerk Nga Nu as commander of the front gate and minister of the guard with the title of Mingyi Maha Min Khaung; the senior clerk Nga Shin Kalay as commander of the right gate with the title of Mingyi Maha Taraphyar; the former Myedu city minister Bo Hlaing as commander of the left gate with the title of Mingyi Maha Min Khaung; Nga Bar as commander of the rear gate with the title of Mingyi Maha Min Khaung; the treasurer Nga Shin Kalay as minister of the royal treasury with the title of Min Hla Sithu Kyaw; Nga Bo Gyi as minister of elephants with the title of Min Ye Zeya Kyaw; the Ngan Mya village administrator Nga Tut Gyi as minister of granaries with the title of Maha Thiri Sithu; the Shwe Khe Gyi boat commander Nga Bo Maung as minister of checkpoints with the title of Min Hla Min Kyaw Thinkhaya; Nga Shwe O as minister of royal horses with the title of Min Hla Min Kyaw Raza; the senior clerk Nga Pay as minister of silver taxes with the title of Maha Min Hla Kyaw; the former cavalry commander Nga Khe as minister of Ratanasingha city with the title of Mingyi Maha Zeya Thura; the cavalry minister Nga Ma Lain as minister of the Yun group with the title of Min Hla Raza Thu; Nga Hmon as minister of royal palace agriculture with the title of Maha Min Htin Raza; Nga Yan as minister of clear water with the title of Min Htin Sithu; the former Yamethin commander Nga Shwe So as city minister with the title of Maha Min Kyaw Min Khaung; the Aung Pinle agriculture minister Nga Shwe Baw as Brahmin minister; Nga Shwe Yit as minister of the Akkaphat cavalry with the title of Min Hla Raza Sithu; Nga Aw Zar as minister of the seven districts of the Mindon mountain range with the title of Maha Min Khaung Raza; Nga Shwe Maung as minister of the forty-unit shield corps with the title of Min Hla Thinkha Thu; Nga Hmon as minister of the west with the title of Min Hla Min Htin Nawrahta; the betel water server Nga Bae as minister of the Chinese with the title of Nay Myo Thinkha Kyaw Htin; Nga Saung Shot as minister of the Minte Daywun tax collection; the former Zaignaing city governor Muktik as minister of the Indians with the title of Maha Min Htin Thiha Thu; Nga Shwe Zin as minister of artillery with the title of Min Hla Thiri Min Htin; he also gave the title of Min Kyaw Nat Mi to Nga Si, who had entered the city and signaled with fire before the Ratanasingha city was fully under control, and appointed the Myakan commander Nga Shwe Thi as minister of Depayin city.</t>
  </si>
  <si>
    <t xml:space="preserve">vol3_s000577_t02_e9a7bf5601d0</t>
  </si>
  <si>
    <t xml:space="preserve">Mingyi Maha Min Hla Sithu</t>
  </si>
  <si>
    <t xml:space="preserve">vol3_s000577_t03_1a132767baa4</t>
  </si>
  <si>
    <t xml:space="preserve">APPOINTED_AS_MINISTER_ASSISTANT</t>
  </si>
  <si>
    <t xml:space="preserve">Nga Bo</t>
  </si>
  <si>
    <t xml:space="preserve">vol3_s000577_t04_1195c1b36650</t>
  </si>
  <si>
    <t xml:space="preserve">Maha Min Hla Sithu</t>
  </si>
  <si>
    <t xml:space="preserve">vol3_s000577_t05_4b5d20ab761e</t>
  </si>
  <si>
    <t xml:space="preserve">APPOINTED_AS_MINISTER_OF_GREAT_CAVALRY</t>
  </si>
  <si>
    <t xml:space="preserve">Nga Tet Tu</t>
  </si>
  <si>
    <t xml:space="preserve">vol3_s000577_t06_fb8c0c212f8c</t>
  </si>
  <si>
    <t xml:space="preserve">Maha Min Hla Thiri</t>
  </si>
  <si>
    <t xml:space="preserve">vol3_s000577_t07_d484efb3ca8e</t>
  </si>
  <si>
    <t xml:space="preserve">APPOINTED_AS_COMMANDER_OF_FRONT_GATE</t>
  </si>
  <si>
    <t xml:space="preserve">Nga Nu</t>
  </si>
  <si>
    <t xml:space="preserve">vol3_s000577_t08_f34520ddecad</t>
  </si>
  <si>
    <t xml:space="preserve">Mingyi Maha Min Khaung</t>
  </si>
  <si>
    <t xml:space="preserve">vol3_s000577_t09_66f09a5bb3eb</t>
  </si>
  <si>
    <t xml:space="preserve">APPOINTED_AS_COMMANDER_OF_RIGHT_GATE</t>
  </si>
  <si>
    <t xml:space="preserve">Nga Shin Kalay</t>
  </si>
  <si>
    <t xml:space="preserve">vol3_s000577_t10_d6a681598375</t>
  </si>
  <si>
    <t xml:space="preserve">Mingyi Maha Taraphyar</t>
  </si>
  <si>
    <t xml:space="preserve">vol3_s000577_t11_7c0a5e7ba8ac</t>
  </si>
  <si>
    <t xml:space="preserve">APPOINTED_AS_COMMANDER_OF_LEFT_GATE</t>
  </si>
  <si>
    <t xml:space="preserve">vol3_s000577_t12_8d545129b126</t>
  </si>
  <si>
    <t xml:space="preserve">vol3_s000577_t13_8d9b45a573a1</t>
  </si>
  <si>
    <t xml:space="preserve">APPOINTED_AS_COMMANDER_OF_REAR_GATE</t>
  </si>
  <si>
    <t xml:space="preserve">Nga Bar</t>
  </si>
  <si>
    <t xml:space="preserve">vol3_s000577_t14_9aac6bbdde47</t>
  </si>
  <si>
    <t xml:space="preserve">vol3_s000577_t15_0adbbe89fa33</t>
  </si>
  <si>
    <t xml:space="preserve">APPOINTED_AS_MINISTER_OF_ROYAL_TREASURY</t>
  </si>
  <si>
    <t xml:space="preserve">vol3_s000577_t16_7cc3f21e1abb</t>
  </si>
  <si>
    <t xml:space="preserve">Min Hla Sithu Kyaw</t>
  </si>
  <si>
    <t xml:space="preserve">vol3_s000577_t17_91f8509eac33</t>
  </si>
  <si>
    <t xml:space="preserve">APPOINTED_AS_MINISTER_OF_ELEPHANTS</t>
  </si>
  <si>
    <t xml:space="preserve">Nga Bo Gyi</t>
  </si>
  <si>
    <t xml:space="preserve">vol3_s000577_t18_d050924e6a4d</t>
  </si>
  <si>
    <t xml:space="preserve">Min Ye Zeya Kyaw</t>
  </si>
  <si>
    <t xml:space="preserve">vol3_s000577_t19_4ee43c9359f1</t>
  </si>
  <si>
    <t xml:space="preserve">APPOINTED_AS_MINISTER_OF_GRANARIES</t>
  </si>
  <si>
    <t xml:space="preserve">Nga Tut Gyi</t>
  </si>
  <si>
    <t xml:space="preserve">vol3_s000577_t20_6c34ce07e1f3</t>
  </si>
  <si>
    <t xml:space="preserve">Maha Thiri Sithu</t>
  </si>
  <si>
    <t xml:space="preserve">vol3_s000577_t21_fc38dc3d9d5f</t>
  </si>
  <si>
    <t xml:space="preserve">APPOINTED_AS_MINISTER_OF_CHECKPOINTS</t>
  </si>
  <si>
    <t xml:space="preserve">Nga Bo Maung</t>
  </si>
  <si>
    <t xml:space="preserve">vol3_s000577_t22_adb7be2061ec</t>
  </si>
  <si>
    <t xml:space="preserve">Min Hla Min Kyaw Thinkhaya</t>
  </si>
  <si>
    <t xml:space="preserve">vol3_s000577_t23_97f6f2a08886</t>
  </si>
  <si>
    <t xml:space="preserve">APPOINTED_AS_MINISTER_OF_ROYAL_HORSES</t>
  </si>
  <si>
    <t xml:space="preserve">Nga Shwe O</t>
  </si>
  <si>
    <t xml:space="preserve">vol3_s000577_t24_7954a00acf7b</t>
  </si>
  <si>
    <t xml:space="preserve">Min Hla Min Kyaw Raza</t>
  </si>
  <si>
    <t xml:space="preserve">vol3_s000577_t25_88165df6c8be</t>
  </si>
  <si>
    <t xml:space="preserve">APPOINTED_AS_MINISTER_OF_SILVER_TAXES</t>
  </si>
  <si>
    <t xml:space="preserve">Nga Pay</t>
  </si>
  <si>
    <t xml:space="preserve">vol3_s000577_t26_75e7a40f5e0f</t>
  </si>
  <si>
    <t xml:space="preserve">Maha Min Hla Kyaw</t>
  </si>
  <si>
    <t xml:space="preserve">vol3_s000577_t27_73cb989e571b</t>
  </si>
  <si>
    <t xml:space="preserve">APPOINTED_AS_MINISTER_OF_RATANASINGHA</t>
  </si>
  <si>
    <t xml:space="preserve">Nga Khe</t>
  </si>
  <si>
    <t xml:space="preserve">vol3_s000577_t28_2825bf7e70e7</t>
  </si>
  <si>
    <t xml:space="preserve">Mingyi Maha Zeya Thura</t>
  </si>
  <si>
    <t xml:space="preserve">vol3_s000577_t29_3389928e0ee5</t>
  </si>
  <si>
    <t xml:space="preserve">APPOINTED_AS_MINISTER_OF_YUN_GROUP</t>
  </si>
  <si>
    <t xml:space="preserve">Nga Ma Lain</t>
  </si>
  <si>
    <t xml:space="preserve">vol3_s000577_t30_f630140e863a</t>
  </si>
  <si>
    <t xml:space="preserve">Min Hla Raza Thu</t>
  </si>
  <si>
    <t xml:space="preserve">vol3_s000577_t31_127a36c96485</t>
  </si>
  <si>
    <t xml:space="preserve">APPOINTED_AS_MINISTER_OF_ROYAL_PALACE_AGRICULTURE</t>
  </si>
  <si>
    <t xml:space="preserve">Nga Hmon</t>
  </si>
  <si>
    <t xml:space="preserve">vol3_s000577_t32_5a22bc41375a</t>
  </si>
  <si>
    <t xml:space="preserve">Maha Min Htin Raza</t>
  </si>
  <si>
    <t xml:space="preserve">vol3_s000577_t33_f09d195e34e8</t>
  </si>
  <si>
    <t xml:space="preserve">APPOINTED_AS_MINISTER_OF_CLEAR_WATER</t>
  </si>
  <si>
    <t xml:space="preserve">Nga Yan</t>
  </si>
  <si>
    <t xml:space="preserve">vol3_s000577_t34_30e568e95efe</t>
  </si>
  <si>
    <t xml:space="preserve">Min Htin Sithu</t>
  </si>
  <si>
    <t xml:space="preserve">vol3_s000577_t35_8099f956a0e9</t>
  </si>
  <si>
    <t xml:space="preserve">APPOINTED_AS_CITY_MINISTER</t>
  </si>
  <si>
    <t xml:space="preserve">Nga Shwe So</t>
  </si>
  <si>
    <t xml:space="preserve">vol3_s000577_t36_724716c6f5d2</t>
  </si>
  <si>
    <t xml:space="preserve">Maha Min Kyaw Min Khaung</t>
  </si>
  <si>
    <t xml:space="preserve">vol3_s000577_t37_540f918b48c2</t>
  </si>
  <si>
    <t xml:space="preserve">APPOINTED_AS_BRAHMIN_MINISTER</t>
  </si>
  <si>
    <t xml:space="preserve">Nga Shwe Baw</t>
  </si>
  <si>
    <t xml:space="preserve">vol3_s000577_t38_bb2e7ae397f9</t>
  </si>
  <si>
    <t xml:space="preserve">APPOINTED_AS_MINISTER_OF_AKKAPHAT_CAVALRY</t>
  </si>
  <si>
    <t xml:space="preserve">Nga Shwe Yit</t>
  </si>
  <si>
    <t xml:space="preserve">vol3_s000577_t39_58e55ec9fb12</t>
  </si>
  <si>
    <t xml:space="preserve">Min Hla Raza Sithu</t>
  </si>
  <si>
    <t xml:space="preserve">vol3_s000577_t40_f84462cb4062</t>
  </si>
  <si>
    <t xml:space="preserve">APPOINTED_AS_MINISTER_OF_MINDON_MOUNTAIN_RANGE</t>
  </si>
  <si>
    <t xml:space="preserve">Nga Aw Zar</t>
  </si>
  <si>
    <t xml:space="preserve">vol3_s000577_t41_55176e0bdf9f</t>
  </si>
  <si>
    <t xml:space="preserve">Maha Min Khaung Raza</t>
  </si>
  <si>
    <t xml:space="preserve">vol3_s000577_t42_818199efa877</t>
  </si>
  <si>
    <t xml:space="preserve">APPOINTED_AS_MINISTER_OF_FORTY_UNIT_SHIELD_CORPS</t>
  </si>
  <si>
    <t xml:space="preserve">vol3_s000577_t43_a1e7a7d56cb3</t>
  </si>
  <si>
    <t xml:space="preserve">Min Hla Thinkha Thu</t>
  </si>
  <si>
    <t xml:space="preserve">vol3_s000577_t44_106a0c1003a7</t>
  </si>
  <si>
    <t xml:space="preserve">APPOINTED_AS_MINISTER_OF_THE_WEST</t>
  </si>
  <si>
    <t xml:space="preserve">vol3_s000577_t45_d576f28e6c38</t>
  </si>
  <si>
    <t xml:space="preserve">Min Hla Min Htin Nawrahta</t>
  </si>
  <si>
    <t xml:space="preserve">vol3_s000577_t46_12cfdf27f212</t>
  </si>
  <si>
    <t xml:space="preserve">APPOINTED_AS_MINISTER_OF_THE_CHINESE</t>
  </si>
  <si>
    <t xml:space="preserve">Nga Bae</t>
  </si>
  <si>
    <t xml:space="preserve">vol3_s000577_t47_649348b6d6bb</t>
  </si>
  <si>
    <t xml:space="preserve">Nay Myo Thinkha Kyaw Htin</t>
  </si>
  <si>
    <t xml:space="preserve">vol3_s000577_t48_6d5007e79b64</t>
  </si>
  <si>
    <t xml:space="preserve">APPOINTED_AS_MINISTER_OF_MINTE_DAYWUN_TAX_COLLECTION</t>
  </si>
  <si>
    <t xml:space="preserve">Nga Saung Shot</t>
  </si>
  <si>
    <t xml:space="preserve">vol3_s000577_t49_5cbb82fa62d7</t>
  </si>
  <si>
    <t xml:space="preserve">APPOINTED_AS_MINISTER_OF_THE_INDIANS</t>
  </si>
  <si>
    <t xml:space="preserve">Muktik</t>
  </si>
  <si>
    <t xml:space="preserve">vol3_s000577_t50_f16d1e5200d2</t>
  </si>
  <si>
    <t xml:space="preserve">Maha Min Htin Thiha Thu</t>
  </si>
  <si>
    <t xml:space="preserve">vol3_s000577_t51_77b326eb7515</t>
  </si>
  <si>
    <t xml:space="preserve">APPOINTED_AS_MINISTER_OF_ARTILLERY</t>
  </si>
  <si>
    <t xml:space="preserve">Nga Shwe Zin</t>
  </si>
  <si>
    <t xml:space="preserve">vol3_s000577_t52_50746dd57977</t>
  </si>
  <si>
    <t xml:space="preserve">Min Hla Thiri Min Htin</t>
  </si>
  <si>
    <t xml:space="preserve">vol3_s000577_t53_78d2c1c21905</t>
  </si>
  <si>
    <t xml:space="preserve">GRANTED_TITLE_TO</t>
  </si>
  <si>
    <t xml:space="preserve">Nga Si</t>
  </si>
  <si>
    <t xml:space="preserve">vol3_s000577_t54_7f9e0b6fd65d</t>
  </si>
  <si>
    <t xml:space="preserve">Min Kyaw Nat Mi</t>
  </si>
  <si>
    <t xml:space="preserve">vol3_s000577_t55_e4c4d18193d6</t>
  </si>
  <si>
    <t xml:space="preserve">APPOINTED_AS_MINISTER_OF_DEPAYIN</t>
  </si>
  <si>
    <t xml:space="preserve">Nga Shwe Thi</t>
  </si>
  <si>
    <t xml:space="preserve">vol3_s000812</t>
  </si>
  <si>
    <t xml:space="preserve">vol3_s000812_t01_71b2c79aed74</t>
  </si>
  <si>
    <t xml:space="preserve">Resident cavalry commanders and princes</t>
  </si>
  <si>
    <t xml:space="preserve">နေရာနေ မြင်းမှူးမင်းသားတို့မှာ ဘကြီးတော်မင်းတရား, ခမည်းတော် မင်းတရားတို့လက်ထက် မြင်းမှူး မင်းသားတို့ကို သနားတော်မူသည့်နည်း အစီးအနင်း အဆောင်အရွက် ပေးတော်မူ၏။</t>
  </si>
  <si>
    <t xml:space="preserve">For the resident cavalry commanders and princes, [the King] bestowed mounts and regalia in the same manner as the cavalry commanders and princes were bestowed [them] during the reigns of King Bagyidaw and [my] royal father.</t>
  </si>
  <si>
    <t xml:space="preserve">vol3_s000812_t02_6b28aa05af44</t>
  </si>
  <si>
    <t xml:space="preserve">Current regalia distribution</t>
  </si>
  <si>
    <t xml:space="preserve">FOLLOWED_PRECEDENT_OF</t>
  </si>
  <si>
    <t xml:space="preserve">Reigns of King Bagyidaw and King's father</t>
  </si>
  <si>
    <t xml:space="preserve">vol3_s000813</t>
  </si>
  <si>
    <t xml:space="preserve">vol3_s000813_t01_60b51e288418</t>
  </si>
  <si>
    <t xml:space="preserve">Thado Mingyi Maha Minla Thihathu</t>
  </si>
  <si>
    <t xml:space="preserve">RECEIVED_CEREMONIAL_REGALIA_FROM</t>
  </si>
  <si>
    <t xml:space="preserve">ဝန်ကြီး သတိုးမင်းကြီးမဟာမင်းလှသီဟသူ, မင်းကြီးမဟာရာဇသင်္ကြံ သတိုးမင်းကြီး မဟာမင်းလှကျော်သူ, မင်းကြီး မဟာမင်းလှစည်သူတို့ကို ဗောင်းကတ္တီပါနီ ရွှေသားပန်းတစ်ဆယ့်နှစ်၊ တမာရွက်ထောင် တစ်ဆယ့်နှစ်၊ ဘွဲ့ သင်းကျစ်တပ်၊ ရွှေနားချောင်းမီးထွင်း၊ ကတ္တီပါ ဝတ်လုံဖဲရံ ရွှေဖျင်တစ်မိုက်တစ်ဆင့်တပ်၊ ဘွဲ့ဖြူရွှေမိတ် ရှစ်သစ်၊ ရွှေစလွယ် တစ်ဆယ့်နှစ်သွယ်၊ မှောက်တို ရွှေပိန်း ရွှေကုံးစိန်ထောင် တစ်ဆယ့်နှစ်၊ ရွှေထိပ်ရွှေထွတ် ငှက်မြတ်နားစိန်ပွင့် တစ်ဆယ့်နှစ်၊ ပါးကာ နားကာ ရှေ့ကာ နောက်ကာ မောက်ရူ ပါလည်ကွေး ကတ္တီပါနီယက်ပြားကွပ်၊ မျဉ်းတို ကတ္တီပါစိမ်း ယက်ပြားသတ်၊ မျဉ်းရှည်ကတ္တီပါနက် ယက်ပြားသတ်၊ ကွမ်းလိပ်သုံးမြွာ ပယင်းတပ်၊ မိုးကြိုးထွေးအင်၊ ကတ္တီပါအုံးဝန်း၊ ရွှေပေခမောက်၊ ဓားခွေးမခွေးငယ်နောက်ပိတ် ပတ္တမြားစီ၊ အိမ်မည်းသရီမွမ်း သံပတ်ခုနစ်တန့် ပတ္တမြားစီ၊ ရင်းဖျား သက္ကဒါန်လေးသစ်ခံ ပတ္တမြားစီ၊ ဆွဲကြိုးဗုဒယက် ကန်တော့လက်ပံကွင်း အနားပတ္တမြားတစ်ရစ်စီ၊ ဆောင်ဓားမိုးကြိုးစင် သက္ကလတ် အိတ်နီသွတ်၊ ထီးနီ ရွှေညောင်ရွက်သုံးဆင့်၊ ညောင်ရွက်ရေ သုံးဆယ့်ခြောက်၊ အချက်အထွတ်ရွှေ၊ အရိုးရွှေကြံဆစ်၊ ကျိုင်းအချက်အထွတ်ရွှေ၊ အအုံအရွက် အရိုးအနီသုတ်၊ ထမ်းစင်ခွက် ခါးပန်းစက် အနားဇော့ကွင်း အတွင်းကြယ်၊ ကြာနုတစ်ဆင့် ကမ္ပတ်သံပွင့်၊ တမြုံ့မြူး၊ ဖိနပ်ကုလားပန်း၊ အိမ်အတွင်းညောင်ရွက်၊ အနားမန်းကျည်းရွက်၊ ဘဝါးရွဲ၊ ဖောင်းထိပ်သံပွင့်၊ ပန်းလှကြာ၊ အတွင်းညောင်ရွက် အနားမန်းကျည်းရွက် ဘဝါး ရွှေထောင့် ကြက်ရင်ကုလားပန်း၊ ထောင့်အုံကျေးစေတိုင်၊ အုံးတားဘက်ဝန်း၊ မြင်းမိုရ် ကျေးစေတိုင် အဖြေမြင်းနား ရွှေနှစ်စု အနီတစ်စု၊ ခါးအနီ၊ မြင်းကကိုင်း ညောင်ရွက်ခုနစ်၊ သံပရာခွံယက်ဖောက် ကတောင်ဆွဲ၊ ဇက်ပါးကာ ရွှေဇဝါပိန်း၊ နင်းနှင်းသိပ်၊ အိမ်မြောင်ရင်ပတ်ကွင်း ရွှေဇဝါ၊ ကတောင်ရွှေရေး၊ ဇာမရီရုပ် ပန်းခက်ကိုက် ရွှေပိန်း၊ ဦးခက်ထိပ်ဆောင်း မြီးပျမ်းရင်ပတ် သက္ကလတ်ကြိုး ရွှေကြယ်တပ်၊ စီးနှီးသက္ကဒါန်၊ သက္ကလတ် တင်ရန်း၊ စက်ရွှန်း သုံးဆင့်၊ ဆင်ပေါင်းဝန်း အချက်အထွတ်ရွှေ၊ အမိုး ရွှေနှစ်စု အနီတစ်စု၊ ကတောင် ရွှေပြည့်ရေး၊ ကခွက် ရွှေနှစ်စု အနီတစ်စု၊ ရဲကခွက် ရွှေနှစ်စု အနီတစ်စု ကတောင်ရွှေပြည့်ရေး၊ အလံကျည် လှံကျည်ရင်းဖျား ရွှေတစ်မိုက်၊ ဆင်ကြိုးသက္ကလတ်ဖဲကွပ်၊ စည်နီခုနစ်၊ စည်ပုတ်တစ်၊ ပုံသာတစ်၊ ငွေနှဲကြီးတစ်၊ ငွေနှဲငယ်နှစ်၊ ခရာတစ်၊ လင်းခွင်းတစ်၊ လှော်ကားခိုနန်း ငှက်ပျံချပ်၊ အလယ်နှစ်မိုက်လှပ်၊ ဆံထုံး ပရိတ်ချည်သုံးဆင့်၊ ပဲ့ဘီးဒုယင်အနီ၊ အမအထွတ် ဝတ်ဆံရွှေ၊ ညောင်ရွက်ရွှေထည့် လုလင်တိုင် အနီအဖြေပန်းဆုပ်၊ ပုံတိုင် လက်ခတ်အနီ၊ အလံ ဖဲနီ၊ အထွတ်ရွှေ၊ အလံရိုးအလံကျည် အနီသုတ်၊ ခဲကြိုးရွှေကန်တော့၊ အောင်းနီ ဦးတစ်ပွင့် ပဲ့နှစ်ပွင့်၊ တက်မအနီ၊ လှော်တက်အဖြူ၊ ခင်းဒုယင်အနီ၊ မှုတ်ရိုးထောက် အနီသုတ်၊ လက်ရန်းအဖြေ ပန်းဆုပ်အနီ၊ ပွတ်လုံးအနီသုတ်၊ အိမ်ခြံမြင်းကြမ်းယက် ကမ္ပတ်သတ် ပေးတော်မူ၏။</t>
  </si>
  <si>
    <t xml:space="preserve">To the ministers Thado Mingyi Maha Minla Thihathu, Mingyi Maha Raza Thinkyan Thado Mingyi Maha Minla Kyawthu, and Mingyi Maha Minla Sithu, [the King] bestowed: red velvet crowns with twelve gold flowers, twelve upright neem leaves, [each] with a title headband attached, gold ear-tubes with openwork, velvet robes with silk borders and a one-span gold-cloth layer attached, white title-bands with eight-finger gold trim, twelve gold shoulder-belts, short cloaks with gold plating and twelve gold-bead diamond-stands, gold-topped gold-pointed [headgear] with twelve precious bird-ear diamond florets, cheek-guards, ear-guards, front-guards, back-guards, and curved neck-guards with red velvet woven-plate edging, short-line [jackets] with green velvet woven-plate trim, long-line [jackets] with black velvet woven-plate trim, three-section betel boxes with amber attachments, lightning-patterned betel-nut containers, velvet head-cushions, gold-leaf conical hats, swords with small dog-head pommels inlaid with rubies, black scabbards with decorative metalwork and seven-band iron rings inlaid with rubies, sword-tips with four-finger-width gold-leaf supports inlaid with rubies, neck-chains with Buddha-image pendants and lotus-petal rings with one band of rubies on the edges, carrying-swords with lightning-patterned stands and red wool-cloth cases, red umbrellas with three tiers of gold bodhi leaves, thirty-six bodhi leaves, gold points and tips, gold-cane-jointed hilts, gold-pointed and gold-tipped spears, red-painted scabbards and leaves, palanquin-trays with waist-belt mechanisms, edge-hooks, and inner stars, one tier of young lotus [designs] with border-inscribed metal florets, [and] decorative tassels, Indian-flower-patterned shoes, inner bodhi leaves on the scabbards, tamarind-leaf edges, sole-patterns, embossed-top metal florets, beautiful flower [designs], inner bodhi leaves, tamarind-leaf edges, gold-cornered soles, chicken-breast Indian-flower patterns, corner-cushion bird-messenger pillars, sun-disk side-circles, Mount Meru bird-messenger pillars with horse-ear designs [in] two groups of gold and one group of red, red waists, seven bodhi-leaf horse-bridles, lemon-peel-patterned openwork with side-hooks, cheek-guards with gold-zwa plating, tightly-pressed [designs], inner-scabbard chest-rings with gold-zwa, gold-written side-hooks, gold-plated yak-figure flower-branch designs, head-top crowns, tail-fringe chest-straps with wool-cloth cords and gold stars attached, riding-belts with wool-cloth, wool-cloth saddle-flaps, three-tier gear-wheels, gold-pointed and gold-tipped elephant-surroundings, two groups of gold and one group of red [on the] roofs, gold-filled side-hooks, two groups of gold and one group of red [on the] dance-trays, two groups of gold and one group of red [on the] guard-trays with gold-filled side-hooks, one-span gold [on the] flag-spear and spear-tips, wool-cloth elephant-ropes with silk edging, seven red drums, one drum-beater, one gong, one large silver oboe, two small silver oboes, one trumpet, one pair of cymbals, royal-boat-style flying-bird-wing panels, two-span middle-openings, three-tier hair-knot sacred-thread [designs], red stern-wheel-rudders, gold-written crest-tips and stamens, gold-filled bodhi leaves, red-patterned flower-cluster youth-pillars, red pillar-hand-beaters, red silk flags, gold tips, red-painted flag-poles and flag-spears, gold-offering lead-cords, one-crest two-stern red-canopies, red-painted rudders, white-painted oars, red stern-wheel-decks, red-painted blow-pipe supports, red flower-cluster handrails, red-painted balusters, and house-enclosure horse-rough-woven border-inscriptions.</t>
  </si>
  <si>
    <t xml:space="preserve">vol3_s000813_t02_501edcd49ea9</t>
  </si>
  <si>
    <t xml:space="preserve">Mingyi Maha Raza Thinkyan Thado Mingyi Maha Minla Kyawthu</t>
  </si>
  <si>
    <t xml:space="preserve">vol3_s000813_t03_0f38e5b1b0b6</t>
  </si>
  <si>
    <t xml:space="preserve">Mingyi Maha Minla Sithu</t>
  </si>
  <si>
    <t xml:space="preserve">vol3_s000813_t04_59db93ba13e5</t>
  </si>
  <si>
    <t xml:space="preserve">Ceremonial Regalia</t>
  </si>
  <si>
    <t xml:space="preserve">SERVED_AS_MARKER_OF</t>
  </si>
  <si>
    <t xml:space="preserve">Court Status</t>
  </si>
  <si>
    <t xml:space="preserve">vol3_s001159</t>
  </si>
  <si>
    <t xml:space="preserve">vol3_s001159_t01_c8212977c39d</t>
  </si>
  <si>
    <t xml:space="preserve">King_Mindon</t>
  </si>
  <si>
    <t xml:space="preserve">SPONSORED_FUNERAL_RITES_FOR</t>
  </si>
  <si>
    <t xml:space="preserve">Kyankhin_Sayadaw</t>
  </si>
  <si>
    <t xml:space="preserve">သက္ကရာဇ် (၁၂၁၉) တစ်ထောင့်နှစ်ရာ့တစ်ဆယ့်ကိုးခုနှစ် နတ်တော်လ သာသနဇောတာဘိ ကဝိဓဇ မဟာ ဓမ္မရာဇာဓိရာဇဂုရု-ကတိုးတိုက်အုပ် ကြံခင်းဆရာတော် ဘဝပြောင်းသည်ကို တံဆိပ်ရ ဆရာတော်ကြီးတို့ ဘဝ ပြောင်းရာ သင်္ဂြိုဟ်သည့်နည်း လှပကောင်းမွန်အောင် လုပ်ဆောင်သင်္ဂြိုဟ်တော်မူ၏။</t>
  </si>
  <si>
    <t xml:space="preserve">In the year 1219 [BE], in the month of Natdaw, when the Thathana Zotabi Kawidaza Maha Dhammarajadiraja Guru, the Kado Taik-ok Kyankhin Sayadaw, passed away, [the King] had him cremated in a beautiful and excellent manner, following the method used for the cremation of high-ranking Sayadaws who held titles.</t>
  </si>
  <si>
    <t xml:space="preserve">vol3_s001159_t02_1f35f70c37ef</t>
  </si>
  <si>
    <t xml:space="preserve">Thathana_Zotabi_Kawidaza_Maha_Dhammarajadiraja_Guru</t>
  </si>
  <si>
    <t xml:space="preserve">vol3_s001159_t03_0d7cf30f7794</t>
  </si>
  <si>
    <t xml:space="preserve">FOLLOWED_PROTOCOL_FOR</t>
  </si>
  <si>
    <t xml:space="preserve">cremation_of_titled_monks</t>
  </si>
  <si>
    <t xml:space="preserve">vol3_s001160</t>
  </si>
  <si>
    <t xml:space="preserve">vol3_s001160_t01_7c9fc9873e2b</t>
  </si>
  <si>
    <t xml:space="preserve">ministers_and_officials</t>
  </si>
  <si>
    <t xml:space="preserve">SUPERVISED_TRANSPORT_OF</t>
  </si>
  <si>
    <t xml:space="preserve">royal_logs</t>
  </si>
  <si>
    <t xml:space="preserve">ယင်းသည့်လ ရွှေနန်းတော်ကြီး မှန်နန်းတော် ဆောက်လုပ်ရန် အမည်ရသစ်တော် တစ်ဆယ်ကို ရွှေမြို့တော်ကြီး အနောက်မျက်နှာ ဓာတ်တံခါးပြင်က ရွှေနန်းတော်အတွင်းသို့သွင်းရာ ဝန်ကြီး, အတွင်းဝန်, ဝန်စုရ, မှူးကြီးမတ်ကြီးတို့ သနားတော်မြတ်ခံရသည့် ဗောင်း နားချောင်း ဝတ်လုံ စလွယ် ဆင်ယင်၍ သက္ကရာဇ် (၁၂၁၉) တစ်ထောင့်နှစ်ရာ့ တစ်ဆယ့်ကိုးခု နတ်တော်လပြည့်ကျော် လေးရက် သောကြာနေ့ နေတစ်ချက်တီးကျော် တစ်နာရီ ပါဒ်ပြည့်အချိန် အခါတော်နှင့် သစ်တစ်လုံးလျှင် တစ်ယောက်စီ ကြီးကြပ်၍ အစုအမှုထမ်းတို့ ဆွဲဆောင်ရသည်။</t>
  </si>
  <si>
    <t xml:space="preserve">In that same month, when ten named royal logs for the construction of the Great Golden Palace and the Glass Palace were brought from the area of the western auspicious gate of the great golden city into the Golden Palace, the ministers, interior ministers, Wunsuras, and high-ranking officials, wearing the headgear, ear ornaments, robes, and salwe [sacred threads] bestowed upon them by royal grace, supervised the pulling of the logs, with one person overseeing each log, at the auspicious time of one hour and one full pada past the first strike of the sun on Friday, the fourth day after the full moon of Natdaw in the year 1219.</t>
  </si>
  <si>
    <t xml:space="preserve">vol3_s001160_t02_bd61b569552b</t>
  </si>
  <si>
    <t xml:space="preserve">vol3_s001161</t>
  </si>
  <si>
    <t xml:space="preserve">vol3_s001161_t01_ba76c5f4e43b</t>
  </si>
  <si>
    <t xml:space="preserve">elephants</t>
  </si>
  <si>
    <t xml:space="preserve">PULLED</t>
  </si>
  <si>
    <t xml:space="preserve">remaining_royal_logs</t>
  </si>
  <si>
    <t xml:space="preserve">အမည်ရ သစ်တော် တစ်ဆယ်ပြင် ကျန်သစ်တော်များကိုလည်း သစ်တစ်လုံးလျှင် သက္ကလတ်ကြိုးနီတင် ဆင်ပေါက်တစ်စီးစီ ကြဉ်းဆောင် ဆွဲယူရသည်။</t>
  </si>
  <si>
    <t xml:space="preserve">Apart from the ten named royal logs, the remaining royal logs were also each pulled by a male elephant adorned with a red woolen rope.</t>
  </si>
  <si>
    <t xml:space="preserve">vol3_s001162</t>
  </si>
  <si>
    <t xml:space="preserve">vol3_s001162_t01_d99bcf3cc80a</t>
  </si>
  <si>
    <t xml:space="preserve">elephant_mahouts_and_guards</t>
  </si>
  <si>
    <t xml:space="preserve">WORE</t>
  </si>
  <si>
    <t xml:space="preserve">traditional_headgear_and_robes</t>
  </si>
  <si>
    <t xml:space="preserve">ဆင်တော်ဦးစီးနောက်ပဲ့တို့မှာ ဘာသာဗောင်းဝတ်လုံ ဆင်ယင်၍ ရှေ့နောက် အမအစ လိုက်ရသည်။</t>
  </si>
  <si>
    <t xml:space="preserve">The elephant mahouts and rear-guards wore traditional headgear and robes, and followed in front and behind [the logs].</t>
  </si>
  <si>
    <t xml:space="preserve">vol3_s001163</t>
  </si>
  <si>
    <t xml:space="preserve">vol3_s001163_t01_6668e940def0</t>
  </si>
  <si>
    <t xml:space="preserve">princes_and_officials</t>
  </si>
  <si>
    <t xml:space="preserve">FOLLOWED_PROCESSION_OF</t>
  </si>
  <si>
    <t xml:space="preserve">သစ်တော်နောက်က မင်းညီမင်းသား မှူးတော်မတ်တော်တို့ သနားတော်မြတ်ခံရသည့် ဗောင်း ဝတ်လုံ ဆင်ယင်၍ လိုက်ရသည်။</t>
  </si>
  <si>
    <t xml:space="preserve">Behind the royal logs, the princes and high-ranking officials, wearing the headgear and robes bestowed upon them by royal grace, followed.</t>
  </si>
  <si>
    <t xml:space="preserve">vol3_s001163_t02_27ed1714cd48</t>
  </si>
  <si>
    <t xml:space="preserve">vol3_s001164</t>
  </si>
  <si>
    <t xml:space="preserve">vol3_s001164_t01_8e0245834152</t>
  </si>
  <si>
    <t xml:space="preserve">performers</t>
  </si>
  <si>
    <t xml:space="preserve">PERFORMED_MUSIC_AND_DANCE_FOR</t>
  </si>
  <si>
    <t xml:space="preserve">royal_log_procession</t>
  </si>
  <si>
    <t xml:space="preserve">သစ်တော်ရှေ့ ပွဲသဘင် အခင်းအကျင်း တီးမှုတ်ကခုန်ကြရသည်။</t>
  </si>
  <si>
    <t xml:space="preserve">In front of the royal logs, there were musical performances and dancing.</t>
  </si>
  <si>
    <t xml:space="preserve">vol3_s001165</t>
  </si>
  <si>
    <t xml:space="preserve">vol3_s001165_t01_b00e499965e9</t>
  </si>
  <si>
    <t xml:space="preserve">wards_and_quarters</t>
  </si>
  <si>
    <t xml:space="preserve">PREPARED_PAVILIONS_FOR</t>
  </si>
  <si>
    <t xml:space="preserve">သစ်တော်ဆွဲ လမ်းတစ်လျှောက် ရပ်စုကွက်စုများကလည်း မဏ္ဍပ်ကနား ပြင်ဆင်ဆောက်လုပ်၍ ပွဲသဘင် တီးမှုတ်ကခုန်ကြရသည်။</t>
  </si>
  <si>
    <t xml:space="preserve">Along the route where the royal logs were pulled, the various wards and quarters also prepared and built pavilions and stages, and performed music and dance.</t>
  </si>
  <si>
    <t xml:space="preserve">vol3_s001165_t02_5043003cc3e5</t>
  </si>
  <si>
    <t xml:space="preserve">vol3_s001166</t>
  </si>
  <si>
    <t xml:space="preserve">vol3_s001166_t01_08e346ed973d</t>
  </si>
  <si>
    <t xml:space="preserve">ARRIVED_AT</t>
  </si>
  <si>
    <t xml:space="preserve">Glass_Palace_construction_site</t>
  </si>
  <si>
    <t xml:space="preserve">မှန်နန်းတော် ဆောက်လုပ်မည့်အရပ်သို့ နေနှစ်ချက်တီးအချိန်မှ သစ်တော်ဆိုက်ရောက်၏။</t>
  </si>
  <si>
    <t xml:space="preserve">The royal logs arrived at the site where the Glass Palace was to be built at the time of the second strike of the sun.</t>
  </si>
  <si>
    <t xml:space="preserve">vol3_s001167</t>
  </si>
  <si>
    <t xml:space="preserve">vol3_s001167_t01_6e84b8c6ee52</t>
  </si>
  <si>
    <t xml:space="preserve">OBSERVED_CONSTRUCTION_PROGRESS_FROM</t>
  </si>
  <si>
    <t xml:space="preserve">high_pavilion</t>
  </si>
  <si>
    <t xml:space="preserve">ဘဝရှင် မင်းတရား ကြီး ဘုရားလည်း စံနန်းတော်ဦး နန်းမြင့်သို့ ထွက်စံတော်မူ၍ ကြည့်တော်မူ၏။</t>
  </si>
  <si>
    <t xml:space="preserve">The Lord of Life, the Great King, also went out to the high pavilion of the royal palace to observe.</t>
  </si>
  <si>
    <t xml:space="preserve">vol3_s001168</t>
  </si>
  <si>
    <t xml:space="preserve">vol3_s001168_t01_f66a9a18a7e1</t>
  </si>
  <si>
    <t xml:space="preserve">King_Mindon_administration</t>
  </si>
  <si>
    <t xml:space="preserve">ORDERED_CARVING_OF</t>
  </si>
  <si>
    <t xml:space="preserve">palace_ornaments</t>
  </si>
  <si>
    <t xml:space="preserve">ထိုနှစ် ပြာသိုလဆန်းခုနစ်ရက် တနင်္လာနေ့ နေ နှစ်ချက်တီးကျော် ငါးနာရီ သုံးပါဒ် တစ်ဆယ့်လေးဗီဇနာ နှစ်ပြန် ခရာပြည့်အချိန် ကောင်းမြတ်သော မင်္ဂလာအခါတော်၌ ကြာသပတေးသား၊ သောကြာသားတို့ အနောက် အရပ်သို့ မျက်နှာရည်လျက် ရွှေနန်းတော် အပြောက်အမွမ်းများကို စ၍ ထုလုပ်စေသည်။</t>
  </si>
  <si>
    <t xml:space="preserve">In that same year, on Monday, the seventh day of the waxing moon of Pyatho, at the auspicious time of five hours, three padas, fourteen bizana, and two pyan, past the second strike of the sun, when the khaya was full, those born on Thursday and Friday, facing toward the west, were ordered to begin carving the decorative ornaments of the Golden Palace.</t>
  </si>
  <si>
    <t xml:space="preserve">vol3_s001168_t02_d983d7a56b48</t>
  </si>
  <si>
    <t xml:space="preserve">ritual_workers_born_Thursday_Friday</t>
  </si>
  <si>
    <t xml:space="preserve">CARVED</t>
  </si>
  <si>
    <t xml:space="preserve">vol3_s001169</t>
  </si>
  <si>
    <t xml:space="preserve">vol3_s001169_t01_9436d75d9562</t>
  </si>
  <si>
    <t xml:space="preserve">ORDERED_FORGING_OF</t>
  </si>
  <si>
    <t xml:space="preserve">foundation_metal_plates</t>
  </si>
  <si>
    <t xml:space="preserve">ယင်းသည့် ပြာသိုလဆန်း တစ်ဆယ့်တစ်ရက် သောကြာနေ့ နံနက်လေးချက်တီးကျော် လေးနာရီ သုံးပါဒ် တစ်ဆယ့်သုံးဗီဇနာ တစ်ပြန် ခရာပြည့်အချိန် ကောင်းမြတ်သော မင်္ဂလာအခါတော်၌ ကြာသပတေးသား၊ သောကြာ သားတို့ အနောက်အရပ်သို့ မျက်နှာရည်လျက် ရွှေမြို့ တော်, နန်းမြို့တော်မှ စ၍ နှံထားရန် အင်းပြားများကို စ၍ ခတ်လုပ်စေရသည်။</t>
  </si>
  <si>
    <t xml:space="preserve">On that same Friday, the eleventh day of the waxing moon of Pyatho, at the auspicious time of four hours, three padas, thirteen bizana, and one pyan, past the fourth strike of the morning, when the khaya was full, those born on Thursday and Friday, facing toward the west, were ordered to begin forging the metal plates to be buried [as foundation deposits] starting from the golden city and the royal palace.</t>
  </si>
  <si>
    <t xml:space="preserve">vol3_s001169_t02_58042220ffad</t>
  </si>
  <si>
    <t xml:space="preserve">FORGED</t>
  </si>
  <si>
    <t xml:space="preserve">vol3_s001170</t>
  </si>
  <si>
    <t xml:space="preserve">vol3_s001170_t01_945c9b715949</t>
  </si>
  <si>
    <t xml:space="preserve">ORDERED_SHARPENING_OF</t>
  </si>
  <si>
    <t xml:space="preserve">palace_nails</t>
  </si>
  <si>
    <t xml:space="preserve">ယင်းသည့် ပြာသိုလဆန်း တစ်ဆယ့်လေးရက် တနင်္လာနေ့ နေနှစ်ချက်တီးကျော် သုံးနာရီတစ်ပါဒ် ခုနစ်ဗီဇနာ ပြန်ပြည့် ခရာပြည့်အချိန် ကောင်းမြတ်သော မင်္ဂလာအခါတော်၌ ကြာသပတေးသား၊ သောကြာသားတို့ တောင် အရပ်သို့ မျက်နှာရည်လျက် ရွှေနန်းတော်မှာ စွဲရိုက်ရန် သံများကို စ၍ ချွန်လုပ်စေရသည်။</t>
  </si>
  <si>
    <t xml:space="preserve">On that same Monday, the fourteenth day of the waxing moon of Pyatho, at the auspicious time of three hours, one pada, and seven bizana, past the second strike of the sun, when the khaya was full, those born on Thursday and Friday, facing toward the south, were ordered to begin sharpening the nails to be driven into the Golden Palace.</t>
  </si>
  <si>
    <t xml:space="preserve">vol3_s001170_t02_c7a8cb056ec3</t>
  </si>
  <si>
    <t xml:space="preserve">SHARPENED</t>
  </si>
  <si>
    <t xml:space="preserve">vol3_s001315</t>
  </si>
  <si>
    <t xml:space="preserve">vol3_s001315_t01_1d0e40117bed</t>
  </si>
  <si>
    <t xml:space="preserve">Buddha_image_on_Mandalay_Hill</t>
  </si>
  <si>
    <t xml:space="preserve">ယင်းသည့်လ မန္တ လေးတောင်ပေါ် ဘုရားတောင်တွင် မြတ်စွာဘုရား အရပ်တော်ပမာဏ အတိုင်းအထွာ စံနစ်နှင့်အတူ မြတောင်မြို့စား သေနတ်ဝန်ကြီးသို့ လက်တတ်ပန်းပုအကျော်တို့ကို ပေးအပ်ပြီးလျှင် ညီတော်အာနန္ဒာ လျှောက်ထားတောင်းပန်ဟန်၊ မြတ်စွာဘုရား ဗျာဒိတ်ညွှန်ကြားတော်မူဟန်၊ ရွှေမြို့ တော်သို့ ရှေးရှုမျက်နှာရည်တော် မူလျက် မတ်ရပ်ဗျာဒိတ်ညွှန်းဘုရား ရုပ်တုတော်သဏ္ဌာန်၊ ညီတော်အာနန္ဒာ လျှောက်ထားတောင်းပန်သည့် ရုပ်တု သဏ္ဌာန် ထုလုပ်တော်မူ၍ သစ်စေး, သရိုး, ရွှေ မွမ်းမံပြီးလျှင် သမံတလင်း အရံအုတ်ရိုး စိန်ထောင်နှင့်တကွ ပြေပြစ်ကောင်းမွန်စွာ ရွှေတန်ဆောင်း အကြီးအကျယ် ဆောက်လုပ် ကိန်းဝပ်တော်မူရ၏။</t>
  </si>
  <si>
    <t xml:space="preserve">In that month, on the hill of the pagoda on Mandalay Hill, along with the system of measuring the Lord Buddha's height, [the King] entrusted the most skilled sculptors to the Myotaung Myosa, the Minister of Musketeers, and had them carve the form of the younger brother Ananda in the posture of requesting and pleading, the form of the Lord Buddha in the posture of giving a prophecy, and the form of the standing prophecy-giving Buddha facing toward the royal golden city; after carving the forms of the younger brother Ananda in the posture of requesting and pleading, and decorating them with lacquer, thayo, and gold, a large and magnificent golden pavilion was built with a level ground, surrounding brick walls, and diamond-shaped spires, and [the Buddha image] was enshrined there.</t>
  </si>
  <si>
    <t xml:space="preserve">vol3_s001315_t02_9e06b66d74fe</t>
  </si>
  <si>
    <t xml:space="preserve">Myotaung_Myosa</t>
  </si>
  <si>
    <t xml:space="preserve">vol3_s001315_t03_4351baa93166</t>
  </si>
  <si>
    <t xml:space="preserve">Minister_of_Musketeers</t>
  </si>
  <si>
    <t xml:space="preserve">vol3_s001315_t04_7349d3ec7fef</t>
  </si>
  <si>
    <t xml:space="preserve">SYMBOLIZED_LEGITIMACY_OF</t>
  </si>
  <si>
    <t xml:space="preserve">vol3_s001315_t05_b8ff38f9dd86</t>
  </si>
  <si>
    <t xml:space="preserve">ORIENTED_TOWARD</t>
  </si>
  <si>
    <t xml:space="preserve">Royal_Golden_City</t>
  </si>
  <si>
    <t xml:space="preserve">vol3_s001316</t>
  </si>
  <si>
    <t xml:space="preserve">vol3_s001316_t01_b97cba486283</t>
  </si>
  <si>
    <t xml:space="preserve">Minister_of_Magway</t>
  </si>
  <si>
    <t xml:space="preserve">Royal_residence_infrastructure</t>
  </si>
  <si>
    <t xml:space="preserve">The named minister's construction supervision is correct, but these are covered approaches between religious buildings, not royal residential infrastructure.</t>
  </si>
  <si>
    <t xml:space="preserve">Retain the named supervising minister; object should be covered approaches/pavilions for the religious complex.</t>
  </si>
  <si>
    <t xml:space="preserve">၎င်း တန်ဆောင်းက တောင်သို့အဆင်း စံကျောင်းတော် မဟာရံမြောက်ထောင့် အနီးရောက် စောင်းတန်း တန်ဆောင်းများကိုလည်း မကွေးမြို့စားဝန်ကြီး, မြတောင်မြို့စား သေနတ်ဝန်ကြီး, ပုခန်းကြီးမြို့ စား ဝန်ကြီးတို့ ကြီးကြပ်ဆောက်လုပ်ရသည်။</t>
  </si>
  <si>
    <t xml:space="preserve">The Minister of Magway, the Myotaung Myosa Minister of Musketeers, and the Minister of Pakhangyi were also supervised to build the covered walkways and pavilions that reach near the northeast corner of the great enclosure of the royal residence, descending south from that pavilion.</t>
  </si>
  <si>
    <t xml:space="preserve">vol3_s001316_t02_5a90b49e1898</t>
  </si>
  <si>
    <t xml:space="preserve">vol3_s001316_t03_caad47d786a8</t>
  </si>
  <si>
    <t xml:space="preserve">Minister_of_Pakhangyi</t>
  </si>
  <si>
    <t xml:space="preserve">vol3_s001317</t>
  </si>
  <si>
    <t xml:space="preserve">vol3_s001317_t01_35ed9baa264b</t>
  </si>
  <si>
    <t xml:space="preserve">PERFORMED_RITUAL_OFFERINGS</t>
  </si>
  <si>
    <t xml:space="preserve">Royal_seasonal_festivals</t>
  </si>
  <si>
    <t xml:space="preserve">နှစ်စဉ်လှူဒါန်းမြဲ အတာသဘင်မှစ၍ တစ်ဆယ့်နှစ်ရာသီ သဘင်မင်းပွဲ အလှူတော်များကိုလည်း လစဉ်မပြတ် စီရင်ခင်းကျင်း လှူဒါန်းတော်မူသည်။</t>
  </si>
  <si>
    <t xml:space="preserve">Starting from the annual Atathebin festival, the twelve-season royal festival offerings were also arranged and donated monthly without fail.</t>
  </si>
  <si>
    <t xml:space="preserve">vol3_s001320</t>
  </si>
  <si>
    <t xml:space="preserve">vol3_s001320_t01_1c4c3a770c22</t>
  </si>
  <si>
    <t xml:space="preserve">North_Golden_Chamber_Queen</t>
  </si>
  <si>
    <t xml:space="preserve">BORE_ROYAL_HEIR</t>
  </si>
  <si>
    <t xml:space="preserve">၁၂၂၂-ခု သက္ကရာဇ် (၁၂၂၂) တစ်ထောင့်နှစ်ရာ့နှစ်ဆယ့်နှစ်ခု ကဆုန်လဆန်းကိုးရက်? တနင်္ဂနွေနေ့ နံနက်တစ်ချက်တီးကျော် တစ်မောင်းအချိန် မြောက်ရွှေရေးဆောင်မိဖုရား နန္ဒာဒေဝီတွင် သားတော်ဖွားမြင်သည်။</t>
  </si>
  <si>
    <t xml:space="preserve">In the year 1222, on the 9th day of the waxing moon of Kason, Sunday, at 1 maung past the first strike of the morning, a son was born to the North Golden Chamber Queen, Nanda Devi.</t>
  </si>
  <si>
    <t xml:space="preserve">vol3_s001320_t02_7dd0b3a4018e</t>
  </si>
  <si>
    <t xml:space="preserve">REINFORCED_DYNASTIC_CONTINUITY_THROUGH</t>
  </si>
  <si>
    <t xml:space="preserve">Royal_birth</t>
  </si>
  <si>
    <t xml:space="preserve">vol3_s001321</t>
  </si>
  <si>
    <t xml:space="preserve">vol3_s001321_t01_7be3fe959b26</t>
  </si>
  <si>
    <t xml:space="preserve">Thanazayit_Village_Lord</t>
  </si>
  <si>
    <t xml:space="preserve">ယင်းသည့်လဆန်း တစ်ဆယ့် တစ်ရက် အင်္ဂါနေ့ နံနက် လေးချက်တီးကျော် တစ်မောင်းခန့်အချိန် သနဇရစ်ရွာစား သီရိစိတ္တာမဟေတွင် သားတော် ဖွားမြင်သည်။</t>
  </si>
  <si>
    <t xml:space="preserve">On the 11th day of the waxing moon of that month, Tuesday, at about 1 maung past the fourth strike of the morning, a son was born to the Thanazayit Village Lord, Siri Citta Mahe.</t>
  </si>
  <si>
    <t xml:space="preserve">vol3_s001321_t02_081d4c7a55ce</t>
  </si>
  <si>
    <t xml:space="preserve">MAINTAINED_ROYAL_LINEAGE_THROUGH</t>
  </si>
  <si>
    <t xml:space="preserve">Consort_relations</t>
  </si>
  <si>
    <t xml:space="preserve">vol3_s001322</t>
  </si>
  <si>
    <t xml:space="preserve">vol3_s001322_t01_081205e9d940</t>
  </si>
  <si>
    <t xml:space="preserve">INITIATED_INTO_RELIGION</t>
  </si>
  <si>
    <t xml:space="preserve">Royal_princes</t>
  </si>
  <si>
    <t xml:space="preserve">ယင်းသည့်လ သားတော်စကုမင်းသား, မက္ခရာမင်းသား, ညောင်ရမ်းမင်းသား, မိုးညှင်းမင်းသား, မြင်းခုံတိုင် မင်းသား, ငရဲနဲမင်းသားတို့ကို သာသနာတော်တွင်းသို့ သွတ်သွင်းချီးမြှင့်တော်မူမည်ဖြစ်၍ ဆရာတော် ဦးဇာဂရ - ကို နန်းမြို့တော် တောင်ဥယျာဉ်တော်တွင် ကျောင်းတော်ဆောက်လုပ်လှူဒါန်း သီတင်းသုံးနေစေ၍ သင်္ကန်းတောင်း, သာမဏေကျင့်ဝတ်များကို သင်ကြားဆုံးမစေ၏။</t>
  </si>
  <si>
    <t xml:space="preserve">In that month, as [the King] intended to initiate and bestow favors upon the royal sons Prince Sagu, Prince Mekkhara, Prince Nyaungyan, Prince Mohnyin, Prince Myinkhontine, and Prince Ngayane into the religion, he had a monastery built and donated in the southern royal garden for the Sayadaw U Zagara to reside in, and had him teach and instruct [the princes] in the rules of wearing robes and the duties of a novice.</t>
  </si>
  <si>
    <t xml:space="preserve">vol3_s001322_t02_166484e02060</t>
  </si>
  <si>
    <t xml:space="preserve">APPOINTED_AS_TUTOR</t>
  </si>
  <si>
    <t xml:space="preserve">Sayadaw_U_Zagara</t>
  </si>
  <si>
    <t xml:space="preserve">vol3_s001322_t03_a737a18efb4b</t>
  </si>
  <si>
    <t xml:space="preserve">PROVIDED_RELIGIOUS_EDUCATION_TO</t>
  </si>
  <si>
    <t xml:space="preserve">vol3_s001322_t04_8407259f93b9</t>
  </si>
  <si>
    <t xml:space="preserve">DONATED_MONASTERY_TO</t>
  </si>
  <si>
    <t xml:space="preserve">vol3_s001323</t>
  </si>
  <si>
    <t xml:space="preserve">vol3_s001323_t01_58e01f0882f1</t>
  </si>
  <si>
    <t xml:space="preserve">Laungshay_Queen</t>
  </si>
  <si>
    <t xml:space="preserve">Princess</t>
  </si>
  <si>
    <t xml:space="preserve">သက္ကရာဇ် (၁၂၂၂) တစ်ထောင့်နှစ်ရာ့နှစ်ဆယ့်နှစ်ခု ကဆုန်လပြည့်ကျော် တစ်ဆယ့်ငါးရက် စနေနေ့ နေသုံးချက်တီးကျော်အချိန် လောင်းရှည်မိဖုရား သီရိမဟာမင်္ဂလာသုပဘာဒေဝီတွင် သမီးတော်ဖွားမြင်သည်။</t>
  </si>
  <si>
    <t xml:space="preserve">In the year 1222, on the 15th day of the waning moon of Kason, Saturday, at a time past the third strike of the sun, a daughter was born to the Laungshay Queen, Siri Maha Mangala Supaba Devi.</t>
  </si>
  <si>
    <t xml:space="preserve">vol3_s001323_t02_9f816f722f96</t>
  </si>
  <si>
    <t xml:space="preserve">vol3_s001324</t>
  </si>
  <si>
    <t xml:space="preserve">vol3_s001324_t01_67799c6aa7d3</t>
  </si>
  <si>
    <t xml:space="preserve">ORDERED_FUNERAL_RITES_FOR</t>
  </si>
  <si>
    <t xml:space="preserve">Shin_Sandima</t>
  </si>
  <si>
    <t xml:space="preserve">ထိုနှစ် နယုန်လဆန်းတစ်ရက်နေ့ ရတနာသိင်္ဃမြို့စီရင်စု သီလုံးတောရဆရာ ရှင်စန္ဒိမာ သီတင်းသုံးနေရင်း ကျေးရွာတွင် ဘဝပြောင်းသည်ကို အမိန့်တော်နှင့် လှပကောင်းမွန်အောင် လုပ်ဆောင်သင်္ဂြိုဟ်ရ၏။</t>
  </si>
  <si>
    <t xml:space="preserve">On the 1st day of the waxing moon of Nayon of that year, when the Thilon forest-dwelling teacher Shin Sandima, who was residing in the jurisdiction of Ratanasingha city, passed away in the village, [the King] ordered that he be processed and cremated beautifully and properly.</t>
  </si>
  <si>
    <t xml:space="preserve">vol3_s001324_t02_bd8834409374</t>
  </si>
  <si>
    <t xml:space="preserve">HELD_STATUS_AS</t>
  </si>
  <si>
    <t xml:space="preserve">Forest_dwelling_teacher</t>
  </si>
  <si>
    <t xml:space="preserve">vol3_s001324_t03_1a5ce549a9f3</t>
  </si>
  <si>
    <t xml:space="preserve">EXERCISED_PATRONAGE_OVER</t>
  </si>
  <si>
    <t xml:space="preserve">Religious_authority</t>
  </si>
  <si>
    <t xml:space="preserve">vol3_s001325</t>
  </si>
  <si>
    <t xml:space="preserve">vol3_s001325_t01_5c75ac35b8e5</t>
  </si>
  <si>
    <t xml:space="preserve">COMMISSIONED_CASTING_OF</t>
  </si>
  <si>
    <t xml:space="preserve">Royal_bell</t>
  </si>
  <si>
    <t xml:space="preserve">ယင်းသည့် လဆန်းတစ်ဆယ့်တစ်ရက်? ဗုဒ္ဓဟူးနေ့ ညဉ့်သုံးချက်တီးကျော် လေးမောင်းခန့်အချိန် အခါတော်နှင့် ပဟိုရ်ခေါင်းလောင်းကို စ၍ သွန်းလုပ်ရသည်။</t>
  </si>
  <si>
    <t xml:space="preserve">On the 11th day of the waxing moon of that month, Wednesday, at about 4 maung past the third strike of the night, the casting of the royal bell was begun at the auspicious time.</t>
  </si>
  <si>
    <t xml:space="preserve">vol3_s001325_t02_a42edfc09858</t>
  </si>
  <si>
    <t xml:space="preserve">Auspicious_royal_order</t>
  </si>
  <si>
    <t xml:space="preserve">vol3_s001326</t>
  </si>
  <si>
    <t xml:space="preserve">vol3_s001326_t01_f3688d3d9d6d</t>
  </si>
  <si>
    <t xml:space="preserve">Court_scholars</t>
  </si>
  <si>
    <t xml:space="preserve">INTERPRETED_OMEN_FOR</t>
  </si>
  <si>
    <t xml:space="preserve">ထိုနှစ် ဝါဆိုလဆန်း ခုနစ်ရက် တနင်္ဂနွေနေ့ အနောက်အရပ်က ကြယ်တံခွန်ပြသည်ကို ပညာရှိတို့က ဖုသျှနက္ခတ်နှင့် ယှဉ်၍ ပြသောကြောင့် မိုးလေဖြောင့်မှန်စွာ ရွာသဖြင့် တိုင်းတစ်ပါးမှ ဆင်ကြီးမြင်းကြီး, သမီးကညာ, ရတနာ ဆက်သ လာရောက်မည် အကြောင်းများနှင့် မင်္ဂလာစကား, မင်္ဂလာရတု လျှောက်ထားကြသည်။</t>
  </si>
  <si>
    <t xml:space="preserve">On the 7th day of the waxing moon of Waso of that year, Sunday, because the wise men interpreted the appearance of a comet in the west as being aligned with the Phussa constellation, which indicates that rain will fall accurately and that great elephants, horses, maidens, and treasures will be offered and brought from foreign lands, they submitted auspicious words and auspicious poems.</t>
  </si>
  <si>
    <t xml:space="preserve">vol3_s001326_t02_7e3976dbdaf8</t>
  </si>
  <si>
    <t xml:space="preserve">Comet</t>
  </si>
  <si>
    <t xml:space="preserve">SIGNALED_AUSPICIOUS_FUTURE_FOR</t>
  </si>
  <si>
    <t xml:space="preserve">Konbaung_state</t>
  </si>
  <si>
    <t xml:space="preserve">vol3_s001326_t03_2261b9682870</t>
  </si>
  <si>
    <t xml:space="preserve">MEDIATED_COSMIC_ORDER_THROUGH</t>
  </si>
  <si>
    <t xml:space="preserve">vol3_s001326_t04_fcff4ed1996b</t>
  </si>
  <si>
    <t xml:space="preserve">Foreign_lands</t>
  </si>
  <si>
    <t xml:space="preserve">PREDICTED_TO_OFFER_TRIBUTE_TO</t>
  </si>
  <si>
    <t xml:space="preserve">vol3_s001527</t>
  </si>
  <si>
    <t xml:space="preserve">vol3_s001527_t01_11765aaaa7df</t>
  </si>
  <si>
    <t xml:space="preserve">UTILIZED_MODERN_TECHNOLOGY</t>
  </si>
  <si>
    <t xml:space="preserve">Steamship</t>
  </si>
  <si>
    <t xml:space="preserve">ခရီးလမ်းတစ်လျှောက် ကျောက်တော်ကြီးတင် သမ္ဗန်တော်တွင် ပွဲသဘင် အတီးအမှုတ် အကများနှင့် စုန်ဆင်း ခဲ့ရာ အထွက်ကို ချောထောက်အမြောက်သံ ရွေးတော်ယူတံခါးရောက် ကြားစေပြီးလျှင်’၎င်းလပြည့်ကျော် နှစ်ရက်နေ့ မြနန်းစကြာ မီးသင်္ဘောတော်နှင့် ဆွဲဆောင်ခဲ့ရာ မင်းညီမင်းသား မှူးတော်မတ်တော်တို့ ခတ်လှေ, လှော်လှေများနှင့် ကြိုဆို၍ အနောက်ပြင် အီကင်းရွာဆိပ်သို့ ရောက်သည်။</t>
  </si>
  <si>
    <t xml:space="preserve">Throughout the journey, [the image] was brought downriver with festivities, music, and dances on the royal barge carrying the Kyauktawgyi, and upon departure, the sound of cannons was made to be heard at the Ywe-taw-yu Gate; then, on the second day after the full moon of that month, it was towed by the Mya-nan-sakra steamship, and the princes and ministers welcomed it with rowing boats and paddling boats, arriving at the E-kin village landing on the west side.</t>
  </si>
  <si>
    <t xml:space="preserve">vol3_s001527_t02_98d92f86fd0e</t>
  </si>
  <si>
    <t xml:space="preserve">Elites</t>
  </si>
  <si>
    <t xml:space="preserve">PARTICIPATED_IN_ROYAL_RITUAL</t>
  </si>
  <si>
    <t xml:space="preserve">Buddha image arrival</t>
  </si>
  <si>
    <t xml:space="preserve">vol3_s001528</t>
  </si>
  <si>
    <t xml:space="preserve">vol3_s001528_t01_5446df5cefca</t>
  </si>
  <si>
    <t xml:space="preserve">MODIFIED_LANDSCAPE</t>
  </si>
  <si>
    <t xml:space="preserve">Shweta-chaung canal</t>
  </si>
  <si>
    <t xml:space="preserve">၎င်းလ ရုပ်ပွားတော်ကျောက်တော်ကြီးကို ဖောင်ပေါ်မှ ကုန်းသို့တင်ရန် ခံကုန်းရွာမြောက် ရွှေတချောင်း မြောင်းကို ချိုး၍ ရွှေတချောင်းမြောင်းတွင်းသို့ သွင်းပြီးလျှင် ရုပ်တုတော်တင် စွတ်ဖားကို ချဆောင်သည်။</t>
  </si>
  <si>
    <t xml:space="preserve">To move the Kyauktawgyi Buddha image from the raft to the land that month, the Shweta-chaung canal north of Khan-kon village was breached, and after it was brought into the Shweta-chaung canal, the sledge carrying the image was lowered.</t>
  </si>
  <si>
    <t xml:space="preserve">vol3_s001529</t>
  </si>
  <si>
    <t xml:space="preserve">vol3_s001529_t01_56768b5595a9</t>
  </si>
  <si>
    <t xml:space="preserve">MOBILIZED_LABOR_FORCE</t>
  </si>
  <si>
    <t xml:space="preserve">12,000 service personnel</t>
  </si>
  <si>
    <t xml:space="preserve">စွတ်ဖား လမ်း တလိမ့်ကြိုးလွန်များကို ပြင်ဆင်ပြီးလျှင် မန္တလေးတောင်ခြေရင်း သုဓမ္မာဇရပ်အနီး ကျောက်တော်ကြီးဘုရား ရုပ်တုတော်ထားရာ အရပ်ရောက် အစုအမှုထမ်းလူ တစ်သောင်းနှစ်ထောင်ကျော်တို့ကို အိမ်ရှေ့မင်း, ဝန်ကြီး, အတွင်းဝန်, ဗိုလ်, သေနတ်စာရေး, သွေးသောက်ကြီးတို့ ကြပ်မဆွဲဆောင်စေရာ ဆွဲရက် တစ်ဆယ့်သုံးရက်နှင့် တန်ဆောင်မုန်းလဆန်း နှစ်ရက် နေ့ ထားရပ် ပလ္လင်ပေါ်သို့ ရောက်သည်။</t>
  </si>
  <si>
    <t xml:space="preserve">After the sledge path and the ropes for rolling were prepared, the Crown Prince, ministers, secretaries, commanders, gun-writers, and Thwe-thauk-gyi officials were ordered to supervise the pulling by over twelve thousand service personnel to the place near the Sudhamma Zayat at the foot of Mandalay Hill where the Kyauktawgyi Buddha image was to be placed, and it arrived on the pedestal on the second day of the waxing moon of Tazaungmon, after thirteen days of pulling.</t>
  </si>
  <si>
    <t xml:space="preserve">vol3_s001529_t02_45147cf468fc</t>
  </si>
  <si>
    <t xml:space="preserve">SUPERVISED_LABOR_FORCE</t>
  </si>
  <si>
    <t xml:space="preserve">vol3_s001530</t>
  </si>
  <si>
    <t xml:space="preserve">vol3_s001530_t01_1a14d33fa8e2</t>
  </si>
  <si>
    <t xml:space="preserve">King and Queen</t>
  </si>
  <si>
    <t xml:space="preserve">PERFORMED_ROYAL_PROCESSION</t>
  </si>
  <si>
    <t xml:space="preserve">Mandalay Palace</t>
  </si>
  <si>
    <t xml:space="preserve">The royal procession is correct, but the source names the Nan Myebontha temporary palace near the image works, not simply Mandalay Palace.</t>
  </si>
  <si>
    <t xml:space="preserve">King and Queen | PERFORMED_ROYAL_PROCESSION | Nan Myebontha temporary palace</t>
  </si>
  <si>
    <t xml:space="preserve">ရုပ်ပွားတော် ကျောက်တော်ကြီး ထားရပ် ပလ္လင်ပေါ်သို့ မရောက်မီ ခံကုန်းရွာမြောက်သို့ ရောက်လျှင် တော်သလင်းလဆန်းသုံးရက် နေ့ နံနက် နန်းမြေဘုံသာစံနန်းတော်သို့ ဆဒ္ဒန်ဆင်မင်းသခင် ဘဝရှင်မင်းတရားကြီး ဘုရား, အရှင်နန်းမတော်ဘုရား နှစ်ပါး ရှေ့ခြောက်တပ် နောက်ခြောက်တပ်နှင့် ထွက်တော်မူကြီး ထွက်စံတော်မူသည်။</t>
  </si>
  <si>
    <t xml:space="preserve">Before the Kyauktawgyi Buddha image arrived at the pedestal, when it reached the north of Khan-kon village, on the morning of the third day of the waxing moon of Tawthalin, the Lord of the White Elephant, the Sovereign King, and the Queen went out in a grand procession with six divisions in front and six divisions behind to the Nan-mye-bon-tha Royal Palace.</t>
  </si>
  <si>
    <t xml:space="preserve">vol3_s001531</t>
  </si>
  <si>
    <t xml:space="preserve">vol3_s001531_t01_f6d0bc32cbe6</t>
  </si>
  <si>
    <t xml:space="preserve">Service personnel</t>
  </si>
  <si>
    <t xml:space="preserve">PERFORMED_RITUAL_SERVICE</t>
  </si>
  <si>
    <t xml:space="preserve">Royal ceremony</t>
  </si>
  <si>
    <t xml:space="preserve">ကျောက်တော်ကြီးရုပ်တုတော် ကြိုယူပင့်ဆောင် ကြွရောက်တော်မူမည့် အခမ်းအနားတွင် အစုအမှုထမ်းတို့က “ ယောက်ျားအကပွဲ, ရွှေမြို့တော် ရပ်စုကွက်စုများက ယောက်ျားမိန်းမ အကပွဲများကို သွင်းပြကြရသည်။</t>
  </si>
  <si>
    <t xml:space="preserve">At the ceremony for the arrival of the Kyauktawgyi image, the service personnel had to perform men's dances, and the various wards and quarters of the golden city had to perform men's and women's dances.</t>
  </si>
  <si>
    <t xml:space="preserve">vol3_s001531_t02_519e1a766e4e</t>
  </si>
  <si>
    <t xml:space="preserve">City wards</t>
  </si>
  <si>
    <t xml:space="preserve">vol3_s001532</t>
  </si>
  <si>
    <t xml:space="preserve">vol3_s001532_t01_e4c0e0cb01a2</t>
  </si>
  <si>
    <t xml:space="preserve">Royal Palace</t>
  </si>
  <si>
    <t xml:space="preserve">HOSTED_CONTINUOUS_FESTIVITIES</t>
  </si>
  <si>
    <t xml:space="preserve">Royal ritual</t>
  </si>
  <si>
    <t xml:space="preserve">စံနန်းတော် တွင်လည်း နေ့ည ပွဲသဘင်မပြတ် ခံတော်မူသည်။</t>
  </si>
  <si>
    <t xml:space="preserve">At the royal palace as well, festivities were held continuously day and night.</t>
  </si>
  <si>
    <t xml:space="preserve">vol3_s001533</t>
  </si>
  <si>
    <t xml:space="preserve">vol3_s001533_t01_ddba7397d311</t>
  </si>
  <si>
    <t xml:space="preserve">PATRONIZED_ARTISANS</t>
  </si>
  <si>
    <t xml:space="preserve">Construction site</t>
  </si>
  <si>
    <t xml:space="preserve">ကျောက်တော်ကြီး ရုပ်တုတော် ဆွဲဆောင်သည့်အတွင်း ရုပ်တုတော် တင်ထားရန် ကျောက်ဖြူပလ္လင် လုပ်ရာသို့ အရှင်နှစ်ပါး မပြတ်ထွက်တော်မူ၍ အလုပ်အဆောင် အကြီးအကြပ် ကျောက်ဆတ်ပန်းရန် ကံကျွေးတို့ကို ဒင်္ဂါး အဝတ်အစား ပေးတော်မူသည်။</t>
  </si>
  <si>
    <t xml:space="preserve">While the Kyauktawgyi image was being towed, the two sovereigns frequently went out to the site where the white marble pedestal was being built to hold the image, and they gave coins and clothing to the supervisors, stone masons, bricklayers, and laborers.</t>
  </si>
  <si>
    <t xml:space="preserve">vol3_s001533_t02_c4e693b7abce</t>
  </si>
  <si>
    <t xml:space="preserve">REWARDED_LABORERS</t>
  </si>
  <si>
    <t xml:space="preserve">Coins and clothing</t>
  </si>
  <si>
    <t xml:space="preserve">vol3_s001534</t>
  </si>
  <si>
    <t xml:space="preserve">vol3_s001534_t01_8afff475f384</t>
  </si>
  <si>
    <t xml:space="preserve">Royal Treasury</t>
  </si>
  <si>
    <t xml:space="preserve">FUNDED_RELIGIOUS_INFRASTRUCTURE</t>
  </si>
  <si>
    <t xml:space="preserve">33 Zayats</t>
  </si>
  <si>
    <t xml:space="preserve">ကျောက်တော်ကြီးဘုရား ပြင်မဟာရံပြင် တောင်ဘက်, အနောက်ဘက်၊ စံကျောင်းတော်တိုက် မဟာရံပြင်၊ အရှေ့ဘက်, တောင်ဘက်များမှာ အုတ်ပလ္လင်ခံ၍ အမိုးဘုံနှစ်ဆင့် လည်ပေါ်ယွန်းဆက် စုလစ်မွမ်းချွန်နှင့်တကွ ဇရပ်ပေါင်း သုံးဆယ့်သုံးကို အသီးအသီး မှူးတော်မတ်တော်တို့သို့ ငွေတော်ပေးအပ်၍ တစ်ဆောင်စီ ကြီးကြပ် လုပ်စေသည်။</t>
  </si>
  <si>
    <t xml:space="preserve">For the Kyauktawgyi Buddha, thirty-three zayats were built with brick pedestals, two-tiered roofs, and decorative spires on the south and west sides of the outer enclosure, and on the east and south sides of the royal monastery enclosure, with the ministers being given royal silver to supervise the construction of one building each.</t>
  </si>
  <si>
    <t xml:space="preserve">vol3_s001534_t02_3a11f0622145</t>
  </si>
  <si>
    <t xml:space="preserve">Ministers</t>
  </si>
  <si>
    <t xml:space="preserve">MANAGED_CONSTRUCTION_OF_RELIGIOUS_BUILDINGS</t>
  </si>
  <si>
    <t xml:space="preserve">vol3_s001535</t>
  </si>
  <si>
    <t xml:space="preserve">vol3_s001535_t01_465f1c070618</t>
  </si>
  <si>
    <t xml:space="preserve">APPROPRIATED_FOREIGN_TECHNOLOGY</t>
  </si>
  <si>
    <t xml:space="preserve">ထိုနှစ် တော်သလင်းလဆန်း ခြောက်ရက် နေ့ ကုလားကုန်သည်ကြီး ဟာလေဒီဘိုလုပ်ကုမ္ပဏီက ဆက်သ သည့် မီးသင်္ဘောတော်ကို စကြာယာဉ်မွန်-ကမ္ပည်းတပ်တော်မူသည်။</t>
  </si>
  <si>
    <t xml:space="preserve">On the sixth day of the waxing moon of Tawthalin that year, the steamship presented by the great Indian merchant company, Halliday &amp; Co., was named 'Sakra-yan-mun'.</t>
  </si>
  <si>
    <t xml:space="preserve">vol3_s001535_t02_181401a5c1a5</t>
  </si>
  <si>
    <t xml:space="preserve">NAMED_FOREIGN_GIFT</t>
  </si>
  <si>
    <t xml:space="preserve">Sakra-yan-mun</t>
  </si>
  <si>
    <t xml:space="preserve">vol3_s001980</t>
  </si>
  <si>
    <t xml:space="preserve">vol3_s001980_t01_404a13c3f962</t>
  </si>
  <si>
    <t xml:space="preserve">Pandita</t>
  </si>
  <si>
    <t xml:space="preserve">ပဏ္ဍိတ-သဒ္ဒါဖြင့် ပစ္စုပ္ပန်၌ဖြစ်သော ကိုယ်တော်စီးပွား၊ သားတော်အစဉ် မြေးတော်အဆက် မြစ်တော်အညွန့် အဓွန့်ရှည်စွာ တည်ထွန်းအံ့သော အကျိုးစီးပွား၊ သာသနာတော်မြတ် စီးပွားကို များစေနိုင်သော ပညာ, သမ္မာ သမ္ဗောဓိဆု တည်းဟူသော တမလွန်စီးပွားကို များစေနိုင်သော ပညာနှင့် ပြည့်စုံတော်မူခြင်း အနက်ကို ပြသည်။</t>
  </si>
  <si>
    <t xml:space="preserve">The term 'Pandita' signifies being endowed with the wisdom that brings about personal prosperity in the present, the prosperity that will flourish long into the future for the lineage of sons, grandsons, and great-grandsons, and the wisdom that can increase the prosperity of the noble Sasana, as well as the wisdom that can increase the prosperity of the hereafter, which is the reward of Samma Sambodhi.</t>
  </si>
  <si>
    <t xml:space="preserve">vol3_s001980_t02_2f8a132b7e1b</t>
  </si>
  <si>
    <t xml:space="preserve">Pandita_Title</t>
  </si>
  <si>
    <t xml:space="preserve">SIGNIFIES</t>
  </si>
  <si>
    <t xml:space="preserve">Wisdom_for_prosperity</t>
  </si>
  <si>
    <t xml:space="preserve">vol3_s001980_t03_34bb4fb6f540</t>
  </si>
  <si>
    <t xml:space="preserve">ENCOMPASSES</t>
  </si>
  <si>
    <t xml:space="preserve">Lineage_continuity</t>
  </si>
  <si>
    <t xml:space="preserve">vol3_s001980_t04_4062ffc40f3c</t>
  </si>
  <si>
    <t xml:space="preserve">Sasana_support</t>
  </si>
  <si>
    <t xml:space="preserve">vol3_s001980_t05_f4b7c1828fce</t>
  </si>
  <si>
    <t xml:space="preserve">Spiritual_merit</t>
  </si>
  <si>
    <t xml:space="preserve">vol3_s001981</t>
  </si>
  <si>
    <t xml:space="preserve">vol3_s001981_t01_367db24f9937</t>
  </si>
  <si>
    <t xml:space="preserve">Tribhavanadityadhipati</t>
  </si>
  <si>
    <t xml:space="preserve">တြိဘဝနာဒိတျာဓိပတိ-သဒ္ဒါဖြင့် လောကသုံးပါးတွင် ထင်ရှားသော အာဒိစ္စဝံသ, စန္ဒရဝံသ နှစ်ပါးသော မင်းနွယ်တို့တွင် အာဒိစ္စဝံသ သာကီဝင်မင်းမျိုးမှ လာသော မင်းမြတ်တကာတို့ စံရာဌာနဒေသ တိုင်းကြီးပြည်ကြီး များ သခင်ဖြစ်၍ နေမင်းမျိုးရိုး ဖြစ်တော်မူသော အမင်းမင်းတို့၏ အသျှင် ဟူသော အနက်ကိုပြသည်။</t>
  </si>
  <si>
    <t xml:space="preserve">The term 'Tribhavanadityadhipati' signifies being the lord of all kings who are of the solar lineage, who are masters of the great regions and countries where all noble kings from the solar Sakyan royal lineage—which is one of the two royal lineages, the solar and lunar, that are famous in the three worlds—reside.</t>
  </si>
  <si>
    <t xml:space="preserve">vol3_s001981_t02_7c3d6293b8cf</t>
  </si>
  <si>
    <t xml:space="preserve">Tribhavanadityadhipati_Title</t>
  </si>
  <si>
    <t xml:space="preserve">Lordship_over_solar_lineage_kings</t>
  </si>
  <si>
    <t xml:space="preserve">vol3_s001981_t03_85f9c8453162</t>
  </si>
  <si>
    <t xml:space="preserve">Solar_Sakyan_lineage</t>
  </si>
  <si>
    <t xml:space="preserve">vol3_s001982</t>
  </si>
  <si>
    <t xml:space="preserve">vol3_s001982_t01_0a6e80a0642c</t>
  </si>
  <si>
    <t xml:space="preserve">Mahadhammaraja</t>
  </si>
  <si>
    <t xml:space="preserve">မဟာဓမ္မရာဇ’သဒ္ဒါဖြင့် ဘေးလောင်းတော် ဘိုးလောင်းတော် အဆက်ဆက်မှ လာသော ဓမ္မသတ်၊ ရာဇသတ်၊ ထုံးပဝေဏီကို မပျောက်ပစေမူ၍ အပရိဟာနီယ တရားကို ဖြည့်ကျင့်တော်မူသော မင်းမြတ် ဟူသော အနက်ကို ပြသည်။</t>
  </si>
  <si>
    <t xml:space="preserve">The term 'Mahadhammaraja' signifies a noble king who does not allow the Dhammathat, Rajathat, and traditional customs that have come down through successive generations of great-grandfathers and grandfathers to be lost, and who fulfills the Aparihaniya Dhamma.</t>
  </si>
  <si>
    <t xml:space="preserve">vol3_s001982_t02_78a7302d7c1c</t>
  </si>
  <si>
    <t xml:space="preserve">Mahadhammaraja_Title</t>
  </si>
  <si>
    <t xml:space="preserve">Upholder_of_Dhammathat_and_Rajathat</t>
  </si>
  <si>
    <t xml:space="preserve">vol3_s001982_t03_46880b2190ac</t>
  </si>
  <si>
    <t xml:space="preserve">PRESERVES</t>
  </si>
  <si>
    <t xml:space="preserve">Traditional_customs</t>
  </si>
  <si>
    <t xml:space="preserve">vol3_s001982_t04_69a3df2a5ac7</t>
  </si>
  <si>
    <t xml:space="preserve">PRACTICES</t>
  </si>
  <si>
    <t xml:space="preserve">Aparihaniya_Dhamma</t>
  </si>
  <si>
    <t xml:space="preserve">vol3_s001983</t>
  </si>
  <si>
    <t xml:space="preserve">vol3_s001983_t01_dd4af654a995</t>
  </si>
  <si>
    <t xml:space="preserve">Adhiraja</t>
  </si>
  <si>
    <t xml:space="preserve">အဓိရာဇ-သဒ္ဒါဖြင့် ကျွန်းတကာတို့၏ အချက်အချာ ဇမ္ဗူဒီပါကျွန်း အပြင်၌ သာသနာတော် စီးပွား၊ တိုင်းနိုင်ငံသူတို့ စီးပွားကို ရွက်ဆောင်တော်မူခြင်းဖြင့် မင်းတကာတို့ထက် လွန်ကျူးထူးမြတ်သော မင်း ဟူသော အနက်ကို ပြသည်။</t>
  </si>
  <si>
    <t xml:space="preserve">The term 'Adhiraja' signifies a king who is superior and more excellent than all other kings by carrying out the prosperity of the Sasana and the prosperity of the people of the country within the Jambudipa island, which is the center of all islands.</t>
  </si>
  <si>
    <t xml:space="preserve">vol3_s001983_t02_301e642f3e20</t>
  </si>
  <si>
    <t xml:space="preserve">Adhiraja_Title</t>
  </si>
  <si>
    <t xml:space="preserve">Superiority_over_other_kings</t>
  </si>
  <si>
    <t xml:space="preserve">vol3_s001983_t03_94be518691ee</t>
  </si>
  <si>
    <t xml:space="preserve">PROMOTES</t>
  </si>
  <si>
    <t xml:space="preserve">Sasana_prosperity</t>
  </si>
  <si>
    <t xml:space="preserve">vol3_s001983_t04_4840505b8e73</t>
  </si>
  <si>
    <t xml:space="preserve">Prosperity_of_Jambudipa_subjects</t>
  </si>
  <si>
    <t xml:space="preserve">vol3_s001984</t>
  </si>
  <si>
    <t xml:space="preserve">vol3_s001984_t01_ea647f0df4df</t>
  </si>
  <si>
    <t xml:space="preserve">Astrological_methods</t>
  </si>
  <si>
    <t xml:space="preserve">VALIDATE</t>
  </si>
  <si>
    <t xml:space="preserve">Royal_title_selection</t>
  </si>
  <si>
    <t xml:space="preserve">ဗေဒင်နည်းနှင့် နှိုင်းရှည့်လျှင် ဂိုဏ်းစောင့်နက္ခတ်, ဝဂ္ဂစက်, အသင့်, အကြွင်း အလုံးစုံ သင့်မြတ်သည်ဖြစ်၍ တစိုးတစိမျှ အပြစ်မရှိ၊ ကောင်းကျိုးချမ်းသာ မင်္ဂလာသုတိ ဖြစ်ပွားရာသည်။</t>
  </si>
  <si>
    <t xml:space="preserve">When compared with astrological methods, the constellation guarding the group, the Vaggacakka, the 'fitting' (asanta), and the 'remainder' (acwin) are all appropriate, so there is not the slightest fault, and it is a source of prosperity, happiness, and auspiciousness.</t>
  </si>
  <si>
    <t xml:space="preserve">vol3_s001984_t02_d9046b18b2dc</t>
  </si>
  <si>
    <t xml:space="preserve">ENSURES</t>
  </si>
  <si>
    <t xml:space="preserve">Auspiciousness</t>
  </si>
  <si>
    <t xml:space="preserve">vol3_s001985</t>
  </si>
  <si>
    <t xml:space="preserve">vol3_s001985_t01_963c36423d59</t>
  </si>
  <si>
    <t xml:space="preserve">Siripavaratulatilokamaharajindadhipati_Ratanadevi</t>
  </si>
  <si>
    <t xml:space="preserve">66 သီရိပဝရအတုလတိလောကမဟာရာဇိန္ဒာဓိပတိ ရတနာဒေဝီ” အရှင်နန်းမတော်ဘုရား တံဆိပ်နာမံတော်မှာ ပထမ-ဘဂိုဏ်း၊ ဒုတိယ-တတိယ-နဂိုဏ်း၊ စတုတ္ထ-ဘဂိုဏ်း၊ ပဉ္စမ-မဂိုဏ်း၊ ဆဋ္ဌ-ဘဂိုဏ်း၊ သတ္တမ-နဂိုဏ်း၊ အဋ္ဌမ-မဂိုဏ်းအားဖြင့် အလုံးစုံ ဣဋ္ဌဖလဂိုဏ်း ယှဉ်သည်။</t>
  </si>
  <si>
    <t xml:space="preserve">Regarding the royal title of the Queen, 'Siripavaratulatilokamaharajindadhipati Ratanadevi', it is entirely aligned with the Itthaphala group through the first-Bhaganna, second-third-Naganna, fourth-Bhaganna, fifth-Maganna, sixth-Bhaganna, seventh-Naganna, and eighth-Maganna.</t>
  </si>
  <si>
    <t xml:space="preserve">vol3_s001985_t02_07988d956794</t>
  </si>
  <si>
    <t xml:space="preserve">Queen_Title</t>
  </si>
  <si>
    <t xml:space="preserve">ALIGNS_WITH</t>
  </si>
  <si>
    <t xml:space="preserve">Itthaphala_astrological_group</t>
  </si>
  <si>
    <t xml:space="preserve">vol3_s001986</t>
  </si>
  <si>
    <t xml:space="preserve">vol3_s001986_t01_8c4c2911fd30</t>
  </si>
  <si>
    <t xml:space="preserve">Constellations</t>
  </si>
  <si>
    <t xml:space="preserve">GUARD</t>
  </si>
  <si>
    <t xml:space="preserve">Royal_title_group</t>
  </si>
  <si>
    <t xml:space="preserve">ဂိုဏ်းစောင့်နက္ခတ်မှာ ဘုမ္မိဂဏ, သက္ကဂဏ, စန္ဒဂဏ အားဖြင့် သုံးပါး ကောင်းစွာယှဉ်သည်။</t>
  </si>
  <si>
    <t xml:space="preserve">The constellations guarding the group are well-aligned in three ways: the Bhumigana, Sakkagana, and Candagana.</t>
  </si>
  <si>
    <t xml:space="preserve">vol3_s001986_t02_ad7dd2d0673b</t>
  </si>
  <si>
    <t xml:space="preserve">INCLUDE</t>
  </si>
  <si>
    <t xml:space="preserve">Bhumigana_Sakkagana_Candagana</t>
  </si>
  <si>
    <t xml:space="preserve">vol3_s001987</t>
  </si>
  <si>
    <t xml:space="preserve">vol3_s001987_t01_d4620b729b84</t>
  </si>
  <si>
    <t xml:space="preserve">Siddhi_sut</t>
  </si>
  <si>
    <t xml:space="preserve">FAVORS</t>
  </si>
  <si>
    <t xml:space="preserve">စုတ်မှာ သိဒ္ဓိစုတ် ဘရဏီနက္ခတ်ကြိုက်သည်။</t>
  </si>
  <si>
    <t xml:space="preserve">As for the 'sut', it favors the Siddhi-sut and the Bharani constellation.</t>
  </si>
  <si>
    <t xml:space="preserve">vol3_s001987_t02_31adce616961</t>
  </si>
  <si>
    <t xml:space="preserve">Bharani_constellation</t>
  </si>
  <si>
    <t xml:space="preserve">vol3_s001988</t>
  </si>
  <si>
    <t xml:space="preserve">vol3_s001988_t01_69e8cc3acb99</t>
  </si>
  <si>
    <t xml:space="preserve">Bhumi_group</t>
  </si>
  <si>
    <t xml:space="preserve">INCREASES</t>
  </si>
  <si>
    <t xml:space="preserve">Happiness</t>
  </si>
  <si>
    <t xml:space="preserve">အာသံသအကျိုးကိုထောက်လျှင် ဘုမ္မိဂိုဏ်း-ချမ်းသာ အထူးပွားများသည်။</t>
  </si>
  <si>
    <t xml:space="preserve">Considering the desired benefits, the Bhumi group increases happiness significantly.</t>
  </si>
  <si>
    <t xml:space="preserve">vol3_s001989</t>
  </si>
  <si>
    <t xml:space="preserve">vol3_s001989_t01_8d15761056ab</t>
  </si>
  <si>
    <t xml:space="preserve">Sakka_group</t>
  </si>
  <si>
    <t xml:space="preserve">Regional_stability</t>
  </si>
  <si>
    <t xml:space="preserve">သက္ကဂိုဏ်း- အရပ်ဌာနနှင့် မကွေမကွာရှိမည်။</t>
  </si>
  <si>
    <t xml:space="preserve">The Sakka group will ensure one does not remain separated from one's region or place.</t>
  </si>
  <si>
    <t xml:space="preserve">vol3_s001990</t>
  </si>
  <si>
    <t xml:space="preserve">vol3_s001990_t01_0aadadc44792</t>
  </si>
  <si>
    <t xml:space="preserve">Canda_group</t>
  </si>
  <si>
    <t xml:space="preserve">BRINGS</t>
  </si>
  <si>
    <t xml:space="preserve">New_benefits</t>
  </si>
  <si>
    <t xml:space="preserve">စန္ဒဂိုဏ်း-အကျိုးအသစ် ရောက်မည်။</t>
  </si>
  <si>
    <t xml:space="preserve">The Canda group will bring new benefits.</t>
  </si>
  <si>
    <t xml:space="preserve">vol3_s001991</t>
  </si>
  <si>
    <t xml:space="preserve">vol3_s001991_t01_b1d58756f4a5</t>
  </si>
  <si>
    <t xml:space="preserve">Wunshin_daw_Khanpat_Myosa_Mingyi</t>
  </si>
  <si>
    <t xml:space="preserve">SUBMITTED</t>
  </si>
  <si>
    <t xml:space="preserve">Royal_order</t>
  </si>
  <si>
    <t xml:space="preserve">The minister's act of submission is real, but what is submitted is the selected royal names for approval, not a royal order issued by that minister. Several inner ministers (အတွင်းဝန်) are additionally rendered Wundauk. This is a recoverable construction/office-label problem.</t>
  </si>
  <si>
    <t xml:space="preserve">Named minister | SUBMITTED_FOR_ROYAL_APPROVAL | selected royal names</t>
  </si>
  <si>
    <t xml:space="preserve">ဆန်းအလင်္ကာသဒ္ဒါနည်း, ဗေဒင်နည်းများနှင့် အလုံးစုံ သင့်တင့်ညီညွတ်သည်ဖြစ်၍ တစိုးတစိမျှ အပြစ်မရှိ၊ ကောင်းကျိုးချမ်းသာ မင်္ဂလာ ဖြစ်ပွားရာသော အကြောင်းနှင့် ရွေးချယ်၍- ယင်းသည့် ကဆုန်လဆန်း ခြောက်ရက် နေ့ ရွှေနန်းဆောင်တော်တွင် ဝန့်ရှင်တော် ခန်းပတ်မြို့စားမင်းကြီး၊ ကန္နီအတွင်းဝန်၊ ယောမြို့စားအတွင်းဝန်၊ ရွှေတိုက်အတွင်းဝန်၊ ဗန်းမော်အတွင်းဝန်၊ ကင်းစဉ် ဝန်ထောက်တို့ အစုံအညီ ဖတ်လျှောက် အမိန့်တော်မြတ်ခံရာ ထူးထွေ အမိန့်တော်မြတ်ကို ဦးထိပ်ထက်မရွက်ရ၊ ဆိတ်ဆိတ်နေတော် မူသည်ကို တုဏှိဘာဝေနသမစိတ္တံ-ကောက်၍ သံတော်ဆင့် မင်းလှစည်သူကျော် မှတ်ရသည်။</t>
  </si>
  <si>
    <t xml:space="preserve">Because it is entirely consistent and appropriate with the methods of prosody and astrology, and there is not the slightest fault, and it is a source of prosperity, happiness, and auspiciousness, it was selected; on that day, the 6th of the waxing moon of Kason, in the Golden Palace, the Wunshin-daw Khanpat Myosa Mingyi, the Kanni Wundauk, the Yaw Myosa Wundauk, the Shwetaik Wundauk, the Bhamo Wundauk, and the Kinzin Wundauk all gathered to read and submit the royal order, and as the royal order was not to be carried on the head but was to be received in silence, the Thandawsint Minhlasithukyaw recorded it as 'Tunhibhavena samacittam' (a mind equal in silence).</t>
  </si>
  <si>
    <t xml:space="preserve">vol3_s001991_t02_5dcc3cd92efc</t>
  </si>
  <si>
    <t xml:space="preserve">Kanni_Wundauk</t>
  </si>
  <si>
    <t xml:space="preserve">vol3_s001991_t03_b6ed4e14f8f6</t>
  </si>
  <si>
    <t xml:space="preserve">Yaw_Myosa_Wundauk</t>
  </si>
  <si>
    <t xml:space="preserve">vol3_s001991_t04_cc0b2b514c35</t>
  </si>
  <si>
    <t xml:space="preserve">Shwetaik_Wundauk</t>
  </si>
  <si>
    <t xml:space="preserve">vol3_s001991_t05_51ccce901ffd</t>
  </si>
  <si>
    <t xml:space="preserve">Bhamo_Wundauk</t>
  </si>
  <si>
    <t xml:space="preserve">vol3_s001991_t06_b3ff1a49d438</t>
  </si>
  <si>
    <t xml:space="preserve">Kinzin_Wundauk</t>
  </si>
  <si>
    <t xml:space="preserve">vol3_s001991_t07_345d4ee21080</t>
  </si>
  <si>
    <t xml:space="preserve">Thandawsint_Minhlasithukyaw</t>
  </si>
  <si>
    <t xml:space="preserve">RECORDED</t>
  </si>
  <si>
    <t xml:space="preserve">Royal_order_reception</t>
  </si>
  <si>
    <t xml:space="preserve">vol3_s001991_t08_d8f1f77b9bf1</t>
  </si>
  <si>
    <t xml:space="preserve">RECEIVED_IN</t>
  </si>
  <si>
    <t xml:space="preserve">Silence</t>
  </si>
  <si>
    <t xml:space="preserve">Silence is present, but it is the king's silence following the submission, interpreted as consent; 'Royal_order RECEIVED_IN Silence' obscures the approving actor and reverses the administrative framing.</t>
  </si>
  <si>
    <t xml:space="preserve">King | TACITLY_APPROVED | submitted royal names</t>
  </si>
  <si>
    <t xml:space="preserve">vol3_s001992</t>
  </si>
  <si>
    <t xml:space="preserve">vol3_s001992_t01_793481c6e09d</t>
  </si>
  <si>
    <t xml:space="preserve">Seal_Minister</t>
  </si>
  <si>
    <t xml:space="preserve">INSCRIBED</t>
  </si>
  <si>
    <t xml:space="preserve">Royal_titles</t>
  </si>
  <si>
    <t xml:space="preserve">ယင်းသည့်လ နဝရတ်ပွင့်စုံခြယ် ပတ္တမြားကိုးရစ်စီ ရွှေပေတော်များ၌ ရွှေနန်းတော်ဦး ပြာသာဒ်ဆောင်တော် တွင် အခါတော်နှင့် ဝန်ကြီး၊ အတွင်းဝန်၊ မှူးတော်မတ်တော်တို့ ကြီးကြပ်၍ အသျှင်နှစ်ပါး၏ တံဆိပ် နာမံတော်ကို အက္ခရာဝလိ မှန်ကန်သေချာစွာ တံဆိပ်ဝန်က ရေးသားရသည်။</t>
  </si>
  <si>
    <t xml:space="preserve">In that same month, on gold palm leaves decorated with nine types of gems, the Seal Minister was to write the royal titles of the two Sovereigns accurately and clearly in the Golden Palace's upper pavilion, supervised by the ministers, interior ministers, and officials at the auspicious time.</t>
  </si>
  <si>
    <t xml:space="preserve">vol3_s001992_t02_59822c89b764</t>
  </si>
  <si>
    <t xml:space="preserve">INSCRIBED_ON</t>
  </si>
  <si>
    <t xml:space="preserve">Gold_palm_leaves</t>
  </si>
  <si>
    <t xml:space="preserve">vol3_s001992_t03_577f6696d1c3</t>
  </si>
  <si>
    <t xml:space="preserve">Ministers_and_officials</t>
  </si>
  <si>
    <t xml:space="preserve">SUPERVISED</t>
  </si>
  <si>
    <t xml:space="preserve">Inscription_process</t>
  </si>
  <si>
    <t xml:space="preserve">vol3_s001993</t>
  </si>
  <si>
    <t xml:space="preserve">vol3_s001993_t01_6ab54294dd78</t>
  </si>
  <si>
    <t xml:space="preserve">Interior_master_blacksmiths</t>
  </si>
  <si>
    <t xml:space="preserve">CAST</t>
  </si>
  <si>
    <t xml:space="preserve">Royal_iron_seal</t>
  </si>
  <si>
    <t xml:space="preserve">သံတံဆိပ်တုံးတော်ကိုလည်း အတွင်းပန်းပဲခေါင်းတို့က ထုလုပ်စေရသည်။</t>
  </si>
  <si>
    <t xml:space="preserve">The royal iron seal was also to be cast by the interior master blacksmiths.</t>
  </si>
  <si>
    <t xml:space="preserve">vol3_s001994</t>
  </si>
  <si>
    <t xml:space="preserve">vol3_s001994_t01_c6480f2d8711</t>
  </si>
  <si>
    <t xml:space="preserve">Shwetaik_officials</t>
  </si>
  <si>
    <t xml:space="preserve">Regalia_production</t>
  </si>
  <si>
    <t xml:space="preserve">ထို့ကြ ထိုနှစ် ရဇ္ဖာဘိသေက-မုဒ္ဓါဘိသိက် သွန်းခံတော်မူမည်ဖြစ်၍ ငွေသား စိန်မကိုဋ်တော်, ဒုရင်တော်, ဝဲယာ စုလျားတော်, ရှေ့ဖုံးဝဲယာ သုံးသွယ်တော်, အနားငွေယက်ပြားသတ် ဘွဲ့ဖြူဝတ်လဲတော်များကို ရွှေတိုက်အရာရှိတို့ ကြပ်မ၍ ပုဏ္ဏားပညာရှိတို့ အခါတော်ကြားသည်နှင့် တစ်ပြိုင်နက် စ၍ ချုပ်လုပ်ရသည်။</t>
  </si>
  <si>
    <t xml:space="preserve">Furthermore, as the Rajabhiseka-Muddhabhiseka (coronation) was to be performed that year, the silver diamond crown, the royal shoulder mantle, the left and right sashes, the three types of front-covering left and right garments, and the white ceremonial robes with silver-woven edges were to be started and tailored immediately upon the advice of the Brahmin scholars, under the supervision of the Shwetaik officials.</t>
  </si>
  <si>
    <t xml:space="preserve">vol3_s001994_t02_807f76a1ac78</t>
  </si>
  <si>
    <t xml:space="preserve">Brahmin_scholars</t>
  </si>
  <si>
    <t xml:space="preserve">ADVISED_ON</t>
  </si>
  <si>
    <t xml:space="preserve">Auspicious_timing</t>
  </si>
  <si>
    <t xml:space="preserve">vol3_s001994_t03_9c8cc63671a4</t>
  </si>
  <si>
    <t xml:space="preserve">Royal_Treasury</t>
  </si>
  <si>
    <t xml:space="preserve">PROVIDED_RESOURCES_FOR</t>
  </si>
  <si>
    <t xml:space="preserve">Coronation_regalia</t>
  </si>
  <si>
    <t xml:space="preserve">vol3_s001995</t>
  </si>
  <si>
    <t xml:space="preserve">vol3_s001995_t01_07287be289f8</t>
  </si>
  <si>
    <t xml:space="preserve">Regalia</t>
  </si>
  <si>
    <t xml:space="preserve">DECORATED_WITH</t>
  </si>
  <si>
    <t xml:space="preserve">Silver_patterns</t>
  </si>
  <si>
    <t xml:space="preserve">ဒုရင်တော်, ဝဲယာစုလျားတော် သုံးဆင့် ရှေ့ဖုံး ဝဲယာတော်များမှာ ငွေပုစွန်ဆီခံ၍ ငွေကြယ်, ငွေချည်, ငွေပိန္နဲဆူး, ငွေဘူးနွယ်များနှင့် ခြယ်လှယ် ထိုးချုပ်ပြီးလျှင် အနား၌ ငွေချူများဆွဲရသည်။</t>
  </si>
  <si>
    <t xml:space="preserve">The royal shoulder mantle, the three-layered left and right sashes, and the front-covering left and right garments were to be embroidered with silver shrimp-oil patterns, silver stars, silver thread, silver jackfruit thorns, and silver gourd vines, and silver bells were to be hung on the edges.</t>
  </si>
  <si>
    <t xml:space="preserve">vol3_s001995_t02_c1a603fb0a4e</t>
  </si>
  <si>
    <t xml:space="preserve">INCLUDES</t>
  </si>
  <si>
    <t xml:space="preserve">Silver_bells</t>
  </si>
  <si>
    <t xml:space="preserve">vol3_s002092</t>
  </si>
  <si>
    <t xml:space="preserve">vol3_s002092_t01_cc14aff5a411</t>
  </si>
  <si>
    <t xml:space="preserve">PREPARED_REGALIA_FOR</t>
  </si>
  <si>
    <t xml:space="preserve">The chief queen is the person whose royal name is inscribed and ceremonially presented. She is not the agent preparing regalia for the king in this sentence.</t>
  </si>
  <si>
    <t xml:space="preserve">Kanni inner minister reads the chief queen's royal name; Prince Nyaungyan presents its inscribed golden leaf.</t>
  </si>
  <si>
    <t xml:space="preserve">ပြီးလျှင် သီရိပဝရ အတုလတိလောက မဟာရာဇိန္ဒာဓိပတိ ရတနာဒေဝီ-မည်သော မိဖုရားခေါင်ကြီးဘုရား နဝရတ်ပွင့် နှစ် ပတ္တမြားကိုးရစ်စီ ရွှေပေနာမံတော်ကို ပတ္တမြားအပြည့်စီ ရှစ်ထောင့်ကွမ်းခွက်နှင့်တင်၍ အတွင်းဝန် ကန္နီမြို့စား မင်းကြီးမင်းခေါင်သင်္ခယာ သုံးကြိမ်တိုင် ဖတ်လျှောက်၍ သားတော် ညောင်ရမ်းမြို့စား မင်းသား သုသီရိဓမ္မရာဇာ ပိုက်ချီဆက်သရသည်။</t>
  </si>
  <si>
    <t xml:space="preserve">Then, the Chief Queen named Siripavara Atulatiloka Maharājindādhipati Ratanādevī placed the golden palm-leaf royal title, set with nine rubies and two nine-gem flowers, upon an octagonal pedestal bowl filled with rubies, and the Interior Minister, the Governor of Kanni, Mingyi Mingaung Thinkhaya, read and submitted it three times, and the son, the Prince of Nyaungyan, Thuthiridhammarāja, carried and offered it.</t>
  </si>
  <si>
    <t xml:space="preserve">vol3_s002092_t02_9be8614f8fb4</t>
  </si>
  <si>
    <t xml:space="preserve">Interior Minister</t>
  </si>
  <si>
    <t xml:space="preserve">SUBMITTED_REGALIA_TO</t>
  </si>
  <si>
    <t xml:space="preserve">The minister's ceremonial service is real, but the entry suppresses the specific object—the chief queen's name-inscription—and frames it as generic regalia for the king. Both sovereigns are seated together in the preceding context, so this is not counted as a proven false recipient.</t>
  </si>
  <si>
    <t xml:space="preserve">Kanni inner minister | READ_CEREMONIALLY | chief queen's royal name</t>
  </si>
  <si>
    <t xml:space="preserve">vol3_s002092_t03_83ca66f34959</t>
  </si>
  <si>
    <t xml:space="preserve">Prince of Nyaungyan</t>
  </si>
  <si>
    <t xml:space="preserve">OFFERED_REGALIA_TO</t>
  </si>
  <si>
    <t xml:space="preserve">The prince's ceremonial presentation is real, but the object is the chief queen's name-inscription, not generic king's regalia. The joint royal audience makes the inferred king-recipient insufficiently contradictory for a hard flag.</t>
  </si>
  <si>
    <t xml:space="preserve">Prince Nyaungyan | PRESENTED_CEREMONIALLY | chief queen's inscribed royal name</t>
  </si>
  <si>
    <t xml:space="preserve">vol3_s002092_t04_3ad839bf0801</t>
  </si>
  <si>
    <t xml:space="preserve">Governor of Kanni</t>
  </si>
  <si>
    <t xml:space="preserve">vol3_s002092_t05_0ab6bf7e0e78</t>
  </si>
  <si>
    <t xml:space="preserve">HELD_STATUS</t>
  </si>
  <si>
    <t xml:space="preserve">Royal Son</t>
  </si>
  <si>
    <t xml:space="preserve">vol3_s002093</t>
  </si>
  <si>
    <t xml:space="preserve">vol3_s002093_t01_12c74539686a</t>
  </si>
  <si>
    <t xml:space="preserve">Eight Royal Daughters</t>
  </si>
  <si>
    <t xml:space="preserve">PERFORMED_RITUAL_CONSECRATION_ON</t>
  </si>
  <si>
    <t xml:space="preserve">ညဉ့်လေးချက်တီးကျော် ခြောက်နာရီ တစ်ပါဒ်အချိန် သမီးတော် ရှစ်ယောက်တို့ ဆန်းကြယ်သော ဃနမတ္တက အဆင်တန်ဆာကို ဆင်ယင်၍ သမီးတော် ရမည်းသင်းမြို့စား စုဘုရား သီရိရတနာ သုပဘာဒေဝီက ရွှေခြယ် လက်ယာရစ် ခရုသင်းတော်ကိုင်ပြီးလျှင် ဂင်္ဂါငါးရပ်ရေကို စုံစွာထည့်၍ လက်နှစ်ဖက်စုံလျက် ကောင်းမွန်ရိုသေစွာ ဘဝရှင် မင်းတရားကြီးဘုရား ဦးထိပ်၌ စိုက်ပြီးလျှင် “အရှင်မင်းကြီး-ရှေးဦးစွာ ကမ္ဘာအစ၌ဖြစ်သော မဟာသမ္မတ မင်းကောင်းမင်းမြတ်တို့ ကျင့်တော်မူသော တရားကို မြဲစွဲစွာ ကျင့်ဆောက်တည်တော်မူပါလော့၊ အရှင်မင်းကြီး- ခပ်သိမ်းသော ပြည်ထောင်မင်းတို့ကို အမျက်မလွန်စေခြင်း၊ ခပ်သိမ်းသော သူတို့ကို ကောင်းချီးမြှောက်ခြင်း၊ ခပ်သိမ်းသော သူတို့အား ရင်တော်သားအမျှ ချစ်သနားခြင်း၊ ခပ်သိမ်းသောသူတို့ စီးပွားကိုဆောင်ခြင်း၊ ခပ်သိမ်းသော သူတို့ အသက်ကို ကိုယ်တော်၏အသက်ကဲ့သို့ ထင်မှတ်ခြင်း ပြုပါလော့၊ အရှင်မင်းကြီး-လောဘ ဒေါသတို့၏ ပိတ်ပင်ခြင်းကို ကင်းစေ၍ အဝိဇ္ဇာမိုက်မဲ့စွာသော မောဟတရားကို လင်းတော်မူပါလော့၊ အရှင်မင်းကြီး ကျက်သရေ ရှိသော အမှုကိုသာ ပြုခြင်း၊ ကျက်သရေရှိသော စကားကိုသာ ဆိုခြင်း၊ ကျက်သရေရှိသော လုံ့လအကြံကိုသာ ကြံခြင်းတို့ကို ပြုတော်မူပါလော့” ဟူသော စကားကို မင်းသမီးရှစ်ယောက်တို့ ဆိုလေ၍ ဘဝရှင်မင်းတရားကြီးဘုရား ဦးထိပ်၌ ဘိသိက်ရေကို သွန်းကုန်၏။</t>
  </si>
  <si>
    <t xml:space="preserve">After the fourth watch of the night had passed, at the time of six hours and one pada, the eight royal daughters, having adorned themselves with magnificent Ghanamataka ornaments, and the royal daughter, the Governor of Ramethin, Supayā Thiriratanā Supabhādevī, holding a gold-decorated dextral conch shell, filled it completely with water from the five Ganges rivers, and with both hands joined, respectfully and properly placed it upon the head of the Lord of Life, the Great King, and the eight princesses recited the words, 'O Great King, firmly practice and uphold the Dhamma practiced by the great and noble Mahāsammata kings who existed at the beginning of the world; O Great King, do not let anger exceed toward all the kings of the states, bless all people, love and pity all people as if they were your own children, promote the welfare of all people, and consider the lives of all people as your own life; O Great King, remove the obstruction of greed and anger, and illuminate the Dhamma of delusion which is like the darkness of ignorance; O Great King, perform only auspicious deeds, speak only auspicious words, and conceive only auspicious efforts,' and poured the coronation water upon the head of the Lord of Life, the Great King.</t>
  </si>
  <si>
    <t xml:space="preserve">vol3_s002093_t02_7b541cea953c</t>
  </si>
  <si>
    <t xml:space="preserve">Governor of Ramethin</t>
  </si>
  <si>
    <t xml:space="preserve">LED_RITUAL_GROUP</t>
  </si>
  <si>
    <t xml:space="preserve">vol3_s002093_t03_aca77d523461</t>
  </si>
  <si>
    <t xml:space="preserve">RECITED_INJUNCTIONS_TO</t>
  </si>
  <si>
    <t xml:space="preserve">vol3_s002093_t04_2cbe7f389268</t>
  </si>
  <si>
    <t xml:space="preserve">EXPECTED_TO_EMULATE</t>
  </si>
  <si>
    <t xml:space="preserve">Mahasammata</t>
  </si>
  <si>
    <t xml:space="preserve">vol3_s002093_t05_da02a19dd9a2</t>
  </si>
  <si>
    <t xml:space="preserve">EXPECTED_TO_PRACTICE</t>
  </si>
  <si>
    <t xml:space="preserve">Compassion toward subjects</t>
  </si>
  <si>
    <t xml:space="preserve">vol3_s002093_t06_037e7317647d</t>
  </si>
  <si>
    <t xml:space="preserve">EXPECTED_TO_MAINTAIN</t>
  </si>
  <si>
    <t xml:space="preserve">Restraint toward foreign rulers</t>
  </si>
  <si>
    <t xml:space="preserve">vol3_s002094</t>
  </si>
  <si>
    <t xml:space="preserve">vol3_s002094_t01_368bc71b7ead</t>
  </si>
  <si>
    <t xml:space="preserve">Eight Brahmins</t>
  </si>
  <si>
    <t xml:space="preserve">ထို့နောက် ဘိသိက်မင်္ဂလာတော်ရ အမျိုးမှန်သော ပုဏ္ဏားရှစ်ယောက်တို့သည် သနားတော်မြတ်ခံရသော တန်ဆာကို ဝတ်ဆင်လျက် ပုဏ္ဏားဝန် ဗြဟ္မာစန္ဒက ဂင်္ဂါငါးရပ်ရေကို ငွေခြယ် လက်ယာရစ်ခရုသင်းတွင် ထည့် ပြန်၍ လက်နှစ်ဖက်စုံလျက် ကောင်းမွန်ရိုသေစွာ ဘဝရှင်မင်းတရားကြီးဘုရား ဦးထိပ်၌စိုက်ပြီးလျှင် “ဣတိပိသော, သွာက္ခာတော, သုပ္ပဋိပန္နော” စသော ဂုဏ်တော်ကိုရွတ်ဆို၍ သာသနာတော် ပွင့်လန်းအောင်ပြုပါလော့၊ “အရှင် မင်းကြီး-ခပ်သိမ်းသော သတ္တဝါအပေါင်းတို့အား ကိုယ်သားနှင့်အမျှ ချစ်ခင်ခြင်း၊ ပြည်သူတို့၏ စီးပွားကို ကိုယ်တော်၏ စီးပွား, ခပ်သိမ်းသော သတ္တဝါတို့၏ ဇီဝိတိန္ဒြေအသက်ကို ကိုယ်တော်၏ အသက်ကဲ့သို့ စောင့်တော် မူပါလော့၊ အရှင်မင်းကြီး’ခပ်သိမ်းသော ပြည်ထောင်မင်းတို့အား အမျက်မလွန်ခြင်း၊ တရား၌ စောင့်ခြင်း၊ ပညာရှိ စကားကို နာလွယ်ခြင်းများကို အမြဲစောင့်ထိန်းတော်မူပါလော့” … ထိုစကားကို ပုဏ္ဏားရှစ်ယောက်တို့ ဆိုလေ၍ ဘဝရှင်မင်းတရားကြီးဘုရား ဦးထိပ်၌ ဘိသိက်ရေကို သွန်းကုန်၏။</t>
  </si>
  <si>
    <t xml:space="preserve">After that, the eight Brahmins of true lineage who had received the coronation blessing, wearing the ornaments granted by royal grace, with the Brahmin Minister Brahmacanda filling the water of the five Ganges rivers into a silver-decorated dextral conch shell again, and with both hands joined, respectfully and properly placing it upon the head of the Lord of Life, the Great King, and reciting the virtues such as 'Itipiso, Svākkhāto, Suppaṭipanno,' [said], 'Make the Sāsana flourish; O Great King, love all beings as your own children, protect the welfare of the people as your own welfare, and protect the life-faculty of all beings as your own life; O Great King, do not let anger exceed toward all the kings of the states, abide in the Dhamma, and always observe the practice of readily listening to the words of the wise,' ... the eight Brahmins recited those words and poured the coronation water upon the head of the Lord of Life, the Great King.</t>
  </si>
  <si>
    <t xml:space="preserve">vol3_s002094_t02_3d6d6fa673f0</t>
  </si>
  <si>
    <t xml:space="preserve">Brahmin Minister</t>
  </si>
  <si>
    <t xml:space="preserve">vol3_s002094_t03_74b30d7e326a</t>
  </si>
  <si>
    <t xml:space="preserve">vol3_s002094_t04_a74079033d64</t>
  </si>
  <si>
    <t xml:space="preserve">EXPECTED_TO_PROMOTE</t>
  </si>
  <si>
    <t xml:space="preserve">Sasana</t>
  </si>
  <si>
    <t xml:space="preserve">vol3_s002094_t05_cb7e8814e98b</t>
  </si>
  <si>
    <t xml:space="preserve">EXPECTED_TO_PROTECT</t>
  </si>
  <si>
    <t xml:space="preserve">Welfare of all beings</t>
  </si>
  <si>
    <t xml:space="preserve">vol3_s002094_t06_8b1fee96bc4f</t>
  </si>
  <si>
    <t xml:space="preserve">EXPECTED_TO_LISTEN_TO</t>
  </si>
  <si>
    <t xml:space="preserve">Wise counsel</t>
  </si>
  <si>
    <t xml:space="preserve">vol3_s002095</t>
  </si>
  <si>
    <t xml:space="preserve">vol3_s002095_t01_4ea5704a2a2b</t>
  </si>
  <si>
    <t xml:space="preserve">Eight Wealthy Men</t>
  </si>
  <si>
    <t xml:space="preserve">ထိုနောက် အရိုးအမျိုးမှန်သော သူဌေးရှစ်ယောက်တို့သည် သနားတော်မြတ်ခံရသော တန်ဆာကိုဝတ်လျက် သူဌေးသွေးသောက်ကြီး မဟာသီရိဓနရာဇာက ဂင်္ဂါငါးရပ်ရေကို ရတနာမျိုးခြယ် လက်ယာရစ် ခရုသင်းတွင် ထည့်ပြန်၍ လက်နှစ်ဖက်စုံလျက် ကောင်းမွန်ရိုသေစွာ ဘဝရှင်မင်းတရားကြီးဘုရား ဦးထိပ်၌စိုက်ပြီးလျှင် “အရှင် မင်းကြီး-ခပ်သိမ်းသော သူတို့အား ကိုယ်တော်၏အသက်ကို စောင့်သကဲ့သို့ စောင့်တော်မူပါလော့၊ အရှင်မင်းကြီး- ခပ်သိမ်းသောသူတို့၏ စီးပွားကို ကိုယ်တော်၏ စီးပွားကဲ့သို့ စောင့်ထိန်းခြင်း၊ ပြည်ထောင်မင်းတို့အား အမျက်ကို မလွန်ခြင်း၊ ပြည်သူ ့ဥစ္စာ အခွန်ဘဏ္ဍာ ခံယူရာ၌ တရားနှင့်လျော်ညီအောင် စောင့်ထိန်းခြင်း၊ တရားမသိ ပြိန်းဖျင်း သွမ်းသွပ်သော သူတို့ကိုရှောင်ခြင်း၊ ပဏ္ဍိတ လိမ္မာသောသူ၏ စကားကို နာလွယ်ခြင်းများကို ပြုတော်မူပါလော့” ဟူသော စကားကို သူဌေးရှစ်ယောက်တို့ ဆိုလေ၍ ဘဝရှင် မင်းတရားကြီးဘုရား ဦးထိပ်၌ ဘိသိက်ရေကို သွန်းကုန်၏။</t>
  </si>
  <si>
    <t xml:space="preserve">After that, the eight wealthy men of true lineage, wearing the ornaments granted by royal grace, with the Chief Wealthy Man Thway-thauk-gyi Mahāthiridhanarājā filling the water of the five Ganges rivers into a gem-decorated dextral conch shell again, and with both hands joined, respectfully and properly placing it upon the head of the Lord of Life, the Great King, and [saying], 'O Great King, protect all people as you protect your own life; O Great King, protect the welfare of all people as your own welfare, do not let anger exceed toward the kings of the states, observe righteousness in receiving the taxes and revenues of the people, avoid those who are ignorant and foolish, and readily listen to the words of the wise and clever,' the eight wealthy men recited those words and poured the coronation water upon the head of the Lord of Life, the Great King.</t>
  </si>
  <si>
    <t xml:space="preserve">vol3_s002095_t02_b5d5c4ae4aca</t>
  </si>
  <si>
    <t xml:space="preserve">Chief Wealthy Man</t>
  </si>
  <si>
    <t xml:space="preserve">vol3_s002095_t03_d966e4c49168</t>
  </si>
  <si>
    <t xml:space="preserve">vol3_s002095_t04_5867349a587c</t>
  </si>
  <si>
    <t xml:space="preserve">Righteous taxation</t>
  </si>
  <si>
    <t xml:space="preserve">vol3_s002095_t05_b3ba1012295f</t>
  </si>
  <si>
    <t xml:space="preserve">EXPECTED_TO_AVOID</t>
  </si>
  <si>
    <t xml:space="preserve">Ignorant and foolish advisors</t>
  </si>
  <si>
    <t xml:space="preserve">vol3_s002095_t06_bc8fd20366b2</t>
  </si>
  <si>
    <t xml:space="preserve">Wise and clever counsel</t>
  </si>
  <si>
    <t xml:space="preserve">vol3_s002133</t>
  </si>
  <si>
    <t xml:space="preserve">vol3_s002133_t01_0550cdf3a644</t>
  </si>
  <si>
    <t xml:space="preserve">King Mindon</t>
  </si>
  <si>
    <t xml:space="preserve">PATRONIZED_RELIGIOUS_SCHOLARSHIP_THROUGH</t>
  </si>
  <si>
    <t xml:space="preserve">material rewards</t>
  </si>
  <si>
    <t xml:space="preserve">ပထမစာတော်ပြန်မည့်သူတို့ကို ရှေ့တော်သို့သွင်း၍ ဝတ်ဆင်ရန် ရွှေကျင်ခတ်ခေါင်းပေါင်း, လွန်းများပုဆိုး, ဖဲပုဆိုး, ပိုးပုဆိုး, အင်္ကျီ, ပဝါများကို တစ်ယောက်လျှင် ငါးလဲကျစီနှင့် မုန့်ဖိုးငွေ တစ်ရာစီ အောက်ခံထား၍ အထက်ကို စာဝါနိမ့်မြင့်အလျောက် တိုးတက်ချီးမြှင့် သနားတော်မြတ် ခံရသည်။</t>
  </si>
  <si>
    <t xml:space="preserve">Those who were to take the first-grade religious examination were brought before the royal presence, and they were granted, as a royal favor, gold-embroidered turbans, Luns-mya silk longyis, satin longyis, cotton longyis, jackets, and shawls to wear, with five kyats each and one hundred [kyats] of pocket money as a base, and further rewards were granted according to the level of their scriptural knowledge.</t>
  </si>
  <si>
    <t xml:space="preserve">vol3_s002133_t02_c31d58b353bf</t>
  </si>
  <si>
    <t xml:space="preserve">successful examination candidates</t>
  </si>
  <si>
    <t xml:space="preserve">RECEIVED_ROYAL_PATRONAGE_FROM</t>
  </si>
  <si>
    <t xml:space="preserve">vol3_s002134</t>
  </si>
  <si>
    <t xml:space="preserve">vol3_s002134_t01_f383845e2830</t>
  </si>
  <si>
    <t xml:space="preserve">Maung Mya</t>
  </si>
  <si>
    <t xml:space="preserve">PASSED_EXAMINATION_AS</t>
  </si>
  <si>
    <t xml:space="preserve">first-grade scholar</t>
  </si>
  <si>
    <t xml:space="preserve">ပထမကျော်ပြန်သူမှာ မဟာဝိသုတာရာမတိုက်တော်နေ ဗန့်ကျီတိုက် စီရင်စု သီတင်းကန်ရွာသစ်ရွာလျှင် ဖွားရာဇာတိရှိသော အသက်နှစ်ဆယ့်တစ်နှစ်ရှိသူ လူမည် မောင်မြ၊ ရှင်မည် ရှင်တိသာသနဖြစ်သည်။</t>
  </si>
  <si>
    <t xml:space="preserve">The one who passed the first-grade examination was Maung Mya, twenty-one years of age, whose lay name was Maung Mya and whose monk name was Shin Tisathana, a native of Thit-ywa village in the Thitingan village tract of the Ban-gyi district, residing at the Maha Withutayama monastery.</t>
  </si>
  <si>
    <t xml:space="preserve">vol3_s002136</t>
  </si>
  <si>
    <t xml:space="preserve">vol3_s002136_t01_177b6151f5b2</t>
  </si>
  <si>
    <t xml:space="preserve">BESTOWED_NOVICE_ORDINATION_UPON</t>
  </si>
  <si>
    <t xml:space="preserve">royal princes</t>
  </si>
  <si>
    <t xml:space="preserve">ထိုနှစ် ဝါဆိုလ ဆဒ္ဒန်ဆင်မင်းသခင် ဘဝရှင်မင်းတရားကြီးဘုရား မြေနန်းတော်တွင် သဘင်ပွဲလမ်း ကြီးကျယ် စွာ ကျင်းပ၍ ထွက်တော်မူပြီးလျှင် သားတော် ခေါ်သန္တီမင်းသား သတိုးမင်းရဲမင်းထင်, ဝန်းသိုမင်းသား သတိုးမင်းရဲ သီဟသူ, သာဂရမင်းသား သတိုးမင်းရဲကျော်ထင်, မိုးလှိုင်းမင်းသား မဟာဓမ္မရာဇာ, သီပေါမင်းသား သုသီရိ မဟာဓမ္မရာဇာတို့ကို သာမဏေရ ပဗ္ဗဇ္ဇအဖြစ် ချီးမြှင့်၍ တံဆိပ်တော်ရ ဆရာတော်သံဃာတော် ခြောက်ဆယ့်သုံးတို့အား သီးမျိုးစုံပဒေသာပင်ရေ ခြောက်ဆယ့်သုံးတို့ကို လှူဒါန်းတော်မူသည်။</t>
  </si>
  <si>
    <t xml:space="preserve">In the month of Waso of that year, the Lord of the Saddan Elephant, the Great King, held a grand festival at the earthen palace, and after appearing, he bestowed the novice ordination upon his sons, Prince Khaw-thanti Thado Minye Mintin, Prince Wuntho Thado Minye Thihathu, Prince Thagara Thado Minye Kyawhtin, Prince Mohlaing Mahadhammaraja, and Prince Thibaw Thuthiri Mahadhammaraja, and donated sixty-three Padetha trees of various kinds to the sixty-three title-holding senior monks.</t>
  </si>
  <si>
    <t xml:space="preserve">vol3_s002136_t02_233f3bf14474</t>
  </si>
  <si>
    <t xml:space="preserve">DONATED_RELIGIOUS_OFFERINGS_TO</t>
  </si>
  <si>
    <t xml:space="preserve">title-holding senior monks</t>
  </si>
  <si>
    <t xml:space="preserve">vol3_s002137</t>
  </si>
  <si>
    <t xml:space="preserve">vol3_s002137_t01_7a55358f3c1a</t>
  </si>
  <si>
    <t xml:space="preserve">ENTRUSTED_ROYAL_SONS_TO</t>
  </si>
  <si>
    <t xml:space="preserve">Taungdaw Sayadaw</t>
  </si>
  <si>
    <t xml:space="preserve">သားတော်တို့ကို မာလာလင်္ကာရ သီရိဓဇ မဟာဓမ္မ ရာဇဂုရု-တံဆိပ်တော်ရ တောင်တော်ဆရာတော်ဘုရားထံ အပ်နှံတော်မူ၍ ရွှေနန်းတော်အတွင်း လွှတ်တော် ရှေ့တွင် ကျောင်းတော် ဆောက်လုပ်တင်လှူတော်မူပြီးလျှင် သီတင်းသုံးနေစေ၍ သားတော်များကို စာပေသင်ကြား ပြသတော်မူရသည်။</t>
  </si>
  <si>
    <t xml:space="preserve">He entrusted his sons to the Taungdaw Sayadaw, who held the title of Malalankara Thiridhaja Mahadhammarajaguru, and after having a monastery built and offered in front of the Hluttaw within the royal palace, he had them reside there to study and be taught scriptures.</t>
  </si>
  <si>
    <t xml:space="preserve">vol3_s002137_t02_9c46eccc18fc</t>
  </si>
  <si>
    <t xml:space="preserve">CONSTRUCTED_MONASTERY_FOR</t>
  </si>
  <si>
    <t xml:space="preserve">royal education</t>
  </si>
  <si>
    <t xml:space="preserve">vol3_s002138</t>
  </si>
  <si>
    <t xml:space="preserve">vol3_s002138_t01_2fb735598dfd</t>
  </si>
  <si>
    <t xml:space="preserve">RESTRICTED_ACCESS_TO</t>
  </si>
  <si>
    <t xml:space="preserve">ယင်းသည့်လ (၁၂၂၈) တစ်ထောင့်နှစ်ရာ့နှစ်ဆယ့်ရှစ်ခုနှစ်” အတွင်း သားတော် မြင်ကွန်းမင်းသား, မြင်းခုံတိုင် မင်းသား, အိမ်ရှေ့မင်း သားတော် ပန်းထိမ်းမင်းသားတို့ အရေးပြီးငြိမ်းသည့်နောက် သားတော် သုံးဆယ်မင်းသား, ညောင်ရမ်းမင်းသား, မက္ခရာမင်းသားမှစ၍ အရွယ်တော်ရောက်သည့် သားတော်များထံ အခြားလူတို့ အဝင်အထွက် မရှိစေနှင့် ပြဋ္ဌာန်းပိုင်းခြားပြီးလျှင် သားတော်တို့ စေခိုင်းရန် အဆောင်မြဲ အမှုထမ်းတို့ကို အလှည့်ကျ ဝင်ထွက် ခစား ထမ်းရွက်စေသည့်အတွင်း သားတော် မက္ခရာမင်းသား သုသီရိမဟာဓမ္မရာဇာ အိမ်တော်သို့ အမြင့်မြို့အုပ် မောင်ကြီး ဆိုသူ ဝင်ထွက် ခစားသည်နှင့် ထည်မျိုးအုပ်မျိုး ဆုလာဘ်ပေးကမ်းတော်မူသည်ကို ဝမ်းမြောက် ဝမ်းသာ ရှိလှသောကြောင့် ယောက္ခမဖြစ်သူ အလုံမြို့ဝန်, အမြင့်ငါးမြို့ဝန်, မင်းကြီးမဟာသမိန်ပရမ်းသို့ ပြန်ပြောရာ ပြဋ္ဌာန်း ပိုင်းခြားတော်မူသည့် အမိန့်တော်ကို ကျူးလွန်သောကြောင့် တိတ်တဆိတ်နေက မိမိကိုယ်နှင့်တကွ ရာဇဝတ်တော် မကင်းရှိမည်ကို စိုးရိမ်သည်နှင့် မက္ခရာမင်းသား ပေးကမ်းသော ထည်မျိုးအုပ်မျိုးကို ရှေ့တော်သို့ သွင်း၍ အမိန့်တော်မြတ် ခံသည်တွင် မောင်ကြီးကို သူကောင်းပြုတော်မူသည့် အရာက နုတ်၍ မိုးကောင်းမြို့သို့ အကျဉ်းပို့ထားတော်မူသည်။</t>
  </si>
  <si>
    <t xml:space="preserve">During that same month in the year 1228, after the affair of the sons Prince Myingun, Prince Myinkhuntaing, and the Crown Prince's son Prince Panhtain had ended and subsided, it was decreed that no other people were to enter or exit the residences of the sons who had reached the appropriate age, starting with Prince Thon-ze, Prince Nyaungyan, and Prince Mekkhara, and while the regular attendants assigned to serve the sons were taking turns entering and exiting to perform their duties, a man named Maung Gyi, the Myo-ok of Amyint, entered and served at the residence of the son Prince Mekkhara Thuthiri Mahadhammaraja, and because he was very pleased that [the Prince] gave him gifts of cloth and various items, he reported it back to his father-in-law, the Alon Myowun and Myint-nga-myo Wun, Mingyi Mahathaminparam; because he had violated the royal decree that had been issued and set, and fearing that if he remained silent he would not be free from royal punishment himself, he brought the cloth and items given by Prince Mekkhara before the royal presence, and upon receiving the royal order, [the King] removed Maung Gyi from the position in which he had been ennobled and sent him into confinement in Mogaung city.</t>
  </si>
  <si>
    <t xml:space="preserve">vol3_s002138_t02_229633ead9e0</t>
  </si>
  <si>
    <t xml:space="preserve">Maung Gyi</t>
  </si>
  <si>
    <t xml:space="preserve">VIOLATED_ROYAL_DECREE_REGARDING</t>
  </si>
  <si>
    <t xml:space="preserve">prince residence access</t>
  </si>
  <si>
    <t xml:space="preserve">vol3_s002138_t03_fd21d9fed75d</t>
  </si>
  <si>
    <t xml:space="preserve">PUNISHED_OFFICIAL_BY</t>
  </si>
  <si>
    <t xml:space="preserve">exile to Mogaung</t>
  </si>
  <si>
    <t xml:space="preserve">vol3_s002138_t04_78eb2aa1a82e</t>
  </si>
  <si>
    <t xml:space="preserve">STRIPPED_RANK_FROM</t>
  </si>
  <si>
    <t xml:space="preserve">vol3_s002139</t>
  </si>
  <si>
    <t xml:space="preserve">vol3_s002139_t01_80bde82f5043</t>
  </si>
  <si>
    <t xml:space="preserve">REWARDED_LOYALTY_OF</t>
  </si>
  <si>
    <t xml:space="preserve">Alon Myowun and Myint-nga-myo Wun</t>
  </si>
  <si>
    <t xml:space="preserve">အလုံမြို့ ဝန်, အမြင့်ငါးမြို့ ဝန်မှာ ကျေးဇူးသစ္စာတော်မြတ်ကို စောင့်သိရိုသေသူ ဖြစ်၍ မင်းကြီးမဟာသက်တော်ရှည်ဘွဲ့ လွှဲပြောင်းသနားတော်မူသည်။</t>
  </si>
  <si>
    <t xml:space="preserve">Because the Alon Myowun and Myint-nga-myo Wun were those who observed and respected the royal grace and loyalty, the title of Mingyi Mahathettawshay was transferred and bestowed upon them.</t>
  </si>
  <si>
    <t xml:space="preserve">vol3_s002139_t02_66507fc113cd</t>
  </si>
  <si>
    <t xml:space="preserve">RECEIVED_HONORARY_TITLE_FROM</t>
  </si>
  <si>
    <t xml:space="preserve">vol3_s002140</t>
  </si>
  <si>
    <t xml:space="preserve">vol3_s002140_t01_b1be1ef63eba</t>
  </si>
  <si>
    <t xml:space="preserve">GRANTED_CLEMENCY_TO</t>
  </si>
  <si>
    <t xml:space="preserve">Prince Mekkhara</t>
  </si>
  <si>
    <t xml:space="preserve">သားတော် မက္ခရာမင်းသားမှာ (၁၂၂၈) တစ်ထောင့်နှစ်ရာ့နှစ်ဆယ့်ရှစ် ခုနှစ်ခွ အရေးတွင် အပါးတော်က လိုက်ပါ၍ အမှုတော်ကို သက်စွန့်ကြိုးပမ်း ထမ်းသည့် သားတော် ဖြစ်သောကြောင့် ရာဇဝတ်တော်ကို ချမ်းသာပေး၍ ဝင်ထွက် ခံစားမြဲ ဝင်ထွက် ခစားစေ သည်။</t>
  </si>
  <si>
    <t xml:space="preserve">As for the son Prince Mekkhara, because he was a son who had followed by his side during the affair of the year 1228 and had served the royal duty with life-risking effort, he was spared from royal punishment and allowed to enter and serve as he had previously done.</t>
  </si>
  <si>
    <t xml:space="preserve">vol3_s002140_t02_e5fd9974d469</t>
  </si>
  <si>
    <t xml:space="preserve">past service</t>
  </si>
  <si>
    <t xml:space="preserve">vol3_s002515</t>
  </si>
  <si>
    <t xml:space="preserve">vol3_s002515_t01_3e266d3f575c</t>
  </si>
  <si>
    <t xml:space="preserve">Pinle Prince Thado Min Saw</t>
  </si>
  <si>
    <t xml:space="preserve">HAD_OFFSPRING_WITH</t>
  </si>
  <si>
    <t xml:space="preserve">royal concubine Shin Nyein</t>
  </si>
  <si>
    <t xml:space="preserve">ဆောင်ရကိုယ်လုပ်တော် ရှင်ငြိမ်းတွင်မြင်သည့် သမီးတော် မကြီး တစ်ပါး။</t>
  </si>
  <si>
    <t xml:space="preserve">One eldest daughter born to the royal concubine Shin Nyein.</t>
  </si>
  <si>
    <t xml:space="preserve">vol3_s002515_t02_9b97cffd138b</t>
  </si>
  <si>
    <t xml:space="preserve">IS_FATHER_OF</t>
  </si>
  <si>
    <t xml:space="preserve">eldest daughter</t>
  </si>
  <si>
    <t xml:space="preserve">vol3_s002516</t>
  </si>
  <si>
    <t xml:space="preserve">vol3_s002516_t01_f3376c50f0d6</t>
  </si>
  <si>
    <t xml:space="preserve">Prince Khaw Thanti Thado Minye Minhtin</t>
  </si>
  <si>
    <t xml:space="preserve">royal concubine Shin Pon</t>
  </si>
  <si>
    <t xml:space="preserve">ခေါ်သန္တီမင်းသား သတိုးမင်းရဲမင်းထင်၏ ဆောင်ရကိုယ်လုပ်တော် ရှင်ပုံတွင်မြင်သည့် သမီးတော် မကြီးကြီး တစ်ပါး၊ ညီမတော် တစ်ပါး။</t>
  </si>
  <si>
    <t xml:space="preserve">One eldest daughter and one younger sister born to Shin Pon, the royal concubine of Prince Khaw Thanti, Thado Minye Minhtin.</t>
  </si>
  <si>
    <t xml:space="preserve">vol3_s002516_t02_29994431b6ce</t>
  </si>
  <si>
    <t xml:space="preserve">vol3_s002516_t03_40ae50f3ebea</t>
  </si>
  <si>
    <t xml:space="preserve">younger sister</t>
  </si>
  <si>
    <t xml:space="preserve">vol3_s002517</t>
  </si>
  <si>
    <t xml:space="preserve">vol3_s002517_t01_58530aa445ef</t>
  </si>
  <si>
    <t xml:space="preserve">King Mindon's royal household</t>
  </si>
  <si>
    <t xml:space="preserve">COMPRISES</t>
  </si>
  <si>
    <t xml:space="preserve">50 royal queens and concubines</t>
  </si>
  <si>
    <t xml:space="preserve">မင်းမိဖုရား-ငါးကျိပ်၊ သားတော်-ငါးကျိပ်နှစ်ပါး၊ သမီးတော်-ငါးကျိပ်ခြောက်ပါး၊ မြေးတော် ယောက်ျား- လေးကျိပ်တစ်ပါး၊ မြေးတော် မိန်းမ-လေးကျိပ်နှစ်ပါး၊ မင်းမိဖုရား သားတော် သမီးတော် မြေးတော် ယောက်ျား၊ မြေးတော်မိန်းမ၊ စုစု နှစ်ရာ့လေးကျိပ်တစ်ပါးတည်း။</t>
  </si>
  <si>
    <t xml:space="preserve">Fifty royal queens and concubines, fifty-two sons, fifty-six daughters, forty-one grandsons, forty-two granddaughters; the royal queens and concubines, sons, daughters, grandsons, and granddaughters total two hundred and forty-one.</t>
  </si>
  <si>
    <t xml:space="preserve">vol3_s002517_t02_1909dbefd673</t>
  </si>
  <si>
    <t xml:space="preserve">52 sons</t>
  </si>
  <si>
    <t xml:space="preserve">vol3_s002517_t03_1de8b450919c</t>
  </si>
  <si>
    <t xml:space="preserve">56 daughters</t>
  </si>
  <si>
    <t xml:space="preserve">vol3_s002517_t04_9f17dde53eae</t>
  </si>
  <si>
    <t xml:space="preserve">41 grandsons</t>
  </si>
  <si>
    <t xml:space="preserve">vol3_s002517_t05_3eca925b2fe0</t>
  </si>
  <si>
    <t xml:space="preserve">42 granddaughters</t>
  </si>
  <si>
    <t xml:space="preserve">vol3_s002517_t06_471b13867b3b</t>
  </si>
  <si>
    <t xml:space="preserve">HAS_TOTAL_SIZE_OF</t>
  </si>
  <si>
    <t xml:space="preserve">241 members</t>
  </si>
  <si>
    <t xml:space="preserve">vol3_s002933</t>
  </si>
  <si>
    <t xml:space="preserve">vol3_s002933_t01_9bedda0be550</t>
  </si>
  <si>
    <t xml:space="preserve">Seal Minister</t>
  </si>
  <si>
    <t xml:space="preserve">DIRECTED_CASTING_OF</t>
  </si>
  <si>
    <t xml:space="preserve">Iron Seal</t>
  </si>
  <si>
    <t xml:space="preserve">ဘဝရှင်မင်းတရားကြီးဘုရား သံတွေ တံဆိပ်နာမံတော်ကိုလည်း တံဆိပ်ဝန် နေမျိုးသိဒ္ဓိပညာကျော်ခေါင် ရေးပေး သည့်အတိုင်း သံတွေတံဆိပ်တုံးတော်ကို အက္ခရာဝလိ မှန်ကန်သေချာစွာ အတွင်းပန်းပဲခေါင်းတို့ ထုလုပ်စေရ၏။</t>
  </si>
  <si>
    <t xml:space="preserve">Regarding the iron seal name of the Lord of Life, the Great King, the Seal Minister Nemyo Thiddi Panyakyawkaung must have the iron seal stamp cast by the inner blacksmith heads, correctly and accurately according to the letters as written by the Seal Minister Nemyo Thiddi Panyakyawkaung.</t>
  </si>
  <si>
    <t xml:space="preserve">vol3_s002933_t02_f3d915363d15</t>
  </si>
  <si>
    <t xml:space="preserve">Inner Blacksmith Heads</t>
  </si>
  <si>
    <t xml:space="preserve">CAST_SEAL_ACCORDING_TO</t>
  </si>
  <si>
    <t xml:space="preserve">Royal Inscription</t>
  </si>
  <si>
    <t xml:space="preserve">vol3_s002934</t>
  </si>
  <si>
    <t xml:space="preserve">vol3_s002934_t01_5769cc10c54c</t>
  </si>
  <si>
    <t xml:space="preserve">State Administration</t>
  </si>
  <si>
    <t xml:space="preserve">PREPARED_FOR</t>
  </si>
  <si>
    <t xml:space="preserve">Rajjabhisheka</t>
  </si>
  <si>
    <t xml:space="preserve">ယင်းသည့် လပြည့်ကျော် သုံးရက် နေ့ မင်္ဂလာအခါတော်အရ စာတမ်းစာရင်း ပါရှိသည့်အတိုင်း ရဇ္ဇာဘိသေက မုဒ္ဓါဘိသိက် သွန်းခံတော်မမူမီ မဟာသင်္ကြန် ခေါ်တော်မူရန် နဝတတ်အိုင်ရေ ဂင်္ဂါရေများကို ခပ်ယူဆက်သွင်းရသည်။</t>
  </si>
  <si>
    <t xml:space="preserve">On the third day after the full moon of that month, according to the auspicious time and as contained in the document list, before the royal anointing ceremony (Rajjabhisheka and Muddhābhiseka) is performed, water from the Nawadat Lake and Ganges water must be fetched and offered to summon the Great Thingyan.</t>
  </si>
  <si>
    <t xml:space="preserve">vol3_s002934_t02_7716832d5a35</t>
  </si>
  <si>
    <t xml:space="preserve">PROCURED_SACRED_WATER</t>
  </si>
  <si>
    <t xml:space="preserve">Nawadat and Ganges Water</t>
  </si>
  <si>
    <t xml:space="preserve">vol3_s002935</t>
  </si>
  <si>
    <t xml:space="preserve">vol3_s002935_t01_984a4d78fffd</t>
  </si>
  <si>
    <t xml:space="preserve">PROCEEDED_TO</t>
  </si>
  <si>
    <t xml:space="preserve">Thingyan Palace</t>
  </si>
  <si>
    <t xml:space="preserve">ယင်းသည့် ကဆုန်လပြည့်ကျော်လေးရက်- တနင်္လာနေ့ နံနက်လေးချက်တီးကျော် ငါးနာရီသုံးပါဒ် တစ်ဆယ့် လေးဗီဇနာ ပြန်ပြည့်လေးခရာအချိန် မဟာသင်္ကြန် ခေါ်တော်မူရန် သင်္ကြန်နန်းတော်သို့ တပ်ဝင်းအခင်းအကျင်းများနှင့် တင့်တယ်လှစွာ ထွက်တော်မူကြီး ထွက်တော်မူရာ သင်္ကြန်နန်းတော်သို့ ရောက်တော်မူလျှင် ဝတ်လဲနန်းတော်တွင် ရေခံဝတ်လဲတော် အဖြူ ဆင်တော်မူသည်။</t>
  </si>
  <si>
    <t xml:space="preserve">On the fourth day after the full moon of Kason, Monday, at the time of five hours, three parts, fourteen bijana, and four khaya past four o'clock in the morning, to summon the Great Thingyan, [the King] proceeded in great state with military arrangements and splendor to the Thingyan Palace, and upon arriving at the Thingyan Palace, he donned white water-receiving royal garments in the changing palace.</t>
  </si>
  <si>
    <t xml:space="preserve">vol3_s002935_t02_d926a539c419</t>
  </si>
  <si>
    <t xml:space="preserve">PERFORMED_RITUAL_ACT</t>
  </si>
  <si>
    <t xml:space="preserve">Donning white royal garments</t>
  </si>
  <si>
    <t xml:space="preserve">vol3_s002936</t>
  </si>
  <si>
    <t xml:space="preserve">vol3_s002936_t01_92b6ba0b5ea6</t>
  </si>
  <si>
    <t xml:space="preserve">Wise Men</t>
  </si>
  <si>
    <t xml:space="preserve">SUPERVISED_RITUAL</t>
  </si>
  <si>
    <t xml:space="preserve">Royal Thread Tying</t>
  </si>
  <si>
    <t xml:space="preserve">ဝတ်လဲနန်းတော်တွင် မင်းကိုချည်တန်း၍ ပညာရှိတို့က ကြီးကြပ်၊ မန္တန်တော်ခေါင်းတို့ ပရိတ်တော်, အောင်ခြင်းရှစ်ပါး ဂါထာများကို ရွတ်မွှန်းရသည်။</t>
  </si>
  <si>
    <t xml:space="preserve">In the changing palace, the royal thread was tied, supervised by the wise men, and the mantra heads recited the paritta and the eight victory gathas.</t>
  </si>
  <si>
    <t xml:space="preserve">vol3_s002936_t02_6ee64cd42e62</t>
  </si>
  <si>
    <t xml:space="preserve">Mantra Heads</t>
  </si>
  <si>
    <t xml:space="preserve">RECITED_SACRED_TEXTS</t>
  </si>
  <si>
    <t xml:space="preserve">Paritta and Victory Gathas</t>
  </si>
  <si>
    <t xml:space="preserve">vol3_s002937</t>
  </si>
  <si>
    <t xml:space="preserve">vol3_s002937_t01_629d5adaae95</t>
  </si>
  <si>
    <t xml:space="preserve">OFFERED_MERIT_TO</t>
  </si>
  <si>
    <t xml:space="preserve">Three Jewels</t>
  </si>
  <si>
    <t xml:space="preserve">ဝတ်လဲနန်းတော်က ဆေးစင် တန်ဆောင်းတော်သို့ ကူးကြွတော်မမူမီ ရတနာသုံးပါး, သိကြား, ဗြဟ္မာ, စတုလောကပါလာ, သာသနာတော်စောင့် နတ်, ကိုယ်တော်စောင့်နတ်မှစ၍ ဘေးတော်, ဘိုးတော်, ဘွားတော်, ခမည်းတော်, မယ်တော်မြတ်တို့အား ပူဇော်တော်ပွဲ ဆက်သရသည်။</t>
  </si>
  <si>
    <t xml:space="preserve">Before proceeding from the changing palace to the medicine pavilion, offerings were made to the Three Jewels, Sakka, Brahma, the Four Heavenly Kings, the guardian spirits of the religion, the guardian spirits of his own person, and starting from his great-grandfather, grandfather, grandmother, father, and noble mother.</t>
  </si>
  <si>
    <t xml:space="preserve">vol3_s002937_t02_004a60647a3b</t>
  </si>
  <si>
    <t xml:space="preserve">Celestial Beings</t>
  </si>
  <si>
    <t xml:space="preserve">vol3_s002937_t03_d8efda3fc1fa</t>
  </si>
  <si>
    <t xml:space="preserve">Royal Ancestors</t>
  </si>
  <si>
    <t xml:space="preserve">vol3_s002938</t>
  </si>
  <si>
    <t xml:space="preserve">vol3_s002938_t01_167557c88e5d</t>
  </si>
  <si>
    <t xml:space="preserve">Medicine Pavilion</t>
  </si>
  <si>
    <t xml:space="preserve">ပြီးလျှင် ဆေးစင် တန်ဆောင်းတော်သို့ ဝင်တော်မူ၍ အခါတော် လျှောက်ကြား အမြောက်သံသုံးချက် ပေးစေရသည်။</t>
  </si>
  <si>
    <t xml:space="preserve">Afterwards, he entered the medicine pavilion, and the auspicious time was announced, and three cannon shots were ordered to be fired.</t>
  </si>
  <si>
    <t xml:space="preserve">vol3_s002938_t02_f0e83ac372a6</t>
  </si>
  <si>
    <t xml:space="preserve">ANNOUNCED_AUSPICIOUS_TIME</t>
  </si>
  <si>
    <t xml:space="preserve">Via Cannon Fire</t>
  </si>
  <si>
    <t xml:space="preserve">vol3_s002939</t>
  </si>
  <si>
    <t xml:space="preserve">vol3_s002939_t01_288f7f33d11f</t>
  </si>
  <si>
    <t xml:space="preserve">Ritual Specialists</t>
  </si>
  <si>
    <t xml:space="preserve">ARRANGED_SACRED_THREADS</t>
  </si>
  <si>
    <t xml:space="preserve">ဆေးစင်တန်ဆောင်းတော်မှာ ချွတ်ချည်တို့ကို ဂါထာရွတ်မွှန်း သွယ်ကုံးဝန်းရံထားရသည်။</t>
  </si>
  <si>
    <t xml:space="preserve">In the medicine pavilion, the threads were to be strung and arranged while reciting gathas.</t>
  </si>
  <si>
    <t xml:space="preserve">vol3_s002940</t>
  </si>
  <si>
    <t xml:space="preserve">vol3_s002940_t01_967ba2a01bc8</t>
  </si>
  <si>
    <t xml:space="preserve">DONNED_REGALIA</t>
  </si>
  <si>
    <t xml:space="preserve">Royal Rings</t>
  </si>
  <si>
    <t xml:space="preserve">လက်တော် စွပ်, ခြေတော်စွပ်, နဝရတ်လက်စွပ်များကို စွပ်တော်မူသည်။</t>
  </si>
  <si>
    <t xml:space="preserve">He put on the royal hand rings, royal foot rings, and the nine-gem rings.</t>
  </si>
  <si>
    <t xml:space="preserve">vol3_s002941</t>
  </si>
  <si>
    <t xml:space="preserve">vol3_s002941_t01_390d89698235</t>
  </si>
  <si>
    <t xml:space="preserve">Holding ruby in mouth</t>
  </si>
  <si>
    <t xml:space="preserve">ပတ္တမြားငုံတော်မူသည်။</t>
  </si>
  <si>
    <t xml:space="preserve">He held a ruby in his mouth.</t>
  </si>
  <si>
    <t xml:space="preserve">vol3_s002942</t>
  </si>
  <si>
    <t xml:space="preserve">vol3_s002942_t01_bd6eb4881416</t>
  </si>
  <si>
    <t xml:space="preserve">Burmese Wise Men</t>
  </si>
  <si>
    <t xml:space="preserve">PERFORMED_PURIFICATION_RITE</t>
  </si>
  <si>
    <t xml:space="preserve">Pouring sacred water over King</t>
  </si>
  <si>
    <t xml:space="preserve">တရော်မျိုးရေအိုးနှင့် ဧကူနဝီ သတိ ရေတော်အစုံ အိုးများကို မြန်မာပညာရှိ မန္တန်ခေါင်းတို့ ပိုက်ချီ၍ အသီးအသီး ရွတ်မွှန်း၊ ပထမအစ ဧကူနဝီ သတိ အဆုံးတိုင်အောင် အစဉ်အတိုင်း ကိုယ်တော်ကို သွန်းလောင်းရသည်။</t>
  </si>
  <si>
    <t xml:space="preserve">The Burmese wise men and mantra heads carried the taraw-type water pots and the set of ninety-one water pots, and each was recited over, and they were poured over his body in order, from the first to the end of the ninety-one.</t>
  </si>
  <si>
    <t xml:space="preserve">vol3_s002943</t>
  </si>
  <si>
    <t xml:space="preserve">vol3_s002943_t01_8d459e74fdd7</t>
  </si>
  <si>
    <t xml:space="preserve">Pouring mantra and paritta water</t>
  </si>
  <si>
    <t xml:space="preserve">ပြီးလျှင် မန္တန်တော်ရေ ပရိတ်တော် ရေများကို သွန်းလောင်းရသည်။</t>
  </si>
  <si>
    <t xml:space="preserve">Afterwards, the mantra water and paritta water were poured.</t>
  </si>
  <si>
    <t xml:space="preserve">vol3_s002944</t>
  </si>
  <si>
    <t xml:space="preserve">vol3_s002944_t01_fe00c53936d2</t>
  </si>
  <si>
    <t xml:space="preserve">Gananda Brahmin</t>
  </si>
  <si>
    <t xml:space="preserve">Placing turmeric pot on King's head</t>
  </si>
  <si>
    <t xml:space="preserve">The text puts the turmeric vessel on the Gananta Brahmin's head and describes the king using his foot in the purification action. The triple instead has the Brahmin place the pot on the king's head, reversing the actors/body-position roles.</t>
  </si>
  <si>
    <t xml:space="preserve">King | PERFORMED_PURIFICATION_GESTURE_WITH_FOOT_ON | vessel on Gananta Brahmin's head</t>
  </si>
  <si>
    <t xml:space="preserve">ပြီးလျှင် ဝတ်လဲတော်လဲ၍ ဆေးစင်တံခါးတော်က ထွက်တော်မူရာ ဂနန္တာပုဏ္ဏားဦး ထိပ်တွင် နံနွင်းကသယ်အိုးကို ကိုယ်တော်၌ ဥပဒ်အန္တ ရာယ် စင်ကြယ်တော်မူအောင် ခြေတော်ဖြင့် ထည့်စေသည်။</t>
  </si>
  <si>
    <t xml:space="preserve">Afterwards, he changed his royal garments, and as he exited through the medicine pavilion door, he had the Gananda Brahmin place the turmeric pot on his head with his feet to cleanse him of any harm or danger.</t>
  </si>
  <si>
    <t xml:space="preserve">vol3_s002945</t>
  </si>
  <si>
    <t xml:space="preserve">vol3_s002945_t01_06b92daa82b4</t>
  </si>
  <si>
    <t xml:space="preserve">DISMANTLED_RITUAL_STRUCTURE</t>
  </si>
  <si>
    <t xml:space="preserve">Temporary passage</t>
  </si>
  <si>
    <t xml:space="preserve">ဝတ်လဲတော် ဇာန်ဆောင်းတော်သို့ ရောက်တော်မူလျှင် အကူးကြမ်းကို ဖျက်သိမ်းစေရသည်။</t>
  </si>
  <si>
    <t xml:space="preserve">Upon arriving at the changing pavilion, the temporary passage was ordered to be dismantled.</t>
  </si>
  <si>
    <t xml:space="preserve">vol3_s002946</t>
  </si>
  <si>
    <t xml:space="preserve">vol3_s002946_t01_cdb276a6834b</t>
  </si>
  <si>
    <t xml:space="preserve">Crown Ornaments</t>
  </si>
  <si>
    <t xml:space="preserve">ဝတ်လဲ တန်ဆောင်းတော်တွင် ဆံတော်ကို ယပ်လေဖြင့် သွေ့ မြန်းစေ၍ မကိုဋ်တန်ဆာတော်များကို ဆင်တော်မူပြီးလျှင် ပရိတ်နာတန်ဆောင်းသို့ ထွက်တော်မူသည်။</t>
  </si>
  <si>
    <t xml:space="preserve">In the changing pavilion, his hair was dried with a fan, and after he put on the crown ornaments, he proceeded to the paritta pavilion.</t>
  </si>
  <si>
    <t xml:space="preserve">vol3_s002947</t>
  </si>
  <si>
    <t xml:space="preserve">vol3_s002947_t01_3809ec017429</t>
  </si>
  <si>
    <t xml:space="preserve">PERFORMED_ANOINTING_RITE</t>
  </si>
  <si>
    <t xml:space="preserve">ဘိသိက်တော်ဆက် ပုဏ္ဏားရှစ်ပါးတို့ ဘိသိက်တော်ဆက်ရသည်။</t>
  </si>
  <si>
    <t xml:space="preserve">The eight Brahmins who perform the anointing ceremony performed the anointing.</t>
  </si>
  <si>
    <t xml:space="preserve">vol3_s002948</t>
  </si>
  <si>
    <t xml:space="preserve">vol3_s002948_t01_8e4438640383</t>
  </si>
  <si>
    <t xml:space="preserve">LISTENED_TO</t>
  </si>
  <si>
    <t xml:space="preserve">Donation list of Seven Buddhas</t>
  </si>
  <si>
    <t xml:space="preserve">ငြိမ်သက်လျှင် ဘုရားခုနစ်ဆူ အလှူတော်စာကို နာခံတော် ဖတ်လျှောက် တင်လှူတော်မူသည်။</t>
  </si>
  <si>
    <t xml:space="preserve">When it was quiet, he listened to the reading of the donation list of the seven Buddhas and offered it.</t>
  </si>
  <si>
    <t xml:space="preserve">vol3_s002949</t>
  </si>
  <si>
    <t xml:space="preserve">vol3_s002949_t01_7626777d3ad0</t>
  </si>
  <si>
    <t xml:space="preserve">Presiding Monks</t>
  </si>
  <si>
    <t xml:space="preserve">Paritta and Gathas</t>
  </si>
  <si>
    <t xml:space="preserve">ပြီးလျှင် ဆရာ တော် သံဃာတော် ရှစ်ပါးတို့ရှေ့ ပရိတ်အိုး ရှစ်လုံးတည်ထား၍ ကိုယ်တော်ကို မင်းကိုချည်ဝန်းပြီးလျှင် လက်သုတ် ပဝါဖြူ အသီးအသီး ဆရာတော်တို့သို့ကပ်၍ ၎င်းလက်သုတ်ပဝါဖြင့် မင်းကိုချည်ကို ဆရာတော် သံဃာတော် ရှစ်ပါးကိုင်ပြီးလျှင် မင်္ဂလသုတ်, ရတနသုတ်, မေတ္တသုတ်, ဂုဏ်တော်ကိုးပါး, အဋ္ဌဇေယမင်္ဂလာ ဂါထာများကို ရွတ်မွှန်းတော်မူကြရာ မင်းညီမင်းသား မှူးတော် မတ်တော်တို့ ဝန်းရံ၍ ပရိတ်တော် နာတော်မူသည်။</t>
  </si>
  <si>
    <t xml:space="preserve">Afterwards, eight paritta pots were set up in front of the eight presiding monks, and after the royal thread was wrapped around his body, white handkerchiefs were offered to each of the presiding monks, and the eight presiding monks held the royal thread with those handkerchiefs and recited the Mangala Sutta, Ratana Sutta, Metta Sutta, the nine attributes of the Buddha, and the eight victory gathas, while the princes and ministers surrounded him and listened to the paritta.</t>
  </si>
  <si>
    <t xml:space="preserve">vol3_s002949_t02_965e0bf200df</t>
  </si>
  <si>
    <t xml:space="preserve">ATTENDED_RITUAL</t>
  </si>
  <si>
    <t xml:space="preserve">Paritta recitation</t>
  </si>
  <si>
    <t xml:space="preserve">vol3_s002950</t>
  </si>
  <si>
    <t xml:space="preserve">vol3_s002950_t01_c7bd9bc37d87</t>
  </si>
  <si>
    <t xml:space="preserve">Royal Thread</t>
  </si>
  <si>
    <t xml:space="preserve">မင်းကို ချည်ကိုလည်း ဆင်တော်မူသည်။</t>
  </si>
  <si>
    <t xml:space="preserve">He also wore the royal thread.</t>
  </si>
  <si>
    <t xml:space="preserve">vol3_s002951</t>
  </si>
  <si>
    <t xml:space="preserve">vol3_s002951_t01_a6d650bcda4c</t>
  </si>
  <si>
    <t xml:space="preserve">Prisoners</t>
  </si>
  <si>
    <t xml:space="preserve">ပြီးလျှင် ဆရာတော်တို့ရှေ့ ဘေးမဲ့လွှတ်တော်မူရန် ခိုးသားယောက်ျား, ဆင်, မြင်း, နွား, ကျွဲ, ဆိတ်, ဝက်, ကြက်, ငှက်, တိရစ္ဆာန်များကို အမိန့်တော်ဖတ်ပြန် ဘေးမဲ့လွှတ်တော်မူသည်။</t>
  </si>
  <si>
    <t xml:space="preserve">Afterwards, in front of the presiding monks, he read the royal order and released thieves, men, elephants, horses, cows, buffaloes, goats, pigs, chickens, birds, and animals to be free from harm.</t>
  </si>
  <si>
    <t xml:space="preserve">vol3_s002951_t02_c68502f1bdd8</t>
  </si>
  <si>
    <t xml:space="preserve">GRANTED_LIFE_TO</t>
  </si>
  <si>
    <t xml:space="preserve">Animals</t>
  </si>
  <si>
    <t xml:space="preserve">vol3_s002952</t>
  </si>
  <si>
    <t xml:space="preserve">vol3_s002952_t01_25fdcd6516b7</t>
  </si>
  <si>
    <t xml:space="preserve">Royal Listener</t>
  </si>
  <si>
    <t xml:space="preserve">RECITED_AUSPICIOUS_YATU</t>
  </si>
  <si>
    <t xml:space="preserve">ပြီးလျှင် ဆရာတော်တို့ ကြွသွားပြီးနောက် နာခံတော် မဟာမင်းလှမင်းထင်ကျော်က မင်္ဂလာရတု လျှောက်ဆို၊ စည်တော်စုံများကို တစ်ပြိုင်နက် တီးရွမ်း၊ ပွဲသဘင်အငြိမ့် စည်ပင်သာယာစွာ ကသီကြရသည်။</t>
  </si>
  <si>
    <t xml:space="preserve">Afterwards, after the presiding monks had departed, the royal listener Mahaminhla Minthinkyaw recited the auspicious yatu, all the royal drums were beaten simultaneously, and the festival and dance performances were held in a prosperous and pleasant manner.</t>
  </si>
  <si>
    <t xml:space="preserve">vol3_s002952_t02_70a9e4a11513</t>
  </si>
  <si>
    <t xml:space="preserve">PERFORMED_RITUAL_CELEBRATION</t>
  </si>
  <si>
    <t xml:space="preserve">Drums and dance</t>
  </si>
  <si>
    <t xml:space="preserve">vol3_s003290</t>
  </si>
  <si>
    <t xml:space="preserve">vol3_s003290_t01_206b4bf9fb0c</t>
  </si>
  <si>
    <t xml:space="preserve">Royal Chief Queen</t>
  </si>
  <si>
    <t xml:space="preserve">GAVE_BIRTH_TO</t>
  </si>
  <si>
    <t xml:space="preserve">Royal Daughter</t>
  </si>
  <si>
    <t xml:space="preserve">သက္ကရာဇ် (၁၂၄၅) တစ်ထောင့်နှစ်ရာ့လေးဆယ့်ငါးခု သီတင်းကျွတ် လဆန်းသုံးရက် ကြာသပတေးနေ့ နေသုံးချက်တီးကျော် လေးမောင်း သုံးပါဒ်အချိန် အသျှင် နန်းမတော်မိဖုရားခေါင်ကြီးဘုရား သမီးတော်မြတ်ရတနာကို ဖွားမြော်သန့်စင် မီးရှူးမြင်တော်မူသည်။</t>
  </si>
  <si>
    <t xml:space="preserve">In the year 1245, on the third day of the waxing moon of Thadingyut, Thursday, at the time of three beats past three o'clock and three quarters [of a maung], the Royal Chief Queen gave birth to the noble daughter, the Ratana.</t>
  </si>
  <si>
    <t xml:space="preserve">vol3_s003290_t02_68e1e1e44c08</t>
  </si>
  <si>
    <t xml:space="preserve">ACQUIRED_DYNASTIC_STATUS</t>
  </si>
  <si>
    <t xml:space="preserve">Royal Household</t>
  </si>
  <si>
    <t xml:space="preserve">vol3_s003291</t>
  </si>
  <si>
    <t xml:space="preserve">vol3_s003291_t01_47f95ce411b7</t>
  </si>
  <si>
    <t xml:space="preserve">PERFORMED_RITUALS_FOR</t>
  </si>
  <si>
    <t xml:space="preserve">မီးရှူးမြင်တော်မူသော အခမ်းအနား၊ ယင်းနောက် နန္ဒီမုခ-မျက်နှာတော်ပြ အခမ်းအနား၊ တမ္ဗုလကရဏဟူသော ကွမ်းဦးခွံ့ မင်္ဂလာအခမ်းအနား၊ ရဝိန္ဒုဒဿနဟူသော နေလရှုမျှော်တော်မူရန် မင်္ဂလာအခမ်းအနား၊ ပထမဘတ္တဟူသော ထမင်းဦးခွံ့ မင်္ဂလာ အခမ်းအနား၊ ကေသစ္ဆေဒနဟူသော ဆံတော်ပြင် မင်္ဂလာအခမ်းအနားများကို မှန်နန်းတော်ဆောင်တော် ဘမရာသနရာဇပလ္လင်တော်ရှေ့ဝယ် အထက် သမီးတော် ထိပ်စုမြတ်ဘုရားကြီးကို ချီးမြှင့်တော်မူသကဲ့သို့ ခမ်းနားကြီးကျယ်စွာ ခင်းကျင်း ကျင်းပ ချီးမြှင့်တော်မူသည်။</t>
  </si>
  <si>
    <t xml:space="preserve">The ceremony of the birth, followed by the Nandimukha-face-viewing ceremony, the ceremony of the first feeding of betel called Tambulakarana, the ceremony of viewing the sun and moon called Ravindudassana, the ceremony of the first feeding of rice called Pathamabhatta, and the ceremony of the first haircut called Kesacchedana were held with great magnificence and splendor in front of the Bhamarathana Royal Throne in the Glass Palace, just as they were held for the elder daughter, the Hteik Su Myat Phaya Gyi.</t>
  </si>
  <si>
    <t xml:space="preserve">vol3_s003291_t02_5306d8ce5be5</t>
  </si>
  <si>
    <t xml:space="preserve">Royal Rituals</t>
  </si>
  <si>
    <t xml:space="preserve">vol3_s003291_t03_fa52655a1c41</t>
  </si>
  <si>
    <t xml:space="preserve">REINFORCED_STATUS_OF</t>
  </si>
  <si>
    <t xml:space="preserve">vol3_s003292</t>
  </si>
  <si>
    <t xml:space="preserve">vol3_s003292_t01_b02304037f13</t>
  </si>
  <si>
    <t xml:space="preserve">RELOCATED_RESIDENCE_TO</t>
  </si>
  <si>
    <t xml:space="preserve">Southern Palace</t>
  </si>
  <si>
    <t xml:space="preserve">ယင်းသည့် လဆန်းဆယ်ရက်- နေ့ အသျှင်နန်းမတော် မိဖုရားခေါင်ကြီးဘုရား ဆောင်မတော်က ပြောင်း၍ တောင်နန်းတော်မှာ စံတော်မူသည်။</t>
  </si>
  <si>
    <t xml:space="preserve">On the tenth day of the waxing moon of that month, the Royal Chief Queen moved from her royal residence and resided in the Southern Palace.</t>
  </si>
  <si>
    <t xml:space="preserve">vol3_s003293</t>
  </si>
  <si>
    <t xml:space="preserve">vol3_s003293_t01_476492314878</t>
  </si>
  <si>
    <t xml:space="preserve">Sovereigns</t>
  </si>
  <si>
    <t xml:space="preserve">Former Queens</t>
  </si>
  <si>
    <t xml:space="preserve">လဆန်းတစ်ဆယ့်နှစ်ရက်နေ့ အနောက်အတွင်းတော် နောက်ဝန်းကျင်တန်းတွင် ခြေကျဉ်းစွဲခတ် အကျဉ်း ချုပ်ထားသူ ခမည်းတော်ဘုရား မိဖုရားဟောင်း သားသမီးတို့နှင့် မပြတ် ဝင်ထွက်ခစားရသည့် မိဖုရားဟောင်းတို့ကို အသျှင်နှစ်ပါးရှေ့တော်သို့ ဝင်စေပြီးလျှင် ခြေကျဉ်းစွဲခတ်သူ မိဖုရားများကို ခြေကျဉ်းချွတ်၍ ဝင်ထွက် ခစားမြဲ မိဖုရားဟောင်းတို့နှင့်အတူ ငွေဒင်္ဂါး, ထဘီ, ပဝါအုပ်, ပိတ်အုပ် သနားတော်မူသည်။</t>
  </si>
  <si>
    <t xml:space="preserve">On the twelfth day of the waxing moon, the two Sovereigns summoned to their presence the former queens who were the children of the Royal Father [the King] and were kept in confinement with shackles in the rear perimeter of the inner palace, as well as the former queens who were allowed to enter and exit to serve regularly; they then had the shackles removed from the queens who were in shackles and bestowed upon them, along with the former queens who were allowed to enter and exit to serve, silver coins, htameins, sets of scarves, and sets of cloth.</t>
  </si>
  <si>
    <t xml:space="preserve">vol3_s003293_t02_460446ed1727</t>
  </si>
  <si>
    <t xml:space="preserve">REMOVED_CONFINEMENT_OF</t>
  </si>
  <si>
    <t xml:space="preserve">vol3_s003293_t03_49072e8b82b3</t>
  </si>
  <si>
    <t xml:space="preserve">BESTOWED_PATRONAGE_ON</t>
  </si>
  <si>
    <t xml:space="preserve">vol3_s003294</t>
  </si>
  <si>
    <t xml:space="preserve">vol3_s003294_t01_eb6952164f66</t>
  </si>
  <si>
    <t xml:space="preserve">MODIFIED_RITUAL_PROCEDURE_FOR</t>
  </si>
  <si>
    <t xml:space="preserve">Annual Homage Ceremony</t>
  </si>
  <si>
    <t xml:space="preserve">ယင်းသည့်လပြည့်ကျော်တစ်ရက်နေ့ နှစ်စဉ်ခံမြဲ ဝါကျွတ်ကန်တော့ခံ အခမ်းအနားကို မပြုမလုပ်၊ ရှို့လွှတ်မြဲ မီးမျိုးစုံများကို မဟာလောကမာရဇိန်ဘုရား, မာန်အောင်ရတနာဘုရားမှာ ခွဲဝေရို့လွှတ်ပူဇော်ရန် အစဉ်သွင်းပြမြဲအတိုင်း တောင်စမုတ်တော်သို့ သွင်းပြ၊ အသျှင်နှစ်ပါး ထွက်စံတော်မူ၍ ရေစက်သွန်းတော်မူပြီးလျှင် ယင်းသည့် နေ့ည ၎င်းဘုရားနှစ်ဆူမှာ ခွဲဝေရို့လွှတ် ပူဇော်ရသည်။</t>
  </si>
  <si>
    <t xml:space="preserve">On the first day of the waning moon of that month, the annual ceremony of paying homage at the end of the Buddhist Lent was not held; the various types of lamps that were customarily lit were presented to the southern gate as per the usual procedure for them to be distributed and lit as an offering at the Maha Lokamarazein Pagoda and the Man Aung Ratana Pagoda; the two Sovereigns went out to pay homage and poured water of dedication, and on the night of that day, they were distributed and lit as an offering at those two pagodas.</t>
  </si>
  <si>
    <t xml:space="preserve">vol3_s003294_t02_0a7ec8bfa26b</t>
  </si>
  <si>
    <t xml:space="preserve">SPONSORED_RELIGIOUS_OFFERING_AT</t>
  </si>
  <si>
    <t xml:space="preserve">Maha Lokamarazein Pagoda</t>
  </si>
  <si>
    <t xml:space="preserve">vol3_s003294_t03_a516d6d99818</t>
  </si>
  <si>
    <t xml:space="preserve">Man Aung Ratana Pagoda</t>
  </si>
  <si>
    <t xml:space="preserve">vol3_s003294_t04_921a9e7b9542</t>
  </si>
  <si>
    <t xml:space="preserve">PERFORMED_RITUAL_ACT_OF</t>
  </si>
  <si>
    <t xml:space="preserve">Pouring Water of Dedication</t>
  </si>
  <si>
    <t xml:space="preserve">vol3_s003295</t>
  </si>
  <si>
    <t xml:space="preserve">vol3_s003295_t01_53fdfe0df0a2</t>
  </si>
  <si>
    <t xml:space="preserve">MOBILIZED_STATE_RESOURCES_FOR</t>
  </si>
  <si>
    <t xml:space="preserve">Religious Merit-Making</t>
  </si>
  <si>
    <t xml:space="preserve">မဟာမုနိဘုရား, လောကဆီမီးဘုရား, မဟာဗောဓိပင်တော်များပါ နှစ်စဉ်မီးထွန်းလင်း ပူ ဇော်မြဲ တစ်ဆယ့် ခြောက်ဌာနပြင် အသျှင်နှစ်ပါးနံတော်သင့် မဟာလောကရန်နှိမ်ဘုရား, ရတနာတန်ဆောင်ဘုရားများပါ စုစု တစ်ဆယ့် ရှစ်ဌာန ဘုရားများမှာ ထွန်းလင်းရန် သုံးရက်သင့် ဖယောင်းတိုင် ရှစ်သောင်းကျော်အကျ ဖယောင်းတိုင် သေတ္တာ များကိုလည်း မှန်စီထမ်းစင်နှင့်တင်၍ မီးမျိုးစုံ အလှူတော်များပါ ရှေ့နောက်စီစဉ် ရှေ့တော်သို့ သွင်းပြပြီးလျှင် ယင်းသည့်နေ့ကသုံးရက် မီးစောင်းတန်း ထွန်းလင်းပူဇော်ရာ မှူးကြီးမတ်ကြီးတို့နှင့် မှူးတော်မတ်တော် အရာရှိတို့ ခွဲဝေသွားရောက် ကြီးကြပ် ပွဲသဘင်ခင်းကျင်း ထွန်းလင်းပူဇော်ရသည်။</t>
  </si>
  <si>
    <t xml:space="preserve">In addition to the sixteen locations including the Mahamuni Pagoda, the Loka Simi Pagoda, and the Maha Bodhi trees where lamps are lit and offered annually, the two Sovereigns also had lamps lit at a total of eighteen locations, including the Maha Loka Yan Hnein Pagoda and the Ratana Tansaung Pagoda, which were auspicious to them; the boxes of candles, totaling over eighty thousand, required for the three days were placed on glass-inlaid carrying stands and, along with the various lamp offerings, were arranged and presented before the Sovereigns, and for the three days starting from that day, the high-ranking ministers and officials were assigned to go and supervise the holding of the festival and the lighting of the lamps along the lamp corridors.</t>
  </si>
  <si>
    <t xml:space="preserve">vol3_s003295_t02_28e716a12445</t>
  </si>
  <si>
    <t xml:space="preserve">ASSIGNED_SUPERVISION_TO</t>
  </si>
  <si>
    <t xml:space="preserve">High-Ranking Ministers and Officials</t>
  </si>
  <si>
    <t xml:space="preserve">vol3_s003295_t03_2f7e9b2d7e92</t>
  </si>
  <si>
    <t xml:space="preserve">SUPERVISED_RITUAL_LOGISTICS_AT</t>
  </si>
  <si>
    <t xml:space="preserve">Eighteen Sacred Sites</t>
  </si>
  <si>
    <t xml:space="preserve">vol3_s003295_t04_11699f74c85c</t>
  </si>
  <si>
    <t xml:space="preserve">DEMONSTRATED_PATRONAGE_OF</t>
  </si>
  <si>
    <t xml:space="preserve">vol3_s003296</t>
  </si>
  <si>
    <t xml:space="preserve">vol3_s003296_t01_e6fc0f362ea0</t>
  </si>
  <si>
    <t xml:space="preserve">BESTOWED_PAYMENT_ON</t>
  </si>
  <si>
    <t xml:space="preserve">Ritual Performers</t>
  </si>
  <si>
    <t xml:space="preserve">တစ်ဆယ့်ရှစ်ဌာနများသို့ မီးထွန်းလင်း လမ်းလျှောက် တီးမှုတ်ထမ်းရွက်စေရန် သေနတ်, အမြောက်ဝင်း, ဒိုင်း, လှေ, ဖောင် ရပ်ကွက်များက အသီးအသီး ထွက်သည့် အိုးစည်, ဒိုးပတ်, ပုံထောင်, မောင်း, တီးမှုတ်လူတို့ကို တစ်ကိုယ်လျှင် ငွေဒင်္ဂါး ငါးပြားကျ သနားတော် မူသည်။</t>
  </si>
  <si>
    <t xml:space="preserve">For the lighting of the lamps and the performing of music while walking at the eighteen locations, the Sovereigns bestowed five silver coins each upon the people who played the ozi, dobat, ponthaung, and maung, who came from the respective quarters of the gun, cannon, shield, boat, and raft units.</t>
  </si>
  <si>
    <t xml:space="preserve">vol3_s003296_t02_9819928e3359</t>
  </si>
  <si>
    <t xml:space="preserve">DRAWN_FROM</t>
  </si>
  <si>
    <t xml:space="preserve">Military and Service Units</t>
  </si>
  <si>
    <t xml:space="preserve">vol3_s003297</t>
  </si>
  <si>
    <t xml:space="preserve">vol3_s003297_t01_5c0adaa355f8</t>
  </si>
  <si>
    <t xml:space="preserve">CONSTRUCTED_RITUAL_LABYRINTHS_IN</t>
  </si>
  <si>
    <t xml:space="preserve">ယင်းသည့်နေ့ ရွှေနန်းတော် မြေနန်းတောင်ဘက်တွင် တစ်ဆယ့်ခြောက်ဌာန ဝင်္ကပါ၊ ရွှေနန်းတော် အနောက် တောင်ထောင့်တွင် ခရုပတ် ဝင်္ကပါ၊ စိတြနန္ဒာဝင်္ကပါများကို လုပ်ဆောင်ရသည်။</t>
  </si>
  <si>
    <t xml:space="preserve">On that day, the sixteen-location labyrinth was constructed to the south of the Earthen Palace in the Royal Palace, and the spiral labyrinth and the Citrananda labyrinth were constructed in the southwest corner of the Royal Palace.</t>
  </si>
  <si>
    <t xml:space="preserve">vol3_s003298</t>
  </si>
  <si>
    <t xml:space="preserve">vol3_s003298_t01_fb32b9a29289</t>
  </si>
  <si>
    <t xml:space="preserve">COMPLETED_RITUAL_STRUCTURE</t>
  </si>
  <si>
    <t xml:space="preserve">Spiral Labyrinth</t>
  </si>
  <si>
    <t xml:space="preserve">လပြည့်ကျော်ငါးရက် နေ့ ခရုပတ်ဝင်္ကပါ ပြီးပြေ၍ မီးထွန်းလင်းရသည်။</t>
  </si>
  <si>
    <t xml:space="preserve">On the fifth day of the waning moon, the spiral labyrinth was completed and lamps were lit.</t>
  </si>
  <si>
    <t xml:space="preserve">vol3_s003299</t>
  </si>
  <si>
    <t xml:space="preserve">vol3_s003299_t01_d5bfc8b74baf</t>
  </si>
  <si>
    <t xml:space="preserve">လပြည့်ကျော်ခြောက်ရက်နေ့ ခရုပတ် ဝင်္ကပါကို ဖျက်သိမ်း၍ မြောက်ပိုင်းမှာ ခိုနန်းဝင်္ကပါ၊ တောင်ပိုင်းမှာ ကပ္ပဋ္ဌီတိဝင်္ကပါ လုပ်ဆောင်ပြီးပြေ မီးထွန်းလင်းပြီးနောက် အသျှင်နှစ်ပါး ထွက်စံ လျှောက်သွားတော်မူသည်။</t>
  </si>
  <si>
    <t xml:space="preserve">On the sixth day of the waning moon, the spiral labyrinth was dismantled, and after the Khonans labyrinth was constructed in the northern part and the Kappatthiti labyrinth was constructed in the southern part and completed, lamps were lit, and the two Sovereigns went out to view them.</t>
  </si>
  <si>
    <t xml:space="preserve">vol3_s003299_t02_a8282818bf57</t>
  </si>
  <si>
    <t xml:space="preserve">CONSTRUCTED_RITUAL_STRUCTURE</t>
  </si>
  <si>
    <t xml:space="preserve">Khonans Labyrinth</t>
  </si>
  <si>
    <t xml:space="preserve">vol3_s003299_t03_bcdef04e3064</t>
  </si>
  <si>
    <t xml:space="preserve">Kappatthiti Labyrinth</t>
  </si>
  <si>
    <t xml:space="preserve">vol3_s003299_t04_024d770937c1</t>
  </si>
  <si>
    <t xml:space="preserve">INSPECTED_RITUAL_STRUCTURES</t>
  </si>
  <si>
    <t xml:space="preserve">vol3_s003300</t>
  </si>
  <si>
    <t xml:space="preserve">vol3_s003300_t01_86e95e72f803</t>
  </si>
  <si>
    <t xml:space="preserve">Solasa Labyrinth</t>
  </si>
  <si>
    <t xml:space="preserve">လပြည့်ကျော်ခုနစ်ရက်'နေ့ မြေနန်းတော်တောင်ဘက် သောဠသဝင်္ကပါကို ပြီးပြေအောင် လုပ်ဆောင်၍ မီးထွန်းလင်းစေပြီးလျှင် အသျှင်နှစ်ပါး ထွက်စံတော်မူသည်။</t>
  </si>
  <si>
    <t xml:space="preserve">On the seventh day of the waning moon, the Solasa labyrinth was constructed to the south of the Earthen Palace until completed, and after lamps were lit, the two Sovereigns went out to view them.</t>
  </si>
  <si>
    <t xml:space="preserve">vol3_s003300_t02_56a9c350b682</t>
  </si>
  <si>
    <t xml:space="preserve">INSPECTED_RITUAL_STRUCTURE</t>
  </si>
  <si>
    <t xml:space="preserve">vol3_s003314</t>
  </si>
  <si>
    <t xml:space="preserve">vol3_s003314_t01_d5fa915aade5</t>
  </si>
  <si>
    <t xml:space="preserve">princes and ministers</t>
  </si>
  <si>
    <t xml:space="preserve">SUPERVISED_RITUAL_WORSHIP_OF</t>
  </si>
  <si>
    <t xml:space="preserve">fifteen great nats</t>
  </si>
  <si>
    <t xml:space="preserve">ယင်းသည့်လဆန်း တစ်ဆယ့်ငါးရက် နေ့ နှစ်စဉ်ပူဇော်မြဲ နတ်ကြီးတစ်ဆယ့်ငါးပါးကို မင်းညီမင်းသား မှူးတော်မတ်တော်တို့ ကြီးကြပ်ပူဇော်ရသည်။</t>
  </si>
  <si>
    <t xml:space="preserve">On the fifteenth day of the waxing moon of that month, the princes and the ministers were to supervise the worship of the fifteen great nats, as is done annually.</t>
  </si>
  <si>
    <t xml:space="preserve">vol3_s003314_t02_36d8b254759a</t>
  </si>
  <si>
    <t xml:space="preserve">state</t>
  </si>
  <si>
    <t xml:space="preserve">PERFORMS_ANNUAL_RITUAL</t>
  </si>
  <si>
    <t xml:space="preserve">worship of fifteen great nats</t>
  </si>
  <si>
    <t xml:space="preserve">vol3_s003315</t>
  </si>
  <si>
    <t xml:space="preserve">vol3_s003315_t01_cade9d050a10</t>
  </si>
  <si>
    <t xml:space="preserve">two Majesties</t>
  </si>
  <si>
    <t xml:space="preserve">PERFORMED_MERIT_MAKING_RITUAL</t>
  </si>
  <si>
    <t xml:space="preserve">water-pouring ceremony</t>
  </si>
  <si>
    <t xml:space="preserve">ညနေဆည်းဆာအချိန်, နံနက်လေးချက်တီးအချိန်က ရက်လုပ်ပြီးပြေ ရှိသည့် မသိုးသင်္ကန်းတော် စုံရေ သုံးဆယ့်ကိုးနှင့်တကွ ပူဇော်တော်ပွဲ စသော အလှူတော် အဖွယ်အရာများကို အခမ်းအနား စီစဉ်ခင်းကျင်းပြီးလျှင် တောင်စမုတ်တော်သို့ သွင်းပြရာ အသျှင်နှစ်ပါး ထွက်တော်မူ၍ ရေစက်သွန်း တော်မူသည်။</t>
  </si>
  <si>
    <t xml:space="preserve">After the ceremony and offerings, such as the thirty-nine sets of 'matho' robes that had been woven and completed by dusk and by four o'clock in the morning, were arranged and presented at the southern portico, the two Majesties came out and poured the water of dedication.</t>
  </si>
  <si>
    <t xml:space="preserve">vol3_s003315_t02_a8716f5ce68b</t>
  </si>
  <si>
    <t xml:space="preserve">PRESENTED_OFFERINGS</t>
  </si>
  <si>
    <t xml:space="preserve">thirty-nine sets of matho robes</t>
  </si>
  <si>
    <t xml:space="preserve">vol3_s003315_t03_545beeb4acfc</t>
  </si>
  <si>
    <t xml:space="preserve">southern portico</t>
  </si>
  <si>
    <t xml:space="preserve">royal ritual</t>
  </si>
  <si>
    <t xml:space="preserve">vol3_s003316</t>
  </si>
  <si>
    <t xml:space="preserve">vol3_s003316_t01_eed515840536</t>
  </si>
  <si>
    <t xml:space="preserve">officials</t>
  </si>
  <si>
    <t xml:space="preserve">SUPERVISED_OFFERING_OF</t>
  </si>
  <si>
    <t xml:space="preserve">royal religious items</t>
  </si>
  <si>
    <t xml:space="preserve">ပြီးလျှင် စာပါ ဘုရားရှင်တို့အား အသီးအသီး အရာရှိတို့ ကြီးကြပ် သွားရောက်လှူဒါန်းရသည်။</t>
  </si>
  <si>
    <t xml:space="preserve">Afterwards, the respective officials were to supervise the taking and offering of the aforementioned items to the Buddhas.</t>
  </si>
  <si>
    <t xml:space="preserve">vol3_s003316_t02_37d94f1e05cb</t>
  </si>
  <si>
    <t xml:space="preserve">ACTED_AS_AGENTS_FOR</t>
  </si>
  <si>
    <t xml:space="preserve">royal merit-making</t>
  </si>
  <si>
    <t xml:space="preserve">vol3_s003317</t>
  </si>
  <si>
    <t xml:space="preserve">vol3_s003317_t01_a66f7eccd789</t>
  </si>
  <si>
    <t xml:space="preserve">PERFORMED_RITUAL_WORSHIP_OF</t>
  </si>
  <si>
    <t xml:space="preserve">Mahapinne</t>
  </si>
  <si>
    <t xml:space="preserve">၎င်းညဉ့် မဟာပိန္နဲပူဇော်ရန် တောင်စမုတ်သို့ အသျှင်နှစ်ပါး ထွက်စံတော်မူ၍ ဥဒေါင်းရထားနှင့် ဆွဲမြဲဆွဲငင် ပူဇော်ရာ ရွှေငွေကြဲတော်မူသည်။</t>
  </si>
  <si>
    <t xml:space="preserve">That night, for the worship of Mahapinne, the two Majesties came out to the southern portico, and while it was being pulled and worshipped with the peacock chariot as usual, they scattered gold and silver.</t>
  </si>
  <si>
    <t xml:space="preserve">vol3_s003317_t02_68fe08c24c86</t>
  </si>
  <si>
    <t xml:space="preserve">DISTRIBUTED_WEALTH_DURING_RITUAL</t>
  </si>
  <si>
    <t xml:space="preserve">gold and silver</t>
  </si>
  <si>
    <t xml:space="preserve">vol3_s003318</t>
  </si>
  <si>
    <t xml:space="preserve">vol3_s003318_t01_fb05a63fde64</t>
  </si>
  <si>
    <t xml:space="preserve">king</t>
  </si>
  <si>
    <t xml:space="preserve">ISSUED_FUNERAL_ORDER_TO</t>
  </si>
  <si>
    <t xml:space="preserve">ယင်းသည့်လပြည့်ကျော်တစ်ရက်-နေ့ လက်ပံစဉ်မိဖုရားဟောင်း သေလွန်သည်ကို မိဖုရားလတ်တို့ သေလွန်ရာ သင်္ဂြိုဟ်သည့်နည်း လွှတ်တော်က လုပ်ဆောင် သင်္ဂြိုဟ်စေ-အမိန့်တော်အရ ပျဉ်ကတ္တီပါမှော်ကြဲ, ထီးဖြူနှစ်စင်းနှင့် သင်္ချိုင်းတော်တွင် ချဆောင်မြေနှံ သင်္ဂြိုဟ်ရသည်။</t>
  </si>
  <si>
    <t xml:space="preserve">On the first day of the waning moon of that month, as the former Letpanzin Queen had died, according to the royal order to have the Hluttaw carry out the funeral in the same manner as the funeral of a middle queen, it was buried in the royal cemetery with velvet-covered coffins and two white umbrellas.</t>
  </si>
  <si>
    <t xml:space="preserve">vol3_s003318_t02_7c33eddc564d</t>
  </si>
  <si>
    <t xml:space="preserve">MANAGED_FUNERAL_RITES_FOR</t>
  </si>
  <si>
    <t xml:space="preserve">former Letpanzin Queen</t>
  </si>
  <si>
    <t xml:space="preserve">vol3_s003318_t03_4bb485e141b6</t>
  </si>
  <si>
    <t xml:space="preserve">RECEIVED_STATUS_MARKERS</t>
  </si>
  <si>
    <t xml:space="preserve">two white umbrellas</t>
  </si>
  <si>
    <t xml:space="preserve">vol3_s003318_t04_6c2ccfdfbd7d</t>
  </si>
  <si>
    <t xml:space="preserve">funeral rites</t>
  </si>
  <si>
    <t xml:space="preserve">REPLICATED_STATUS_OF</t>
  </si>
  <si>
    <t xml:space="preserve">middle queen</t>
  </si>
  <si>
    <t xml:space="preserve">vol3_s003319</t>
  </si>
  <si>
    <t xml:space="preserve">vol3_s003319_t01_266158dd2e0a</t>
  </si>
  <si>
    <t xml:space="preserve">DETAINED</t>
  </si>
  <si>
    <t xml:space="preserve">Kinwun Myedu governor</t>
  </si>
  <si>
    <t xml:space="preserve">ယင်းသည့် လပြည့်ကျော်နှစ်ရက်နေ့ ကင်းဝန် မြေဒူးမြို့စားကို အပြစ်အလျောက် တန်းတွင် ချုပ်ထားရသည်။</t>
  </si>
  <si>
    <t xml:space="preserve">On the second day of the waning moon of that month, the Kinwun Myedu governor was detained in the guardhouse according to his offense.</t>
  </si>
  <si>
    <t xml:space="preserve">vol3_s003319_t02_3a5cc5574410</t>
  </si>
  <si>
    <t xml:space="preserve">SUBJECTED_TO_PUNISHMENT_FOR</t>
  </si>
  <si>
    <t xml:space="preserve">offense</t>
  </si>
  <si>
    <t xml:space="preserve">vol3_s003320</t>
  </si>
  <si>
    <t xml:space="preserve">vol3_s003320_t01_b7f50f25f700</t>
  </si>
  <si>
    <t xml:space="preserve">PRESENTED_OFFERINGS_OF</t>
  </si>
  <si>
    <t xml:space="preserve">seventy Padetha trees</t>
  </si>
  <si>
    <t xml:space="preserve">ယင်းသည့် လပြည့်ကျော်လေးရက် နေ့ ရွှေမြို ့တော်အရှေ့ပြင် မဟာအတုလဝိဇယာရာမတိုက်အတွင်း ခမည်းတော် ပဉ္စမသင်္ဂါယနာတင် မင်းတရားကြီး စံတော်မူရင်း ရွှေနန်းဆောင်တော်ကို ပြောင်းရွှေ့ ဆောက်လုပ် တော်မူရာ ပြီးပြေသောကြောင့် ကျောင်းတော် ရေစက်သွန်း အခမ်းအနားတွင် လှူဒါန်းရန် ဘဝရှင် မင်းတရားကြီးဘုရား က တစ်ပင်လျှင် ငွေခုနစ်ဆယ်တန် ပဒေသာပင်ရေ ခုနစ်ဆယ်နှင့် မယ်တော် ဆင်ဖြူမရှင်ဘုရားက လှူဒါန်းသည့် လက်ပုံ အလှူတော်များကို တောင်စမုတ်တော်သို့ ပထမသွင်းပြရာ အသျှင်နှစ်ပါး ရေစက်သွန်းချပြီးလျှင် မြောက် စမုတ်တော်က မယ်တော်ဆင်ဖြူမရှင်ဘုရား ထပ်မံရေစက်သွန်းချတော်မူသည်။</t>
  </si>
  <si>
    <t xml:space="preserve">On the fourth day of the waning moon of that month, because the construction of the royal palace building, which was being moved from where the father, the Fifth Buddhist Council-convening King, had resided within the Maha Atula Wizayarama monastery compound outside the eastern part of the royal city, was completed, the King and the Queen Mother Sinbyumashin first presented the offerings to the southern portico—the King with seventy Padetha trees worth seventy silver coins each, and the Queen Mother with the 'letpon' offerings—and after the two Majesties poured the water of dedication, the Queen Mother Sinbyumashin poured the water of dedication again from the northern portico.</t>
  </si>
  <si>
    <t xml:space="preserve">vol3_s003320_t02_e3bfb9e532d9</t>
  </si>
  <si>
    <t xml:space="preserve">Queen Mother Sinbyumashin</t>
  </si>
  <si>
    <t xml:space="preserve">letpon offerings</t>
  </si>
  <si>
    <t xml:space="preserve">vol3_s003320_t03_93552a403385</t>
  </si>
  <si>
    <t xml:space="preserve">King and Queen Mother</t>
  </si>
  <si>
    <t xml:space="preserve">PERFORMED_WATER_POURING_RITUAL</t>
  </si>
  <si>
    <t xml:space="preserve">royal palace monastery consecration</t>
  </si>
  <si>
    <t xml:space="preserve">vol3_s003321</t>
  </si>
  <si>
    <t xml:space="preserve">vol3_s003321_t01_2b26c41a11ff</t>
  </si>
  <si>
    <t xml:space="preserve">four regiments of the state</t>
  </si>
  <si>
    <t xml:space="preserve">royal elephant</t>
  </si>
  <si>
    <t xml:space="preserve">၎င်းနေ့ ပြည်လေးသင်း အောက်မား တော်များနှင့် အောက်ငင်ခဲ့သည့် ဆင်တော်ကို ကျုံးသွင်း၍ ကျော့ဖမ်းရသည်။</t>
  </si>
  <si>
    <t xml:space="preserve">On that day, the royal elephant that had been pulled down by the four regiments of the state was driven into the moat and captured.</t>
  </si>
  <si>
    <t xml:space="preserve">vol3_s003322</t>
  </si>
  <si>
    <t xml:space="preserve">vol3_s003322_t01_65f49d2bc03b</t>
  </si>
  <si>
    <t xml:space="preserve">princes, ministers, and royal relatives</t>
  </si>
  <si>
    <t xml:space="preserve">SUPERVISED_RITUAL_CONSECRATION_OF</t>
  </si>
  <si>
    <t xml:space="preserve">royal palace monastery</t>
  </si>
  <si>
    <t xml:space="preserve">ယင်းသည့်လပြည့်ကျော် ငါးရက်နေ့ မဟာအတုလဝိဇယာရာမတိုက်အတွင်း ရွှေနန်းတော်ကျောင်းကို မင်းညီမင်းသား မှူးတော်မတ်တော် ဆွေတော်မျိုးတော် ကတော်မယားတို့ ကြီးကြပ် ရေစက်သွန်းချရသည်။</t>
  </si>
  <si>
    <t xml:space="preserve">On the fifth day of the waning moon of that month, the princes, ministers, royal relatives, and their wives were to supervise the pouring of the water of dedication for the royal palace monastery within the Maha Atula Wizayarama compound.</t>
  </si>
  <si>
    <t xml:space="preserve">vol3_s003323</t>
  </si>
  <si>
    <t xml:space="preserve">vol3_s003323_t01_46fd3c8520fb</t>
  </si>
  <si>
    <t xml:space="preserve">seventy titled monks</t>
  </si>
  <si>
    <t xml:space="preserve">တံဆိပ် တော်ရ ဆရာတော် ခုနစ်ဆယ်ကို တစ်ပါးလျှင် အဖိုးငွေ သုံးရာတန် လှူဒါန်းရသည်။</t>
  </si>
  <si>
    <t xml:space="preserve">Seventy monks who held royal titles were to be given offerings worth three hundred silver coins each.</t>
  </si>
  <si>
    <t xml:space="preserve">vol3_s003323_t02_426190aa5b71</t>
  </si>
  <si>
    <t xml:space="preserve">titled monks</t>
  </si>
  <si>
    <t xml:space="preserve">RECEIVED_OFFERINGS_FROM</t>
  </si>
  <si>
    <t xml:space="preserve">vol3_s003324</t>
  </si>
  <si>
    <t xml:space="preserve">vol3_s003324_t01_3c4c7d6c43e2</t>
  </si>
  <si>
    <t xml:space="preserve">Pintale regiment</t>
  </si>
  <si>
    <t xml:space="preserve">DEPLOYED_TO</t>
  </si>
  <si>
    <t xml:space="preserve">Shan states</t>
  </si>
  <si>
    <t xml:space="preserve">၎င်းလပြည့်ကျော် ခြောက်ရက်နေ့ ပင်းတလဲသင်းဗိုလ် မောင်သိုက်ကြီးနှင့် ပင်းတလဲသင်းတပ်, ပင်းသုံးမြို့ သင်းဗိုလ် ရွှေဓားစွဲ ဗိုလ်ထွန်းမင်းနှင့် ပင်းသုံးမြို့ သင်းတပ်, ၎င်းနှစ်တပ် ရှမ်းပြည်နယ်သို့ ချီတက်ရသည်။</t>
  </si>
  <si>
    <t xml:space="preserve">On the sixth day of the waning moon of that month, the Pintale regiment commander Maung Thaik Gyi and the Pintale regiment, and the Pintale-three-towns regiment commander Shwedaswe Bo Htun Min and the Pintale-three-towns regiment, these two regiments marched to the Shan states.</t>
  </si>
  <si>
    <t xml:space="preserve">vol3_s003324_t02_c260d2fbae0b</t>
  </si>
  <si>
    <t xml:space="preserve">Pintale-three-towns regiment</t>
  </si>
  <si>
    <t xml:space="preserve">vol3_s003325</t>
  </si>
  <si>
    <t xml:space="preserve">vol3_s003325_t01_d12c556970b6</t>
  </si>
  <si>
    <t xml:space="preserve">Mangyikyap village head</t>
  </si>
  <si>
    <t xml:space="preserve">ယင်းသည့်လပြည့်ကျော်ခုနစ်ရက်?နေ့ နံနက် ညီလာခံတွင် မန်းကျည်းကျပ်ရွာစားကို ရေကြည်ဝန်အရာက ရုပ်သိမ်းတော်မူသည်။</t>
  </si>
  <si>
    <t xml:space="preserve">On the morning of the seventh day of the waning moon of that month, at the royal audience, the Mangyikyap village head was removed from the position of Yekyi Wun.</t>
  </si>
  <si>
    <t xml:space="preserve">vol3_s003325_t02_d4587bc31348</t>
  </si>
  <si>
    <t xml:space="preserve">HELD_OFFICE_OF</t>
  </si>
  <si>
    <t xml:space="preserve">Yekyi Wun</t>
  </si>
  <si>
    <t xml:space="preserve">vol3_s003326</t>
  </si>
  <si>
    <t xml:space="preserve">vol3_s003326_t01_8dea320ecd97</t>
  </si>
  <si>
    <t xml:space="preserve">APPOINTED_TO_OFFICE</t>
  </si>
  <si>
    <t xml:space="preserve">Talok town governor</t>
  </si>
  <si>
    <t xml:space="preserve">ယင်းသည့် လပြည့်ကျော် ဆယ်ရက်နေ့ တလုပ်မြို့ ဝန် သင်းသေနတ်ဗိုလ်ကို အောင်ပင် လယ် လမိုင်းဝန်အရာ ထပ်၍ ခန့်တော်မူသည်။</t>
  </si>
  <si>
    <t xml:space="preserve">On the tenth day of the waning moon of that month, the Talok town governor and gun regiment commander was additionally appointed to the position of Aungpinle Lamain Wun.</t>
  </si>
  <si>
    <t xml:space="preserve">vol3_s003326_t02_df2557f71ff9</t>
  </si>
  <si>
    <t xml:space="preserve">RECEIVED_OFFICE_OF</t>
  </si>
  <si>
    <t xml:space="preserve">Aungpinle Lamain Wun</t>
  </si>
  <si>
    <t xml:space="preserve">vol3_s003327</t>
  </si>
  <si>
    <t xml:space="preserve">vol3_s003327_t01_af282d060e89</t>
  </si>
  <si>
    <t xml:space="preserve">ISSUED_MANDATE_TO</t>
  </si>
  <si>
    <t xml:space="preserve">Mong Nai Sawbwa</t>
  </si>
  <si>
    <t xml:space="preserve">ယင်းသည့် တန်ဆောင်မုန်းလပြည့်ကျော် တစ်ဆယ့်တစ်ရက်မိ နေ့ မိုးနဲစော်ဘွားကို ရွှေဖဝါးတော်အောက် ရောက် စေလွှတ်ရမည်၊ မိုးနဲတပ် စစ်ကဲထံ လွှတ်တော်က စာပေးအပ် ဆင့်ဆိုရာ မိုးနဲစော်ဘွားက ရက်ပေါင်း လေးဆယ်အတွင်း ဆင်းသွားပါမည်၊ စစ်ကဲကြီးထံ ခံဝန်ရပ်နားပြီးလျှင် မလာမရောက် နေ့ရက်ကြန့်ကြာ ရှိသည်နှင့် မိုးနဲစော်ဘွားကို သေရှင်မဆို ရမိအောင် ဖမ်းဆီး၍ ပို့အပ်လာရမည်- လွှတ်တော်က ထပ်မံဆင့်ဆိုသည်ကို မိုးနဲစော်ဘွား ကြားသိသဖြင့် အစ်မ-မိုးနဲမိဖုရားကိုလည်း ထွက်ပြေးသည့်အပြစ်နှင့် ထောင်တွင်ထားရှိသည်၊ ငါ့ကိုလည်း ခေါ်တော် မူသည်ကို နေ့လကြန့်ကြာ မသွားမရောက်သည့်အပြစ် ဖမ်းဆီးသတ်ဖြတ်တော့မည်၊ ရွှေဖဝါးတော်အောက်ရှိ အစ်မ မိဖုရားကိုလည်း သတ်ဖြတ်တော့မည် ထင်ယောင်ထင်မှား ကြံစည်ပြီးလျှင် မိုးနဲမြို့ စော်ဘွားသည် မိုးနဲမြို့ က လက်နက် ကိုင်လူ, မိုင်းနောင်မြို့ က လက်နက်ကိုင်လူ နှစ်ထောင်ကျော်, သုံးထောင်တို့နှင့် ရုတ်တရက် စုရုံးတိုက်ခိုက် ဝန်းဝိုင်း ဖမ်းဆီးပြီးလျှင် မိုးနဲမြို့ရှိ တပ်ဗိုလ် အရာထမ်း အမှုထမ်း လူတစ်ထောင်ကျော်တို့အနက် မိုးနဲတပ်စစ်ကဲ အလုံမြို့ဝန်, နန်းဦးမင်္ဂလာမြင်းဝန်, ကင်းတားသေနတ်ဗိုလ်, မြင်းစာရေး, သူရဲစာရေး, တပ်မှူးသွေးသောက်ကြီးတို့နှင့် အမှုထမ်းလူ လေးရာကျော်တို့ကို သတ်ဖြတ်လေသည်တွင် ဗိုလ်ချုပ်ကွပ်ရွာဝန်ထောက်လည်း မရပ်မခံနိုင်ဖြစ်၍ ရုံးမိသမျှ တပ်ပါ ရဲမက်အမှုထမ်းတို့နှင့် မောက်မယ်မြို့၊ ထိုကတစ်ဖန် နောင်မွန်မြို့၊ ထိုကတစ်ဖန် ညောင်ရွှေမြို့ရောက် ဆုတ်ခွာရလေ၏။</t>
  </si>
  <si>
    <t xml:space="preserve">On the eleventh day of the waning moon of Tazaungmon of that month, the Mong Nai Sawbwa was to be sent to arrive under the royal feet; when the Hluttaw gave a letter and instructed the Mong Nai regiment's military commander, the Mong Nai Sawbwa said he would go down within forty days, but after stopping at the military commander's place, because he did not come and there was a delay of days, the Hluttaw instructed again that the Mong Nai Sawbwa must be arrested and sent, dead or alive; the Mong Nai Sawbwa heard this, and thinking that his sister, the Mong Nai Queen, was kept in prison for the offense of running away, and that he would be arrested and killed for the offense of not going and delaying the days when he was called, and that his sister the Queen under the royal feet would also be killed, he plotted with delusions, and the Mong Nai Sawbwa suddenly gathered more than two thousand to three thousand armed men from Mong Nai town and Mong Nawng town, attacked, surrounded, and arrested them, and among the more than one thousand regiment commanders, officials, and service personnel in Mong Nai town, he killed the Mong Nai regiment military commander, the Alon town governor, the Nan-U Mingala cavalry commander, the Kinta gun commander, the cavalry clerk, the soldier clerk, the regiment commander Thwe-thauk-gyi, and more than four hundred service personnel, and the general, the Kwun village deputy governor, being unable to stand and resist, retreated with the remaining soldiers and service personnel he could gather to Mawkmai town, then from there to Mong Pawn town, and from there to Nyaungshwe town.</t>
  </si>
  <si>
    <t xml:space="preserve">vol3_s003327_t02_3396e58a051a</t>
  </si>
  <si>
    <t xml:space="preserve">DEFIED_ROYAL_ORDER_BY</t>
  </si>
  <si>
    <t xml:space="preserve">delaying appearance</t>
  </si>
  <si>
    <t xml:space="preserve">vol3_s003327_t03_1b2085ffcaa2</t>
  </si>
  <si>
    <t xml:space="preserve">DETAINED_AS_LEVERAGE</t>
  </si>
  <si>
    <t xml:space="preserve">Mong Nai Queen</t>
  </si>
  <si>
    <t xml:space="preserve">The queen's imprisonment is supported, but 'AS_LEVERAGE' asserts a state motive not supplied by the passage. The stated offense is flight; the sawbwa fears for her, which is not itself proof she is held as bargaining leverage.</t>
  </si>
  <si>
    <t xml:space="preserve">State | IMPRISONED_FOR_FLIGHT | Mong Nai queen</t>
  </si>
  <si>
    <t xml:space="preserve">vol3_s003327_t04_1d1e4f02a09d</t>
  </si>
  <si>
    <t xml:space="preserve">MOBILIZED_MILITARY_FORCE_OF</t>
  </si>
  <si>
    <t xml:space="preserve">two to three thousand armed men</t>
  </si>
  <si>
    <t xml:space="preserve">vol3_s003327_t05_d6c26eff5803</t>
  </si>
  <si>
    <t xml:space="preserve">KILLED</t>
  </si>
  <si>
    <t xml:space="preserve">four hundred royal service personnel</t>
  </si>
  <si>
    <t xml:space="preserve">vol3_s003327_t06_f068c829aa90</t>
  </si>
  <si>
    <t xml:space="preserve">royal general</t>
  </si>
  <si>
    <t xml:space="preserve">Mong Nai town</t>
  </si>
  <si>
    <t xml:space="preserve">vol3_s003358</t>
  </si>
  <si>
    <t xml:space="preserve">vol3_s003358_t01_443b406a382d</t>
  </si>
  <si>
    <t xml:space="preserve">Elderly_Ministers</t>
  </si>
  <si>
    <t xml:space="preserve">The king excuses elderly ministers from physical participation because of age and cold weather; 'amnesty' misleadingly suggests pardon for a punishable offense. The exemption relationship itself is true.</t>
  </si>
  <si>
    <t xml:space="preserve">King | EXEMPTED_FROM_LANCE_TRIAL | elderly ministers</t>
  </si>
  <si>
    <t xml:space="preserve">ဝန့်ရှင်တော် သေနတ်ဝန် လယ်ကိုင်းမြို့စားမင်းကြီး, ဝန့်ရှင်တော် တောင်ခွင်မြို့စားမင်းကြီး, ဝန့်ရှင်တော် တိုင်တားမြို့စား မင်းကြီးတို့မှာ သက်ရွယ်ကြီးရင့် ချမ်းအေးသည့် အခါရာသီဖြစ်၍ စက်သွင်းကို လွတ်ငြိမ်းစေ- အမိန့်တော်အတိုင်း မျဉ်းမောက်တိုဆင်၍ မင်းညီမင်းသား မှူးတော်မတ်တော်တို့ တဲက ရပ်နေရသည်။</t>
  </si>
  <si>
    <t xml:space="preserve">The Royal Minister of Musketeers, the Lord of Lekaing, the Royal Minister, the Lord of Taungkhwin, and the Royal Minister, the Lord of Taingta, because they were advanced in age and it was a cold season, were exempted from the spear-throwing exercise; according to the royal order, they wore short caps and stood at the pavilion with the princes and high-ranking officials.</t>
  </si>
  <si>
    <t xml:space="preserve">vol3_s003358_t02_dd5ec51a24b6</t>
  </si>
  <si>
    <t xml:space="preserve">RETAINED_STATUS_WITHOUT_PHYSICAL_PARTICIPATION</t>
  </si>
  <si>
    <t xml:space="preserve">Equestrian_Festival</t>
  </si>
  <si>
    <t xml:space="preserve">vol3_s003359</t>
  </si>
  <si>
    <t xml:space="preserve">vol3_s003359_t01_610445ff596e</t>
  </si>
  <si>
    <t xml:space="preserve">DEMONSTRATED_MARTIAL_PROWESS</t>
  </si>
  <si>
    <t xml:space="preserve">ဦးစွာ ဆွေတော်အုပ်မင်းသားကြီး သုသီရိမဟာဓမ္မရာဇာ၊ ဟင်္ဂမော်မြို့စားမင်းသားကြီး သီရိသုမဟာဓမ္မရာဇာ၊ မင်းသားလတ် လှိုင်းတက်မင်းသား’သား မင်းရဲမင်းလှစည်သူ၊ မက္ခရာမင်းသား‘သား နေရာတော်နေ မြင်းမှူးမင်းသား မောင်ယုံဖြူ ၊ လှိုင်းတက်မင်းသား-သား နေရာတော်နေ မြင်းမှူးမင်းသား မင်းရဲမင်းထင်သီဟသူတို့ လှံထိုး၍ ပြကြသည်။</t>
  </si>
  <si>
    <t xml:space="preserve">First, the Senior Prince of the Royal Relatives, Thu Thiri Maha Dhamma Raja, the Senior Prince, the Lord of Hingamaw, Thiri Thu Maha Dhamma Raja, the middle prince, the son of the Hlaingtet Prince, Minye Min Hla Sithu, the son of the Mekkhara Prince, the resident Cavalry Prince Maung Yon Phyu, and the son of the Hlaingtet Prince, the resident Cavalry Prince Minye Min Htin Thiha Thu, performed the spear-throwing demonstration.</t>
  </si>
  <si>
    <t xml:space="preserve">vol3_s003359_t02_d16a92c7b5cb</t>
  </si>
  <si>
    <t xml:space="preserve">Royal_Lineage</t>
  </si>
  <si>
    <t xml:space="preserve">INTEGRATED_INTO</t>
  </si>
  <si>
    <t xml:space="preserve">Martial_Culture</t>
  </si>
  <si>
    <t xml:space="preserve">vol3_s003360</t>
  </si>
  <si>
    <t xml:space="preserve">vol3_s003360_t01_9663db3177c7</t>
  </si>
  <si>
    <t xml:space="preserve">Administrative_Elite</t>
  </si>
  <si>
    <t xml:space="preserve">ပြီးလျှင် အတွင်းဝန် လှေသင်းဝန် စလေမြို့စား, အတွင်းဝန် ပေါက်မြိုင်မြို့ စား လက်ယာဝင်းမှူး မြို့ဝန် ပင်လယ်မြို့ စား, မြို့ဝန် ကောလင်းမြို့ စား, ဝန်ထောက် ဝက်မစွတ်မြို့ စား, ဝန်ထောက် မိုးထားမြို့ စား, ဝန်ထောက် ပင်းတလဲဝန်, ဝန်ထောက် မြေတိုင်းအမတ်, ဝန်ထောက် မလွန်မြို့ ဆိုင်ရာ အသည်ဝန်တို့ စက်သွင်းကြသည်။</t>
  </si>
  <si>
    <t xml:space="preserve">After that, the Interior Minister, the Minister of Boats, the Lord of Salin, the Interior Minister, the Lord of Paukmaing, the Commander of the Right Wing, the Mayor, the Lord of Pinle, the Mayor, the Lord of Kawlin, the Assistant Minister, the Lord of Wetmasut, the Assistant Minister, the Lord of Motha, the Assistant Minister, the Minister of Pintale, the Assistant Minister, the Land Survey Minister, and the Assistant Minister, the Minister of Athi for Malun, performed the spear-throwing exercise.</t>
  </si>
  <si>
    <t xml:space="preserve">vol3_s003360_t02_abab0d38141a</t>
  </si>
  <si>
    <t xml:space="preserve">vol3_s003361</t>
  </si>
  <si>
    <t xml:space="preserve">vol3_s003361_t01_9464cbeed5aa</t>
  </si>
  <si>
    <t xml:space="preserve">Spear_Throwing_Personnel</t>
  </si>
  <si>
    <t xml:space="preserve">DEMONSTRATED_SKILL_AT</t>
  </si>
  <si>
    <t xml:space="preserve">Standardized_Targets</t>
  </si>
  <si>
    <t xml:space="preserve">ပြီးလျှင် ခြေချင်အမြင့်သံတောင်ခြောက်ဆယ်, ငါးဆယ်, လေးဆယ်စက်ကို လှံလျင်ထိုးလူတို့က ထိုးပြရသည်။</t>
  </si>
  <si>
    <t xml:space="preserve">After that, the spear-throwing personnel had to demonstrate throwing at the targets set at heights of sixty, fifty, and forty royal cubits from the ground.</t>
  </si>
  <si>
    <t xml:space="preserve">vol3_s003362</t>
  </si>
  <si>
    <t xml:space="preserve">vol3_s003362_t01_f26c46d8dc37</t>
  </si>
  <si>
    <t xml:space="preserve">Manipuri_Cavalry</t>
  </si>
  <si>
    <t xml:space="preserve">DEMONSTRATED_MARTIAL_SKILLS</t>
  </si>
  <si>
    <t xml:space="preserve">ပြီးလျှင် ကသည်းမြင်းစီး, အက္ကပတ်မြင်းစီးတို့ ရှောက်သီး, ငှက်ပျော အထိုးအခုတ် ပြကြသည်။</t>
  </si>
  <si>
    <t xml:space="preserve">After that, the Manipuri cavalry and the Akkapat cavalry demonstrated the piercing and cutting of pomelos and bananas.</t>
  </si>
  <si>
    <t xml:space="preserve">vol3_s003362_t02_a26acc22b929</t>
  </si>
  <si>
    <t xml:space="preserve">Akkapat_Cavalry</t>
  </si>
  <si>
    <t xml:space="preserve">vol3_s003363</t>
  </si>
  <si>
    <t xml:space="preserve">vol3_s003363_t01_bfb09af0d2d6</t>
  </si>
  <si>
    <t xml:space="preserve">target hitting</t>
  </si>
  <si>
    <t xml:space="preserve">၎င်းနေ့ စက်စွဲသူတို့မှာ အတွင်းဝန် လှေသင်းဝန် စလေမြို့ စား တစ်ချက်၊ မလွန်ဝန်ထောက် တစ်ချက်၊ တောင်ဒဝယ်ဗိုလ် ကျောက်ဆောက် မြို့စား တစ်ချက်၊ အမြောက်ဝန် မဘဲမြို့စားတစ်ချက်၊ မောင်လတ် တစ်ချက်၊ လက်သုံးတော်ကြီးကိုင် အိမ်ကြီးမောင် လေးချက်၊ မင်းပြင်မြို့စား နှစ်ချက်၊ လက်ဝဲကြောင်းဗိုလ်ဟောင်း တစ်ချက်၊ လက်သုံးတော်ကလေး မောင်ဘိုးစိန် တစ်ချက် စသည်ဖြင့် အသီးအသီး စက်စွဲကြသည်။</t>
  </si>
  <si>
    <t xml:space="preserve">On that day, those who hit the targets were: the Interior Minister, the Minister of Boats, the Lord of Salin, one hit; the Assistant Minister of Malun, one hit; the Commander of South Dawei, the Lord of Kyaukse, one hit; the Minister of Artillery, the Lord of Mabe, one hit; Maung Lat, one hit; the bearer of the Great Royal Weapons, Ainggyi Maung, four hits; the Lord of Minpyin, two hits; the former Commander of the Left Column, one hit; and the bearer of the Small Royal Weapons, Maung Po Sein, one hit; and so on, they each hit the targets.</t>
  </si>
  <si>
    <t xml:space="preserve">vol3_s003363_t02_318f6bc35f2e</t>
  </si>
  <si>
    <t xml:space="preserve">Minister of Boats</t>
  </si>
  <si>
    <t xml:space="preserve">vol3_s003363_t03_ded1de8d63ec</t>
  </si>
  <si>
    <t xml:space="preserve">Lord of Salin</t>
  </si>
  <si>
    <t xml:space="preserve">The named appanage is Sale (စလေ), not Salin (စလင်း). These are different place identities, not just a spelling variant.</t>
  </si>
  <si>
    <t xml:space="preserve">Lord of Sale | PERFORMED_RITUAL_SERVICE | target hitting</t>
  </si>
  <si>
    <t xml:space="preserve">vol3_s003363_t04_c905d6af23d1</t>
  </si>
  <si>
    <t xml:space="preserve">Assistant Minister of Malun</t>
  </si>
  <si>
    <t xml:space="preserve">vol3_s003363_t05_4c181b1b3517</t>
  </si>
  <si>
    <t xml:space="preserve">Commander of South Dawei</t>
  </si>
  <si>
    <t xml:space="preserve">vol3_s003363_t06_e22e23363f0b</t>
  </si>
  <si>
    <t xml:space="preserve">Lord of Kyaukse</t>
  </si>
  <si>
    <t xml:space="preserve">The text names Kyauk Sauk (ကျောက်ဆောက်), not Kyaukse (ကျောက်ဆည်). The performance is true but attributed to the wrong territorial office.</t>
  </si>
  <si>
    <t xml:space="preserve">Lord of Kyauk Sauk | PERFORMED_RITUAL_SERVICE | target hitting</t>
  </si>
  <si>
    <t xml:space="preserve">vol3_s003363_t07_0234445e4889</t>
  </si>
  <si>
    <t xml:space="preserve">Minister of Artillery</t>
  </si>
  <si>
    <t xml:space="preserve">vol3_s003363_t08_21a0562e1aee</t>
  </si>
  <si>
    <t xml:space="preserve">Lord of Mabe</t>
  </si>
  <si>
    <t xml:space="preserve">vol3_s003363_t09_fdd205f88553</t>
  </si>
  <si>
    <t xml:space="preserve">Maung Lat</t>
  </si>
  <si>
    <t xml:space="preserve">vol3_s003363_t10_72d89c248ffc</t>
  </si>
  <si>
    <t xml:space="preserve">Bearer of Great Royal Weapons</t>
  </si>
  <si>
    <t xml:space="preserve">vol3_s003363_t11_a20356b74bf4</t>
  </si>
  <si>
    <t xml:space="preserve">Lord of Minpyin</t>
  </si>
  <si>
    <t xml:space="preserve">vol3_s003363_t12_ceae46e9be33</t>
  </si>
  <si>
    <t xml:space="preserve">Former Commander of Left Column</t>
  </si>
  <si>
    <t xml:space="preserve">vol3_s003363_t13_585ef9eea394</t>
  </si>
  <si>
    <t xml:space="preserve">Bearer of Small Royal Weapons</t>
  </si>
  <si>
    <t xml:space="preserve">vol3_s003679</t>
  </si>
  <si>
    <t xml:space="preserve">vol3_s003679_t01_bdee170ef6dd</t>
  </si>
  <si>
    <t xml:space="preserve">AUTHORIZED_REPRESENTATIVE</t>
  </si>
  <si>
    <t xml:space="preserve">Myothit_Myosa_Minyi_Minla_Maha_Zeya_Thinkaya</t>
  </si>
  <si>
    <t xml:space="preserve">အထက် ပြင်သစ်မင်းနေ ပါရစ်မြို့တော်မှာ လက်မှတ်ရေးထိုးကြပြီးဖြစ်သော ပထမစာချုပ်တွင် ကြွင်းကျန် သည့် အချက်များကို ပြည့်စုံအောင် ထပ်ဖြည့်ချုပ်ဆိုရန် စာချုပ်ကို သဘောတူညီကြသည့်အတိုင်း ဘုန်းတော် အလွန်ကြီးမြတ်တော်မူသော မြန်မာမင်းမြတ်က အရေးလွှဲအပ်သူ မင်းတိုင်ပင်အသင်းဝင်, သံကြီး, အတွင်းဝန် မြို့သစ်မြို့စား မင်းကြီးမင်းလှမဟာဇေယသင်္ကြနှင့် ပြင်သစ်သမ္မတမင်းက အရေးလွှဲအပ်သူ ပြည်သူ ကိုယ်စားလှယ် အသင်းဝင် ဝန်ကြီးချုပ် နိုင်ငံခြားဝန်ကြီး “မစ်ရှိုဂျူလဖေရီ” တို့ အောက်ပါ အချက်များကို သဘောတူ ချုပ်ဆိုကြသည်။</t>
  </si>
  <si>
    <t xml:space="preserve">As agreed upon to supplement and complete the remaining points of the first treaty already signed in the French capital of Paris, the most glorious Burmese King has authorized his representative, the Privy Councilor, High Ambassador, Minister, and Governor of Myothit, Mingyi Min Hla Maha Zeya Thinkaya, and the French President has authorized his representative, the Member of the Chamber of Deputies, Prime Minister and Minister of Foreign Affairs, Jules Ferry, to agree upon and sign the following points.</t>
  </si>
  <si>
    <t xml:space="preserve">vol3_s003679_t02_bbcf02c344a2</t>
  </si>
  <si>
    <t xml:space="preserve">French_President</t>
  </si>
  <si>
    <t xml:space="preserve">Jules_Ferry</t>
  </si>
  <si>
    <t xml:space="preserve">vol3_s003679_t03_d3d91dfceef8</t>
  </si>
  <si>
    <t xml:space="preserve">Privy_Councilor_High_Ambassador_Minister_Governor_of_Myothit</t>
  </si>
  <si>
    <t xml:space="preserve">vol3_s003680</t>
  </si>
  <si>
    <t xml:space="preserve">vol3_s003680_t01_a549f1c2f35c</t>
  </si>
  <si>
    <t xml:space="preserve">Burmese_Monarchy</t>
  </si>
  <si>
    <t xml:space="preserve">ESTABLISHED_ALLIANCE_WITH</t>
  </si>
  <si>
    <t xml:space="preserve">French_Republic</t>
  </si>
  <si>
    <t xml:space="preserve">ဒုတိယစာချုပ်လက်ခံ... (၁) မြန်မာနိုင်ငံနှင့် သမ္မတမင်းအုပ်စိုးသည့် ပြင်သစ်နိုင်ငံ, ပြင်သစ်ပိုင်ဆိုင်အုပ်စိုးသည့် ခရိုင်မြို့ရွာ ခိုက်ရန်မဖြစ် စစ်မက်မပြု အဓွန့်ရှည်စွာ မဟာမိတ် ဖြစ်စေရမည်။</t>
  </si>
  <si>
    <t xml:space="preserve">Acceptance of the second treaty... (1) There shall be a long-lasting alliance between the Union of Burma and the French Republic governed by the President, and the districts, towns, and villages owned and governed by the French, ensuring no conflict or warfare occurs.</t>
  </si>
  <si>
    <t xml:space="preserve">vol3_s003681</t>
  </si>
  <si>
    <t xml:space="preserve">vol3_s003681_t01_c7a56584b9b0</t>
  </si>
  <si>
    <t xml:space="preserve">GRANTED_TRADE_ACCESS_TO</t>
  </si>
  <si>
    <t xml:space="preserve">French_subjects</t>
  </si>
  <si>
    <t xml:space="preserve">နှစ်နိုင်ငံအတွင်း အရပ်ရပ် ကုန်အရောင်းအဝယ် ပြုလုပ်ခြင်း, ကုန်တင်သင်္ဘော ဝင်ထွက်သွားလာခြင်းများကို မငြိုမငြင် ဝင်ထွက်သွားလာ ကူးသန်းရောင်းဝယ်နိုင်အောင် နှစ်ဦး နှစ်ဖက်က အပြန်အလှန် အခွင့်ပေးရမည်။</t>
  </si>
  <si>
    <t xml:space="preserve">Both sides shall mutually grant permission to facilitate the unhindered entry, exit, and trade of cargo ships and all types of commercial activities within the two countries.</t>
  </si>
  <si>
    <t xml:space="preserve">vol3_s003681_t02_1431b4092c70</t>
  </si>
  <si>
    <t xml:space="preserve">Burmese_subjects</t>
  </si>
  <si>
    <t xml:space="preserve">vol3_s003682</t>
  </si>
  <si>
    <t xml:space="preserve">vol3_s003682_t01_49d8c89a0588</t>
  </si>
  <si>
    <t xml:space="preserve">IMPOSED_TAXATION_ON</t>
  </si>
  <si>
    <t xml:space="preserve">မြန်မာနိုင်ငံနှင့် ပြင်သစ်နိုင်ငံအတွင်း တစ်နိုင်ငံမှ တစ်နိုင်ငံသို့ လာရောက် ကုန်အရောင်းအဝယ်ပြုလုပ် အရပ်ရပ် မြို့ ရွာဌာန သင်္ဘောဆိပ်များတွင် ခေတ္တဖြစ်စေ အမြဲဖြစ်စေ နေထိုင်သူတို့မှာ နေထိုင်သည့်နိုင်ငံအတွင်း ကုန်အရောင်းအဝယ် အလုပ်အဆောင်များနှင့် စပ်၍ အရပ်ရပ် ထမ်းဆောင် ရန် အကောက်တော် အခွန်များကို နိုင်ငံရင်းသားတို့ ထမ်းဆောင်မြဲ ထမ်းဆောင်လတ္တံ့ သော အကောက်တော်ခွန်များ အတိုင်းသာ ထမ်းဆောင်စေရမည်။</t>
  </si>
  <si>
    <t xml:space="preserve">Those who come from one country to the other within the Union of Burma and the French Republic to engage in trade and reside temporarily or permanently in various towns, villages, or ports shall be required to pay only the same customs duties and taxes as those paid by the citizens of the country in which they reside, in relation to their trade and business activities.</t>
  </si>
  <si>
    <t xml:space="preserve">vol3_s003682_t02_92d21a84ac6d</t>
  </si>
  <si>
    <t xml:space="preserve">SUBJECT_TO_TAXATION_REGIME_OF</t>
  </si>
  <si>
    <t xml:space="preserve">vol3_s003683</t>
  </si>
  <si>
    <t xml:space="preserve">vol3_s003683_t01_ad62871000c0</t>
  </si>
  <si>
    <t xml:space="preserve">GRANTED_COMMERCIAL_RIGHTS_TO</t>
  </si>
  <si>
    <t xml:space="preserve">၎င်းကျွန်တော်မျိုးတို့ ကုန်အရောင်းအဝယ် ပြုလုပ်ခြင်း၊ အလုပ်ရုံ, စက်ရုံ, တိုက်အိမ်, ကုန်တိုက်, ကုန်ဆိုင် ဆောက်လုပ်, အရပ်ရပ် စက်ကိရိယာ အသုံးအဆောင် လုပ်ဆောင်ခြင်း၊ ထူးဆန်း ကောင်းမွန်သော စက်ကိရိယာ အသုံးအဆောင်များကို အဦးအစ ကြံစည်သူတို့ကို တံဆိပ်ပေးခြင်း၊ အလုပ်ရုံ, စက်ရုံများမှစ၍ အရပ်ရပ် ကုန်အသုံးအဆောင်များတွင် တံဆိပ်မှတ်သားခြင်း၊ ကုန်တင်သင်္ဘော ဝင်ထွက်သွားလာ ခြင်းများမှာ ၎င်းစာချုပ်တွင် မြစ်သည့် အချက်များမှတစ်ပါး နိုင်ငံရင်းသားတို့ကို ပေးပြီး ပေးလတ္တံ့သော အခွင့်များ အတိုင်း အညီအညွတ် ခံစားကြစေရမည်။</t>
  </si>
  <si>
    <t xml:space="preserve">Regarding the activities of these subjects, such as engaging in trade, constructing workshops, factories, residential buildings, warehouses, and shops, utilizing various machinery and equipment, granting patents to those who first conceive of novel and excellent machinery and equipment, marking trademarks on various goods starting from those in workshops and factories, and the entry and exit of cargo ships, they shall be allowed to enjoy the same rights as those granted or to be granted to the citizens of the country, except for the points prohibited in this treaty.</t>
  </si>
  <si>
    <t xml:space="preserve">vol3_s003683_t02_21d883c7fff3</t>
  </si>
  <si>
    <t xml:space="preserve">REGULATED_INDUSTRIAL_ACTIVITY</t>
  </si>
  <si>
    <t xml:space="preserve">vol3_s003683_t03_16a13cd02b50</t>
  </si>
  <si>
    <t xml:space="preserve">GRANTED_PATENT_RIGHTS_TO</t>
  </si>
  <si>
    <t xml:space="preserve">innovators</t>
  </si>
  <si>
    <t xml:space="preserve">vol3_s003684</t>
  </si>
  <si>
    <t xml:space="preserve">vol3_s003684_t01_a29a0683ca35</t>
  </si>
  <si>
    <t xml:space="preserve">GRANTED_ACCESS_TO_PORTS_TO</t>
  </si>
  <si>
    <t xml:space="preserve">(၂) မြန်မာနိုင်ငံနှင့် ပြင်သစ်နိုင်ငံအတွင်း အသီးအသီး ပိုင်ဆိုင်သည့် ပယ်လယ်တွင်း မြစ်တွင်း ဆိပ်ကမ်းများကို မြန်မာကျွန်တော်မျိုး, ပြင်သစ်ကျွန်တော်မျိုးတို့ သင်္ဘောဝင်ထွက်ဆိုက်ရပ် ကုန်တင်ဆောင်ရန် အမှု၊ မည်သည့်မြို့ရွာ မည်သည့်ခရိုင်များသို့မဆို အလိုရှိရာသွားရောက် အလုပ်ရုံ, စက်ရုံ, တိုက်အိမ်, ကုန်တိုက်, ကုန်ဆိုင် ဆောက်လုပ် နေထိုင်ရန် အမှု၊ တိုက်အိမ်, ကုန်တိုက်, ကုန်ဆိုင် အကြီးအငယ် ဝယ်ယူပြိုင်ဆိုင် ရောင်းချရန်အမှု၊ ရွှေ့ပြောင်းနိုင်သည့် ခပ်သိမ်းသော အသုံးအဆောင် ထည်မျိုးအုပ်မျိုး ဝယ်ယူရန်အမှု၊ ကုန်အရောင်းအဝယ်နှင့် စပ်လျဉ်းသည့် အရပ်ရပ် အတတ်ပညာ အလုပ်အဆောင်များကို လုပ်ဆောင်၍ အနည်းအများ ရောင်းဝယ်ရန်အမှု၊ အရပ်ရပ် ထည်မျိုးအုပ်မျိုး ကုန်များနှင့် ရွှေ ငွေ အကွင်းအချည်များကို ကြည်းကြောင်း ရေကြောင်းများက အတွင်းအပသို့ သွင်းပို့ထုတ်ယူ နိုင်ရန်အမှု၊ အတွင်းအပက လာရောက်သည့် ကုန်အမျိုးမျိုးများကို လက်ခံသိမ်းထားရန် အမှုများမှာ နိုင်ငံရင်းသားတို့ နှင့် အထူးသဖြင့် အခွင့်ပေးပြီးသော နိုင်ငံခြားအမျိုးသားတို့ကို ခွင့်ပေးပြုသည့်နည်း နှစ်ဦးနှစ်ဖက်က အပြန်အလှန် ခွင့်ပေးပြုလုပ်စေရမည်။</t>
  </si>
  <si>
    <t xml:space="preserve">(2) Regarding the matters of Burmese subjects and French subjects entering, docking, and loading cargo at the various sea ports and river ports owned by the Union of Burma and the French Republic respectively; the matter of traveling to any desired town, village, or district to construct and reside in workshops, factories, residential buildings, warehouses, and shops; the matter of buying, competing for, and selling residential buildings, warehouses, and shops of any size; the matter of purchasing all types of movable goods and materials; the matter of engaging in various technical skills and business activities related to trade and buying and selling in any quantity; the matter of importing and exporting various types of goods, gold, silver, and bullion by land or water routes; and the matter of receiving and storing various goods arriving from inside or outside, both sides shall mutually grant permission in the same manner as granted to the citizens of the country and especially to those foreign nationals who have already been granted such rights.</t>
  </si>
  <si>
    <t xml:space="preserve">vol3_s003684_t02_d31e12ed5dea</t>
  </si>
  <si>
    <t xml:space="preserve">GRANTED_RIGHT_OF_RESIDENCE_TO</t>
  </si>
  <si>
    <t xml:space="preserve">vol3_s003684_t03_4c1a6d494a76</t>
  </si>
  <si>
    <t xml:space="preserve">GRANTED_RIGHT_OF_COMMERCE_TO</t>
  </si>
  <si>
    <t xml:space="preserve">vol3_s003684_t04_8d41770e1883</t>
  </si>
  <si>
    <t xml:space="preserve">GRANTED_RIGHT_OF_IMPORT_EXPORT_TO</t>
  </si>
  <si>
    <t xml:space="preserve">vol3_s003685</t>
  </si>
  <si>
    <t xml:space="preserve">vol3_s003685_t01_04211b849bd0</t>
  </si>
  <si>
    <t xml:space="preserve">ENFORCED_TAX_PARITY_ON</t>
  </si>
  <si>
    <t xml:space="preserve">အထက်ဆိုခဲ့သမျှ ဝယ်ခြမ်း လုပ်ဆောင် သွင်းပို့ထုတ်ယူရာ ထမ်းဆောင်ရန် အခွန်တော် အကောက်တော်များမှာ နိုင်ငံရင်းသားတို့ ထမ်းဆောင်မြဲ ထမ်းဆောင်လတ္တံ့ သော အကောက်တော် အခွန်တော်များ ကဲ့သို့ဖြစ်စေ၊ အထူးသဖြင့် အခွင့်ပေးပြီးသော နိုင်ငံခြားအမျိုးသားတို့ ထမ်းဆောင်ဆဲ ထမ်းဆောင်လတ္တံ့ သော အကောက်တော် အခွန်တော်များကဲ့သို့ ဖြစ်စေ အပိုအမိုမရှိ ထမ်းဆောင်စေရမည်။</t>
  </si>
  <si>
    <t xml:space="preserve">The customs duties and taxes to be paid for the aforementioned purchasing, operating, importing, and exporting shall be paid without any excess, either in the same manner as the customs duties and taxes that the citizens of the country are accustomed to paying and will pay, or in the same manner as the customs duties and taxes that foreign nationals who have been specifically granted rights are currently paying and will pay.</t>
  </si>
  <si>
    <t xml:space="preserve">vol3_s003685_t02_dc87a6add999</t>
  </si>
  <si>
    <t xml:space="preserve">OBLIGATED_TO_PAY_TAXES_TO</t>
  </si>
  <si>
    <t xml:space="preserve">vol3_s003743</t>
  </si>
  <si>
    <t xml:space="preserve">vol3_s003743_t01_a413c36f939a</t>
  </si>
  <si>
    <t xml:space="preserve">Royal_Administration</t>
  </si>
  <si>
    <t xml:space="preserve">ORGANIZED_TRANSPORT_OF</t>
  </si>
  <si>
    <t xml:space="preserve">မဟာသကျသီဟဘုရားရှင်အား ပင့်ခြင်း-စသည်များနှင့် ပြင်သစ်ကိုယ်စားလှယ်များ ရောက်ခြင်း ယင်းသည့် နှောင်းတန်ခူးလပြည့်ကျော် တစ်ဆယ့်တစ်ရက်နေ့ မဟာသကျသီဟဘုရား ရုပ်ပွားတော်မြတ်ကို ပင့်ဆောင်ရန် အလုပ်အဆောင် အခမ်းအနား အလုံးစုံ လုပ်ဆောင်ပြီးပြေရှိ၍ အမရပူရမြို့ ကိန်းဝပ်ရင်း ဂန္ဓကုဋိ တန်ဆောင်းတော်အတွင်း ပလ္လင်တော်က ပြောင်းရွှေ့ပင့်ဆောင်ရန် စွတ်ဖားတင် ဘုံခုနစ်ဆင့်ရှိသော ပြာသာဒ် အတွင်းသို့ ရုပ်ပွားတော်မြတ်ကို ပင့်ဆောင်တင်ထား၍ လမ်းစဉ်တစ်လျှောက် တင့်တယ်သာယာအောင် ခင်းကျင်း ပြင်ဆင်ရန် ရှိသည်များကို သဲမွေ့ကြဲခြင်း၊ ရာဇမတ်ကာခြင်း၊ ရေအိုးရေပြည့် တည်ထားခြင်း၊ ငှက်ပျောပင်ရှင် ကြံပင်ရှင်စိုက်ခြင်း၊ တံခွန်, ကုက္ကား, မုလေးပွား, ပုဆိုးပစ္စု၊ စိုက်ထူထောင်လွှားခြင်းစသော အစီအရင်တို့ဖြင့် ကောင်းမွန် တင့်တယ်စွာ ဆင့်ဆိုစီမံခင်းကျင်း လုပ်ဆောင်စေရသည်။</t>
  </si>
  <si>
    <t xml:space="preserve">Regarding the invitation of the Maha Sakya Thiha Buddha image and the arrival of the French representatives, on the eleventh day after the full moon of the late Tagu month, all preparations and ceremonies for transporting the Maha Sakya Thiha Buddha image were completed; the Buddha image was moved from the throne inside the Gandhakuti pavilion where it had been residing in Amarapura city and was placed inside a seven-tiered spire mounted on a sledge, and orders were given to prepare and decorate the entire route beautifully and appropriately by scattering fine sand, erecting royal screens, placing full water pots, planting fresh banana and sugarcane plants, and setting up banners, streamers, jasmine garlands, and cloth hangings.</t>
  </si>
  <si>
    <t xml:space="preserve">vol3_s003743_t02_b06b62b91f42</t>
  </si>
  <si>
    <t xml:space="preserve">PREPARED_ROUTE_WITH</t>
  </si>
  <si>
    <t xml:space="preserve">Ritual_decorations</t>
  </si>
  <si>
    <t xml:space="preserve">vol3_s003743_t03_a1417a97cd77</t>
  </si>
  <si>
    <t xml:space="preserve">ISSUED_ORDERS_FOR</t>
  </si>
  <si>
    <t xml:space="preserve">Route_beautification</t>
  </si>
  <si>
    <t xml:space="preserve">vol3_s003744</t>
  </si>
  <si>
    <t xml:space="preserve">vol3_s003744_t01_a1b16dd5443c</t>
  </si>
  <si>
    <t xml:space="preserve">Royal_Service_Personnel</t>
  </si>
  <si>
    <t xml:space="preserve">MOBILIZED_FOR_TRANSPORT_OF</t>
  </si>
  <si>
    <t xml:space="preserve">ယင်းသည့်နှောင်းတန်ခူးလပြည့်ကျော် တစ်ဆယ့်နှစ်ရက်နေ့ ရတနာပုံ ရွှေမြို့တော်ရှိ ရဲမက်တော်အမှုထမ်း၊ သေနတ်အစု၊ အမြောက်အစု၊ မြင်းအစု၊ ဝင်းဒိုင်းကောင်ဟန်၊ ယွန်းအစု၊ လှေသင်းအစု အမှုထမ်း လူနှစ်သောင်း ကျော်တို့အနက် သေနတ်အမှုထမ်း လူနှစ်ထောင်၊ အမြောက်အမှုထမ်း လူတစ်ရာ၊ မြင်းအမှုထမ်း လူခြောက်ရာ၊ ဝင်းဒိုင်းအမှုထမ်း လူသုံးရာ၊ လှေသင်းအမှုထမ်း လူငါးရာ၊ စုစု အမှုထမ်းလူ သုံးထောင့်ငါးရာတို့ကို ရုပ်ပွားတော်တင် စွတ်ဖားပြာသာဒ်တော်တွင် လေးတန်းလေးသွယ် ဆွဲကြိုးဘွဲ့ ချည်ပြီးလျှင် အစုဆိုင်ရာ, ဝန်စု, ဗိုလ်စု, စုရေးစုကိုင် အကြီးအကြပ်တို့က ဆိုင်ရာအစုအမှုထမ်းတို့ကို ကြီးကြပ်ဆင့်ဆို ကွပ်ကဲ ဆော်ဖန်စေ၍ ဆွဲကြိုးငင်စေရန် အခမ်းအနား အစီအစဉ် ပွဲသဘင်အခင်းအကျင်း ပြည့်စုံလျှင် အခါတော်စောင့် အခါကြား ပညာရှိ ပုဏ္ဏားတော်တို့က ရုပ်ပွား တော်မြတ် ပင့်ဆောင်ရန် အခါတော်စာကို ဖတ်ရွတ် လျှောက်ကြားစေ၍ ရှေ့တော်ပြေး စည်တော်စုံတီးရွမ်း၊ အမြောက်သံသုံးချက် ကြားစေပြီးမှ အခါကြားအမြောက်သံ ပေးသည်နှင့်တစ်ပြိုင်နက် စည်ကြီးခွက်ခွင်း ဒုံးမင်း ပတ်သာ ခရာတံပိုး တီးမျိုးမှုတ်မျိုး ပဉ္စင်တူရိယာတို့ကို မြေကြီးငလျင် ပဲ့တင်ထပ်မျှ အုတ်အုတ်ကျက်ကျက် တစ်ခဲနက်သော အသံတို့ဖြင့် တစ်ပြိုင်နက်တည်း တီးမှုတ်ကခုန်စေပြီးလျှင် ကြီးကြပ်စီရင် ဆင့်ဆို လုပ်ဆောင်ရင်း ဝန်ကြီး၊ ဝန်ထောက်၊ စာရေးကြီး၊ အသုံးစာရေး၊ စက်ဆရာ၊ ဗိသုကာဆရာ၊ အလုပ်သည်၊ ပညာသည်တို့ စောင့်ရှောက် လိုက်ပါ ခြံရံစေ၍ အစုအမှုထမ်း လူ သုံးထောင့်ငါးရာတို့ စွတ်ဖားပြာသာဒ် ဆွဲကြိုးလေးသွယ်ကို ဆွဲငင်စေပြီးလျှင် အမရပူရမြို့ ဂန္ဓကုဋိတန်ဆောင်းတော်က ပင့်ဆောင်ရသည်။</t>
  </si>
  <si>
    <t xml:space="preserve">On the twelfth day after the full moon of that late Tagu month, out of more than twenty thousand royal soldiers and service personnel in the golden city of Yadanabon—including the musketeers, artillery corps, cavalry, palace guards, Yun corps, and boat corps—a total of three thousand five hundred service personnel, consisting of two thousand musketeers, one hundred artillerymen, six hundred cavalrymen, three hundred palace guards, and five hundred boatmen, were assigned to attach four lines of ropes to the sledge spire carrying the Buddha image; after the supervisors, ministers, commanders, and clerks of the respective groups had supervised, commanded, and directed their respective service personnel, and once the ceremonial arrangements and festival preparations for pulling the ropes were complete, the astrologers and learned Brahmins who keep the auspicious times read and recited the auspicious time document for transporting the Buddha image, and after the advance guard played the full set of royal drums and three cannon shots were heard, simultaneously with the signal cannon shot, the great drums, cymbals, gongs, drums, trumpets, and various types of five-fold musical instruments were played and performed all at once with a resounding, intense sound that echoed like an earthquake, and while the ministers, deputy ministers, chief clerks, clerks of usage, mechanics, architects, laborers, and craftsmen followed to guard and surround [the procession], the three thousand five hundred service personnel pulled the four ropes of the sledge spire, and [the image] was transported from the Gandhakuti pavilion in Amarapura city.</t>
  </si>
  <si>
    <t xml:space="preserve">vol3_s003744_t02_1bf19ccdd4c2</t>
  </si>
  <si>
    <t xml:space="preserve">Ministers_and_Commanders</t>
  </si>
  <si>
    <t xml:space="preserve">SUPERVISED_SERVICE_PERSONNEL</t>
  </si>
  <si>
    <t xml:space="preserve">vol3_s003744_t03_803452aadcfe</t>
  </si>
  <si>
    <t xml:space="preserve">READ_AUSPICIOUS_TIME_DOCUMENT_FOR</t>
  </si>
  <si>
    <t xml:space="preserve">Procession_start</t>
  </si>
  <si>
    <t xml:space="preserve">vol3_s003744_t04_08446d93cea0</t>
  </si>
  <si>
    <t xml:space="preserve">Royal_Officials_and_Craftsmen</t>
  </si>
  <si>
    <t xml:space="preserve">ESCORTED_AND_GUARDED</t>
  </si>
  <si>
    <t xml:space="preserve">Buddha_image_procession</t>
  </si>
  <si>
    <t xml:space="preserve">vol3_s003745</t>
  </si>
  <si>
    <t xml:space="preserve">vol3_s003745_t01_44abb7a75857</t>
  </si>
  <si>
    <t xml:space="preserve">Local_population</t>
  </si>
  <si>
    <t xml:space="preserve">OFFERED_DEVOTION_TO</t>
  </si>
  <si>
    <t xml:space="preserve">က ရုပ်ပွားတော်မြတ်ကို ပင့်ဆောင်ရာ အမရပူရမြို့ က ရတနာပုံ ရွှေမြို့ တော်ရောက် လမ်းစဉ်တစ်လျှောက် များမှာလည်း ရဟန်းရှင်လူ ပြည်သူ ဆင်းရဲသားတို့ ဆွမ်းသင်ပုတ် ရေချမ်း ပန်းပေါက်ပေါက် ဆီမီးတန်ဆောင် အမွှေးအထုံမှ စ၍ လှူဒါန်းပူဇော်ရန် အဖွယ်အရာတို့ဖြင့် လမ်းခွင်ပြည့်မျှ ခရီးဦးကြိုဆို၍ ဝင်ရောက်ဖူးမြော် ပူဇော်လှူဒါန်းကြသည်။</t>
  </si>
  <si>
    <t xml:space="preserve">Along the entire route from Amarapura city to the golden city of Yadanabon where the Buddha image was being transported, monks, laypeople, citizens, and the poor welcomed [the procession] along the entire path with offerings such as alms food, cool water, flowers, popped rice, oil lamps, and incense, and they came in to pay homage and make offerings.</t>
  </si>
  <si>
    <t xml:space="preserve">vol3_s003745_t02_22daa41dbe7a</t>
  </si>
  <si>
    <t xml:space="preserve">PARTICIPATED_IN</t>
  </si>
  <si>
    <t xml:space="preserve">Royal_ritual_procession</t>
  </si>
  <si>
    <t xml:space="preserve">vol3_s003746</t>
  </si>
  <si>
    <t xml:space="preserve">vol3_s003746_t01_bc563c128254</t>
  </si>
  <si>
    <t xml:space="preserve">Yadanabon_Mayor</t>
  </si>
  <si>
    <t xml:space="preserve">ORDERED_TO_SECURE</t>
  </si>
  <si>
    <t xml:space="preserve">Procession_route</t>
  </si>
  <si>
    <t xml:space="preserve">ရတနာပုံရွှေမြို့တော်ဝန် ယင်းတော်မြို့စား မင်းကြီးသီရိမဟာဇေယဂါမဏိနှင့် ထောင်မှူး၊ မြို့စာရေး၊ ထောင်စချီ၊ အရပ်အုပ်၊ သွေးကြီး သွေးဆော်၊ ဆယ်အိမ်ခေါင်းတို့လည်း ရုပ်ပွားတော်မြတ် ပင့်ဆောင်ရာ လမ်းစဉ်တစ်လျှောက် များမှာ ရာဇဝတ်တော်ကြောင်းနှင့် မကင်းသည့် အပြုအမူ အကျင့်အကြံများကို ပြုလုပ်ကျင့်ကြံ ခိုက်ပွားရန်စစ် မဖြစ်စေရ၊ ရာဇဝတ်တော်ရေး ကင်းလွတ်လုံခြုံအောင် အမိန့်တော်မြတ်နှင့် ကြပ်မလိုက်ပါ ထိန်းသိမ်းစောင့်ရှောက် ရသည်။</t>
  </si>
  <si>
    <t xml:space="preserve">The Mayor of the golden city of Yadanabon, the Yindaw Myosa Mingyi Thiri Maha Zeya Gamani, along with the prison wardens, city clerks, prison chiefs, local administrators, village headmen, and ten-household heads, were also ordered to strictly follow, guard, and protect [the procession] along the entire route where the Buddha image was being transported, ensuring that no actions or conduct related to criminal offenses occurred and that no disputes or conflicts arose, so that it would be free from criminal matters and secure.</t>
  </si>
  <si>
    <t xml:space="preserve">vol3_s003746_t02_dc6357c0837a</t>
  </si>
  <si>
    <t xml:space="preserve">Local_administrators</t>
  </si>
  <si>
    <t xml:space="preserve">ENFORCED_PUBLIC_ORDER_FOR</t>
  </si>
  <si>
    <t xml:space="preserve">vol3_s003746_t03_6cb789ca8cfc</t>
  </si>
  <si>
    <t xml:space="preserve">Royal_Order</t>
  </si>
  <si>
    <t xml:space="preserve">MANDATED_SECURITY_FOR</t>
  </si>
  <si>
    <t xml:space="preserve">vol1_s000393</t>
  </si>
  <si>
    <t xml:space="preserve">vol1_s000393_t01_4ed7e2714b9a</t>
  </si>
  <si>
    <t xml:space="preserve">Supported by the Burmese and allowed narrative context; reasonable grouping, paraphrase and contextually supplied participants accepted.</t>
  </si>
  <si>
    <t xml:space="preserve">ကျွန်တော်တို့မှာ အလုံးအရင်းနည်းသော်လည်း အရှင့်အရေး-ကိုယ်အရေးဖြစ်၍ တစ်ယောက် ကို တစ်ရာမတန် အမှုတော်ကို သက်စွန့်ကြိုးပမ်း ထမ်းရွက်ကြမည်ချည်း ဖြစ်ပါသည်၊ သို့ရာတွင် မွန်တို့နှင့် ကျွန်တော်တို့ စစ်ကြီး မတွေ့ ဘူးရသောကြောင့် မွန်တို့ လုပ်ရည်ကြံရည်ကိုလည်း ကျွန်တော်တို့မသိ၊ ကျွန်တော်တို့ လုပ်ရည် ကြံရည်ကိုလည်း မွန်တို့က မသိလေသေး၊ ယင်းသို့ဖြစ်၍ သည်တစ်ကြိမ်ကို သင့်ရာအရေး တောင်းပြီးလျှင် မွန်တို့ကို ပြန်စေမည်၊ မွန်တို့ ပြန်လေသော် တည်တောတပ်၊ ကျောက်ကာတပ်၊ အမြင့်တပ်၊ ငါးစို့တပ်၊ ခင်ဦး တပ်များကို တိုက်၍ ဆင်မြင်း လက်နက် လူသူအင်အား ဖြည့်တင်းပြီးလျှင် အဝကို ချီတက်သိမ်းယူမည်၊ အဝကိုရလျှင် ရှမ်းပြည်နယ်တစ်ခွင် စော်ဘွားမြို့စား အပေါင်းနှင့်တကွ တောင်ဘက်မြောက်ဘက် နိုင်ငံအလုံး မြို့ကြီးပြကြီးများကို သိမ်းရုံး၍ ဟံသာဝတီတိုင်အောင် ချီတက်လုပ်ကြံမည်၊ ယင်းသို့ လုပ်ကြံရလျှင် ကျွန်တော်တို့လက်တွင် ဟံသာဝတီ ခံနိုင်မည်လောဟု ဗိုလ်မှူးတပ်မှူးတို့ လျှောက်သောအရေးကို သားတော် သခင်လတ် ကြားတော်မူလျှင် ယခု ဗိုလ်မင်း တပ်မင်းတို့ လျှောက်ကြသော အရေးလည်း စစ်ရေးပင် ဖြစ်ပေသည်။</t>
  </si>
  <si>
    <t xml:space="preserve">Although our forces are few, because the master's cause is our own cause, we will each strive to perform our duty with self-sacrifice, as if one person were worth a hundred; however, because we have not yet encountered the Mon in a great battle, we do not know the Mon's capabilities and strategies, and the Mon do not yet know our capabilities and strategies; therefore, this time we will request a suitable peace, and then we will have the Mon return; when the Mon return, we will attack the Taung-ta, Kyauk-ka, A-myint, Nga-so, and Khin-u garrisons, and after replenishing our elephants, horses, weapons, and manpower, we will march and seize Ava; once we have obtained Ava, we will gather all the Sawbwas and town lords throughout the Shan states, as well as all the great cities and towns in the south and north, and march to conquer as far as Hanthawaddy; when we have conquered in this way, will Hanthawaddy be able to withstand us in our hands? When the Royal Son, the Lord-Latt, heard this matter submitted by the commanders and battalion leaders, he said, 'The matter that the commanders and battalion leaders are now submitting is indeed a military matter.'</t>
  </si>
  <si>
    <t xml:space="preserve">vol1_s000393_t02_c36a21d77d7d</t>
  </si>
  <si>
    <t xml:space="preserve">PROPOSED_STRATEGY</t>
  </si>
  <si>
    <t xml:space="preserve">request_peace_to_regroup</t>
  </si>
  <si>
    <t xml:space="preserve">vol1_s000393_t03_0d9ae8c27fc6</t>
  </si>
  <si>
    <t xml:space="preserve">PROPOSED_MILITARY_OBJECTIVE</t>
  </si>
  <si>
    <t xml:space="preserve">retake_Ava</t>
  </si>
  <si>
    <t xml:space="preserve">vol1_s000393_t04_a052b8ed0ec0</t>
  </si>
  <si>
    <t xml:space="preserve">conquer_Shan_states</t>
  </si>
  <si>
    <t xml:space="preserve">vol1_s000393_t05_b6c647bf3680</t>
  </si>
  <si>
    <t xml:space="preserve">Thakhin_Lat</t>
  </si>
  <si>
    <t xml:space="preserve">VALIDATED_PROPOSAL_AS</t>
  </si>
  <si>
    <t xml:space="preserve">military_matter</t>
  </si>
  <si>
    <t xml:space="preserve">vol1_s000394</t>
  </si>
  <si>
    <t xml:space="preserve">vol1_s000394_t01_4dc8410c3704</t>
  </si>
  <si>
    <t xml:space="preserve">REJECTED_STRATEGY</t>
  </si>
  <si>
    <t xml:space="preserve">request_peace</t>
  </si>
  <si>
    <t xml:space="preserve">သို့ရာတွင် ယခုမှ အရေးတောင်းသော်လည်း သူတို့ အရေးပေးဘိမည်မဟုတ်၊ တစ်ကြောင်းလည်း ကြောက်၍ အရေးတောင်းသည်ဟု မွန်တို့ ထင်မှတ်လေရာသည်၊ ယင်းသို့ဖြစ်၍ တပ်နှင့် ကြံ့ကြံ့ခံနေမည်၊ မွန်တို့က ချီလာတက်လာလျှင် ပိတ်ပိတ်ဆို့ဆို့ တစ်ယောက်မလွတ် ထိုးခုတ်ပစ်ခတ် သတ်ညှစ်လိုက်မည်၊ သည်ကဲ့သို့ နှစ်ကြိမ် သုံးကြိမ် အရှအန အသေ အပျောက် များလျှင် မွန်တို့ အရွံ့ပါ၍ မြို့သို့ မချဉ်းမတက်နေလျှင်လည်း နေစေ၊ မနေလျှင်လည်း တိုက်မည်၊ ယခုလည်း ကဆုန်နွေလ ပူပြင်းလှသောအခါဖြစ်၍ ဆင်မြင်း မြက်ရေရှားသည်၊ သူနာသူဖျား များသည်၊ နေ့ရက်မရှည်ခင် မွန်တို့ ဆုတ်ခွာရမည် မချွတ်ဟု သားတော်သခင်လတ် လျှောက်သော အရေးကို သားတော်သခင်အကြီး ကြားလျှင် ယခု ညီတော်နှင့် ဗိုလ်မင်းများ လျှောက်ကြသော အရေးသည် စစ်ရေးပင် ဖြစ်ပေသည်၊ သို့ရာတွင် စစ်တို့သဘောသည် လူနည်းလူများ အကြောင်းမဟုတ်၊ စွန့်စားရည်မှာသာ အကြောင်းဖြစ်၍ နဂါးတို့ဦးနှောက်ကို သောက်လေ့ရှိသော ဂဠုန်ငှက်ကဲ့သို့ ရဲခြင်းနှင့် ပြည့်စုံသော ဗိုလ်မှူးတပ်မှူး သူရဲသူခက် ရဲမက်တော်အပေါင်းတို့နှင့် ကျွန်တော်ထွက်၍ စစ်ဦးဘီလူးပါ နင်းမည်၊ ကျွန်တော်တို့လက်တွင် ခံနိုင်မည်လော၊ မခံနိုင်၍ မွန်တို့ ဆုတ်ခွာလေလျှင် လက်ရောပါ လိုက်ထပ်၍ အဝတိုင်အောင် သတ်မည်ဟု သားတော် သခင်ကြီး လျှောက်သောအရေးကို အလောင်းမင်းတရားကြီး ဘုရား ကြားတော်မူလျှင် အမိန့်တော်ရှိသည်ကား ...မွန်တို့ ဗိုလ်ခြေအင်အား များလေသော်လည်း စွန့်စားလုပ်ကြံရည် ငါတို့ကို မတန်လေရာ၊ တစ်ချင်ရွေးမျှ စိန်စစ်ကျောက်ကို မြေလုံးတောင် ရှိဘိလင့်ကစား ကြေမွပျက်စီးအောင် မစွမ်းရာသကဲ့သို့၊ ငါတို့တပ်ကို မွန်တို့ ဖြိုဖျက်နိုင်မည်လော၊ ငါတို့တွင်လည်း မျိုးရိက္ခာ အပြည့်အစုံ ဖြစ်သည်၊ မွန်တို့ စစ်ညောင်း၍ ရိက္ခာလည်း ပြတ်စေဦး၊ ရေမိုးလည်း ငတ်စေဦး၊ ယင်းသို့မဟုတ် နိုင်ချင်ကြက်ကဲ့သို့ အားတက် အင်ကြီး ပြုတည့်လျှင် နိုင်သော်ကား ကောင်း၏၊ မသင့်၍ တစွန်းတစ လိပ်လည်းခဲ့လျှင် စစ်ဦးမညှိုးပြီလော၊ စစ်တို့သဘောသည် အဦးအစ ပွဲလမ်း ရလျှင် ရဲမက်တို့ အားမြောက်သည်၊ ပွဲလမ်း မရလျှင် ရဲမက်တို့ အားလျော့ သည်၊ သို့ဖြစ်၍ ကြံ့ကြံ့သာခံလေ၊ မွန်တို့က ချဉ်းကပ်လာသည်ကိုလည်း စီးစီးနင်းနင်း ပစ်ခတ်ထိုးခုတ် သတ်ညှစ်လေ၊ မွန်တို့က အောင်ခြင်းကို မရ၍ စစ်နွမ်းသည့်ကာလ ငါကိုယ်တိုင်တော် ထွက်၍ တဟုန်တည်း တိုက်တော်မူမည်ဟု အမိန့်တော်ရှိလျှင် သားတော် ညီတော် ဗိုလ်မှူး တပ်မှူး အပေါင်းတို့လည်း အမိန့်တော်ကို ဦးထိပ်ရွက်၍ အသီးအသီး တပ်နှင့် မြို့ထိပ်က ကြံ့ကြံ့ခံနေ၏။</t>
  </si>
  <si>
    <t xml:space="preserve">However, even if we request peace now, they will not grant it, and the Mon will likely think that we are requesting peace because we are afraid; therefore, we will stand firm with our troops, and if the Mon march and advance, we will block them and strike, stab, shoot, and crush them so that not one escapes; if after two or three such times there are many casualties and deaths, the Mon will be afraid, and if they do not approach the city, let them be, but if they do not stay away, we will fight; now, as it is the hot month of Kason, fodder and water for the elephants and horses are scarce, and there are many sick and ailing; before many days pass, the Mon will undoubtedly have to retreat; when the Royal Son, the Great Lord, heard this matter submitted by the Royal Son, the Lord-Latt, he said, 'The matter that the younger brother and the commanders are now submitting is indeed a military matter; however, the nature of war is not about the few or the many, but only about the spirit of sacrifice; therefore, with all the commanders, battalion leaders, warriors, and soldiers who are full of courage like the Garuda bird that habitually drinks the brains of dragons, I will go out and trample the very head of the battle; will they be able to withstand us in our hands? If they cannot withstand and the Mon retreat, I will follow them and kill them all the way to Ava.' When the Alaungmintaya Gyi Phaya heard this matter submitted by the Royal Son, the Great Lord, he gave the order: 'Although the Mon have many troops, their spirit of sacrifice and strategy is not equal to ours; just as one cannot destroy a genuine diamond even if it is as large as a mountain, can the Mon destroy our army? We also have full supplies of provisions; even if the Mon are weary of war and run out of provisions, and even if they suffer from thirst, if they act with great strength and spirit like a fighting cock, it would be good if they win, but if it is not appropriate and they retreat even slightly, will the vanguard not be discouraged? The nature of war is that if the soldiers get an initial victory, they are encouraged; if they do not get a victory, they are discouraged; therefore, just stand firm, and when the Mon approach, shoot, stab, and crush them decisively; when the Mon have not achieved victory and are weary of war, I myself will go out and attack them with a single rush.' When he gave this order, all the royal sons, younger brothers, commanders, and battalion leaders placed the order upon their heads and stood firm at their respective garrisons and city ramparts.</t>
  </si>
  <si>
    <t xml:space="preserve">vol1_s000394_t02_a5a21513c339</t>
  </si>
  <si>
    <t xml:space="preserve">defensive_attrition</t>
  </si>
  <si>
    <t xml:space="preserve">vol1_s000394_t03_584f6c0c07cb</t>
  </si>
  <si>
    <t xml:space="preserve">IDENTIFIED_ENVIRONMENTAL_CONSTRAINTS</t>
  </si>
  <si>
    <t xml:space="preserve">heat_fodder_water_scarcity</t>
  </si>
  <si>
    <t xml:space="preserve">vol1_s000394_t04_d77771731540</t>
  </si>
  <si>
    <t xml:space="preserve">Thakhin_Gyi</t>
  </si>
  <si>
    <t xml:space="preserve">aggressive_counter_attack</t>
  </si>
  <si>
    <t xml:space="preserve">vol1_s000394_t05_f234682f146c</t>
  </si>
  <si>
    <t xml:space="preserve">DEFINED_MILITARY_DOCTRINE</t>
  </si>
  <si>
    <t xml:space="preserve">vol1_s000394_t06_ef9e3e6ae899</t>
  </si>
  <si>
    <t xml:space="preserve">stand_firm</t>
  </si>
  <si>
    <t xml:space="preserve">vol1_s000394_t07_e589b1b015e6</t>
  </si>
  <si>
    <t xml:space="preserve">ANNOUNCED_INTENT</t>
  </si>
  <si>
    <t xml:space="preserve">royal_counter_offensive</t>
  </si>
  <si>
    <t xml:space="preserve">vol1_s000394_t08_62a739bb7831</t>
  </si>
  <si>
    <t xml:space="preserve">SUBMITTED_TO_AUTHORITY</t>
  </si>
  <si>
    <t xml:space="preserve">vol1_s000610</t>
  </si>
  <si>
    <t xml:space="preserve">vol1_s000610_t01_4ecfac132c8d</t>
  </si>
  <si>
    <t xml:space="preserve">APPOINTED_AS_RELIGIOUS_AUTHORITY</t>
  </si>
  <si>
    <t xml:space="preserve">Atula Yasa Maha Dhamma Rajadhiraja Guru</t>
  </si>
  <si>
    <t xml:space="preserve">ဒုကုဋ်တင်, သင်္ကန်းရုံဟု နှစ်ဂိုဏ်းနှစ်သွယ် ရှိကြသည်မှာလည်း အကွဲအပြား မရှိစေရ၊ အတုလယသ မဟာဓမ္မရာဇာဓိရာဇဂုရု ဆရာတော်အား သာသနာပြုအပ်တော်မူ၍ ဒုကုဋ်တင်နွယ် တစ်ဂိုဏ်းတည်းသာဖြစ်စေ၏။</t>
  </si>
  <si>
    <t xml:space="preserve">There must be no division regarding the two sects known as the Dukut-tin and the Thingan-yon; [the King] entrusted the propagation of the religion to the Atula Yasa Maha Dhamma Rajadhiraja Guru Sayadaw, and caused there to be only one sect, the Dukut-tin lineage.</t>
  </si>
  <si>
    <t xml:space="preserve">vol1_s000610_t02_4592d03d07f4</t>
  </si>
  <si>
    <t xml:space="preserve">MANDATED_RELIGIOUS_UNIFICATION</t>
  </si>
  <si>
    <t xml:space="preserve">Dukut-tin lineage</t>
  </si>
  <si>
    <t xml:space="preserve">vol1_s000611</t>
  </si>
  <si>
    <t xml:space="preserve">vol1_s000611_t01_d6df9c39789f</t>
  </si>
  <si>
    <t xml:space="preserve">PROHIBITED</t>
  </si>
  <si>
    <t xml:space="preserve">Animal slaughter and consumption of intoxicants</t>
  </si>
  <si>
    <t xml:space="preserve">မြို့တော်မှစ၍ နိုင်ငံတော်ပတ်လည် မြို့ ရွာများတွင် သားထိုး, နွားသတ်, နတ်ကိုး-နတ်တင်, ထမ်းရည်, အရက်, ကဇော်, လှော်ဇာ, ခေါင်ရည်, ဘိန်း၊ ဘင်းစသော မကောင်းသော အမူအရာတို့ကိုလည်း မသတ်မညှစ် မသောက်မစား မကိုးမကွယ်စေရ၊ ဆိုင်ရာ စစ်ကြော၍ ပယ်စေရသည်၊ မြို့ ရွာတွင် သားထိုး နွားသတ်တို့ကို တွေ့လျှင်လည်း ဖမ်းဆီး၍ ဆုံးရှုံးအောင် စီရင်ရသည်။</t>
  </si>
  <si>
    <t xml:space="preserve">Starting from the capital city and throughout the towns and villages of the kingdom, evil practices such as animal slaughter, cow killing, spirit worship and offering, drinking toddy, alcohol, rice beer, fermented liquor, distilled spirits, opium, and hemp must not be performed, consumed, or worshipped; the relevant authorities must investigate and cause them to be abandoned, and if animal slaughter or cow killing is found in the towns and villages, they must be arrested and dealt with so that they cease.</t>
  </si>
  <si>
    <t xml:space="preserve">vol1_s000611_t02_bcf48c5e6856</t>
  </si>
  <si>
    <t xml:space="preserve">Local authorities</t>
  </si>
  <si>
    <t xml:space="preserve">MANDATED_TO_ENFORCE</t>
  </si>
  <si>
    <t xml:space="preserve">Prohibition of evil practices</t>
  </si>
  <si>
    <t xml:space="preserve">vol1_s000612</t>
  </si>
  <si>
    <t xml:space="preserve">vol1_s000612_t01_f0bd08ef85d2</t>
  </si>
  <si>
    <t xml:space="preserve">Town and village headmen</t>
  </si>
  <si>
    <t xml:space="preserve">MANDATED_TO_COMPENSATE</t>
  </si>
  <si>
    <t xml:space="preserve">Victims of theft</t>
  </si>
  <si>
    <t xml:space="preserve">အရပ်ရပ်မြို့ရွာများတွင် ခိုးသူခိုး၍ ဥစ္စာပျောက်လျှင် ပျောက်သည့် မြို့ ရွာသူကြီး, ခေါင်းအကြီးတို့က ဥစ္စာရှင်ကို ပေးလျော်ရသည်။</t>
  </si>
  <si>
    <t xml:space="preserve">In various towns and villages, if a thief steals and property is lost, the headmen and leaders of the town or village where the loss occurred must compensate the owner of the property.</t>
  </si>
  <si>
    <t xml:space="preserve">vol1_s000613</t>
  </si>
  <si>
    <t xml:space="preserve">vol1_s000613_t01_bdb0f02abde9</t>
  </si>
  <si>
    <t xml:space="preserve">Victims of looting</t>
  </si>
  <si>
    <t xml:space="preserve">တစ်မြို့နှင့် တစ်မြို့၊ တစ်ရွာနှင့်တစ်ရွာ စပ်ကြားတွင် သူခိုးဓားပြ တိုက်ခိုက်လုယူ၍ ဥစ္စာပျောက်လျှင် တိုက်ခိုက်လုယူရာအရပ်နှင့် စပ်သည့် နှစ်မြို့နှစ်ရွာကို တာထိုးစေ၍ ဥစ္စာပျောက်သည့်အရပ်နှင့် နီးသည့် မြို့ရွာသူကြီး တို့က ပျောက်သည့် ဥစ္စာတို့ကို ပေးလျော်ရသည်။</t>
  </si>
  <si>
    <t xml:space="preserve">If property is lost due to thieves or robbers attacking and looting between one town and another, or one village and another, the two towns or villages connected to the place of the attack and looting must be made to set up a boundary, and the headmen of the towns and villages nearest to the place where the property was lost must compensate for the lost property.</t>
  </si>
  <si>
    <t xml:space="preserve">vol1_s000614</t>
  </si>
  <si>
    <t xml:space="preserve">vol1_s000614_t01_107300dff6d1</t>
  </si>
  <si>
    <t xml:space="preserve">Offering of animals to field and village spirits</t>
  </si>
  <si>
    <t xml:space="preserve">လယ်ယာ, ကိုင်းကျွန်း, စပါး, ပဲ, ပြောင်း, နှမ်း, ဝါ များကို လုပ်ဆောင်ရိတ်သိမ်းသည့်ကာလ ကြက်သေတင်၍ ရိတ်သိမ်းရိုးရှိသည့် လယ်ယာ၊ ဝက်သေတင်၍ ရိတ်သိမ်းရိုးရှိသည့် လယ်ယာ ဟူ၍ မိစ္ဆာဒိဋ္ဌိ အယူဖြင့် ကြက်ဝက် သတ်၍ လယ်နတ်, ရွာနတ်ပေးကြသည်များကိုလည်း လုံးလုံးပယ်စေ မြစ်တားတော်မူသည်။</t>
  </si>
  <si>
    <t xml:space="preserve">During the time of working and harvesting fields, islands, rice, beans, corn, sesame, and cotton, he strictly forbade and prohibited the practice of killing chickens and pigs to offer to field spirits and village spirits under the false belief that there are fields where it is customary to harvest by offering a dead chicken or a dead pig.</t>
  </si>
  <si>
    <t xml:space="preserve">vol1_s000615</t>
  </si>
  <si>
    <t xml:space="preserve">vol1_s000615_t01_ce5048bd4e9c</t>
  </si>
  <si>
    <t xml:space="preserve">Disobedient subjects</t>
  </si>
  <si>
    <t xml:space="preserve">မြစ်တားတော်မူလျက် ဆန်လွန်၍ ပြုကျင့်သည် ကြားတော်မူလျှင်လည်း အပြစ်အလျောက် ကွပ်ညှပ်စီရင်တော်မူသည်။</t>
  </si>
  <si>
    <t xml:space="preserve">If he heard that someone had disobeyed the prohibition and acted otherwise, he would punish and deal with them according to the offense.</t>
  </si>
  <si>
    <t xml:space="preserve">vol1_s000616</t>
  </si>
  <si>
    <t xml:space="preserve">vol1_s000616_t01_99a08781ecda</t>
  </si>
  <si>
    <t xml:space="preserve">Prohibition</t>
  </si>
  <si>
    <t xml:space="preserve">Preservation of animal life</t>
  </si>
  <si>
    <t xml:space="preserve">မြစ်တားတော် မူသည်မှစ၍ တစ်နှစ် တစ်နှစ်လျှင် နိုင်ငံတော်ပတ်လည်တွင် မရေမတွက်နိုင်သော ကြက်ဝက်တို့သည် ချမ်းသာ ကြကုန်သည်။</t>
  </si>
  <si>
    <t xml:space="preserve">From the time of the prohibition, every year, countless chickens and pigs throughout the kingdom have been at peace.</t>
  </si>
  <si>
    <t xml:space="preserve">vol1_s000617</t>
  </si>
  <si>
    <t xml:space="preserve">vol1_s000617_t01_92af1e50ed7f</t>
  </si>
  <si>
    <t xml:space="preserve">Maha Dan Wun and clerks</t>
  </si>
  <si>
    <t xml:space="preserve">ဝိနည်းကျမ်းဂန် ရှိသည့်အတိုင်း မကျင့်မဆောင်သော ရဟန်းတို့ကိုလည်း မဟာဒါန်ဝန်၊ မဟာဒါန်စာရေး ခန့်တော်မူ၍ မပြတ်မလပ် သုတ်သင်ရှင်းလင်း စစ်ကြောစေရသည်။</t>
  </si>
  <si>
    <t xml:space="preserve">He also appointed a Maha Dan Wun and Maha Dan clerks to continuously and thoroughly investigate and purify monks who do not practice or conduct themselves according to the Vinaya scriptures.</t>
  </si>
  <si>
    <t xml:space="preserve">vol1_s000617_t02_07665797d6cb</t>
  </si>
  <si>
    <t xml:space="preserve">Maha Dan officials</t>
  </si>
  <si>
    <t xml:space="preserve">MANDATED_TO_PURIFY</t>
  </si>
  <si>
    <t xml:space="preserve">Monkhood</t>
  </si>
  <si>
    <t xml:space="preserve">vol1_s000618</t>
  </si>
  <si>
    <t xml:space="preserve">vol1_s000618_t01_32644ff7eabc</t>
  </si>
  <si>
    <t xml:space="preserve">ORDERED_PRESERVATION_OF</t>
  </si>
  <si>
    <t xml:space="preserve">Thiha Taw Buddha image</t>
  </si>
  <si>
    <t xml:space="preserve">ဘေးလောင်းတော် သင်းကနက်လှေစကြာရှင် အလောင်းစည်သူ တည်တော်မူသော ကျော်လေးဆူအဝင် သီဟတော မြတ်စွာဘုရားကို လူဆိုး လူပျက်တို့ တူးဖြိုလေသည်ကိုလည်း တည်တော်မူအံ့သောငှာ ဘုရားသခင် ဆင်းတု ဓာတ်တော်မွေတော်များကို စစ်ကြောစုရုံး ထိန်းသိမ်းရမည် အကြောင်းနှင့် သိင်္ဃတော ရွာသူကြီး ရဟန်း သင်္ဃာတို့ကို အမိန့်တော်စာ အပ်၍ စစ်ကြောစုရုံး ထိန်းသိမ်းထားနှင့်ရသည်။</t>
  </si>
  <si>
    <t xml:space="preserve">Regarding the Thiha Taw Buddha image, which is one of the four famous images established by his great-grandfather, the King of the Thinganet Boat, Alaungsithu, because evil and corrupt people had dug it up and destroyed it, he entrusted an order to the headman of Thinga Taw village and the monks to investigate, collect, and preserve the Buddha images, relics, and sacred remains in order to restore it.</t>
  </si>
  <si>
    <t xml:space="preserve">vol1_s000618_t02_d327581d14ae</t>
  </si>
  <si>
    <t xml:space="preserve">Thinga Taw village headman and monks</t>
  </si>
  <si>
    <t xml:space="preserve">MANDATED_TO_PRESERVE</t>
  </si>
  <si>
    <t xml:space="preserve">Sacred images and relics</t>
  </si>
  <si>
    <t xml:space="preserve">vol1_s000619</t>
  </si>
  <si>
    <t xml:space="preserve">vol1_s000619_t01_90032a2b3543</t>
  </si>
  <si>
    <t xml:space="preserve">CENTRALIZED_TO_PALACE</t>
  </si>
  <si>
    <t xml:space="preserve">Sacred images</t>
  </si>
  <si>
    <t xml:space="preserve">ပုဂံ နရပတိစည်သူမင်းကြီး ကုသိုလ် တော်၊ စံကားကိုးဆူ အဝင်ဖြစ်သော စည်ပုတ္တရာ ရွှေလင်းပင်ဘုရား၊ စမွန်းရွာ ရွှေစံကားဘုရား၊ လှထွေရွာ ရွှေစံကား ဘုရားရှင်များကိုလည်း မြို့ တော်သို့ ဆောင်တော်မူပြီးလျှင် ရွှေနန်းတော်ဦးတွင် ထား၍ မပြတ်မလပ် ရိုသေစွာ ကိုးကွယ်တော်မူသည်။</t>
  </si>
  <si>
    <t xml:space="preserve">He also brought the merit-making images of the Bagan King Narapatisithu—the Zibutta Shwelinbin Buddha, the Samun village Shwe Sanka Buddha, and the Hlatwe village Shwe Sanka Buddha—to the capital, placed them in the royal palace, and worshipped them respectfully and without interruption.</t>
  </si>
  <si>
    <t xml:space="preserve">vol1_s000620</t>
  </si>
  <si>
    <t xml:space="preserve">vol1_s000620_t01_e6ad8c2f69d6</t>
  </si>
  <si>
    <t xml:space="preserve">Eldest son (Thado Dhamma Raja)</t>
  </si>
  <si>
    <t xml:space="preserve">သားတော်အကြီးကို သတိုးဓမ္မရာဇာ ဟူသော အမည်ကို ပေးတော်မူသည်။</t>
  </si>
  <si>
    <t xml:space="preserve">He gave his eldest son the name Thado Dhamma Raja.</t>
  </si>
  <si>
    <t xml:space="preserve">vol1_s000621</t>
  </si>
  <si>
    <t xml:space="preserve">vol1_s000621_t01_073765598634</t>
  </si>
  <si>
    <t xml:space="preserve">Middle son (Thado Min Saw)</t>
  </si>
  <si>
    <t xml:space="preserve">သားတော်အလတ်ကို သတိုး မင်းစော ဟူသော အမည်ကို ပေးတော်မူသည်။</t>
  </si>
  <si>
    <t xml:space="preserve">He gave his middle son the name Thado Min Saw.</t>
  </si>
  <si>
    <t xml:space="preserve">vol1_s000622</t>
  </si>
  <si>
    <t xml:space="preserve">vol1_s000622_t01_ebe09eead986</t>
  </si>
  <si>
    <t xml:space="preserve">Younger brother (Thado Thinkhaya Thu)</t>
  </si>
  <si>
    <t xml:space="preserve">ညီတော်ကို သတိုးသိင်္ခသူ ဟူသော အမည်ကို ပေးတော်မူသည်။</t>
  </si>
  <si>
    <t xml:space="preserve">He gave his younger brother the name Thado Thinkhaya Thu.</t>
  </si>
  <si>
    <t xml:space="preserve">vol1_s000623</t>
  </si>
  <si>
    <t xml:space="preserve">vol1_s000623_t01_21e5c2df2c81</t>
  </si>
  <si>
    <t xml:space="preserve">Thanat Wun Min Kyaw Pyan Chi (Min Hla Min Khaung Kyaw)</t>
  </si>
  <si>
    <t xml:space="preserve">သေနတ်ဝန် မင်းကျော်ပျံချီကို မင်းလှမင်းခေါင်ကျော်၊ မင်းလှရွှေတောင်ကို မင်းလှမင်းခေါင်ဘွဲ့ တပ်တော်မူသည်။</t>
  </si>
  <si>
    <t xml:space="preserve">He bestowed the title Min Hla Min Khaung Kyaw upon the Thanat Wun Min Kyaw Pyan Chi, and the title Min Hla Min Khaung upon Min Hla Shwe Taung.</t>
  </si>
  <si>
    <t xml:space="preserve">vol1_s000623_t02_a5956db205e8</t>
  </si>
  <si>
    <t xml:space="preserve">Min Hla Shwe Taung (Min Hla Min Khaung)</t>
  </si>
  <si>
    <t xml:space="preserve">vol1_s000624</t>
  </si>
  <si>
    <t xml:space="preserve">vol1_s000624_t01_0fa5f5e2ee61</t>
  </si>
  <si>
    <t xml:space="preserve">Banya Uparaja</t>
  </si>
  <si>
    <t xml:space="preserve">Royal court</t>
  </si>
  <si>
    <t xml:space="preserve">ကွေ့ ဂုဏ္ဏအိန်ကို အောင်တော်မူခြင်း ယင်းသောအခါ တောင်ငူရာဇာ အမှုထမ်း ဗညားဥပရာဇာဆိုသူလည်း ရွှေစက်တော်အောက်ရောက်၍ အမှုတော်ကို ထမ်းရ၏။</t>
  </si>
  <si>
    <t xml:space="preserve">Regarding the conquest of Kway Gun Ein, at that time, a person named Banya Uparaja, who was a servant of the Taungoo Raja, also arrived at the foot of the Sacred Footprint to perform his duties.</t>
  </si>
  <si>
    <t xml:space="preserve">vol1_s000625</t>
  </si>
  <si>
    <t xml:space="preserve">vol1_s000625_t01_1dfb741a7037</t>
  </si>
  <si>
    <t xml:space="preserve">Prophecy</t>
  </si>
  <si>
    <t xml:space="preserve">CLAIMED_LEGITIMACY_FOR</t>
  </si>
  <si>
    <t xml:space="preserve">Kway Gun Ein</t>
  </si>
  <si>
    <t xml:space="preserve">The Burmese makes Guna Ein the speaker of a prophecy about one of three leaders becoming king. The following page says Moksobo has established the throne and will attack him. It is not a prophecy legitimating Guna Ein's own kingship.</t>
  </si>
  <si>
    <t xml:space="preserve">Guna Ein | INVOKED_PROPHECY_WHILE_RECOGNIZING | Moksobo ruler's kingship</t>
  </si>
  <si>
    <t xml:space="preserve">ကွေ့ ဂုဏ္ဏအိန်ကလည်း ဖိုသုံးဖိုတွင် တစ်ဖိုမင်းဖြစ်မည် သိုက်ရှိသည်- ဟူ၍လည်း သူတို့ ပြောဆိုကြ သည်။</t>
  </si>
  <si>
    <t xml:space="preserve">They also said that there was a prophecy that Kway Gun Ein would become king in one of the three furnaces.</t>
  </si>
  <si>
    <t xml:space="preserve">vol1_s000754</t>
  </si>
  <si>
    <t xml:space="preserve">vol1_s000754_t01_3b932770174d</t>
  </si>
  <si>
    <t xml:space="preserve">Thado_Min_Saw</t>
  </si>
  <si>
    <t xml:space="preserve">RECEIVED_REPORT_ON</t>
  </si>
  <si>
    <t xml:space="preserve">Mon_military_vulnerability</t>
  </si>
  <si>
    <t xml:space="preserve">ယင်းသို့သော် မွန်တို့ နေနိုင်မည်မဟုတ်ဟု လျှောက်သောအရေးကို သားတော်သတိုးမင်းစော ကြားတော်မူလျှင် ဗိုလ်မင်းတို့ ဆိုကြသော အရေးလည်း စစ်ရေး ချည်းပင် ဖြစ်ပေသည်။</t>
  </si>
  <si>
    <t xml:space="preserve">When the son, Thado Min Saw, heard the report stating that the Mons would not be able to remain, the matter that the commanders spoke of was indeed purely a military affair.</t>
  </si>
  <si>
    <t xml:space="preserve">vol1_s000754_t02_3f085b6f43b0</t>
  </si>
  <si>
    <t xml:space="preserve">Konbaung_commanders</t>
  </si>
  <si>
    <t xml:space="preserve">DEFINED_SITUATION_AS</t>
  </si>
  <si>
    <t xml:space="preserve">purely_military_affair</t>
  </si>
  <si>
    <t xml:space="preserve">Thado Min Saw, after hearing the commanders, calls their proposals military strategy. The triple assigns that evaluative utterance to the commanders instead.</t>
  </si>
  <si>
    <t xml:space="preserve">Thado Min Saw | ACKNOWLEDGED_AS_MILITARY_STRATEGY | commanders' proposals</t>
  </si>
  <si>
    <t xml:space="preserve">vol1_s000755</t>
  </si>
  <si>
    <t xml:space="preserve">vol1_s000755_t01_6646fda4de65</t>
  </si>
  <si>
    <t xml:space="preserve">Mon_leadership</t>
  </si>
  <si>
    <t xml:space="preserve">Banya_Ein</t>
  </si>
  <si>
    <t xml:space="preserve">သို့ရာတွင် မွန်တို့က ရံလာသမျှတပ်တွင် ဗညားအေဉ်၊ ဗညားကျော်တို့ကို လေးထောင့်ဝဲ ညောင်စဉ်က စစ်ခေါင်းထားလေသည်။</t>
  </si>
  <si>
    <t xml:space="preserve">However, among all the troops the Mons had brought to surround [the city], they had placed Banya Ein and Banya Kyaw as the military leaders at the Le-daung-we Nyaung-zin.</t>
  </si>
  <si>
    <t xml:space="preserve">vol1_s000755_t02_092e05be629d</t>
  </si>
  <si>
    <t xml:space="preserve">Banya_Kyaw</t>
  </si>
  <si>
    <t xml:space="preserve">vol1_s000755_t03_95c4988e97a0</t>
  </si>
  <si>
    <t xml:space="preserve">Banya_Ein_and_Banya_Kyaw</t>
  </si>
  <si>
    <t xml:space="preserve">COMMANDED_TROOPS_AT</t>
  </si>
  <si>
    <t xml:space="preserve">Le_daung_we_Nyaung_zin</t>
  </si>
  <si>
    <t xml:space="preserve">vol1_s000756</t>
  </si>
  <si>
    <t xml:space="preserve">vol1_s000756_t01_1ff1d0356900</t>
  </si>
  <si>
    <t xml:space="preserve">Konbaung_leadership</t>
  </si>
  <si>
    <t xml:space="preserve">PLANNED_TACTICAL_STRIKE_AGAINST</t>
  </si>
  <si>
    <t xml:space="preserve">Banya_Ein_and_Banya_Kyaw_troops</t>
  </si>
  <si>
    <t xml:space="preserve">သည်နှစ်တပ်ပျက်လျှင် တစ်ပါးတပ် ရွံ့လိမ့်မည်ဆိုသည့်အတိုင်း ယခုပင် ထွက်၍ မွန်တို့ စစ်ခေါင်းကို ဖြတ်မည်။</t>
  </si>
  <si>
    <t xml:space="preserve">According to the saying that if these two troops were destroyed, the other troops would be afraid, [we] will go out right now and cut off the Mons' military leaders.</t>
  </si>
  <si>
    <t xml:space="preserve">vol1_s000756_t02_708128c51540</t>
  </si>
  <si>
    <t xml:space="preserve">Destruction_of_enemy_commanders</t>
  </si>
  <si>
    <t xml:space="preserve">INTENDED_TO_CAUSE</t>
  </si>
  <si>
    <t xml:space="preserve">fear_in_remaining_Mon_troops</t>
  </si>
  <si>
    <t xml:space="preserve">vol1_s000757</t>
  </si>
  <si>
    <t xml:space="preserve">vol1_s000757_t01_e4ee8740ef5d</t>
  </si>
  <si>
    <t xml:space="preserve">PLANNED_TO_ATTACK</t>
  </si>
  <si>
    <t xml:space="preserve">Mon_main_force_at_New_Palace</t>
  </si>
  <si>
    <t xml:space="preserve">စစ်ခေါင်းပြတ်လျှင် မြို့ အနောက် နန်းတော်သစ်က စွဲရပ်သည့် စစ်ခါးကို ချိုးမည်၊ သည်ကဲ့သို့ လုပ်ကြံသည်ကို မွန်တို့က စစ်ခြေကြွလျှင်လည်း လိုက်၍ တိုက်မည်။</t>
  </si>
  <si>
    <t xml:space="preserve">Once the military leaders are cut off, [we] will break the military waist [the main force] that is stationed at the New Palace to the west of the city; if the Mons advance their military feet [infantry] to retaliate against this operation, [we] will follow and attack them.</t>
  </si>
  <si>
    <t xml:space="preserve">vol1_s000757_t02_a0246f52c291</t>
  </si>
  <si>
    <t xml:space="preserve">PLANNED_COUNTER_ATTACK_AGAINST</t>
  </si>
  <si>
    <t xml:space="preserve">Mon_infantry_advancement</t>
  </si>
  <si>
    <t xml:space="preserve">vol1_s000758</t>
  </si>
  <si>
    <t xml:space="preserve">vol1_s000758_t01_43c2a2b44c17</t>
  </si>
  <si>
    <t xml:space="preserve">King_Alaungpaya</t>
  </si>
  <si>
    <t xml:space="preserve">ISSUED_ORDER_TO_ATTACK</t>
  </si>
  <si>
    <t xml:space="preserve">The continuing besieged-Ava episode concerns Prince Thado Min Saw. His father Alaungpaya is elsewhere and is explicitly reintroduced only in the new naval-campaign section. The triple attributes the prince's action to the king.</t>
  </si>
  <si>
    <t xml:space="preserve">Replace King_Alaungpaya with Prince Thado Min Saw; retain the action.</t>
  </si>
  <si>
    <t xml:space="preserve">မွန်တို့ စစ်ခြေမကြွလျှင် လည်း မြို့နှင့်အလုံခံ၍ နေမြဲနေမည်ဟု အမိန့်တော်ရှိလျှင် မင်းလှကျော်သူ၊ မင်းလှမင်းခေါင်၊ တောင်တွင်းဗိုလ် မင်းလှငယ် စသော ဗိုလ်မှူးတို့ ညီ၍ ယင်းသည့်နေ့ ညဉ့်သုံးချက်တီးကျော် အချိန်တွင် မြို့ ရှေ့ သာစည်တံခါးက ထွက်တော်မူ ၍ လေးထောင့်ဝဲ ဗညားအေဉ်တပ်ကို တိုက်တော်မူသည်။</t>
  </si>
  <si>
    <t xml:space="preserve">If the Mons do not advance their military feet, [we] will remain defending the city as usual; upon this royal order, commanders such as Minhla Kyawthu, Minhla Minhkaung, and the Taungdwin commander Minhla Nge gathered, and at a time past three strokes of the night bell that same day, [the King] exited through the Thazi Gate in front of the city and attacked the Le-daung-we Banya Ein troop.</t>
  </si>
  <si>
    <t xml:space="preserve">vol1_s000758_t02_9d9d188ba9bd</t>
  </si>
  <si>
    <t xml:space="preserve">Minhla_Kyawthu_Minhla_Minhkaung_Taungdwin_commander_Minhla_Nge</t>
  </si>
  <si>
    <t xml:space="preserve">EXECUTED_ROYAL_ORDER_BY</t>
  </si>
  <si>
    <t xml:space="preserve">attacking_Le_daung_we_Banya_Ein_troop</t>
  </si>
  <si>
    <t xml:space="preserve">vol1_s000759</t>
  </si>
  <si>
    <t xml:space="preserve">vol1_s000759_t01_36daa0d1c863</t>
  </si>
  <si>
    <t xml:space="preserve">DESTROYED</t>
  </si>
  <si>
    <t xml:space="preserve">Banya_Ein_troop</t>
  </si>
  <si>
    <t xml:space="preserve">တစ်မုဟုတ်ချင်း တပ်လုံးဖြဖြ ပျက်လေ၏။</t>
  </si>
  <si>
    <t xml:space="preserve">In an instant, the entire troop was completely destroyed.</t>
  </si>
  <si>
    <t xml:space="preserve">vol1_s000760</t>
  </si>
  <si>
    <t xml:space="preserve">vol1_s000760_t01_2e032231cfcb</t>
  </si>
  <si>
    <t xml:space="preserve">Banya_Kyaw_troop</t>
  </si>
  <si>
    <t xml:space="preserve">ဗညားအေဉ်တပ် ပျက်လျှင် ဗညားကျေဉ်တပ်ကို တိုက်ပြန်သည်၊ ပျက်ပြန်လေ၏။</t>
  </si>
  <si>
    <t xml:space="preserve">When the Banya Ein troop was destroyed, [he] attacked the Banya Kyaw troop in turn, and it was destroyed as well.</t>
  </si>
  <si>
    <t xml:space="preserve">vol1_s000761</t>
  </si>
  <si>
    <t xml:space="preserve">vol1_s000761_t01_700324596588</t>
  </si>
  <si>
    <t xml:space="preserve">POSSESSED_SUPERIOR_MILITARY_RESOURCES</t>
  </si>
  <si>
    <t xml:space="preserve">elephants_horses_warriors_weaponry</t>
  </si>
  <si>
    <t xml:space="preserve">ဗညားအေဉ်, ဗညားကျော်တို့ အကွပ်အညှပ် ကောင်းလှသောကြောင့် ရုံးမြဲ ရုံးမိပြန်သည်နှင့် ဆင်ကောင်း မြင်းကောင်း သူရဲကောင်း လက်နက် ကိရိယာ ထူထပ်လှ၍ မတိုးမနိုင် ဆုတ်တော်မူရချေ၏။</t>
  </si>
  <si>
    <t xml:space="preserve">Because Banya Ein and Banya Kyaw had excellent command and control, they were able to rally again, and because they had abundant fine elephants, fine horses, warriors, and weaponry, [the King] was unable to push through and had to retreat.</t>
  </si>
  <si>
    <t xml:space="preserve">vol1_s000761_t02_a0fb0aa1cb5a</t>
  </si>
  <si>
    <t xml:space="preserve">EXERCISED_EFFECTIVE_COMMAND_AND_CONTROL</t>
  </si>
  <si>
    <t xml:space="preserve">Mon_troops</t>
  </si>
  <si>
    <t xml:space="preserve">vol1_s000761_t03_4bf9d1de0f6b</t>
  </si>
  <si>
    <t xml:space="preserve">Mon_military_strength</t>
  </si>
  <si>
    <t xml:space="preserve">vol1_s000762</t>
  </si>
  <si>
    <t xml:space="preserve">vol1_s000762_t01_97355ea9ce96</t>
  </si>
  <si>
    <t xml:space="preserve">Mon_troop_at_New_Palace</t>
  </si>
  <si>
    <t xml:space="preserve">နောက်တစ်ကြိမ် အနောက်မျက်နှာ စံရာတံခါးက ထွက်၍ နန်းတော်သစ်တွင် ရံသည့်တပ်ကို တိုက်တော်မူပြန်သည်၊ လူနှစ်သောင်းကျော် သုံးသောင်း ပြောင်းသေနတ် ထူထပ်လှသောကြောင့် မပြိုမပျက်နိုင်၍ ဆုတ်တော်မူရချေသည်။</t>
  </si>
  <si>
    <t xml:space="preserve">Another time, [he] exited through the western San-ya Gate and attacked the troop surrounding the New Palace again, but because there were over twenty to thirty thousand men and abundant muskets, [the troop] could not be broken or destroyed, and [he] had to retreat.</t>
  </si>
  <si>
    <t xml:space="preserve">vol1_s000762_t02_c9533c9aa990</t>
  </si>
  <si>
    <t xml:space="preserve">POSSESSED_SUPERIOR_NUMERICAL_STRENGTH</t>
  </si>
  <si>
    <t xml:space="preserve">twenty_to_thirty_thousand_men</t>
  </si>
  <si>
    <t xml:space="preserve">vol1_s000762_t03_fc02794ee42e</t>
  </si>
  <si>
    <t xml:space="preserve">Mon_defensive_strength</t>
  </si>
  <si>
    <t xml:space="preserve">vol1_s000763</t>
  </si>
  <si>
    <t xml:space="preserve">vol1_s000763_t01_317d881bbb4a</t>
  </si>
  <si>
    <t xml:space="preserve">CONDUCTED_REPEATED_TACTICAL_TESTS_AGAINST</t>
  </si>
  <si>
    <t xml:space="preserve">ယင်းသို့ နှစ်ကြိမ်၊ သုံးကြိမ် ချက်တစ်ဖြုတ် ထွက်၍ စစ်ရေးစမ်းတော်မူသော်လည်း မွန်တို့က ဗိုလ်ပါအင်အား များပြားထူထပ်လှသောကြောင့် မှော်တော၌ ကျွဲတိုးသကဲ့သို့ ထပ်တုံတလဲလဲ မကွဲမပြိုနိုင်၍ မြို့နှင့်သာ အလုံခံတော် မူရချေ၏။</t>
  </si>
  <si>
    <t xml:space="preserve">Although [he] exited and tested the military situation in this way two or three times, because the Mons had such numerous and dense military forces, [he] could not break or scatter them, just like a buffalo pushing into a dense forest, and had to remain defending the city.</t>
  </si>
  <si>
    <t xml:space="preserve">vol1_s000763_t02_f4ab31230547</t>
  </si>
  <si>
    <t xml:space="preserve">MAINTAINED_DEFENSIVE_STALEMATE_AGAINST</t>
  </si>
  <si>
    <t xml:space="preserve">vol1_s000764</t>
  </si>
  <si>
    <t xml:space="preserve">vol1_s000764_t01_fb7e0fec4111</t>
  </si>
  <si>
    <t xml:space="preserve">Thazi_Nga_Aung_Nge</t>
  </si>
  <si>
    <t xml:space="preserve">two_Mon_horses</t>
  </si>
  <si>
    <t xml:space="preserve">ယင်းသောအခါ သာစည် ငအောင်ငယ်လည်း မြို့အနောက် ကုန်းရိုးသို့ တစ်ယောက်ချင်းထွက်၍ မွန်တို့ မြင်းနှစ်စီးကို ဖမ်းယူခဲ့ရာ ပြောင်းသင့်၍ မြို့တွင်းရောက်လျှင် ဆုံးချေ၏။</t>
  </si>
  <si>
    <t xml:space="preserve">At that time, Thazi Nga Aung Nge also went out alone to the ridge west of the city and captured two Mon horses, but because he was shot by a musket, he died upon reaching inside the city.</t>
  </si>
  <si>
    <t xml:space="preserve">vol1_s000764_t02_c0d2cff1acf1</t>
  </si>
  <si>
    <t xml:space="preserve">DIED_FROM</t>
  </si>
  <si>
    <t xml:space="preserve">musket_wound</t>
  </si>
  <si>
    <t xml:space="preserve">vol1_s000765</t>
  </si>
  <si>
    <t xml:space="preserve">vol1_s000765_t01_dce12d435c94</t>
  </si>
  <si>
    <t xml:space="preserve">MOBILIZED_MILITARY_RESOURCES</t>
  </si>
  <si>
    <t xml:space="preserve">one_hundred_elephants_one_thousand_horses_ten_thousand_warriors</t>
  </si>
  <si>
    <t xml:space="preserve">မွန်ရေတပ်ကို တိုက်ခိုက်အောင်မြင်ခြင်း ဘဝရှင် အလောင်းမင်းတရားကြီး ဘုရားလည်း ဆင်တစ်ရာ၊ မြင်းတစ်ထောင်၊ စစ်သည်သူရဲ တစ်သောင်းနှင့် မင်းဧကရာဇ်တို့ တင့်တယ်စံပယ်တော်မူခြင်းဖြင့် စည်တော်ရွမ်းလျက် အရှေ့မျက်နှာ ဆင်ဖြူ တံခါးက ထွက်တော်မူ၍ ကျောက်မြောင်းမြို့ရောက် ချီတော်မူပြီးလျှင် ခန့်ရန်စည်းကြပ်တော်မူသည်ကား...သူရဲသူခက် ရဲမက်တော်အပေါင်း တွင် မောက်မာသန်စွမ်း ကြမ်းတမ်း ရဲရင့်သော သူရဲကောင်း တစ်ထောင့်ငါးရာ ရွေးကောက်တော်မူပြီးလျှင် တစ်ဆယ့်ကိုးလံရှိသော မှိုင်းသဲသဲ ရဲလှေတော်ကြီးနှင့်တကွ လှေပေါင်း သုံးဆယ့်ခြောက်စင်းတွင် ရဲစက်ကျော်ခေါင် တစ်စင်း၊ ရဲကျော်သူရ တစ်စင်း၊ နုရာသိင်္ခကျော် တစ်စင်း၊ ရန်အောင်သေန တစ်စင်း၊ ရန်ခွင်းကျော်သူ တစ်စင်း၊ ရဲစက်ပျံချီ တစ်စင်း၊ သီရိပျံချီ တစ်စင်း၊ လက်ယာပျံချီ တစ်စင်း၊ ဘယကျော်ထင် တစ်စင်း၊ နန္ဒကျော်ထင် တစ်စင်း၊ ဇေယကျော်သူ တစ်စင်း၊ ငွေတောင်လှကျော် တစ်စင်း၊ တုရင်ဗလ တစ်စင်း၊ လက်ယာကြံသိုင်း တစ်စင်း၊ နန္ဒယော်ဓာ တစ်စင်း၊ နန္ဒသီဟ တစ်စင်း၊ စစ်ကောင်းသီရိ တစ်စင်း၊ အင်းယဉ်တုရင် တစ်စင်း၊ ဗန္ဓုသေနကျော် တစ်စင်း၊ တုလွတ်ကျော် တစ်စင်း၊ အိန္ဒဗညား တစ်စင်း၊ နရာပျံချီကျော် တစ်စင်း၊ လက်ယာဘီလူး တစ်စင်း၊ နန္ဒကျော်ထင် တစ်စင်း၊ ဥဒိန်ရန်နိုင် တစ်စင်း၊ ရန်နိုင်သီရိ တစ်စင်း၊ ရဲခေါင်စံကျော် တစ်စင်း၊ ဗားရားကြီး တစ်စင်း၊ မင်းကြီးကျော်စွာ တစ်စင်း၊ သည်နှစ်ဆယ့်ကိုးစင်းမှာ လှေတစ်စင်းလျှင် သူရဲသုံးကျိပ်စီ တင်တော် မူသည်။</t>
  </si>
  <si>
    <t xml:space="preserve">Regarding the victory in attacking the Mon navy, the Lord of Life, Alaungmintaya Gyi Phaya, with one hundred elephants, one thousand horses, and ten thousand warriors, and with the splendor of an emperor, had the royal drums sounded and exited through the eastern Sin-phyu Gate; after marching to reach Kyaukmyaung city, he made preparations and organized [the forces] as follows: out of all the warriors and soldiers, he selected one thousand five hundred fierce, strong, rough, and brave warriors, and along with the nineteen-wa long, dark-colored royal war boat, among the thirty-six boats in total, [he assigned] one [boat named] Yezet Kyawkaung, one Yekyaw Thura, one Nura Thinkha Kyaw, one Yan Aung Thena, one Yankwin Kyawthu, one Yezet Pyanchi, one Thiri Pyanchi, one Letya Pyanchi, one Baya Kyawhtin, one Nanda Kyawhtin, one Zeya Kyawthu, one Ngwe Taung Hla Kyaw, one Tuyin Bala, one Letya Kyanthine, one Nanda Yawda, one Nanda Thiha, one Sitkaung Thiri, one Inyin Tuyin, one Bandu Thena Kyaw, one Tulut Kyaw, one Inda Banya, one Nara Pyanchi Kyaw, one Letya Bilu, one Nanda Kyawhtin, one Udein Yan Naing, one Yan Naing Thiri, one Yekhaung San Kyaw, one Baragyi, and one Mingyi Kyawswa; for these twenty-nine boats, he ordered thirty warriors to be loaded onto each boat.</t>
  </si>
  <si>
    <t xml:space="preserve">vol1_s000765_t02_14040f20e020</t>
  </si>
  <si>
    <t xml:space="preserve">SELECTED_ELITE_FORCE</t>
  </si>
  <si>
    <t xml:space="preserve">one_thousand_five_hundred_warriors</t>
  </si>
  <si>
    <t xml:space="preserve">vol1_s000765_t03_d6840ba469ad</t>
  </si>
  <si>
    <t xml:space="preserve">ORGANIZED_NAVAL_FLEET</t>
  </si>
  <si>
    <t xml:space="preserve">thirty_six_war_boats</t>
  </si>
  <si>
    <t xml:space="preserve">vol1_s000765_t04_d05f67f683c4</t>
  </si>
  <si>
    <t xml:space="preserve">ASSIGNED_PERSONNEL_TO_BOATS</t>
  </si>
  <si>
    <t xml:space="preserve">thirty_warriors_per_boat</t>
  </si>
  <si>
    <t xml:space="preserve">vol1_s000872</t>
  </si>
  <si>
    <t xml:space="preserve">vol1_s000872_t01_614b11a920cb</t>
  </si>
  <si>
    <t xml:space="preserve">Nga Tha Aung</t>
  </si>
  <si>
    <t xml:space="preserve">ASSERTED_LEGITIMACY_OF</t>
  </si>
  <si>
    <t xml:space="preserve">“ဘုန်းတော် အလွန်ကြီးမြတ်တော်မူသော ဘဝရှင်အလောင်းမင်းတရားကြီးဘုရားသည် သာသနဒါယကာ မဟာဓမ္မရာဇ် ဖြစ်တော် မူထိုက်သည် မှန်၍ ရာမညတိုင်း မွန်သုံးရပ်ကို အောင်မြင်တော်မူမည်မှန်လျှင် ဤပူဇော်သော ပန်းပေါက်ပေါက်သည် သရီရ ဓာတ်တော် မွေတော်မြတ်တို့၏ ကိန်းဝပ်တော်မူရာ ဆံတော်ရှင်ဘုရား ရင်ပြင်တော်တွင် အထင်အရှား ရောက်သည် ဖြစ်စေသော” ဟု ဓိဋ္ဌာန်၍ များစွာသော ပန်းပေါက်ပေါက်တို့ကို လူခပ်သိမ်းတို့အလယ် ကောင်းကင်သို့ ကြဲမြှောက်လျှင် ပျားပိတုန်းကဲ့သို့ ပျံဝဲ၍ သုဒဿနတောင်ထိပ် ဆံတော်ရှင်ဘုရား စေတီရင်ပြင်တော်တွင် တည်လေ၏။</t>
  </si>
  <si>
    <t xml:space="preserve">Praying, “If it is true that the most glorious Lord Alaungmintaya is worthy of being a supporter of the Sasana and a great righteous king, and if it is true that he will conquer the three Mon regions of Ramanya, then may these popped rice grains offered here clearly reach the courtyard of the Sandawshin Pagoda, where the sacred relics of the Buddha are enshrined,” he scattered and threw many popped rice grains into the sky amidst all the people, and they flew like bees and hornets and landed on the courtyard of the Sandawshin Pagoda stupa at the summit of Mount Sudassana.</t>
  </si>
  <si>
    <t xml:space="preserve">vol1_s000872_t02_a5ac716c8009</t>
  </si>
  <si>
    <t xml:space="preserve">IDENTIFIED_AS</t>
  </si>
  <si>
    <t xml:space="preserve">vol1_s000872_t03_e1f6a85ce416</t>
  </si>
  <si>
    <t xml:space="preserve">Conqueror of Ramanya</t>
  </si>
  <si>
    <t xml:space="preserve">The central legitimating claim is present, but the Burmese predicts and ritually tests future conquest; the tag Conqueror of Ramanya loses that prospective qualification.</t>
  </si>
  <si>
    <t xml:space="preserve">Alaungmintaya | PROPHECIED_TO_CONQUER | Ramanya</t>
  </si>
  <si>
    <t xml:space="preserve">vol1_s000872_t04_b129773d0485</t>
  </si>
  <si>
    <t xml:space="preserve">Divine sign</t>
  </si>
  <si>
    <t xml:space="preserve">VALIDATED_STATUS_OF</t>
  </si>
  <si>
    <t xml:space="preserve">vol1_s000873</t>
  </si>
  <si>
    <t xml:space="preserve">vol1_s000873_t01_d8d07ca088fc</t>
  </si>
  <si>
    <t xml:space="preserve">People of Prome</t>
  </si>
  <si>
    <t xml:space="preserve">REQUESTED_MILITARY_INTERVENTION_FROM</t>
  </si>
  <si>
    <t xml:space="preserve">ထိုအကြောင်းကို ပြည်သား ပြည်သူ ရှင်လူအပေါင်းတို့ မြင်ရာတွင်မှ ဝမ်းမြောက်ဝမ်းသာ အညာက အလျင်အမြန် တပ်တော်ဆိုက်ရောက်ပါမည့်အကြောင်း ဆုတောင်းဆုယူ ပြု၍ သတိုးကျော်သူ၊ ရမ္မသီရိ၊ စလေဝန်၊ ပုခန်းငယ်မြို့ သူကြီးတို့က ပြည်မြို့ကို မွန်တို့ ကြည်းတပ် ရေတပ် အထပ်ထပ် ငန်းရံကြောင်း၊ မကွေး မလွန်တိုင်အောင် မွန်တို့က ဆန်တက်ကြောင်း၊ အာကာရွှေတောင် ဆုံးကြောင်း၊ နေပြည်တော်က အလျင်အမြန် တပ်တော် စုန်ဆင်း လာပါမည့် အကြောင်းများနှင့် ဘဝရှင် အလောင်းမင်းတရားကြီးဘုရားသို့ ရှိခိုးသံတော်ဦးတင် စေလွှတ်ရလေ၏။</t>
  </si>
  <si>
    <t xml:space="preserve">Upon seeing this, all the people and residents of Prome were overjoyed and, after praying and making vows for the royal army to arrive quickly from the north, they sent Thado Kyawthu, Ramathiri, the Salin Wun, and the town headmen of Pukan-nge to submit a report to the Lord Alaungmintaya, stating that the Mon had surrounded Prome with successive land and naval forces, that the Mon had advanced as far as Magway and Malun, that they had reached the end of Aka Shwetaung, and requesting that the royal army descend quickly from the capital.</t>
  </si>
  <si>
    <t xml:space="preserve">vol1_s000873_t02_36d2b3845383</t>
  </si>
  <si>
    <t xml:space="preserve">Thado Kyawthu, Ramathiri, Salin Wun, Pukan-nge headmen</t>
  </si>
  <si>
    <t xml:space="preserve">ACTED_AS_ENVOYS_FOR</t>
  </si>
  <si>
    <t xml:space="preserve">These leaders send a report and messengers, rather than necessarily going themselves as envoys. Their representative role is genuine. The office စလေဝန် is Salay/Sale Wun, not Salin Wun.</t>
  </si>
  <si>
    <t xml:space="preserve">Thado Kyawthu, Ramathiri, Salay Wun and Pukan-nge headmen | SENT_REPORT_AND_RELIEF_REQUEST_TO | Alaungmintaya</t>
  </si>
  <si>
    <t xml:space="preserve">vol1_s000873_t03_d1cf26671cef</t>
  </si>
  <si>
    <t xml:space="preserve">BESIEGED</t>
  </si>
  <si>
    <t xml:space="preserve">vol1_s000873_t04_9312fa799d91</t>
  </si>
  <si>
    <t xml:space="preserve">ADVANCED_TO</t>
  </si>
  <si>
    <t xml:space="preserve">Magway and Malun</t>
  </si>
  <si>
    <t xml:space="preserve">vol1_s000874</t>
  </si>
  <si>
    <t xml:space="preserve">vol1_s000874_t01_0fb9cfde3547</t>
  </si>
  <si>
    <t xml:space="preserve">ASSESSED_THREAT_OF</t>
  </si>
  <si>
    <t xml:space="preserve">Mon siege</t>
  </si>
  <si>
    <t xml:space="preserve">ဘဝရှင် အလောင်းမင်းတရားကြီးဘုရားလည်း အကြောင်းမျိုးကို ကြားသိတော်မူလျှင် အမိန့်တော်ရှိသည် ကား.....ယခု ဟံသာဝတီက မွန်တို့ စစ်အားကြီး ချီလာ၍ ပြည်မြို့ကို ဝန်းရံသည်မှာ သားတော် ညီတော် ဗိုလ်မှူး တပ်မှူးတို့နှင့်သာ အပေါ့အလျော့ လုပ်ကြံရမည့်အရာ မဟုတ်ချေ။</t>
  </si>
  <si>
    <t xml:space="preserve">When the Lord Alaungmintaya heard of these matters, he issued an order: “The current situation where the Mon from Hanthawaddy have advanced with great military strength and surrounded Prome is not a matter that can be handled lightly by my sons, younger brothers, commanders, and troop leaders alone.</t>
  </si>
  <si>
    <t xml:space="preserve">vol1_s000874_t02_cc1e19c70da2</t>
  </si>
  <si>
    <t xml:space="preserve">REJECTED_DELEGATION_OF</t>
  </si>
  <si>
    <t xml:space="preserve">Military command</t>
  </si>
  <si>
    <t xml:space="preserve">vol1_s000875</t>
  </si>
  <si>
    <t xml:space="preserve">vol1_s000875_t01_aee2186f1797</t>
  </si>
  <si>
    <t xml:space="preserve">CLAIMED_DIVINE_SUPPORT_FOR</t>
  </si>
  <si>
    <t xml:space="preserve">Military victory</t>
  </si>
  <si>
    <t xml:space="preserve">ငါကိုယ်တော်တိုင် ချီသွားလုပ်ကြံရမှ အရေးတော် ပြီးလွယ်မည့်အရာ ဖြစ်ချေသည်၊ အကြောင်းမူကား-ငါ့ဘုန်းတော်အား သိကြားနတ်တို့ ကူညီ၍ မရည်ပဲလျက် အလိုလို အရေးတော်ပြီးနှင့်သောကြောင့် ပြည်မြို့ ကို ငါတို့ကရလျှင် မွန်တို့ အားလျော့လေပြီ၊ သို့ကိုလျက် အပေါ့ အလျော့ ပြုချေ၍ ပြည်မြို့ ကို သူက ရပြန်ချေလျှင် ရှေ့သို့ လုပ်ရေး ကြံရေး ရှည်ချိမ့်မည်၊ အရေးတော် ပြီးကုန် လျှင် ဟံသာဝတီတိုင်အောင် ချီတော်မူမည်၊ သို့ရာတွင် အရှေ့ရှမ်းပြည်နယ် တစ်လွှားလည်း မပျပ်မဝပ်လေသေး၊ ဝေးသောအရပ်သို့ ခွာ၍ ချီတော်မူရလျှင် နေပြည်တော်မှာ အရေးတော်ကို မမြင်နိုင်ချေ၊ ယင်းသို့ဖြစ်၍ ယမန် တွင် ရွှေတောင်စားငယ်လည်း ငါ့ကျေးဇူးသစ္စာတော်ကို မထောက်၊ ကွေ့ တပ်သို့ပြေးဝင်၍ ကွေ့ တပ်ပျက်လျှင် ကျိုင်းတောင်းမြို့ သို့ ပြေးဝင်ခိုမှီနေကြောင်းနှင့် ငါကြားတော်မူရသည်၊ သေနတ်ဝန် အလုံးအရင်းနှင့် ချီသွားပြီးလျှင် ရွှေတောင်စားကိုလည်း ရအောင် ဖမ်းခဲ့ရမည်၊ မိုးနဲ၊ ညောင်ရွှေ၊ တီကျစ်၊ စကား၊ ကျိုင်းတောင်း၊ ကျိုင်းခန်း စသော စော်ဘွား မြို့စား အပေါင်းတို့ကိုလည်း သစ္စာတော် ပေးခဲ့ရမည်ဟု အမိန့်တော်ရှိ၍ သေနတ်ဝန် မင်းလှ မင်းခေါင်ကျော် ချီရလေ၏။</t>
  </si>
  <si>
    <t xml:space="preserve">It is a matter that will be easily resolved only if I myself march and handle it, for the reason that—because the celestial beings assist my glory, the matter is already resolved even without my intention; therefore, if we take Prome, the Mon will be weakened. If, however, we treat it lightly and they take Prome back, future plans and undertakings will be prolonged. Once the matter is resolved, I will march as far as Hanthawaddy. However, the entire Eastern Shan State has not yet submitted, and if I have to move to a distant place to march, I cannot oversee the affairs at the capital. Because of this, I have heard that in the past, the young Shwetaung-sa did not respect my grace and loyalty, fled into the Kwe army, and when the Kwe army was defeated, he fled to take refuge in the town of Kyaingtong. I must march with the full force of the musketeers and capture the Shwetaung-sa, and I must also demand oaths of allegiance from all the Sawbwas and town lords such as Mong Nai, Nyaungshwe, Tgyit, Saga, Kyaingtong, and Kyaingkhan,” he ordered, and the Musketeer Minister Minhla Minkhaung Kyaw marched.</t>
  </si>
  <si>
    <t xml:space="preserve">vol1_s000875_t02_ac0fffd30e0d</t>
  </si>
  <si>
    <t xml:space="preserve">PLANNED_CAMPAIGN_AGAINST</t>
  </si>
  <si>
    <t xml:space="preserve">vol1_s000875_t03_76458e23b7d7</t>
  </si>
  <si>
    <t xml:space="preserve">APPOINTED_TO_COMMAND</t>
  </si>
  <si>
    <t xml:space="preserve">Musketeer Minister</t>
  </si>
  <si>
    <t xml:space="preserve">vol1_s000875_t04_e56cd4ce41e7</t>
  </si>
  <si>
    <t xml:space="preserve">ORDERED_TO_CAPTURE</t>
  </si>
  <si>
    <t xml:space="preserve">Shwedaung-sa</t>
  </si>
  <si>
    <t xml:space="preserve">vol1_s000875_t05_a15bdba7308b</t>
  </si>
  <si>
    <t xml:space="preserve">ORDERED_TO_EXTRACT_OATHS_FROM</t>
  </si>
  <si>
    <t xml:space="preserve">Shan Sawbwas</t>
  </si>
  <si>
    <t xml:space="preserve">vol1_s000875_t06_79cba7499fa1</t>
  </si>
  <si>
    <t xml:space="preserve">COMMITTED_TREASON_AGAINST</t>
  </si>
  <si>
    <t xml:space="preserve">vol1_s000875_t07_c2a430c12d72</t>
  </si>
  <si>
    <t xml:space="preserve">REQUIRED_TO_SUBMIT_OATHS_TO</t>
  </si>
  <si>
    <t xml:space="preserve">vol1_s000876</t>
  </si>
  <si>
    <t xml:space="preserve">vol1_s000876_t01_719dcefcb8f3</t>
  </si>
  <si>
    <t xml:space="preserve">Minhla Sithu</t>
  </si>
  <si>
    <t xml:space="preserve">VOLUNTEERED_FOR_COMMAND_AGAINST</t>
  </si>
  <si>
    <t xml:space="preserve">ယင်းသို့မှ ဘဝရှင် အလောင်းမင်းတရားကြီးဘုရား ဟံသာဝတီသို့ ချီတော်မူမည်ကို ချီတော်မမူမီ ပြည်မြို့ အရေးကိုထောက်၍ စစ်လျင်ချီရမည် အမိန့်တော်ရှိလျှင် မင်းလှစည်သူ လျှောက်သည်ကား...ယခု မွန်တို့က လက်နက်နိုင်ငံတော်ဖြစ်သော ပြည်မြို့ကို ကြည်းဘက် ရေဘက် ချီတက် ဝန်းရံလာသည်မှာ မွန်တစ်ရာကိုသော်လည်း မြန်မာတစ်ယောက် မလောက်သည်သာဖြစ်၍ မွန်တို့ ဗိုလ်အလုံးအရင်း များလေသော်လည်း ကျွန်တော် ချီ၍ အနည်းငယ်သာ ဖြစ်သော ရဲမက်တော်တို့နှင့် စစ်ဦးဘီလူးပါ မွန်တို့ မကွေး မလွန်တိုင်အောင် ချီတက်လာသော စစ်ဦး စစ်ညွန့်ကို ရွပ်ရွပ်ချွံချွံ နှိပ်နွံ ချိုးဖျက်ပါမည်ဟု လျှောက်သည်ကို ဘဝရှင် အလောင်းမင်းတရားကြီး ဘုရား အားရတော်မူ၍ မင်းလှစည်သူကို အရေးပေးတော်မူလျှင် ဗိုလ်မှူး မင်းလှစည်သူလည်း... သက္ကရာဇ် (၁၁၁၆) တစ်ထောင့်တစ်ရာ့တစ်ဆယ့်ခြောက်ခု၊ နတ်တော်လဆန်း တစ်ဆယ့်တစ်ရက်နေ့၊ ရတနာသိင်္ဃမြို့တော်က ကျောက်မြောင်းသို့ ချီပြီးလျှင် ကျောက်မြောင်း မြို့ ဆိပ်တော်က အလျား တစ်ဆယ့်ကိုးလံ၊ လှေဝဝမ်း တစ်ဆယ့် တစ်တောင်၊ အစောက် ငါးတောင့်နှစ်မိုက်ရှိသော မှိုင်းသဲသဲ ရဲလှေတော်ကြီးတွင် တက်စွဲ လူတစ်ရာ့ငါးဆယ်၊ လက်နက်စွဲ လူတစ်ရာ့ငါးဆယ်၊ လူပေါင်း သုံးရာ၊ အမြောက် ရှစ်ဆယ်ဝင်, ခုနစ်ဆယ်ဝင်, ခြောက်ဆယ်ဝင် ဆယ်လုံး၊ ဆေး ခဲယမ်းအစုံနှင့် လှေရံ သုံးဆယ့်ခြောက်စင်းတွင် စိန်ပြောင်း တစ်ရာကျော်၊ လက်နက်ကိုင် တစ်ထောင့်ခုနစ်ရာ၊ သေနတ် ငါးရာနှင့်၊ ရဲစက်ကျော်ခေါင် တစ်တပ်၊ ရာဇကုမ္ဘဏ် တစ်တပ် စည်းကြပ်ပြီးလျှင် လှေတော် သုံးဆယ့်ခုနစ်စင်း၊ သူရဲနှစ်ထောင်နှင့်၊ နတ်တော်လဆန်း တစ်ဆယ့်သုံးရက်နေ့ ကျောက်မြောင်းဆိပ်တော် က ချီရသည်၊ သတိုးကျော်သူ, ရမ္မသီရိတို့က စေလွှတ်သူတို့တွင် မင်းလှစည်သူနှင့် လှေသုံးဆယ့်နှစ်စင်း စစ်လျင် ချီနှင့်စေကြောင်း၊ သတိုးကျော်သူ, ရမ္မသီရိတို့မှာလည်း မျိုးရိက္ခာ ဆန်စပါးများကို ကာမ, ကျောက်အိုး, ပန်းကုန်း ရွာများတွင် ထဲ့ကျီနှင့် ထားပြီးမှ လူတစ်သောင်းကျော်အနက် တစ်ဝက်လူကို အစောင့်အနေ လုံခြုံအောင် ခန့်ထားပြီးလျှင် ကျန်တစ်ဝက်လူနှင့် ပြည်မြို့ သို့ ပြန်၍ ခံနိုင်အောင် ခံနေရမည် အကြောင်းများကို အမိန့်တော်ချိပ်အိတ်တံဆိပ်နှင့် မှာတော်မူလိုက်၏။</t>
  </si>
  <si>
    <t xml:space="preserve">Thus, before the Lord Alaungmintaya marched to Hanthawaddy, he ordered a swift military march in consideration of the situation in Prome, to which Minhla Sithu submitted: “Currently, the Mon have marched and surrounded Prome, which is a royal territory of weapons, by land and water; since one Burmese is not enough for even one hundred Mon, even though the Mon have many troops, I will march and with my few soldiers, I will fiercely suppress and break the vanguard and the elite forces of the Mon who have marched as far as Magway and Malun,” he submitted, and the Lord Alaungmintaya was pleased and entrusted the matter to Minhla Sithu. When the commander Minhla Sithu... on the eleventh day of the waxing moon of Natdaw, year 1116, from the royal city of Ratanasingha, he marched to Kyaukmyaung, and from the royal landing of Kyaukmyaung, he boarded the great royal war boat, which was nineteen lan long, eleven taung wide in the hull, and five taung and two maik deep, and was equipped with one hundred and fifty men to row and one hundred and fifty men to carry weapons, totaling three hundred men, ten cannons of eighty, seventy, and sixty caliber, with a full set of gunpowder and ammunition, and with thirty-six escort boats, over one hundred swivel guns, one thousand seven hundred armed men, five hundred muskets, and organized one unit of Yezet Kyawkhaung and one unit of Razakumban, and with thirty-seven royal boats and two thousand soldiers, he marched from the Kyaukmyaung royal landing on the thirteenth day of the waxing moon of Natdaw. He sent orders with a sealed royal letter to Thado Kyawthu and Ramathiri that Minhla Sithu should march swiftly with thirty-two boats, and that Thado Kyawthu and Ramathiri should store provisions and rice in granaries in the villages of Kama, Kyauk-o, and Pankone, and after stationing half of the ten thousand men to ensure security, they should return to Prome with the remaining half and hold the position.</t>
  </si>
  <si>
    <t xml:space="preserve">vol1_s000876_t02_4bec85937d14</t>
  </si>
  <si>
    <t xml:space="preserve">vol1_s000876_t03_4a3cdb45c509</t>
  </si>
  <si>
    <t xml:space="preserve">Royal war boat</t>
  </si>
  <si>
    <t xml:space="preserve">vol1_s000876_t04_8c2f8143566a</t>
  </si>
  <si>
    <t xml:space="preserve">2000 soldiers</t>
  </si>
  <si>
    <t xml:space="preserve">vol1_s000876_t05_fdfff903feba</t>
  </si>
  <si>
    <t xml:space="preserve">ISSUED_SEALED_ORDERS_TO</t>
  </si>
  <si>
    <t xml:space="preserve">Thado Kyawthu and Ramathiri</t>
  </si>
  <si>
    <t xml:space="preserve">vol1_s000876_t06_18993b8c1334</t>
  </si>
  <si>
    <t xml:space="preserve">ORDERED_TO_MANAGE_LOGISTICS_IN</t>
  </si>
  <si>
    <t xml:space="preserve">Kama, Kyauk-o, Pankone</t>
  </si>
  <si>
    <t xml:space="preserve">vol1_s000876_t07_f53d809a5cc3</t>
  </si>
  <si>
    <t xml:space="preserve">ORDERED_TO_DEFEND</t>
  </si>
  <si>
    <t xml:space="preserve">vol1_s001137</t>
  </si>
  <si>
    <t xml:space="preserve">vol1_s001137_t01_202bba1ad484</t>
  </si>
  <si>
    <t xml:space="preserve">Hanthawaddy King</t>
  </si>
  <si>
    <t xml:space="preserve">Dagon Burmese garrison</t>
  </si>
  <si>
    <t xml:space="preserve">ရန်ကုန်မြို့ရှိ မြန်မာတပ်ကို မွန်တို့ တိုက်ရာ မအောင်မြင်ဘဲ ဆုတ်ခွာရပုံ ထိုအခါ ဟံသာဝတီဘုရင်က မြန်မာမင်းသည် ဒဂုန်မြို့ မှာ အစောင့်အနေခန့်၍ ဆန်လေပြီဟု ကြားလေလျှင် ဒဂုန်မြို့ တွင် အစောင့်အနေ ထားခဲ့သမျှ မြန်မာတို့ကို တစ်ယောက်မကျန် ဖမ်းယူရမည်ဟု တိုက်လှေကြီး ခုနစ်ရာကျော်၊ သမ္ဗန် ငါးဆယ်၊ သင်္ဘော ခုနစ်စင်းများနှင့် စစ်သူကြီး ဒလပန်းကို ရေကြောင်းက ရံစေသည်၊ မြင်းတစ်ထောင် ကျော်,စစ်သည်သူရဲ တစ်သောင်းငါးထောင်ကျော်နှင့် မတ္တရာ ဗိုလ်ပယ်ကျော်ကိုလည်း ကြည်းက ရံစေသည်။</t>
  </si>
  <si>
    <t xml:space="preserve">The manner in which the Mons attacked the Burmese army in Yangon and were forced to retreat without success; at that time, when the King of Hanthawaddy heard that the Burmese King had appointed guards in Dagon and had already departed, he ordered General Dalaban to surround [Dagon] by water with over seven hundred large war boats, fifty sampans, and seven ships, with the order that every single Burmese person left as a guard in Dagon must be captured, and he also ordered the Mattara Bo Pae Kyaw to surround [it] by land with over one thousand cavalry and over fifteen thousand soldiers and warriors.</t>
  </si>
  <si>
    <t xml:space="preserve">vol1_s001137_t02_7c878b91538a</t>
  </si>
  <si>
    <t xml:space="preserve">General Dalaban</t>
  </si>
  <si>
    <t xml:space="preserve">vol1_s001137_t03_735ca067e447</t>
  </si>
  <si>
    <t xml:space="preserve">Mattara Bo Pae Kyaw</t>
  </si>
  <si>
    <t xml:space="preserve">vol1_s001137_t04_0d7b990a12db</t>
  </si>
  <si>
    <t xml:space="preserve">COMMANDED_NAVAL_FORCE</t>
  </si>
  <si>
    <t xml:space="preserve">700 war boats, 50 sampans, 7 ships</t>
  </si>
  <si>
    <t xml:space="preserve">vol1_s001137_t05_39295057381f</t>
  </si>
  <si>
    <t xml:space="preserve">COMMANDED_LAND_FORCE</t>
  </si>
  <si>
    <t xml:space="preserve">1000 cavalry and 15000 soldiers</t>
  </si>
  <si>
    <t xml:space="preserve">vol1_s001138</t>
  </si>
  <si>
    <t xml:space="preserve">vol1_s001138_t01_f325f6c7cbb9</t>
  </si>
  <si>
    <t xml:space="preserve">CONDUCTED_SIEGE_OF</t>
  </si>
  <si>
    <t xml:space="preserve">Dagon fort</t>
  </si>
  <si>
    <t xml:space="preserve">စစ်သူကြီး ဒလပန်းလည်း ရေကြောင်းက တိုက်လှေကြီး ခုနစ်ရာကျော်၊ သမ္ဗန် ငါးဆယ်၊ သင်္ဘောခုနစ်စင်းနှင့် ပိတ်အောင်ရုံ၍ ဒီရေ တက်တိုင်း သင်္ဘောထက်က အမြောက်စိန်ပြောင်း အညံမစဲ တပ်တွင်းသို့ ပစ်လွှတ်သည်၊ ကြည်းကြောင်းက မတ္တရာဗိုလ်ပယ်ကျော်လည်း မြင်းတစ်ထောင်ကျော်, စစ်သည်သူရဲ တစ်သောင်းငါးထောင်ကျော်နှင့် ပိတ်အောင်ရံပြီးလျှင် ပစ္စင်ထက် အမြောက်စိန်ပြောင်းတင်၍ အညံမစဲ တပ်တွင်းသို့ချည်း ပစ်လွှတ်သည်၊ ဤသို့ ကြည်းတပ် ရေတပ်များက အမြောက်, စိန်ပြောင်းနှင့် တပ်တွင်းသို့ချည်း ပစ်လွှတ်လေသည် များလှသောကြောင့် တပ်တိုင်များ ကျိုးပျက်ချေ၍ တပ်တွင်းသားတို့ အကွယ်အကာ အခိုအမှီနှင့်ချည်း နေရချေသည်။</t>
  </si>
  <si>
    <t xml:space="preserve">General Dalaban surrounded [the fort] by water with over seven hundred large war boats, fifty sampans, and seven ships, and every time the tide rose, he fired cannons and mortars from the ships into the fort without ceasing; by land, the Mattara Bo Pae Kyaw also surrounded [it] tightly with over one thousand cavalry and over fifteen thousand soldiers and warriors, and after mounting cannons and mortars on platforms, he fired into the fort without ceasing; because the land and water forces fired cannons and mortars into the fort so heavily, the fort posts were broken and destroyed, and the people inside the fort had to live only with cover and shelter.</t>
  </si>
  <si>
    <t xml:space="preserve">vol1_s001138_t02_d386b6ad2a2b</t>
  </si>
  <si>
    <t xml:space="preserve">vol1_s001138_t03_9b1114b40b38</t>
  </si>
  <si>
    <t xml:space="preserve">Hanthawaddy forces</t>
  </si>
  <si>
    <t xml:space="preserve">USED_ARTILLERY_TO_DESTROY</t>
  </si>
  <si>
    <t xml:space="preserve">Dagon fort defenses</t>
  </si>
  <si>
    <t xml:space="preserve">vol1_s001139</t>
  </si>
  <si>
    <t xml:space="preserve">vol1_s001139_t01_20bfca9ec7ae</t>
  </si>
  <si>
    <t xml:space="preserve">Burmese commanders and warriors</t>
  </si>
  <si>
    <t xml:space="preserve">MAINTAINED_RESISTANCE_AT</t>
  </si>
  <si>
    <t xml:space="preserve">ယင်းသို့သော်လည်း ဗိုလ်မှူးတပ်မှူး သူရဲသူခက် အပေါင်းတို့ အကြောက်အရွံ့ မရှိ၊ ကျိုးပဲ့ပျက်စီးသည့် တပ်တိုင်များကိုသာ အစားစိုက်စေ ပြီးလျှင် တပ်ထိပ်သို့ သူရဲသူခက်တို့ကို တင်၍ အခိုင်နေကြ၏။</t>
  </si>
  <si>
    <t xml:space="preserve">Nevertheless, all the commanders, captains, and warriors had no fear; they only had the broken and destroyed fort posts replaced, and then they placed the warriors at the top of the fort and held it firmly.</t>
  </si>
  <si>
    <t xml:space="preserve">vol1_s001139_t02_593240765e63</t>
  </si>
  <si>
    <t xml:space="preserve">REPAIRED_DEFENSIVE_STRUCTURES_OF</t>
  </si>
  <si>
    <t xml:space="preserve">vol1_s001140</t>
  </si>
  <si>
    <t xml:space="preserve">vol1_s001140_t01_670c07a600ce</t>
  </si>
  <si>
    <t xml:space="preserve">SENT_DIPLOMATIC_MESSAGE_TO</t>
  </si>
  <si>
    <t xml:space="preserve">Min Hla Min Khaung</t>
  </si>
  <si>
    <t xml:space="preserve">ယင်းသောအခါ စစ်သူကြီးဒလပန်းက မင်းလှမင်းခေါင်သို့ စေသည်ကား ... ရာမည စသော တိုင်းကြီး ပြည်ကြီး ထီးဆောင်းမင်းအပေါင်းကို အစိုးရတော်မူသော ဟံသာဝတီ ရွှေနန်းသခင် ပါရမီရှင် မင်းတရားကြီးဘုရား ရွှေစက်တော်စုံကို အမြဲဦးထိပ်ရွက်ဆင် စီရင်ရသော အရေးရှင် စစ်သူကြီးမင်းများ ကြားလိုက်သည် မြန်မာဗိုလ်မင်း တပ်မင်းတို့-ဘောင်းနင်းမလစ်တွင် တစ်ကြိမ်, သန်လျင်တွင် တစ်ကြိမ်, စစ်ပျက်ချက်နာလှသောကြောင့် မြန်မာမင်း နှလုံးစိတ်ဝမ်း ငယ်သည်နှင့် ကိုယ်တို့တစ်စုကို ပစ်ထားခဲ့၍ ပြန်သွားတော်မူလေပြီ၊ ကိုယ်တို့တစ်စုမှာ စစ်ကူစစ်ထောက် လည်း မရှိ၊ တပ်တွင်းတွင်မျှလည်း တည်တည်ရပ်ရပ် မနေနိုင်၊ အလွန်ကျဉ်းမြောင်းလျက် ထွက်၍သော်လည်း မတိုက်ဝံ့၊ အရေးသော်လည်း မဆို၊ တပ်လုံးအနစ်ခံ၍ နေကြသည်မှာ ထီးဖြူဆောင်းချင်း မင်းဧကရာဇ်နှစ်ပါးတွင် ဗိုလ်မှူးတပ်မှူး အချုပ်အကိုင်ပြု၍ အရေးကို စီရင်ရသသူချည်း ဖြစ်ကြသည်ကိုထောက်၍ မင်းများ ထွက်ခွာလိုလျှင် လမ်းပေးမည်ဟု-စေလာ၏။</t>
  </si>
  <si>
    <t xml:space="preserve">At that time, General Dalaban sent [a message] to Min Hla Min Khaung as follows: The General-Ministers, who are the administrators responsible for carrying out the orders of the Lord of the Golden Palace of Hanthawaddy, the possessor of merit, the Great King of Dhamma who rules over all the umbrella-bearing kings of the great countries and regions such as Ramanya, and who always carry the golden royal footprints upon their heads, send this message to the Burmese commanders and captains: Because the defeat in battle was very painful, once at Baung-nin-ma-lit and once at Thanlyin, the Burmese King is disheartened and has abandoned you all and returned; you all have no reinforcements or supplies, you cannot even stand firmly inside the fort, it is very cramped, you do not dare to come out and fight, and you do not even speak of the situation; considering that you are all commanders and captains who have been appointed to manage the situation by the two umbrella-bearing emperors, if you wish to leave, we will provide a path, he sent.</t>
  </si>
  <si>
    <t xml:space="preserve">vol1_s001140_t02_0aca612577aa</t>
  </si>
  <si>
    <t xml:space="preserve">CLAIMED_LEGITIMACY_AS</t>
  </si>
  <si>
    <t xml:space="preserve">Ruler of Ramanya and umbrella-bearing kings</t>
  </si>
  <si>
    <t xml:space="preserve">vol1_s001140_t03_d45340f6ff3b</t>
  </si>
  <si>
    <t xml:space="preserve">USED_PSYCHOLOGICAL_WARFARE_TO_DEMORALIZE</t>
  </si>
  <si>
    <t xml:space="preserve">vol1_s001140_t04_364a61ca30c5</t>
  </si>
  <si>
    <t xml:space="preserve">OFFERED_SAFE_PASSAGE_TO</t>
  </si>
  <si>
    <t xml:space="preserve">vol1_s001141</t>
  </si>
  <si>
    <t xml:space="preserve">vol1_s001141_t01_1169b8a8889f</t>
  </si>
  <si>
    <t xml:space="preserve">Min Hla Min Khaung and commanders</t>
  </si>
  <si>
    <t xml:space="preserve">SENT_MESSAGE_TO</t>
  </si>
  <si>
    <t xml:space="preserve">Mon commanders</t>
  </si>
  <si>
    <t xml:space="preserve">စာကို မင်းလှမင်းခေါင်စသော ဗိုလ်မှူးတပ်မှူးတို့ ကြားလျှင် ပြန်လိုက်သည်ကား ...ရာမညတိုင်း မွန်သုံးရပ်နှင့် တကွ သုနာပရန္တ စသော တိုင်းကြီး ပြည်ကြီး ထီးဆောင်းမင်းအပေါင်းတို့ကို အစိုးရတော်မူသော ရတနာသိင်္ဃ ကုန်းဘောင်ရွှေပြည်ကြီးသခင် ဆင်ဖြူ, ဆင်နီ, ဆင်ကျားများ အရှင် လက်နက်စကြာသခင် ဘဝရှင် အလောင်းမင်း တရားကြီးဘုရား ရွှေဘဝါးတော်မြတ်အောက်တည်းဟူသော စကြာတော်စုံကို ခိုလှုံထမ်းရွက်ရသော စစ်သူကြီးမင်းများ မှာလိုက်သည် ဗိုလ်မင်းတပ်မင်းတို့-ဘဝရှင် အလောင်းမင်းတရားကြီး ဘုရား ရွှေဘုန်းတော်တောက်၍ မြန်မာနှင့်မွန်တို့ စစ်ရေးပြကြရာ တစ်ကြိမ်တစ်ခါမှ မွန်တို့ တည်တံ့ရပ်နေနိုင်ဘူးသည်မရှိ၊ သို့ကိုစင်လျက် ဘောင်းနင်းမလစ်တွင် တစ်ကြိမ်, သန်လျင်တွင် တစ်ကြိမ် တည်တံ့ ရပ်နေနိုင်လေသည်ကိုထောက်လျှင် မြန်မာတို့ နှလုံးစိတ်ဝမ်း ငယ်လိမ့် မည်ပင် ထင်မှတ်လောက်ပေ၏။</t>
  </si>
  <si>
    <t xml:space="preserve">When the commanders and captains, including Min Hla Min Khaung, heard the letter, they replied as follows: The General-Ministers, who take refuge and serve under the golden royal feet of the Lord of Life, the Great King Alaungmintaya, the Lord of the Golden Kingdom of Ratanasingha Konbaung, the master of white elephants, red elephants, and tiger-striped elephants, the master of the wheel of weapons, who rules over all the umbrella-bearing kings of the great countries and regions including Sunaparanta, along with the three Mon regions of the Ramanya country, send this message to the commanders and captains: Because the golden glory of the Lord of Life, the Great King Alaungmintaya, shines, whenever the Burmese and Mons have engaged in battle, the Mons have never once been able to stand firm; even so, considering that you were able to stand firm once at Baung-nin-ma-lit and once at Thanlyin, it is indeed enough to make one think that the Burmese might be disheartened.</t>
  </si>
  <si>
    <t xml:space="preserve">vol1_s001141_t02_5742515c5538</t>
  </si>
  <si>
    <t xml:space="preserve">Lord of the Golden Kingdom of Ratanasingha Konbaung</t>
  </si>
  <si>
    <t xml:space="preserve">vol1_s001141_t03_d0896640b367</t>
  </si>
  <si>
    <t xml:space="preserve">RULES_OVER</t>
  </si>
  <si>
    <t xml:space="preserve">Umbrella-bearing kings</t>
  </si>
  <si>
    <t xml:space="preserve">vol1_s001141_t04_e4300855819d</t>
  </si>
  <si>
    <t xml:space="preserve">Three Mon regions</t>
  </si>
  <si>
    <t xml:space="preserve">vol1_s001141_t05_b6b0b2ac1931</t>
  </si>
  <si>
    <t xml:space="preserve">SERVE</t>
  </si>
  <si>
    <t xml:space="preserve">vol1_s001141_t06_ddaaad5454b5</t>
  </si>
  <si>
    <t xml:space="preserve">PREVIOUSLY_RESISTED_AT</t>
  </si>
  <si>
    <t xml:space="preserve">Baung-nin-ma-lit</t>
  </si>
  <si>
    <t xml:space="preserve">vol1_s001141_t07_d6d57c0de83c</t>
  </si>
  <si>
    <t xml:space="preserve">vol1_s001219</t>
  </si>
  <si>
    <t xml:space="preserve">vol1_s001219_t01_dab463a58813</t>
  </si>
  <si>
    <t xml:space="preserve">Royal sons</t>
  </si>
  <si>
    <t xml:space="preserve">INTERCEPTED_SUPPLY_LINE_OF</t>
  </si>
  <si>
    <t xml:space="preserve">ပဲကူးက ရိက္ခာတင်လှေကြီး ရှစ်ဆယ်တွင် ဆန်စပါး အပြည့်တင်၍ သန်လျင်မြို့တွင်းသို့ ရိက္ခာသွင်းမည် လာရာ ဘော့ချောင်းဝတွင် သားတော်နှစ်ပါးက စစ်လျင်လွှတ်သည့် လှေနှစ်ဆယ်ကျော်နှင့် တွေ့၍ တိုက်ကြသည်။</t>
  </si>
  <si>
    <t xml:space="preserve">As eighty large grain-carrying boats from Pegu, fully loaded with rice and paddy, were coming to supply provisions into Thanlyin city, [the King's] two royal sons met them at the mouth of the Baw Creek with over twenty boats sent for military purposes and attacked them.</t>
  </si>
  <si>
    <t xml:space="preserve">vol1_s001219_t02_099cdbc59e30</t>
  </si>
  <si>
    <t xml:space="preserve">ATTACKED_MILITARY_CONVOY_OF</t>
  </si>
  <si>
    <t xml:space="preserve">vol1_s001220</t>
  </si>
  <si>
    <t xml:space="preserve">vol1_s001220_t01_8c94f1eecb76</t>
  </si>
  <si>
    <t xml:space="preserve">Mons</t>
  </si>
  <si>
    <t xml:space="preserve">မွန်တို့ မခံနိုင်၍ လှေက ဆင်းပြေးလေလျှင် ရိက္ခာတင်လှေကြီး ရှစ်ဆယ်၊ ဆန်စပါး အပြည့်နှင့် ရလိုက်၏။</t>
  </si>
  <si>
    <t xml:space="preserve">The Mons could not withstand [the attack] and fled from the boats, so [the royal sons] obtained the eighty large grain-carrying boats, fully loaded with rice and paddy.</t>
  </si>
  <si>
    <t xml:space="preserve">vol1_s001221</t>
  </si>
  <si>
    <t xml:space="preserve">vol1_s001221_t01_e2e44e65940c</t>
  </si>
  <si>
    <t xml:space="preserve">APPOINTED_TO_COMMAND_POSITION</t>
  </si>
  <si>
    <t xml:space="preserve">Thanat Wun Maha Senapati</t>
  </si>
  <si>
    <t xml:space="preserve">သက္ကရာဇ် (၁၁၁၈) တစ်ထောင့်တစ်ရာ့တစ်ဆယ့်ရှစ်ခု၊ တန်ခူးလဆန်း ဆယ်ရက် ၊ အင်္ဂါနေ့၊ သေနတ်ဝန် မဟာသေနာပတိကိုလည်း သန်လျင်မြို့ တောင် မွေ့ နူန်းကန်တွင် တပ်တည်၍ နေစေ၏။</t>
  </si>
  <si>
    <t xml:space="preserve">In the year 1118, on the tenth day of the waxing moon of Taku, Tuesday, [the King] also had the Thanat Wun Maha Senapati establish a camp and stay at the Mwe Nun Lake south of Thanlyin city.</t>
  </si>
  <si>
    <t xml:space="preserve">vol1_s001221_t02_d804ccda66af</t>
  </si>
  <si>
    <t xml:space="preserve">ESTABLISHED_FORWARD_BASE_AT</t>
  </si>
  <si>
    <t xml:space="preserve">Mwe Nun Lake</t>
  </si>
  <si>
    <t xml:space="preserve">vol1_s001222</t>
  </si>
  <si>
    <t xml:space="preserve">vol1_s001222_t01_69a4cd7a0ee5</t>
  </si>
  <si>
    <t xml:space="preserve">ORDERED_INFILTRATION_OF</t>
  </si>
  <si>
    <t xml:space="preserve">သန်လျင်မြို့တွင်းသို့ ညဉ့် ခိုးဝင်၍ ခြောက်လှန့်ရမည်ဟု ဝေရကျော်သူ, နန္ဒယော်ဓာတို့ကို သူရဲ ခုနစ်ရာကျော်နှင့် သွားစေသည်။</t>
  </si>
  <si>
    <t xml:space="preserve">He sent Wera Kyawthu and Nanda Yawda with over seven hundred soldiers, saying that they must sneak into Thanlyin city at night and cause alarm.</t>
  </si>
  <si>
    <t xml:space="preserve">vol1_s001222_t02_58bec35979ef</t>
  </si>
  <si>
    <t xml:space="preserve">Wera Kyawthu and Nanda Yawda</t>
  </si>
  <si>
    <t xml:space="preserve">COMMANDED_RAIDING_FORCE_OF</t>
  </si>
  <si>
    <t xml:space="preserve">seven hundred soldiers</t>
  </si>
  <si>
    <t xml:space="preserve">vol1_s001223</t>
  </si>
  <si>
    <t xml:space="preserve">vol1_s001223_t01_c985d52ce051</t>
  </si>
  <si>
    <t xml:space="preserve">Mon sentries</t>
  </si>
  <si>
    <t xml:space="preserve">မီးထည့်၍ စောင့်နေသည့် မွန်ငါးရာ ကင်းတို့နှင့် တွေ့ ၍ ဝေရကျော်သူ, နန္ဒယော်ဓာတို့ ချက်တစ်ဖြုတ် ထိုးခုတ် ထွင်းဖောက်၍ ဝင်သည်။</t>
  </si>
  <si>
    <t xml:space="preserve">Meeting five hundred Mon sentries who were waiting with torches lit, Wera Kyawthu and Nanda Yawda immediately stabbed, slashed, and broke through to enter.</t>
  </si>
  <si>
    <t xml:space="preserve">vol1_s001224</t>
  </si>
  <si>
    <t xml:space="preserve">vol1_s001224_t01_9fdfe6d46291</t>
  </si>
  <si>
    <t xml:space="preserve">CONTROLLED_ACCESS_TO</t>
  </si>
  <si>
    <t xml:space="preserve">Hanthawaddy city</t>
  </si>
  <si>
    <t xml:space="preserve">The raiders and moat are at Thanlyin, explicitly named in s4. Hanthawaddy is a different target introduced only in s10.</t>
  </si>
  <si>
    <t xml:space="preserve">Mons | CONTROLLED_ACCESS_TO | Thanlyin city</t>
  </si>
  <si>
    <t xml:space="preserve">ကျုံးနင်းကြမ်းသို့ ရောက်သည်တွင် မွန်တို့ နင်းကြမ်းကို စက်လှည်းဘီးနှင့် နေ့ကိုသာ ခင်းသည်၊ ညဉ့်ကို စက်နှင့်သိမ်းသည် ဖြစ်သောကြောင့် မကူးသာလျှင် ပြန်ခဲ့ရ၏။</t>
  </si>
  <si>
    <t xml:space="preserve">Upon reaching the moat's footbridge, because the Mons laid the footbridge with a mechanical wheel only during the day and retracted it with the mechanism at night, [the soldiers] could not cross and had to return.</t>
  </si>
  <si>
    <t xml:space="preserve">vol1_s001224_t02_b78162d2e5c0</t>
  </si>
  <si>
    <t xml:space="preserve">UTILIZED_MECHANICAL_DEFENSE_AT</t>
  </si>
  <si>
    <t xml:space="preserve">moat footbridge</t>
  </si>
  <si>
    <t xml:space="preserve">vol1_s001225</t>
  </si>
  <si>
    <t xml:space="preserve">vol1_s001225_t01_6e3fce86265e</t>
  </si>
  <si>
    <t xml:space="preserve">ORDERED_MILITARY_ENGAGEMENT_BY</t>
  </si>
  <si>
    <t xml:space="preserve">Gamani Kyaw</t>
  </si>
  <si>
    <t xml:space="preserve">ထို လပြည့်ကျော် တစ်ရက် နေ့ ဂါမဏိကျော်နှင့် သေနတ်နှစ်ရာ ကျိုက်ခေါက်ဘုရား လမ်းဦး ကင်းဝတွင် စောင့်၍ တိုက်စေသည်။</t>
  </si>
  <si>
    <t xml:space="preserve">On the first day of the waning moon of that month, he had Gamani Kyaw and two hundred musketeers wait at the Kyaik Khauk Pagoda road junction and attack.</t>
  </si>
  <si>
    <t xml:space="preserve">vol1_s001225_t02_163a7ff68398</t>
  </si>
  <si>
    <t xml:space="preserve">two hundred musketeers</t>
  </si>
  <si>
    <t xml:space="preserve">vol1_s001226</t>
  </si>
  <si>
    <t xml:space="preserve">vol1_s001226_t01_ef29b5ae57a0</t>
  </si>
  <si>
    <t xml:space="preserve">three hundred Kalas</t>
  </si>
  <si>
    <t xml:space="preserve">ကုလား သုံးရာကျော် သေလေ၏။</t>
  </si>
  <si>
    <t xml:space="preserve">Over three hundred Kalas died.</t>
  </si>
  <si>
    <t xml:space="preserve">vol1_s001227</t>
  </si>
  <si>
    <t xml:space="preserve">vol1_s001227_t01_903e153d97bf</t>
  </si>
  <si>
    <t xml:space="preserve">SEIZED_MILITARY_RESOURCES_FROM</t>
  </si>
  <si>
    <t xml:space="preserve">Kalas</t>
  </si>
  <si>
    <t xml:space="preserve">မြင်း ငါးစီး, သေနတ် တစ်ရာ့ငါးဆယ်ကျော် ရတော်မူလိုက်၏။</t>
  </si>
  <si>
    <t xml:space="preserve">[They] obtained five horses and over one hundred and fifty muskets.</t>
  </si>
  <si>
    <t xml:space="preserve">vol1_s001228</t>
  </si>
  <si>
    <t xml:space="preserve">vol1_s001228_t01_26a770667d19</t>
  </si>
  <si>
    <t xml:space="preserve">ORDERED_SYMBOLIC_ASSERTION_OF_SOVEREIGNTY_AT</t>
  </si>
  <si>
    <t xml:space="preserve">Hanthawaddy city gate</t>
  </si>
  <si>
    <t xml:space="preserve">The mission's own letter states that the royal sons Maha Uparaja and Maha Thiri Dhammaraja sent this expedition. The specific inferred commissioning subject King is not the actor named for this dispatch.</t>
  </si>
  <si>
    <t xml:space="preserve">Royal sons Maha Uparaja and Maha Thiri Dhammaraja | ORDERED_SYMBOLIC_EXPEDITION_TO | Hanthawaddy gate</t>
  </si>
  <si>
    <t xml:space="preserve">ဟံသာဝတီမြို့ ပန်းတိုင်တံခါးနှင့် ဆီတည့်တွင် စာ ဆွဲရခြင်း ထို သက္ကရာဇ် တန်ခူးလပြည့်ကျော် တစ်ဆယ့်တစ်ရက် နေ့ မင်းလှမင်းခေါင်, မင်းထင်နော်ရထာ, မင်းကျော်စည်သူ, ရွှေတောင်ပေါ်ထင်, လက်ဝဲကုမ္ဘဏ်တို့နှင့် မြင်း ငါးရာ၊ သေနတ် ရှစ်ရာကျော်၊ လက်နက်ကိုင် လူနှစ်ထောင်ကျော်နှင့် ဟံသာဝတီ မြို့တံခါးတွင် ပန်းသုန်းစိုက်၍ စာဆွဲခဲ့ရမည် အမိန့်တော်ရှိ၍ ချီရ၏။</t>
  </si>
  <si>
    <t xml:space="preserve">Regarding the hanging of a letter directly in front of the Pan Taing Gate of Hanthawaddy city: on the eleventh day of the waning moon of Taku of that year, an order was given for Minhla Minkhaung, Minhtin Nawrahta, Minkyaw Sithu, Shwetaung Pawhtin, and Lawka Kumban to march with five hundred horses, over eight hundred muskets, and over two thousand armed men to plant a Pan Thon [marker] at the Hanthawaddy city gate and hang the letter.</t>
  </si>
  <si>
    <t xml:space="preserve">vol1_s001228_t02_57f184b3848d</t>
  </si>
  <si>
    <t xml:space="preserve">Minhla Minkhaung and others</t>
  </si>
  <si>
    <t xml:space="preserve">COMMANDED_EXPEDITIONARY_FORCE_OF</t>
  </si>
  <si>
    <t xml:space="preserve">five hundred horses, eight hundred muskets, and two thousand men</t>
  </si>
  <si>
    <t xml:space="preserve">vol1_s001229</t>
  </si>
  <si>
    <t xml:space="preserve">vol1_s001229_t01_f420aeace0d1</t>
  </si>
  <si>
    <t xml:space="preserve">Minkyaw Tansaung and Minkyaw Yehtut</t>
  </si>
  <si>
    <t xml:space="preserve">COMMANDED_NAVAL_FORCE_OF</t>
  </si>
  <si>
    <t xml:space="preserve">one hundred boats</t>
  </si>
  <si>
    <t xml:space="preserve">ရေကြောင်းကလည်း မင်းကျော် တန်ဆောင်, မင်းကျော်ရဲထွတ်တို့ လှေတစ်ရာနှင့် လိုက်ရသည်။</t>
  </si>
  <si>
    <t xml:space="preserve">By water, Minkyaw Tansaung and Minkyaw Yehtut also had to follow with one hundred boats.</t>
  </si>
  <si>
    <t xml:space="preserve">vol1_s001230</t>
  </si>
  <si>
    <t xml:space="preserve">vol1_s001230_t01_45abbceb9577</t>
  </si>
  <si>
    <t xml:space="preserve">DEPLOYED_DEFENSIVE_FORCE_UNDER</t>
  </si>
  <si>
    <t xml:space="preserve">A-thi Bo</t>
  </si>
  <si>
    <t xml:space="preserve">မင်းလှမင်းခေါင်တို့တပ် ဟံသာဝတီအနောက် မြစ်နားသို့ရောက်လျှင် ဟံသာဝတီ ဘုရင်က အသည်ဗိုလ်နှင့် မြင်း သုံးရာကျော်, စစ်သည် တစ်သောင်းကျော် ကြိုနှင့်သည်ကို တွေ့၍ မင်းလှမင်းခေါင်တို့လည်း မရပ်မဆိုင်း မွန်တို့ တပ်ကို တိုက်လျှင် အသည်ဗိုလ်တပ် ပျက်၍ မွန်အများ သေလေ၏။</t>
  </si>
  <si>
    <t xml:space="preserve">When the force of Minhla Minkhaung and others reached the riverbank west of Hanthawaddy, they saw that the King of Hanthawaddy had sent the A-thi Bo with over three hundred horses and over ten thousand soldiers to meet them; Minhla Minkhaung and the others did not stop and attacked the Mon force, causing the A-thi Bo's force to collapse and many Mons to die.</t>
  </si>
  <si>
    <t xml:space="preserve">vol1_s001230_t02_d760c29ff312</t>
  </si>
  <si>
    <t xml:space="preserve">Minhla Minkhaung</t>
  </si>
  <si>
    <t xml:space="preserve">DEFEATED_DEFENSIVE_FORCE_OF</t>
  </si>
  <si>
    <t xml:space="preserve">vol1_s001231</t>
  </si>
  <si>
    <t xml:space="preserve">vol1_s001231_t01_e62f34f32e5a</t>
  </si>
  <si>
    <t xml:space="preserve">CAPTURED_RESOURCES_AND_PRISONERS_FROM</t>
  </si>
  <si>
    <t xml:space="preserve">သုံ့လူ လက်နက်လည်း အများ ရလိုက်၏။</t>
  </si>
  <si>
    <t xml:space="preserve">Many prisoners and weapons were also obtained.</t>
  </si>
  <si>
    <t xml:space="preserve">vol1_s001232</t>
  </si>
  <si>
    <t xml:space="preserve">vol1_s001232_t01_ab46c4ad4a26</t>
  </si>
  <si>
    <t xml:space="preserve">Minhla Minkhaung and Minhtin Nawrahta</t>
  </si>
  <si>
    <t xml:space="preserve">EXECUTED_SYMBOLIC_ACT_OF</t>
  </si>
  <si>
    <t xml:space="preserve">hanging letter at Hanthawaddy city gate</t>
  </si>
  <si>
    <t xml:space="preserve">ယင်းသို့မှ မင်းလှမင်ခေါင်၊ မင်းထင် နော်ရထာတို့ ဟံသာဝတီမြို့ ပန်းတိုင်တံခါးနှင့် ဆီတည့်တွင် စာကို ဆွဲထားရ၏။</t>
  </si>
  <si>
    <t xml:space="preserve">Thus, Minhla Minkhaung and Minhtin Nawrahta had to hang the letter directly in front of the Pan Taing Gate of Hanthawaddy city.</t>
  </si>
  <si>
    <t xml:space="preserve">vol1_s001233</t>
  </si>
  <si>
    <t xml:space="preserve">vol1_s001233_t01_1b8e3008fe1f</t>
  </si>
  <si>
    <t xml:space="preserve">Letter</t>
  </si>
  <si>
    <t xml:space="preserve">ASSERTED_COSMIC_LEGITIMACY_OF</t>
  </si>
  <si>
    <t xml:space="preserve">စာကား ---- ဘုန်းတော် အလွန် ကြီးမြတ်တော်မူလှသော သာသန ဒါယကာတော်-အရိန္ဒမာ လက်နက် စကြာသခင်, ဆင်ဖြူ ဆင်နီ ဆင်ကျားများသခင် ဖြစ်တော်မူသော ငါးလုံးသော တောင်ထွတ်တို့သည် အနဝတတ် သို့ ညွတ်လျက် ခစားသကဲ့သို့ သတ္တရဗ္ဘန် တောင်စဉ်ကြီးငယ် အပေါင်းတို့ သည် မြင်းမိုရ်တောင်ကို ခယမ်းသည်နှင့် အတူ အဝန်း ယူဇနာ လေးရာ့ငါးဆယ်ရှိသော ဂဠုန်မင်း၏အား, သားတကာတို့ကို အစိုးရသော ကေသရရာဇာ ခြင်္သေ့မင်း၏ ရဲရင့်ခြင်း၊ ယမမင်း၏ သဘောကဲ့သို့ ရာဇဓမ္မ ဆယ်ပါး မင်းကျင့်တရား အပေါင်းတို့နှင့် ပြည့်စုံတော် မူသော ထီးဆောင်းမင်းတကာတို့ ခယမ်းရာ ဖြစ်သော အယုဇ္ဈပူရမည်သော ရတနာသိင်္ဃ ကုန်းဘောင် ရွှေပြည်ကြီးကို အစိုးရတော်မူသော အသျှင် ဘဝရှင် အလောင်းမင်းတရားကြီး ဘုရား ရှေ့နောက် လက်ဝဲလက်ယာ ဝန်းကျင်တော်၌ ခပ်သိမ်းသော ကြယ်အပေါင်းတို့ လပြည့်ဝန်းကို ခယမ်းသကဲ့သို့ ပြည်သူ သတ္တဝါ အပေါင်းတို့ကို သာယာခြင်း၌ လမင်းကဲ့သို့၊ စဉ်းလဲကွေ့ လည် ကောက်ကျစ်သော တစ်ဖက်သား ရန်သူ ပြည်ထောင်မင်းတို့၏ ထိပ်ထက် ခြေစုံ ရပ်လျက် ဘုန်းတော်လက်ရုံးတော် အရှိန်ဖြင့် နှိမ်နင်းတော်မူလေ့ရှိသော၊ မကြည်သော ရန်သူတို့ဝယ် အထူးအားထုတ် တော်မမူဘဲ တော, တောင်, သမုဒြာ, ချောက်ကမ်း ကျောက်စစ်အိုးခြမ်း စသည်တို့၌ မရည်မမှတ်ပဲလျက် အနှံ့အစပ် ပူလောင်သော သူရိယနေမင်းနှင့်အတူ ပြည်သူအပေါင်းတို့၏ အစီးအပွားကို ဆောင်တော်မူသော အသျှင် ဘဝရှင် အလောင်းမင်းတရားကြီးဘုရား သားတော် မဟာဥပရာဇာ, မဟာသီရိဓမ္မရာဇာဘုရား၏ ကျွန်တော်မျိုးတို့ မှာထား ခဲ့သည်၊ ရာမညအဝင် ပဲကူးနန်းတည်မင်း - ငါတို့ အရှင့်သားတော် မဟာ ဥပရာဇာ, မဟာသီရိဓမ္မရာဇာဘုရားက ပဲကူးမြို့ အနေအရပ်ကို ကြည့်ချေ ကျွန်တော်မျိုး တစ်သောင်းခန့်၍ စေတော်မူသောကြောင့် လုပ်ရည် ကြံရည် အနေအရပ်ကို ငါတို့ ကြည့်ရှုမည် လာကြောင်းကို မှာခဲ့သည်။</t>
  </si>
  <si>
    <t xml:space="preserve">The letter says: To the very glorious Sasana Dayaka Arindama, Lord of the Discus Weapon, Lord of the White, Red, and Striped Elephants; just as the five mountain peaks bow and serve Anawdat, and all the great and small Sataraban mountain ranges pay homage to Mount Meru, [he possesses] the strength of the King of Garudas which has a circumference of four hundred and fifty yuzanas, the bravery of the Kesara Raja Lion King who rules over all offspring, and is endowed with all ten royal virtues of the Rajadhamma like the nature of the Yama King; [he is] the Lord, the Living King, the Great Alaungmintaya, who rules over the great golden land of Ratanasingha Konbaung, also known as Ayutthaya, which is paid homage to by all crowned kings; just as all the stars pay homage to the full moon, he is like the moon in bringing happiness to all the people and creatures; standing with both feet upon the heads of the deceitful, crooked, and treacherous enemy kings of other lands, he is accustomed to suppressing them with the power of his glory and his arm; he does not exert himself specially against the enemies who are not clear [loyal], and without regard for forests, mountains, oceans, ravines, or rocky terrain, he is like the sun that is hot and pervasive, bringing benefit to all the people; [this is] the message left by the servants of the Lord, the Living King, the Great Alaungmintaya, and his son, the Maha Uparaja, Maha Siri Dhammaraja: 'We, the servants of the Lord, the son of our master, the Maha Uparaja, Maha Siri Dhammaraja, have been sent with about ten thousand men to inspect the situation of Pegu city, the city established by the King of Pegu who is part of Ramanya, and we have left this message that we have come to inspect the capabilities and the situation.'</t>
  </si>
  <si>
    <t xml:space="preserve">vol1_s001233_t02_294f68b56ea7</t>
  </si>
  <si>
    <t xml:space="preserve">CLAIMED_UNIVERSAL_SOVEREIGNTY_OVER</t>
  </si>
  <si>
    <t xml:space="preserve">Ramanya</t>
  </si>
  <si>
    <t xml:space="preserve">vol1_s001233_t03_cfc84f8c15a4</t>
  </si>
  <si>
    <t xml:space="preserve">THREATENED_MILITARY_SUBJUGATION_OF</t>
  </si>
  <si>
    <t xml:space="preserve">Pegu city</t>
  </si>
  <si>
    <t xml:space="preserve">vol1_s001275</t>
  </si>
  <si>
    <t xml:space="preserve">vol1_s001275_t01_f116bf6d3f52</t>
  </si>
  <si>
    <t xml:space="preserve">GRANTED_SAFE_PASSAGE_TO</t>
  </si>
  <si>
    <t xml:space="preserve">မင်းလှမင်းခေါင်ကလည်း ငါတို့ စစ်သူကြီး သဘောသည် သူ ကြောက်၍ ပြေးလိုပါသည် ဆိုသည်ကို မြစ်မြဲ မဟုတ်၊ ကိုယ်တို့တစ်စု ပြေးထွက်လိုသော် လမ်းပေးမည်ဟု မှာလိုက်၏။</t>
  </si>
  <si>
    <t xml:space="preserve">Minhla Minkhaung also sent word that he did not believe our commander's intention was that he was afraid and wanted to flee, but that if their group wanted to flee, he would provide a path.</t>
  </si>
  <si>
    <t xml:space="preserve">vol1_s001276</t>
  </si>
  <si>
    <t xml:space="preserve">vol1_s001276_t01_47209075ec3c</t>
  </si>
  <si>
    <t xml:space="preserve">OPENED_SIEGE_LINE_AS_RUSE</t>
  </si>
  <si>
    <t xml:space="preserve">Opening the siege line is explicit, but calling it a ruse converts the Mon defenders' suspicion in the next sentence into a settled narrator assertion. The central action is true.</t>
  </si>
  <si>
    <t xml:space="preserve">Minhla Minkhaung | OPENED_EASTERN_SIEGE_LINE_FOR | Mon withdrawal; separately attribute suspicion of a ruse to the Mon.</t>
  </si>
  <si>
    <t xml:space="preserve">အရှေ့မျက်နှာ ရံတပ်ကိုလည်း ဖွင့်၍ ထားရ၏။</t>
  </si>
  <si>
    <t xml:space="preserve">He also had the eastern siege camp opened.</t>
  </si>
  <si>
    <t xml:space="preserve">vol1_s001277</t>
  </si>
  <si>
    <t xml:space="preserve">vol1_s001277_t01_007822fb5111</t>
  </si>
  <si>
    <t xml:space="preserve">EXECUTED_TUNNEL_ASSAULT_AGAINST</t>
  </si>
  <si>
    <t xml:space="preserve">ဈေးငယ်ဗိုလ်တို့ ဗိုလ်မှူး တပ်မှူး အပေါင်းတို့နှင့် မွန်စစ်သည် ငါးထောင်ကျော်သားတို့လည်း အရှေ့မျက်နှာ ရံတပ်ဖွင့်သည်ကို မြင်သော်လည်း မြန်မာတို့ ပရိယာယ်ပြုသည်သာ အမှတ်ရှိ၍ မထွက်ခွာဝံ့၊ သုံးရက် လေးရက်ရှိလျှင် မင်းလှမင်းခေါင်တို့က မြေထဲကို ဥမင်တူး၍ ဥမင်က ဝင်ပြီးလျှင် တဲကန္နားများကို မီးတိုက်ရှို့၍ မွန်တို့ကို လိုက်လံ ထိုးခုတ်လျှင် တပ်လုံးသောသော လန့်လေ၏။</t>
  </si>
  <si>
    <t xml:space="preserve">Although the Zegye Bo, all the commanders and troop leaders, and the more than five thousand Mon soldiers saw that the eastern siege camp was opened, they suspected it was a ruse by the Burmese and did not dare to leave; when three or four days had passed, Minhla Minkhaung and his men dug a tunnel into the ground, entered through the tunnel, set fire to the huts and pavilions, and pursued and attacked the Mon, causing the entire camp to be thrown into a panic.</t>
  </si>
  <si>
    <t xml:space="preserve">vol1_s001278</t>
  </si>
  <si>
    <t xml:space="preserve">vol1_s001278_t01_338e294e785f</t>
  </si>
  <si>
    <t xml:space="preserve">FLED_THROUGH_OPENED_SIEGE_LINE</t>
  </si>
  <si>
    <t xml:space="preserve">The flight is correct, but Burmese forces is an awkward object for FLED_THROUGH_OPENED_SIEGE_LINE; the passage is the eastern opening in their siege line.</t>
  </si>
  <si>
    <t xml:space="preserve">Mon forces | FLED_THROUGH | eastern opening in the Burmese siege line</t>
  </si>
  <si>
    <t xml:space="preserve">ယင်းတွင်မှ မွန်တို့ ဗိုလ်မှူးတပ်မှူး ရဲမက် အပေါင်းတို့လည်း ငိုလိုရာတွင် လက်တို့၏သို့ အရှေ့မျက်နှာ ရံတပ်ဖွင့်ထားရာသို့ချည်း ထွက်၍ ပြေးလေ၏။</t>
  </si>
  <si>
    <t xml:space="preserve">It was then that all the Mon commanders, troop leaders, and soldiers, like someone wanting to cry being poked in the hand, all fled out through the place where the eastern siege camp had been opened.</t>
  </si>
  <si>
    <t xml:space="preserve">vol1_s001279</t>
  </si>
  <si>
    <t xml:space="preserve">vol1_s001279_t01_040cff3ec979</t>
  </si>
  <si>
    <t xml:space="preserve">Burmese royal soldiers</t>
  </si>
  <si>
    <t xml:space="preserve">CAPTURED_PRISONERS_FROM</t>
  </si>
  <si>
    <t xml:space="preserve">ရဲမက်တော်တို့လည်း မွန်တို့ ထွက်ပြေးလေရာ လိုက်လံပစ်ခတ် ထိုးခတ် ဖမ်းဆီးကြသည်၊ သုံ့လူ ခုနစ်ရာကျော်, ရှစ်ရာလောက် ရလိုက် သည်၊ သေသည်လည်း များ၏၊ မွန်ဗိုလ်မှူး အဲကန်ကောင်း, သိဒ္ဓိတုရင်တို့ကိုလည်း စီးသည့် မြင်းနှင့်တကွ အရှင်ရလိုက်၏၊ ဈေးငယ်ဗိုလ်မူကား မထင်မရှား မြင်းနှင့် အပြင်းခွာလေသောကြောင့် လွတ်လေ၏။</t>
  </si>
  <si>
    <t xml:space="preserve">The royal soldiers pursued the fleeing Mon, shooting, stabbing, and capturing them; they captured over seven hundred to about eight hundred prisoners, and many also died; they also captured the Mon commanders Aekan Kaung and Thiddithurin alive along with the horses they were riding, but the Zegye Bo escaped because he rode away quickly on his horse without being noticed.</t>
  </si>
  <si>
    <t xml:space="preserve">vol1_s001279_t02_c9d8402109c6</t>
  </si>
  <si>
    <t xml:space="preserve">CAPTURED_COMMANDERS</t>
  </si>
  <si>
    <t xml:space="preserve">Aekan Kaung and Thiddithurin</t>
  </si>
  <si>
    <t xml:space="preserve">vol1_s001279_t03_5966c6f5da13</t>
  </si>
  <si>
    <t xml:space="preserve">Zenge Bo</t>
  </si>
  <si>
    <t xml:space="preserve">ESCAPED_FROM</t>
  </si>
  <si>
    <t xml:space="preserve">vol1_s001280</t>
  </si>
  <si>
    <t xml:space="preserve">vol1_s001280_t01_f5b2387c9093</t>
  </si>
  <si>
    <t xml:space="preserve">RECEIVED_CAPTIVES_AND_ASSETS_FROM</t>
  </si>
  <si>
    <t xml:space="preserve">သက္ကရာဇ် (၁၁၁၈) တစ်ထောင့်တစ်ရာ့တစ်ဆယ့်ရှစ်ခု၊ ကဆုန်လပြည့်ကျော် ခြောက်ရက် နေ့ ဒေါပုံတပ် ပျက်၍ ရလိုက်သည့် မွန်ဗိုလ်မှူးတို့နှင့် သုံ့ပန်း လူသူ မြင်း, အမြောက်, စိန်ပြောင်းများကို ဆက်လျှင် အားရတော်မူ၍ ဗိုလ်မှူး တပ်မှူး သူရဲ သူခက် အပေါင်းတို့ကို အထိုက်အလိုက် ဆုပေးတော်မူ၏။</t>
  </si>
  <si>
    <t xml:space="preserve">On the sixth day after the full moon of Kason, in the year 1118, when the Da-pon camp was destroyed and the Mon commanders, prisoners, men, horses, cannons, and swivel guns that were captured were presented, [the King] was pleased and rewarded all the commanders, troop leaders, and warriors according to their merit.</t>
  </si>
  <si>
    <t xml:space="preserve">vol1_s001280_t02_9338888a6026</t>
  </si>
  <si>
    <t xml:space="preserve">REWARDED_COMMANDERS_FOR</t>
  </si>
  <si>
    <t xml:space="preserve">Military service</t>
  </si>
  <si>
    <t xml:space="preserve">vol1_s001281</t>
  </si>
  <si>
    <t xml:space="preserve">vol1_s001281_t01_2d071207fd1b</t>
  </si>
  <si>
    <t xml:space="preserve">COMMISSIONED_COMPILATION_OF</t>
  </si>
  <si>
    <t xml:space="preserve">Second Great Royal Chronicle</t>
  </si>
  <si>
    <t xml:space="preserve">အထူးထူးသော တိုင်းကြီးပြည်ကြီး ထီးဆောင်းမင်းများသခင်၊ ရွှေတွင်း, ငွေတွင်း, ပတ္တမြားတွင်း, ပယင်းတွင်း စသော ရတနာအပေါင်းတို့၏ အရှင်၊ စတုတ္ထ ရတနာပူရ မြို့တည် နန်းတည်၊ ဆဒ္ဒန်ဆင်မင်းသခင်၊ ဆင်ဖြူများရှင်၊ အသျှင် ဘဝရှင် မင်းတရားကြီးဘုရား လက်ထက်တော် (၁၁၉၁) တစ်ထောင့်တစ်ရာ့ကိုးဆယ့်တစ်ခု၊ နယုန်လဆန်း တစ်ရက်နေ့ကစ၍ ရဟန်း ပညာရှိ၊ ပုဏ္ဏားပညာရှိ၊ မှူးမတ်ပညာရှိတို့နှင့်၊ အထူးထူးသော ရတနာတို့ဖြင့် ဆန်းကြယ်သော မှန်နန်းတော် ဆောင်တော်ဦး နန်းမစဉ်၌ နှိုင်းညှိ၍ အသင့်ယုတ္တိ ကျမ်းဂန် အာဂုံများနှင့် အညီ သုတ်သင် စီရင်တော်မူသော ဒုတိယ မဟာရာဇဝင်တော်ကြီး စတုတ္ထထုပ်၊ တတိယတွဲ (၄/၃) ဤတွင်ရွေ့ ပြီး၏။</t>
  </si>
  <si>
    <t xml:space="preserve">Beginning on the first day of the waxing moon of Nayon, in the year 1191 of the reign of the Lord of Life, the Great King, Lord of many great countries and umbrella-bearing kings, Lord of all treasures such as gold mines, silver mines, ruby mines, and amber mines, founder of the fourth city of Ratanapura, Lord of the Saddan elephant king, and Lord of the White Elephants, the second Great Royal Chronicle, Volume Four, Part Three (4/3), which was compiled and edited in the Glass Palace, the main hall of the royal residence, which is adorned with various gems, by comparing it with the wise monks, wise Brahmins, and wise ministers, and in accordance with appropriate logic and scriptural authority, ends here.</t>
  </si>
  <si>
    <t xml:space="preserve">vol1_s001281_t02_c01c58af528a</t>
  </si>
  <si>
    <t xml:space="preserve">EMPLOYED_SCHOLARS_AND_MINISTERS_FOR</t>
  </si>
  <si>
    <t xml:space="preserve">Historical compilation</t>
  </si>
  <si>
    <t xml:space="preserve">vol1_s001281_t03_29bf92bd5daa</t>
  </si>
  <si>
    <t xml:space="preserve">PROJECTED_AUTHORITY_THROUGH</t>
  </si>
  <si>
    <t xml:space="preserve">Royal titles and patronage</t>
  </si>
  <si>
    <t xml:space="preserve">vol1_s001297</t>
  </si>
  <si>
    <t xml:space="preserve">vol1_s001297_t01_02c66b46893c</t>
  </si>
  <si>
    <t xml:space="preserve">General Dalapan and Zegai Bo</t>
  </si>
  <si>
    <t xml:space="preserve">FAILED_TO_MAINTAIN_COMMAND_OVER</t>
  </si>
  <si>
    <t xml:space="preserve">Troops</t>
  </si>
  <si>
    <t xml:space="preserve">စစ်သူကြီးဒလပန်း, ဈေးငယ်ဗိုလ်တို့လည်း ကွပ်ကဲစည်းကြပ်၍ ရပ်ခံသော်လည်း မစည်းမကြပ်နိုင်လေလျှင် လှေကိုပစ်၍ ကုန်းကြောင်း ခွာလေ၏။</t>
  </si>
  <si>
    <t xml:space="preserve">Although the General Dalapan and the Zegai Bo commanded and organized [the troops] to stand and resist, when they could no longer organize or control them, they abandoned the boats and retreated by land.</t>
  </si>
  <si>
    <t xml:space="preserve">vol1_s001297_t02_adecfdc5cbf2</t>
  </si>
  <si>
    <t xml:space="preserve">ABANDONED_ASSETS_DURING_RETREAT</t>
  </si>
  <si>
    <t xml:space="preserve">War boats</t>
  </si>
  <si>
    <t xml:space="preserve">vol1_s001298</t>
  </si>
  <si>
    <t xml:space="preserve">vol1_s001298_t01_eb269cf22342</t>
  </si>
  <si>
    <t xml:space="preserve">Alaungmintaya's forces</t>
  </si>
  <si>
    <t xml:space="preserve">SEIZED_MILITARY_ASSETS</t>
  </si>
  <si>
    <t xml:space="preserve">War boats and provisions</t>
  </si>
  <si>
    <t xml:space="preserve">တိုက်လှေကြီး သုံးရာကျော်ကို လှေတွင် တင်သည့် ဆန်နှင့်တကွ အကုန် ရလိုက်၏။</t>
  </si>
  <si>
    <t xml:space="preserve">They captured over three hundred large war boats, along with all the rice loaded on the boats.</t>
  </si>
  <si>
    <t xml:space="preserve">vol1_s001299</t>
  </si>
  <si>
    <t xml:space="preserve">vol1_s001299_t01_6f65c01ec887</t>
  </si>
  <si>
    <t xml:space="preserve">Artillery and firearms</t>
  </si>
  <si>
    <t xml:space="preserve">စစ်သူကြီး ဒလပန်း, ဈေးငယ်ဗိုလ်တို့ စီးသည့် ရွှေလှေ, ပျံလွှင့်, ပျံလွှား, စိန်ပန်းလှေနှင့်တကွ တိုက် လှေကြီး သုံးရာကျော်၊ ငါးပိဿာဝင် အမြောက် ကိုးလုံး၊ ယိုးဒယား ကြံဆစ်အမြောက် သုံးပိဿာဝင် နှစ်လုံး၊ စိန် ငါးရာကျော်၊ သေနတ်ခုနစ်ရာကျော် ရလိုက်၏။</t>
  </si>
  <si>
    <t xml:space="preserve">They captured the golden boat, the Pyan-lwin, the Pyan-lwar, and the Sein-pan boat used by General Dalapan and Zegai Bo, along with over three hundred large war boats, nine five-viss cannons, two three-viss Siamese cane-joint cannons, over five hundred muskets, and over seven hundred guns.</t>
  </si>
  <si>
    <t xml:space="preserve">vol1_s001300</t>
  </si>
  <si>
    <t xml:space="preserve">vol1_s001300_t01_614057729ff3</t>
  </si>
  <si>
    <t xml:space="preserve">IMPOSED_RESOURCE_DEPRIVATION_ON</t>
  </si>
  <si>
    <t xml:space="preserve">Syriam</t>
  </si>
  <si>
    <t xml:space="preserve">ထိုအခါ သန်လျင်မြို့တွင်းသို့ ရိက္ခာ မပေါက်မရောက်နိုင်၊ မြို့တွင်းမှာ ရှိသည့် မြန်မာ, မွန်, ရှမ်း, ယွန်းတို့, သစ်ဥ, သစ်မြစ်ကိုမျှလည်း မြို့ကထွက်၍ မရှာဝံ့၊ ငတ်မွတ်လှ သောကြောင့် တစ်နေ့တစ်နေ့လျှင် ငါးဆယ် ခြောက်ဆယ်စီ ရံတပ်တော်များထံ ထွက်ပြေး ဝင်ရောက်လာ၏။</t>
  </si>
  <si>
    <t xml:space="preserve">At that time, provisions could not reach inside Syriam, and the Burmese, Mon, Shan, and Yun people inside the city did not dare to leave the city to search for even wild fruits or roots; because they were so hungry, fifty or sixty people would escape and enter the royal siege camps every day.</t>
  </si>
  <si>
    <t xml:space="preserve">vol1_s001300_t02_2e0b8312725d</t>
  </si>
  <si>
    <t xml:space="preserve">Syriam inhabitants</t>
  </si>
  <si>
    <t xml:space="preserve">DEFECTED_TO</t>
  </si>
  <si>
    <t xml:space="preserve">Royal siege camps</t>
  </si>
  <si>
    <t xml:space="preserve">vol1_s001301</t>
  </si>
  <si>
    <t xml:space="preserve">vol1_s001301_t01_f5598684eb41</t>
  </si>
  <si>
    <t xml:space="preserve">Banya Dala and Mon commanders</t>
  </si>
  <si>
    <t xml:space="preserve">PETITIONED_FOR_TRUCE_DURING</t>
  </si>
  <si>
    <t xml:space="preserve">Buddhist Lent</t>
  </si>
  <si>
    <t xml:space="preserve">ထိုအခါ သန်လျင်မြို့တွင် ခံသော ဗညားဒလနှင့် မွန်ဗိုလ်မှူးတပ်မှူးတို့လည်း ငတ်မွတ်ကျဉ်းမြောင်းလှသည်နှင့် ကြောက်ရွံ့ခြင်း ပြင်းစွာဖြစ်၍ ယခုသည် ဝါဆိုလ” ရောက်ပါတော့မည်၊ ဝါတွင်းကာလကို စစ်မက်ထိုးတော် မမူပါမည့် အကြောင်းကို သာယာချေငံစွာသော စကားဖြင့် စာရေး၍ ရံတပ်တွင် စာဆွဲလှာသည်။</t>
  </si>
  <si>
    <t xml:space="preserve">At that time, Banya Dala and the Mon commanders and officers defending Syriam, being extremely hungry and distressed, were greatly afraid and wrote a letter in pleasant and polite language, stating that the month of Waso was now arriving and requesting that [the King] not wage war during the Buddhist Lent, and sent the letter to the siege camp.</t>
  </si>
  <si>
    <t xml:space="preserve">vol1_s001302</t>
  </si>
  <si>
    <t xml:space="preserve">vol1_s001302_t01_37dca0bef1dd</t>
  </si>
  <si>
    <t xml:space="preserve">DERIVED_LEGITIMACY_FROM</t>
  </si>
  <si>
    <t xml:space="preserve">Prophetic dreams</t>
  </si>
  <si>
    <t xml:space="preserve">ထိုကာလ အလောင်းမင်းတရားကြီးဘုရား သုံးညဆက်၍ အိပ်မက် မြင်တော်မူသည်ကား-ပထမနေ့တွင် သားတော်နှစ်ပါးနှင့် မျောက်သား မျောက်ခေါင်းကို စားတော်ခေါ်-မက်သည်။</t>
  </si>
  <si>
    <t xml:space="preserve">During that time, the Great Alaungmintaya King had dreams for three consecutive nights: on the first day, he dreamed that he was eating monkey meat and monkey heads with his two sons.</t>
  </si>
  <si>
    <t xml:space="preserve">vol1_s001303</t>
  </si>
  <si>
    <t xml:space="preserve">vol1_s001303_t01_84cc42ca5b89</t>
  </si>
  <si>
    <t xml:space="preserve">ဒုတိယနေ့တွင် ဟံသာဝတီက ကိုယ်ဝန်ဆောင်သော မိန်းမကို အမတ်ရွှေတောင်သူ ရယူခဲ့၍ ဆက်လာ- မက်သည်။</t>
  </si>
  <si>
    <t xml:space="preserve">On the second day, he dreamed that the minister Shwetaungthu had taken and brought to him a pregnant woman from Hanthawaddy.</t>
  </si>
  <si>
    <t xml:space="preserve">vol1_s001304</t>
  </si>
  <si>
    <t xml:space="preserve">vol1_s001304_t01_b1bb789e7a65</t>
  </si>
  <si>
    <t xml:space="preserve">တတိယနေ့တွင် ကြောင်ဘား လက်က ကြွက်မလွတ် - ဟူ၍ သူတစ်ယောက် ဆိုလာသည်ကို ကြားမြင်တော်မူ- မက်သည်။</t>
  </si>
  <si>
    <t xml:space="preserve">On the third day, he heard someone say, 'A mouse does not escape from the hands of a cat,' and he dreamed of this.</t>
  </si>
  <si>
    <t xml:space="preserve">vol1_s001305</t>
  </si>
  <si>
    <t xml:space="preserve">vol1_s001305_t01_d2e21f94d675</t>
  </si>
  <si>
    <t xml:space="preserve">INTERPRETED_OMENS_AS</t>
  </si>
  <si>
    <t xml:space="preserve">Divine mandate for conquest</t>
  </si>
  <si>
    <t xml:space="preserve">ဖတ်တော်မူသည်ကား ရာမညတိုင်း မွန်သုံးရပ်ကို မလွဲ ရတော်မူမည် ဟူ၍ ဖတ်တော်မူသည်။</t>
  </si>
  <si>
    <t xml:space="preserve">He interpreted it as meaning that he would undoubtedly obtain the three Mon regions of the Ramanya country.</t>
  </si>
  <si>
    <t xml:space="preserve">vol1_s001306</t>
  </si>
  <si>
    <t xml:space="preserve">vol1_s001306_t01_e39d88ac2116</t>
  </si>
  <si>
    <t xml:space="preserve">Syriam elite and military commanders</t>
  </si>
  <si>
    <t xml:space="preserve">ထိုအခါ ဗညားဒလလည်း ဗိုလ်မှူးတပ်မှူး စစ်သည်ရဲမက် သူဌေး သူကြွယ်တို့ကို ခေါ်၍ ဤသို့ တိုင်ပင်၏။</t>
  </si>
  <si>
    <t xml:space="preserve">At that time, Banya Dala called the commanders, officers, soldiers, warriors, wealthy men, and merchants and consulted with them as follows.</t>
  </si>
  <si>
    <t xml:space="preserve">vol1_s001307</t>
  </si>
  <si>
    <t xml:space="preserve">vol1_s001307_t01_bd2d12a54084</t>
  </si>
  <si>
    <t xml:space="preserve">PROPOSED_EVACUATION_STRATEGY_TO</t>
  </si>
  <si>
    <t xml:space="preserve">Syriam elite</t>
  </si>
  <si>
    <t xml:space="preserve">ငါတို့နေသည့် သန်လျင်မြို့သည် မြို့ လည်း ခိုင်ခန့်သည်၊ မြင့်လည်း မြင့်သည်၊ ကျုံးလည်း နက်လှသည်၊ မြို့ထိပ်က ပြောင်းသေနတ်လည်း ထူထပ်လှသည်၊ စစ်သည်တို့လည်း ငါတို့ အကွပ်အညှပ် နာလှသောကြောင့် အစားအစာ ပြတ်လပ် ငတ်မွတ်လျက် အမှုကို ကြိုးစား၍ ထမ်းကြပေသည်၊ မြောက်မျက်နှာ, အနောက်မျက်နှာ သင်္ဘော ရေတပ်များလည်း မြန်မာတို့ မကူးမသန်း မတိုးမဝှေ့နိုင်အောင် အခိုင်အခန့် ခံလေသောကြောင့်သာ သူ အလုပ်အကြံ ခဲယဉ်းလေသည်၊ သို့တည်းမှန်စေကာ မျိုးရိက္ခာ မရှိလျှင် ဘဇာကို စား၍ အခိုင်နေနိုင်မည်၊ ငါ့စိတ်တွင်သော်ကား- သန်လျင်မြို့တွင်းမှာ ရှိသမျှ လက်နက် လူသူတို့ကို သင်္ဘောခုနစ်စင်းနှင့် ဇလာကပင်, ကူရွပ်, သမ္ဗန်ကြီးများတွင် တင်မည်၊ သို့မှ တိုက်လှေကြီး ငါးရာကျော်နှင့် တကွ မြို့က ခွာ၍ ပင်လယ်ကြောင်း မျိုးရိက္ခာ ရသာ မှီသာသည့် အရပ်က အရေးကို မျှော်ထောက်၍ အခိုင်နေမည်ဟု ဗညားဒလ ဆိုသော စကားကို တစ်မြို့လုံး ညီညွတ်ကြောင်းနှင့် သန်လျင်မြို့တွင်းက ရံတပ်တော်များသို့ ဝင်ရောက်လာသည့် သူငတ် သူမွတ်တို့ အဆင့်ဆင့် ပြောဆို၍ ထိုစကားကို ဘဝရှင်အလောင်းမင်းတရားကြီးဘုရား ကြားသိတော်မူလျှင် ရန်ကုန်မြို့ မှာ တည်လုပ်သည့် သင်္ဘောတော်ကြီးလည်း ပြီးသည်နှင့် သင်္ဘောတော်ကို ဦးတိုးရုပ်တွင် “ရေနန်းစကြာ မဟာသင်္ဘောတော်ကြီး” ဘွဲ့ ကမ္ပည်း တပ်တော်မူ၍ အမြောက် စိန်ပြောင်း အပစ်အခတ် ကျင်လျင်သည့် ကုလားတစ်ရာကျော်, မြန်မာသူရဲကောင်း တစ်ရာကျော် ရွေးကောက်တော်မူ၍ မင်းလှမင်းခေါင်နှင့်တကွ သင်္ဘောတော်မှာ တင်ပြီးလျှင် အမြောက်စိန်ပြောင်း စီစဉ်လျက် သင်္ဘောတော် လက်ဝဲက တိုက်လှေကြီး ခုနစ်ဆယ်ကျော်, လက်ယာက တိုက်လှေကြီး ခုနစ်ဆယ်ကျော် စည်းကြပ် ခန့်ထားတော်မူ၍ သန်လျင်မြို့ ရေကြောင်းက ခံနေသည့် သင်္ဘောခုနစ်စင်းနှင့် လှေတပ်ကို ပျက်အောင် တိုက်ရမည်၊ ငါကိုယ်တော် သန်လျက်စွန်းတိုင်အောင် ထွက်၍ ကြည့်တော်မူမည်ဟု အမိန့်တော်ရှိ၏။</t>
  </si>
  <si>
    <t xml:space="preserve">The Syriam city where we live is a strong city, it is high, the moat is very deep, and the cannons on the city walls are very dense; the soldiers are also working hard and enduring the task despite being short of food and hungry because they are under our strict command; it is only because we are defending strongly that the Burmese cannot cross, move, or approach the naval fleets on the north and west sides that their work and plans are difficult; even so, if there are no provisions, we can eat [the meat of] monitor lizards and stay strong; in my mind, I will load all the weapons and people inside Syriam onto seven ships and the Jalakapan, Kurwat, and large sampans; only then, with over five hundred large war boats, will we leave the city and head by sea to a place where we can obtain provisions and sustenance, and look toward our future affairs and stay strong; when the Great Alaungmintaya King heard this speech—which Banya Dala had made and which the hungry and starving people who had entered the royal siege camps from inside Syriam had reported in succession—he realized that the whole city was in agreement; as soon as the great royal ship being built in Yangon was finished, he named the royal ship 'Yenanzakra Maha Royal Ship' at the U-toe-yut, selected over one hundred foreigners and over one hundred Burmese heroes who were skilled in firing cannons and muskets, loaded them onto the royal ship along with Minhla Minkhaung, arranged the cannons and muskets, and ordered that over seventy large war boats be organized and stationed on the left side of the royal ship and over seventy large war boats on the right side, and he gave the order, 'You must attack and destroy the seven ships and the boat fleet defending Syriam by water; I myself will go out as far as the tip of Syriam to watch.'</t>
  </si>
  <si>
    <t xml:space="preserve">vol1_s001307_t02_4baded0905e7</t>
  </si>
  <si>
    <t xml:space="preserve">MONITORED_ENEMY_INTENTIONS_VIA</t>
  </si>
  <si>
    <t xml:space="preserve">Defectors</t>
  </si>
  <si>
    <t xml:space="preserve">vol1_s001307_t03_2e23d0629503</t>
  </si>
  <si>
    <t xml:space="preserve">COMMISSIONED_WARSHIP</t>
  </si>
  <si>
    <t xml:space="preserve">Yenanzakra</t>
  </si>
  <si>
    <t xml:space="preserve">vol1_s001307_t04_025b29ce408f</t>
  </si>
  <si>
    <t xml:space="preserve">APPOINTED_ELITE_FORCES_TO</t>
  </si>
  <si>
    <t xml:space="preserve">vol1_s001307_t05_dc5cdae38b2b</t>
  </si>
  <si>
    <t xml:space="preserve">ORDERED_NAVAL_ASSAULT_ON</t>
  </si>
  <si>
    <t xml:space="preserve">Syriam naval defenses</t>
  </si>
  <si>
    <t xml:space="preserve">vol1_s001308</t>
  </si>
  <si>
    <t xml:space="preserve">vol1_s001308_t01_35638b6478be</t>
  </si>
  <si>
    <t xml:space="preserve">Yenanzakra warship</t>
  </si>
  <si>
    <t xml:space="preserve">သက္ကရာဇ် (၁၁၁၈) တစ်ထောင့်တစ်ရာ့တစ်ဆယ့်ရှစ်ခု၊ ဝါဆိုလပြည့်ကျော် နှစ်ရက် နေ့ ရေနန်းစကြာ မဟာသင်္ဘောတော်ကြီး လှေတပ် သန်လျင်သို့ ကူးရ၏။</t>
  </si>
  <si>
    <t xml:space="preserve">In the year 1118, on the second day after the full moon of Waso, the Yenanzakra Maha Royal Ship and the boat fleet crossed to Syriam.</t>
  </si>
  <si>
    <t xml:space="preserve">vol1_s001386</t>
  </si>
  <si>
    <t xml:space="preserve">vol1_s001386_t01_5bcdee54f1c9</t>
  </si>
  <si>
    <t xml:space="preserve">Dwaya-zet</t>
  </si>
  <si>
    <t xml:space="preserve">SUBMITTED_KIN_TO</t>
  </si>
  <si>
    <t xml:space="preserve">ဒေါဇွယ်ယစက်ကလည်း အကြောင်းမျိုးကို စေ့စုံစွာ နားတော်လျှောက်၍ ဒေါဇွယ်ယစက်နှင့်တကွ မိဘ သားမယား ဆွေမျိုးပေါက်ဖော်တို့ကို ခမည်းတော်ဘုရား ခြေတော်ရင်းသို့ ဆက်စေ၏။</t>
  </si>
  <si>
    <t xml:space="preserve">Dozwayazet reported the circumstances in detail to the royal ear, and presented his parents, wife, children, and relatives to the feet of the royal father.</t>
  </si>
  <si>
    <t xml:space="preserve">vol1_s001386_t02_eef22838f4bf</t>
  </si>
  <si>
    <t xml:space="preserve">REPORTED_CIRCUMSTANCES_TO</t>
  </si>
  <si>
    <t xml:space="preserve">Thiri Thudhamma Raja</t>
  </si>
  <si>
    <t xml:space="preserve">vol1_s001387</t>
  </si>
  <si>
    <t xml:space="preserve">vol1_s001387_t01_721a3f8f8dac</t>
  </si>
  <si>
    <t xml:space="preserve">ဘဝရှင်အလောင်းမင်းတရားကြီးဘုရားက ဒေါဇွယ်ယစက် ဝင်ရောက်လာသည့် အကြောင်းအရာမျိုးကို မေးတော်မူသည်ကို အဆုံးမရှိသော ဘုန်းတော် တန်ခိုးတော်ကြောင့် ကျွန်တော်တို့ စစ်သူကြီးပြသသူ ပဲကူးမြို့ တွင်းမှာ ရပ်တည်၍ မနေနိုင်သောကြောင့် ယခုက ပွဲလမ်းရအောင် အမှုတော်ကို ထမ်းမည်ဟု မိဘ သားမယား ဆွေမျိုးပေါက်ဖော်တို့နှင့် ပဲကူးက ထွက်ခဲ့၍ ခြေတော်ဦးခိုက် ရောက်လှာကြောင်းကို ရှိခိုး နားတော်လျှောက်လေလျှင် ဒေါဇွယ်ယစက်ကား ပဲကူးမင်းတွင် သူရဲကောင်းယောက်ျားဟူ၍ ကျော်စောသည်၊ ငါက သူရဲကောင်းတို့နှင့် စစ်ပွဲတွင် မတွေ့မကြုံဘူးလောဟူ၍ မေးတော်မူလျှင် တွေ့ကြုံဘူးကြောင်းကို လျှောက်သည်တွင် ဘယ်သို့ တွေ့ ကြုံသနည်း မေးတော်မူ၍ ဒေါဇွယ်ယစက် လျှောက်သည်ကား- “ဘောလယ်တွင် ကျွန်တော်တို့တပ် မခံနိုင်၍ ရွေ့ချေ၏၊ ကျွန်တော်လည်း တပ်ရွေ့လျှင် စစ်ဘုရင်ဖြစ်၍ မြင်းတစ်ရာကျော်နှင့် အစည်းအရုံး မပျက်စေရ၊ နောက်ကအုပ်၍ မြန်မာတို့ လိုက်လာသည်ကို ဆီး၍ ဟန့်တား ၏၊ ယင်းသို့စင်တွင် အသားခပ်ညို ကိုယ်ခပ်ကိုင်းနှင့် သျှောင်ကိုဖြေ၍ ဆံဖားရားနှင့် ဝတ်လုံချပ်ကာ မပါ၊ အတာနှစ်ဆယ်ကျော်ကွာ၊ မြင်းစုက ခွာ၍ ကျွန်တော်ရှိရာ စိုက်စိုက်လိုက်လာသည်ကို အထောက်တော်ရာက ကျွန်တော် လှံသုံးစင်းနှင့် ဆင့်ကာ လွှတ်သည်၊ မထိမပါး မတိမ်းမရှောင် အကြောက်အရွံ့ မရှိ ပကတိ လိုက်မြဲ လိုက်သည်နှင့် ကျွန်တော် အောက်မေ့မိသည်မှာ လက်တွင် လှံရှင်ပါလျက် လက်တုံ့မယူ လူကို အရှင်ဖမ်းမည် ကြံသည့် လက္ခဏာရှိချေသည်၊ လူလည်းကြီးကျန်း မောက်မာ သန်စွမ်းဟန် ရှိလှသည်၊ ဆုတ်မှသာ သင့်တော့မည်ဟု မြင်းတစ်ရာကျော်နှင့် တစ်လုံးတည်း ထွက်ပြေးသည်ကို မလိုက်၊ မြင်းရပ်ကာသာ ကြည့်၍ နေရစ်သည်” ဟု လျှောက်လျှင် ထိုသူကို မြင်သော် သိမည်လော မေးတော်မူ၍ မြင်ရသော် သိပါမည် လျှောက်သဖြင့် အပါးတော် တွင်ရှိသည့် ဗိုလ်မှူးတပ်မှူး မှူးတော်မတ်တော် ငါးကျိပ်ကျော်ကို ပြလျှင် အလယ်တွင် နေသော ထိုလူကြီးပင် ဖြစ်ပါသည်ဟု မင်းလှမင်းခေါင်ကို လက်ညှိုးညွှန်၍ ပြ၏။</t>
  </si>
  <si>
    <t xml:space="preserve">When the Lord of Life, Alaungmintayagyi, asked about the circumstances of Dozwayazet's arrival, he [Dozwayazet] bowed and reported to the royal ear that, due to the infinite glory and power [of the King], because our commander and leader could not stand and remain within the city of Pegu, he had left Pegu with his parents, wife, children, and relatives, saying that he would now serve the royal duty to obtain a position, and had arrived to bow at the royal feet; when [the King] asked, 'Dozwayazet is famous as a hero among the Peguans; have I not met and encountered heroes in battle?' and he replied that he had encountered them, and [the King] asked, 'How did you encounter them?' Dozwayazet reported: 'At Bawle, our army could not hold and retreated; when I retreated with the army, I was the commander, and I did not let the formation of over one hundred horses break; I blocked and stopped the Burmese who were following and pressing from behind; at that moment, a man with dark skin and a sturdy build, with his hair knot undone and hair flowing, wearing no armor, at a distance of over twenty ata, separated from the horse group and followed straight to where I was; I sent three spears in succession from my scouts, but he did not get hit, did not dodge, had no fear, and followed as usual, and I thought to myself that although he had a spear in his hand, he did not strike back, which was a sign that he intended to capture me alive; the man also appeared very large, arrogant, and strong, so I thought it would be best to retreat, and I fled alone with the hundred-plus horses; he did not follow, but stopped his horse and just watched as I remained,' and when he reported this, [the King] asked, 'If you saw that person, would you recognize him?' and upon replying, 'If I saw him, I would recognize him,' [the King] showed him more than fifty commanders, battalion leaders, and ministers who were in his presence, and he pointed his finger at Minhla Minkhaung, saying, 'It is that very old man sitting in the middle.'</t>
  </si>
  <si>
    <t xml:space="preserve">vol1_s001387_t02_9aadb9ff3244</t>
  </si>
  <si>
    <t xml:space="preserve">OFFERED_SERVICE_TO</t>
  </si>
  <si>
    <t xml:space="preserve">vol1_s001387_t03_c7fb2a7cfa42</t>
  </si>
  <si>
    <t xml:space="preserve">IDENTIFIED_AS_FORMIDABLE_OPPONENT</t>
  </si>
  <si>
    <t xml:space="preserve">vol1_s001387_t04_9e91ed79fe95</t>
  </si>
  <si>
    <t xml:space="preserve">DISPLAYED_OFFICIALS_TO</t>
  </si>
  <si>
    <t xml:space="preserve">vol1_s001387_t05_dc5bc0b2d0cb</t>
  </si>
  <si>
    <t xml:space="preserve">HELD_RANK_OF</t>
  </si>
  <si>
    <t xml:space="preserve">Commander</t>
  </si>
  <si>
    <t xml:space="preserve">vol1_s001388</t>
  </si>
  <si>
    <t xml:space="preserve">vol1_s001388_t01_97a4a5b3c0de</t>
  </si>
  <si>
    <t xml:space="preserve">COMMANDED_TO_REVEAL_IDENTITY</t>
  </si>
  <si>
    <t xml:space="preserve">ဘဝရှင်အလောင်းမင်းတရားကြီးဘုရားလည်း မင်းလှမင်းခေါင်ကို ဦးဆံဖြေ၍ မတ်တတ်ရပ်လျက် ပြစေသည်။</t>
  </si>
  <si>
    <t xml:space="preserve">The Lord of Life, Alaungmintayagyi, also had Minhla Minkhaung untie his hair knot and stand up to show himself.</t>
  </si>
  <si>
    <t xml:space="preserve">vol1_s001389</t>
  </si>
  <si>
    <t xml:space="preserve">vol1_s001389_t01_0280fa386db8</t>
  </si>
  <si>
    <t xml:space="preserve">RETURNED_CAPTURED_KIN_TO</t>
  </si>
  <si>
    <t xml:space="preserve">ဒေါဇွယ်ယစက်လည်း လက်ဖျားခါ၍ သည်သူပင် မှန်ပါသည်၊ ဘောလယ်တွင် တွေ့သည့်နေ့မှ ယနေ့ထက် တိုင် ကြောက်ပါသေး၏ဟု လျှောက်လျှင် ရယ်တော်မူ၍ တိုက်ပွဲတွင် ချက်တစ်ဖြုတ် အဝေးက မြင်လိုက်ကာမျှနှင့် သတိရပေသည်ဟု အားရတော်မူ၍ သန်လျင် ပျက်တွင် ရသည့် ဒေါဇွယ်ယစက် သားမယား ကျေးကျွန်တို့ကို စိစစ်၍ ပေးအပ်တော်မူ၏။</t>
  </si>
  <si>
    <t xml:space="preserve">Dozwayazet shook his fingertips and reported, 'This is indeed the very person; from the day I met him at Bawle until today, I am still afraid,' and [the King] laughed, saying, 'You remember him just from seeing him for a moment from afar in battle,' and being pleased, he verified and returned to Dozwayazet his wife, children, and servants who were obtained during the fall of Syriam.</t>
  </si>
  <si>
    <t xml:space="preserve">vol1_s001389_t02_5f7013cbcbf5</t>
  </si>
  <si>
    <t xml:space="preserve">VALIDATED_MILITARY_REPUTATION_OF</t>
  </si>
  <si>
    <t xml:space="preserve">vol1_s001390</t>
  </si>
  <si>
    <t xml:space="preserve">vol1_s001390_t01_ecddb29d0ab8</t>
  </si>
  <si>
    <t xml:space="preserve">ဗညားဒလ ဟူသော အမည်နှင့် သားတော် သီရိသုဓမ္မရာဇာကို အပ်၍လည်း အမှုတော်ကို ထမ်းစေရ၏။</t>
  </si>
  <si>
    <t xml:space="preserve">He also entrusted him to his son, Thiri Thudhamma Raza, under the name Banya Dala, and had him serve the royal duty.</t>
  </si>
  <si>
    <t xml:space="preserve">vol1_s001390_t02_a29918f9441d</t>
  </si>
  <si>
    <t xml:space="preserve">vol1_s001390_t03_806958c76ade</t>
  </si>
  <si>
    <t xml:space="preserve">ASSIGNED_TO_AUTHORITY_OF</t>
  </si>
  <si>
    <t xml:space="preserve">The assignment is real, but the triple omits the person being assigned, Dwa-zet. Its surface construction can misleadingly read as Alaungpaya himself being placed under the prince.</t>
  </si>
  <si>
    <t xml:space="preserve">Dwa-zet / Banya Dala | ASSIGNED_BY_ALAUNGPAYA_TO | Prince Thiri Thudhamma Raja</t>
  </si>
  <si>
    <t xml:space="preserve">vol1_s001969</t>
  </si>
  <si>
    <t xml:space="preserve">vol1_s001969_t01_9837bd8fceb0</t>
  </si>
  <si>
    <t xml:space="preserve">Min Myat Swa</t>
  </si>
  <si>
    <t xml:space="preserve">ACCORDED_FUNERAL_HONORS_OF</t>
  </si>
  <si>
    <t xml:space="preserve">Great Queen</t>
  </si>
  <si>
    <t xml:space="preserve">၎င်း ဝါခေါင်လပြည့်ကျော် ငါးရက်နေ့ J နံနက် တစ်ချက်တီးကျော်တွင် ပြည်မြို့ကချီတော်မူသည်၊ တော်သလင်းလဆန်း ရှစ်ရက်၃ တနင်္ဂနွေနေ့ တစ်ချက်တီးကို ရတနာပူရမြို့တော်သို့ ရောက်တော်မူသည်၊ ထိုနေ့ည အင်းဝမြို့ နန်းတော်တွင် စံတော်မူသောအခါ ဟံသာဝတီရောက်မင်း သမီးတော် မင်းမြတ်စွာသည် လှေမှာ အနိစ္စရောက်၍ လေသာတံခါးဆိပ် ဖောင်လှေကသည် သန်လျင်းနှင့်ဆောင်၍ လေသာတံခါးက သွင်းတော်မူပြီးလျှင် အင်းဝနန်းတော်တွင် လွှတ်တော်အရှေ့မြောက် အထက်နန်းမတော် မိဖုရားကို သင်္ဂြိုဟ်သည့် အရာ၌ မိဖုရားကြီးတို့ကို သင်္ဂြိုဟ်သည့်နည်း ထီးဖြူသုံးစင်း အုပ်၍ သင်္ဂြိုဟ်သည်။</t>
  </si>
  <si>
    <t xml:space="preserve">On the fifth day after the full moon of Wagaung, past the first hour of the morning, [he] departed from Pyay City; on the eighth day of the waxing moon of Tawthalin, a Sunday, at the first hour, [he] arrived at the royal city of Ratanapura; when [he] stayed at the Inwa city palace that night, the daughter of the king who reached Hanthawaddy, Min Myat Swa, passed away on the boat, so [they] carried [her] with a palanquin from the raft boat at the Le-tha Gate landing, brought [her] in through the Le-tha Gate, and in the Inwa palace, in the matter of burying the Queen of the Upper Palace, northeast of the Hluttaw, [they] buried [her] by covering [her] with three white umbrellas, in the same manner as burying the Great Queens.</t>
  </si>
  <si>
    <t xml:space="preserve">vol1_s001969_t02_2dfc8838c909</t>
  </si>
  <si>
    <t xml:space="preserve">BURIED_WITH_RITUAL_SYMBOL</t>
  </si>
  <si>
    <t xml:space="preserve">Three white umbrellas</t>
  </si>
  <si>
    <t xml:space="preserve">vol1_s001970</t>
  </si>
  <si>
    <t xml:space="preserve">vol1_s001970_t01_2fce12c23057</t>
  </si>
  <si>
    <t xml:space="preserve">ORDERED_MAINTENANCE_OF</t>
  </si>
  <si>
    <t xml:space="preserve">Irrigation infrastructure in nine southern districts</t>
  </si>
  <si>
    <t xml:space="preserve">အင်းဝတွင် ငါးရက် စံတော်မူ၍ တောင်ဘက် ကိုးခရိုင် ဆည်တော် မြောင်းတော် ကန်တော်များကို အပြုအစု အစီအရင် ခန့်ရန်တော်မူခဲ့၍ သက္ကရာဇ် (၁၁၁၉) တစ်ထောင့်တစ်ရာ့တစ်ဆယ့်ကိုးခု၊ တော်သလင်းလဆန်း တစ်ဆယ့်သုံးရက် သောကြာနေ့ နံနက် လေးချက်တီးကျော် သုံးမောင်းတွင် ရတနာပူရ အင်းဝမြို့တော်က ဆန်တော် မူသည်။</t>
  </si>
  <si>
    <t xml:space="preserve">After staying in Inwa for five days and giving orders for the maintenance and arrangement of the dams, canals, and ponds of the nine districts to the south, on the thirteenth day of the waxing moon of Tawthalin, a Friday, in the third quarter past the fourth hour of the morning, [he] departed from the royal city of Ratanapura Inwa.</t>
  </si>
  <si>
    <t xml:space="preserve">vol1_s001972</t>
  </si>
  <si>
    <t xml:space="preserve">vol1_s001972_t01_17ba96ebc93e</t>
  </si>
  <si>
    <t xml:space="preserve">COMMANDED_ASSEMBLY_OF</t>
  </si>
  <si>
    <t xml:space="preserve">Military and service forces</t>
  </si>
  <si>
    <t xml:space="preserve">ကျောက်မြောင်းမြို့ တော်တွင် ဆယ်ရက် စံတော်မူ၍ တိုက်လှေ ဝန်လှေ ကျွန်တော်မျိုးအပေါင်း အရောက်စုံညီအောင် ဆင်လုံး မြင်းရင်း ကြည်းရေ အရောက် ငံ့လင့်၍ စံပယ်တော်မူသည်၊ ရွှေမြို့ တော်ကလည်း အရှင်မိဖုရားခေါင်ကြီး, သမီးတော်, ကိုယ်လုပ်တော်တို့ ကြိုလာရသည်။</t>
  </si>
  <si>
    <t xml:space="preserve">Staying in the royal city of Kyaukmyaung for ten days, [he] waited for the arrival of all the service boats, ministerial boats, and all the subjects, and for the full assembly of the elephant corps, horse corps, and land and water forces, and stayed there; from the golden royal city, the Great Queen, the daughter, and the concubines also came to meet [him].</t>
  </si>
  <si>
    <t xml:space="preserve">vol1_s001972_t02_53055b3b6039</t>
  </si>
  <si>
    <t xml:space="preserve">Royal household</t>
  </si>
  <si>
    <t xml:space="preserve">JOINED_KING_AT</t>
  </si>
  <si>
    <t xml:space="preserve">vol1_s001973</t>
  </si>
  <si>
    <t xml:space="preserve">vol1_s001973_t01_22f2ff599cff</t>
  </si>
  <si>
    <t xml:space="preserve">Ratanasingha_royal_city</t>
  </si>
  <si>
    <t xml:space="preserve">လပြည့်ကျော် ဆယ်ရက်° ဗုဒ္ဓဟူးနေ့ ရတနာသိင်္ဃမြို့ တော်သို့ ချီတော်မူသည်၊ အစီအစဉ်ကားရှေ့ဖျား ဘုရားသခင့် စွယ်တော်မြတ်တင် ဆင်တစ်၊ ထိုနောက် ဘုရားသခင့် သပိတ်တော်တင် ဆင်တစ်၊ ထိုနောက် အလောင်းစည်သူ ရွှေဂူဘုရား ဆင်းတုတော်တင် ဆင်တစ်၊ ထိုနောက် မြတ်ပေါင်းမဉ္ဇူတင် ဆင်တစ်၊ ရွှေ ငွေ ရတနာတင်သည့် ဆင်နှစ်ရာ၊ ထိုနောက် စမြောင်နှစ်၊ ထိုနောက် စည်တော်စုံ၊ အောင်စည်တော်, အောင်လံတော်၊ ထိုနောက် ရှေ့ဝင်းစချီနှင့် ရွှေလှံကိုင် ကောင်ဟန်တစ်ရာ၊ ထိုနောက် လက်ယာဝင်းမှူးနှင့် ရွှေလှံကောင်ဟန် တစ်ရာ၊ ထိုနောက် လက်ဝဲဝင်းမှူးနှင့် ရွှေလှံကောင်ဟန် တစ်ရာ၊ ထိုနောက် နောက်ဝင်းစချီနှင့် ရွှေလှံကောင်ဟန် တစ်ရာ၊ ထိုနောက် ရွေးသေနတ် သွေးသောက်ကြီးတို့နှင့် သေနတ်သုံးရာ၊ ထိုနောက် လက်ဝဲတော်က လက်ဝဲကြောင်း သေနတ်လုလင် သုံးရာ၊ လက်ယာတော်က လက်ယာကြောင်း သေနတ်လုလင် သုံးရာ၊ ထိုနောက် လက်ဝဲလက်ယာ ရွှေလေးတော် ခုနစ်ရာ၊ ထိုနောက် သဉ္ဇာလီတော်တင် ဆင်တော် တစ်စီး၊ ထိုနောက် ပေါင်းဝန်းတော်တင် ဆင်တစ်စီး၊ ထိုနောက် စီးတော်ဆင် ပလာရွှေကြိုးနှင့် နှစ်၊ ထိုနောက် လက်ဝဲလက်ယာ ကျိုင်းတော်တစ်ဆယ့်ခြောက်၊ ထို နောက် ထီးဖြူတော်ရှစ်၊ ထိုနောက် အကြား အကြားတွင် ချပ်၍လိုက်ရသည့် ယပ်မားတော် ရှစ်, ဓားလိုက် ရှစ်၊ ထိုနောက် အရိန္ဒမာ ရွှေလှံတော်၊ ထိုနောက် လက်သုံးတော် ပတ္တမြားစီဓား တစ်၊ ထိုနောက် လက်စွဲတော် ဓား၊ ထိုနောက် ကိုယ်တော်မြတ် ရတနာကိုးပါးဖြင့်ပြီးသော ဆန်းကြယ်စွာသော ကြိုးက တန်ဆာဖြင့် ဆင်ယင်သော ပတ္တမြားစီ ကတော်တင်သော မြင်းတော် နတ်ယာဉ်ကျော်ကို စီးတော်မူသည်။</t>
  </si>
  <si>
    <t xml:space="preserve">On the tenth day after the full moon, a Wednesday, [he] marched to the royal city of Ratanasingha; the order was: in the vanguard, one elephant carrying the Buddha's sacred tooth relic, then one elephant carrying the Buddha's alms bowl, then one elephant carrying the image of the Alaungsithu Shwegu Buddha, then one elephant carrying the Myat Paung Manzu, two hundred elephants carrying gold, silver, and gems, then two drums, then the set of royal drums, the victory drum, and the victory banner, then the vanguard commander and one hundred golden-spear-bearing Kaung-han, then the right-wing commander and one hundred golden-spear-bearing Kaung-han, then the left-wing commander and one hundred golden-spear-bearing Kaung-han, then the rearguard commander and one hundred golden-spear-bearing Kaung-han, then the great leaders of the musketeers and three hundred muskets, then from the left side, three hundred left-flank musketeer youths, from the right side, three hundred right-flank musketeer youths, then seven hundred left and right golden crossbowmen, then one royal elephant carrying the Thinzali, then one elephant carrying the Paung-wun, then two royal riding elephants with golden trappings, then sixteen left and right royal staffs, then eight royal white umbrellas, then eight royal fans and eight royal swords to be carried in between, then the Arindama golden spear, then one royal sword inlaid with rubies, then the royal hand-sword, then [he] rode the royal horse Nat-yan-kyaw, which was adorned with wonderful trappings made of nine gems.</t>
  </si>
  <si>
    <t xml:space="preserve">vol1_s001973_t02_74893565ac77</t>
  </si>
  <si>
    <t xml:space="preserve">DISPLAYED_RELIGIOUS_LEGITIMACY_THROUGH</t>
  </si>
  <si>
    <t xml:space="preserve">Sacred_relics_and_images</t>
  </si>
  <si>
    <t xml:space="preserve">vol1_s001973_t03_34b2800cf60f</t>
  </si>
  <si>
    <t xml:space="preserve">Military_vanguard_and_rearguard_units</t>
  </si>
  <si>
    <t xml:space="preserve">vol1_s001973_t04_b705221651d2</t>
  </si>
  <si>
    <t xml:space="preserve">POSSESSED_ROYAL_REGALIA</t>
  </si>
  <si>
    <t xml:space="preserve">White_umbrellas_and_royal_swords</t>
  </si>
  <si>
    <t xml:space="preserve">vol1_s001973_t05_c31fcf9d1897</t>
  </si>
  <si>
    <t xml:space="preserve">RODE</t>
  </si>
  <si>
    <t xml:space="preserve">Royal_horse_Nat_yan_kyaw</t>
  </si>
  <si>
    <t xml:space="preserve">vol1_s002326</t>
  </si>
  <si>
    <t xml:space="preserve">vol1_s002326_t01_5d02f6cfe62c</t>
  </si>
  <si>
    <t xml:space="preserve">PERFORMED_RITUAL_BURIAL_FOR</t>
  </si>
  <si>
    <t xml:space="preserve">ဘဝရှင်မင်းတရားကြီးဘုရားလည်း ခမည်းတော်ဘုရား အလောင်းတော်ကို ကျောက်မြောင်းမြို့ ဆိပ်တော်က မင်းညီမင်းသား ဆွေတော်မျိုးတော် မှူးတော်မတ်တော်တို့ ခြံရံ ဆောင်ယူစေ၍ ရတနာသိင်္ဃမြို့တော် မြောက်မျက်နှာ လှိုင်သာတံခါးက သွင်းပြီးလျှင် ခမည်းတော်ဘုရား အလောင်းတော်ကို စကြဝတေးမင်း, မန္ဓာတ်မင်းတို့ကို သင်္ဂြိုဟ်သကဲ့သို့ အခမ်းအနား ကြီးကျယ်စွာ စီရင်လုပ်ဆောင်စေ၍ မင်းညီမင်းသား ဆွေတော် မျိုးတော် မှူးတော် မတ်တော် အပေါင်း ခြံရံလျက် ရွှေဝေါနှင့် ထွက်တော်မူ၍ ရွှေလွှတ်တော် အရှေ့မြောက် နန်းမြို့ တော်တွင်းဝယ် သင်္ဂြိုဟ်တော်မူ၏။</t>
  </si>
  <si>
    <t xml:space="preserve">The Lord of Life [the King] also had the royal father's body brought from the Kyauk Myaung city royal landing, surrounded by princes, royal relatives, and ministers, and after bringing it in through the Hlaing Tha gate on the north side of Ratanasingha city, he had the royal father's body performed with grand ceremonies as if burying a Universal Monarch or King Mandhat, and surrounded by all the princes, royal relatives, and ministers, he went out in the golden palanquin and performed the burial inside the royal palace city to the northeast of the Golden Audience Hall.</t>
  </si>
  <si>
    <t xml:space="preserve">vol1_s002326_t02_6a50dfafc81f</t>
  </si>
  <si>
    <t xml:space="preserve">RECEIVED_BURIAL_AS</t>
  </si>
  <si>
    <t xml:space="preserve">Universal_Monarch</t>
  </si>
  <si>
    <t xml:space="preserve">vol1_s002326_t03_999473b6efc5</t>
  </si>
  <si>
    <t xml:space="preserve">MOBILIZED_COURT_ELITES_FOR</t>
  </si>
  <si>
    <t xml:space="preserve">Royal_Funeral</t>
  </si>
  <si>
    <t xml:space="preserve">vol1_s002326_t04_f07c6a913953</t>
  </si>
  <si>
    <t xml:space="preserve">LOCATED_ROYAL_CENTER_AT</t>
  </si>
  <si>
    <t xml:space="preserve">vol1_s002327</t>
  </si>
  <si>
    <t xml:space="preserve">vol1_s002327_t01_727f30f07aa4</t>
  </si>
  <si>
    <t xml:space="preserve">POSSESSED_LEGITIMIZING_BIRTH_OMENS</t>
  </si>
  <si>
    <t xml:space="preserve">Astrological_Signs</t>
  </si>
  <si>
    <t xml:space="preserve">* ဘဝရှင် အလောင်းမင်းတရားကြီး ဘုရားကား ‘သက္ကရာဇ် (၁ဝ၇၆) တစ်ထောင့်ခုနစ်ဆယ့်ခြောက်ခု တော်သလင်း လပြည့် သောကြာနေ့ ညဉ့်တစ်ချက်တီးကျော်၊ ဓနသိဒ္ဓနက္ခတ် မွန်းတည့်၊ ပြိဿလက်၊ ကံစန်း၊ သိဟ်တွင် တနင်္ဂနွေ, စနေ၊ ကန်တွင် ဗုဒ္ဓဟူး, သောကြာ၊ မိဿတွင် ကြာသပတေး၊ ကြကဋ်တွင် အင်္ဂါ၊ ဗြိစ္ဆာတွင် ရာဟု၊ နက္ခတ်စဉ် နှစ်ဆယ့်နှစ်လုံး နှစ်ပါဒ်၊ တစ်ဆယ့်လေး ဗီဇနာတွင် ဖွားမြင်တော်မူသည်။</t>
  </si>
  <si>
    <t xml:space="preserve">* The Lord of Life, Alaungmintaya Gyi, was born in the year 1076, on the full moon day of Tawthalin, Friday, after the first watch of the night, when the Dhana Siddha constellation was at the meridian, with Taurus, Cancer, and Leo containing the Sun and Saturn, Virgo containing Mercury and Venus, Aries containing Jupiter, Cancer containing Mars, and Scorpio containing Rahu, in the twenty-two constellations, two padas, and fourteen vijana.</t>
  </si>
  <si>
    <t xml:space="preserve">vol1_s002329</t>
  </si>
  <si>
    <t xml:space="preserve">vol1_s002329_t01_85c733cfad7f</t>
  </si>
  <si>
    <t xml:space="preserve">HELD_ROYAL_PROSPERITY_FOR</t>
  </si>
  <si>
    <t xml:space="preserve">Eight_Years_One_Month</t>
  </si>
  <si>
    <t xml:space="preserve">အိမ်နိမ့် သုံးဆယ့်ခုနစ်နှစ် ခုနစ်လ, စည်းစိမ် ရှစ်နှစ်နှင့် တစ်လ, သက်တော် လေးဆယ့် ငါးနှစ်နှင့် ရှစ်လတွင် နတ်ရွာစံတော်မူ၏။</t>
  </si>
  <si>
    <t xml:space="preserve">He passed away to the abode of the nats at the age of forty-five years and eight months, having spent thirty-seven years and seven months in the lower house and eight years and one month in royal prosperity.</t>
  </si>
  <si>
    <t xml:space="preserve">vol1_s002331</t>
  </si>
  <si>
    <t xml:space="preserve">vol1_s002331_t01_d433ff4f9092</t>
  </si>
  <si>
    <t xml:space="preserve">Natural_Phenomena</t>
  </si>
  <si>
    <t xml:space="preserve">SIGNALED_END_OF</t>
  </si>
  <si>
    <t xml:space="preserve">Alaungpaya_Reign</t>
  </si>
  <si>
    <t xml:space="preserve">နတ်ရွာစံလိုသော်-နေပြည်တော်တွင် မိုးကြိုး တစ်ဆယ့်သုံးချက် တစ်ပြိုင်နက် ကျ၏၊ ညောင်လည်း ပွင့်၏၊ တိမ်တံခွန်လည်း ပြ၏၊ အင်္ဂါဂြိုဟ် အခိုးထွက်၏၊ ကြတ္တိကာ လတွင် ချင်း၏၊ ရွှေနန်းတက်တော်မူသောအခါ အဋ္ဌဇေယ မင်္ဂလာဂါထာကို ရွတ်၍ တက်တော်မူသည်ကို ပညာရှိတို့ ကြားသည်ကာလ ရွှေနန်းထက်တွင် စည်းစိမ် တော် ရှစ်နှစ်မျှသာ စံတော်မူရချိမ့်မည့် နိမိတ် ဖြစ်ချေသည်ဟု ဆိုစကုန်၏၊ ယိုးဒယားသို့ ချီတော်မူမည့် ကာလ မျက်ရည်ကိုသုတ်၍ နောက်ဆုတ်ပြန်သည်-ဟု သူငယ်တို့ တဘောင် သီကြ၏။</t>
  </si>
  <si>
    <t xml:space="preserve">As he was about to pass away to the abode of the nats, thirteen lightning strikes hit the capital simultaneously, a banyan tree blossomed, a cloud banner appeared, the planet Mars emitted smoke, and it entered the Krittika month; when he ascended the golden throne, the wise men heard him reciting the Atthajaya Mangala Gatha and said it was an omen that he would only enjoy prosperity on the golden throne for eight years; children sang a prophecy saying, 'At the time of marching to Ayutthaya, he wiped his tears and retreated.'</t>
  </si>
  <si>
    <t xml:space="preserve">vol1_s002331_t02_82fc2e332ca0</t>
  </si>
  <si>
    <t xml:space="preserve">FORETOLD_LIMITATION_OF</t>
  </si>
  <si>
    <t xml:space="preserve">Royal_Prosperity</t>
  </si>
  <si>
    <t xml:space="preserve">vol1_s002331_t03_44a56cba9875</t>
  </si>
  <si>
    <t xml:space="preserve">Wise_Men</t>
  </si>
  <si>
    <t xml:space="preserve">Political_Sign</t>
  </si>
  <si>
    <t xml:space="preserve">vol1_s002332</t>
  </si>
  <si>
    <t xml:space="preserve">vol1_s002332_t01_5461777b20bb</t>
  </si>
  <si>
    <t xml:space="preserve">POSSESSED_LEGITIMIZING_POWER_OF</t>
  </si>
  <si>
    <t xml:space="preserve">Noble_Birth</t>
  </si>
  <si>
    <t xml:space="preserve">ဘဝရှင် အလောင်းဖင်းတရားကြီးဘုရားကား...ဆွေတော် မျိုးတော် သားတော်မြေးတော် တည်းဟူသော အဘိဇစ္စဗလ စသော အားငါးပါးနှင့် ပြည့်စုံတော်မူ၏၊ ဘုန်းတော် အာဏာတော်ကြီး၏၊ ရည်ရွယ်တော်မူတိုင်း ရန်သူအပေါင်းကို အောင်မြင်တော်မူသည် များ၏၊ ကြံတော်မူသမျှလည်း မဆုတ်မနစ် အပြီးသို့ ရောက်၏၊ လူအပေါင်းတို့တွင် နှုတ်ရေး၌ လည်းကောင်း, လက်ရေး၌ လည်းကောင်း, လူရည်လူသွားကို သိတော်မူတတ်၏၊ မှူးတော်မတ်တော် သူရဲသူခက်တို့ကို အထိုက်အလိုက် ဝေဘန်နှိုင်းချိန် ချီးမြှောက်မစ ပြုစုပေးကမ်းလေ့ ရှိတော်မူ၏။</t>
  </si>
  <si>
    <t xml:space="preserve">The Lord of Life, Alaungmintaya Gyi, was endowed with the five powers, such as the power of noble birth, including royal relatives, sons, and grandsons; his glory and authority were great; he was victorious over all enemies as he intended; everything he planned reached completion without faltering; among all people, he knew how to judge human character in both speech and action; he was accustomed to distributing, weighing, supporting, helping, and providing for ministers and warriors according to their merit.</t>
  </si>
  <si>
    <t xml:space="preserve">vol1_s002332_t02_98f514f22b6c</t>
  </si>
  <si>
    <t xml:space="preserve">EXERCISED_JUDGMENT_OVER</t>
  </si>
  <si>
    <t xml:space="preserve">Human_Character</t>
  </si>
  <si>
    <t xml:space="preserve">vol1_s002332_t03_3afd3018be70</t>
  </si>
  <si>
    <t xml:space="preserve">PATRONIZED_ELITES_THROUGH</t>
  </si>
  <si>
    <t xml:space="preserve">Merit_Based_Distribution</t>
  </si>
  <si>
    <t xml:space="preserve">vol1_s002332_t04_d4ac3514373e</t>
  </si>
  <si>
    <t xml:space="preserve">MAINTAINED_LOYALTY_OF</t>
  </si>
  <si>
    <t xml:space="preserve">Ministers_and_Warriors</t>
  </si>
  <si>
    <t xml:space="preserve">vol1_s002333</t>
  </si>
  <si>
    <t xml:space="preserve">vol1_s002333_t01_29d848693513</t>
  </si>
  <si>
    <t xml:space="preserve">Three_Jewels</t>
  </si>
  <si>
    <t xml:space="preserve">ရဲရင့် တည်ကြည်၏၊ အမြော်အမြင် ရှိ၏၊ ရတနာသုံးပါး၌ ယုံကြည်တော်မူ၏။</t>
  </si>
  <si>
    <t xml:space="preserve">He was brave and steadfast, had foresight, and believed in the Three Jewels.</t>
  </si>
  <si>
    <t xml:space="preserve">vol1_s002334</t>
  </si>
  <si>
    <t xml:space="preserve">vol1_s002334_t01_2c02f69b101e</t>
  </si>
  <si>
    <t xml:space="preserve">SPONSORED_RELIGIOUS_STRUCTURE</t>
  </si>
  <si>
    <t xml:space="preserve">Shwechettho Pagoda</t>
  </si>
  <si>
    <t xml:space="preserve">ပြုတော်မူသော ကောင်းမှုတော်ကား ရွှေချက်သို စေတီတော် (တစ်)၊ မြတောင်မြို့ ဖောင်တော်ဦးစေတီတော် နှင့် တကွ ဘုရားဦး စရပ် (နှစ်)၊ တကောင်းမြို့ အရပ်၌ ဇိနအောင်ချာ ရွှေဘုံသာစေတီတော် (သုံး)၊ ပြည်မြို့၌ ဖောင်တော်ဦးစေတီတော် (လေး)၊ မြန်အောင်မြို့၌ ဖောင်တော်ဦးစေတီတော် (ငါး)၊ နတ်ကျွန်းအောင်မြေ နန်းတော်ဦး၌ စေတီတော် (ခြောက်)၊ ဒဂုန်ဆံတော်ရှင်၌ စောင်းတန်းတော် (ခုနစ်), စရပ်တော်ကြီး (ရှစ်)၊ ရတနာသိင်္ဃမြို့ အရှေ့မြောက်ထောင့်ဝယ် စေတီတော် (ကိုး)၊ ထိုတွင် ဇေတဝန်ကျောင်းတော် (တစ်ဆယ်)၊ ရွှေပေါ်ကျွန်းအရပ်၌ ရွှေစရပ်တော်ကြီး (တစ်ဆယ့်တစ်)၊ ဟံသာဝတီမြို့, ပြည်မြို့, အင်းဝမြို့, စစ်ကိုင်းမြို့ များနှင့် အကြေ အညာ မြစ်စဉ်တစ်လျှောက် ဘုရား ပုထိုး ဟောင်းနွမ်း ပြိုပျက်သည်များကို ကံကျွေးလက်ခ ငွေတော်ပေးအပ်၍ ပြင်လုပ် တော်မူသည်ကား များ၏၊ နှစ်စဉ်လည်း ပဌမသာမဏေ ရဟန်းပြုတော်မူ၏။</t>
  </si>
  <si>
    <t xml:space="preserve">The meritorious deeds he performed were: the Shwechettho Pagoda (one), the Phaungdaw-u Pagoda in Myadaung city along with a Buddha-head pavilion (two), the Jina Aungcha Shwebontha Pagoda in the Tagaung city area (three), the Phaungdaw-u Pagoda in Prome city (four), the Phaungdaw-u Pagoda in Myanaung city (five), the pagoda at the Natkyun Aungmye palace head (six), the covered walkway (seven) and the great pavilion (eight) at the Dagon Shwedagon, the pagoda in the northeast corner of Ratanasingha city (nine), the Jetavana monastery there (ten), and the great golden pavilion in the Shwepawkyun area (eleven); he also gave silver payments to repair old and ruined pagodas and temples along the river in Hanthawaddy, Prome, Ava, Sagaing, and the lower regions, and every year he performed the first novice ordination.</t>
  </si>
  <si>
    <t xml:space="preserve">vol1_s002334_t02_65492157e906</t>
  </si>
  <si>
    <t xml:space="preserve">Phaungdaw-u Pagoda (Myadaung)</t>
  </si>
  <si>
    <t xml:space="preserve">vol1_s002334_t03_915ad3085322</t>
  </si>
  <si>
    <t xml:space="preserve">Jina Aungcha Shwebontha Pagoda (Tagaung)</t>
  </si>
  <si>
    <t xml:space="preserve">vol1_s002334_t04_8ab1d49f32d3</t>
  </si>
  <si>
    <t xml:space="preserve">Phaungdaw-u Pagoda (Prome)</t>
  </si>
  <si>
    <t xml:space="preserve">vol1_s002334_t05_2735be85f520</t>
  </si>
  <si>
    <t xml:space="preserve">Phaungdaw-u Pagoda (Myanaung)</t>
  </si>
  <si>
    <t xml:space="preserve">vol1_s002334_t06_d80f5558f4dc</t>
  </si>
  <si>
    <t xml:space="preserve">Natkyun Aungmye Pagoda</t>
  </si>
  <si>
    <t xml:space="preserve">vol1_s002334_t07_252ca44cd3d7</t>
  </si>
  <si>
    <t xml:space="preserve">Dagon Shwedagon covered walkway</t>
  </si>
  <si>
    <t xml:space="preserve">vol1_s002334_t08_060043aa047d</t>
  </si>
  <si>
    <t xml:space="preserve">Dagon Shwedagon great pavilion</t>
  </si>
  <si>
    <t xml:space="preserve">vol1_s002334_t09_623b325eff39</t>
  </si>
  <si>
    <t xml:space="preserve">Ratanasingha Pagoda</t>
  </si>
  <si>
    <t xml:space="preserve">vol1_s002334_t10_9ff9a37b6b19</t>
  </si>
  <si>
    <t xml:space="preserve">Jetavana monastery (Ratanasingha)</t>
  </si>
  <si>
    <t xml:space="preserve">vol1_s002334_t11_a662c089f72f</t>
  </si>
  <si>
    <t xml:space="preserve">Shwepawkyun great golden pavilion</t>
  </si>
  <si>
    <t xml:space="preserve">vol1_s002334_t12_1cab0e8f9043</t>
  </si>
  <si>
    <t xml:space="preserve">FUNDED_REPAIR_OF</t>
  </si>
  <si>
    <t xml:space="preserve">religious sites in Hanthawaddy, Prome, Ava, Sagaing, and lower regions</t>
  </si>
  <si>
    <t xml:space="preserve">vol1_s002334_t13_1b668d2ac2a5</t>
  </si>
  <si>
    <t xml:space="preserve">PERFORMED_ANNUAL_RITUAL</t>
  </si>
  <si>
    <t xml:space="preserve">novice ordination</t>
  </si>
  <si>
    <t xml:space="preserve">vol1_s002519</t>
  </si>
  <si>
    <t xml:space="preserve">vol1_s002519_t01_7c58d92792ef</t>
  </si>
  <si>
    <t xml:space="preserve">Prosperous Realm</t>
  </si>
  <si>
    <t xml:space="preserve">ENABLES</t>
  </si>
  <si>
    <t xml:space="preserve">Flourishing of Sasana</t>
  </si>
  <si>
    <t xml:space="preserve">ယင်းသို့ဖြစ်မှလည်း ပြည်ထဲရေး လေးမျက်နှာ ပွင့်လင်းသာယာ၍ ဘုရားသာသနာတော် ထွန်းတောက်ရာသည်၊ သာသနာတော် ထွန်း တောက်လျက် ပြည်ထဲလေးမျက်နှာ ပွင့်လင်းသာယာသည် ဖြစ်မှလည်း သာသနဒါယကာ ငါအရှင် ဧကရာဇ် မင်းမြတ်သည် သဗ္ဗညုဘုရားဆုကို ပြည့်ရာသည်၊ မဇ္ဈိမတိုက် ဝေသာလီပြည်ကြီးဝယ် ရှင်လူသတ္တဝါအပေါင်းတို့ အမှီအခိုရအောင် မင်းနေပြည်ကြီးကိုဖွင့်၍ တည်ပြန်လေသကဲ့သို့ မြို့တော်ကြီး အသစ်ဖွင့်၍ ငါတည်တော်မူမည်ဟု အမိန့်တော်ရှိပြီးလျှင် ပဌမရွှေမြို့ တော် ကျော်ဘုံတံခါး အနောက်ကဆက်၍ တောင်ကျုံး နင်းကြမ်းကို ကူးပြီးလျှင် ဟံသာကျ ဘုရား၊ ခါးပန်းနီ ကျောင်းတိုက်၊ မိဂဒါဝုန်တိုက်၊ ငါးဆူ ကျောင်းတိုက်၊ ရတနာမဉ္ဇူဘုရား၊ ရှင်ပင် ကေတုဘုရား၊ မင်းတရားမြင်းကွက်ရပ်၊ ညောင်စဉ်ရွှေကျောင်းတိုက်၊ ဝေဠုဝန်တိုက်၊ စံကျောင်းတိုက်၊ မဟာမြတ်မုနိ ဘုရား၊ ဝေသာလီတိုက်၊ ဟင်္သာဂိရိဘုရား၊ မကုလပဗ္ဗတတိုက်၊ ဋ္ဌာန်တဲလျည် ကျောင်းတိုက်၊ တာဝတိံသာတိုက်၊ ဆုတောင်းပြည့်ဘုရားများကို အတွင်းထားပြီးလျှင် ရွှေမြို့တော် အရှေ့မျက်နှာကို မော်ယွန်းငါးချက်ချိုး၍ ဇင်းမယ် တံခါး, မုတ္တမတံခါး, မိုးကောင်းတံခါး, စိတ္တကုဋ်တံခါးဟု မော်ကွန်းစိုက်တော်မူပြီးလျှင် မြို့တော်ကြီး အရှေ့မျက်နှာမှာ တံခါးလေးတံခါး ထားတော်မူသည်။</t>
  </si>
  <si>
    <t xml:space="preserve">Only when it is thus, will the affairs of the four quarters of the realm be open and prosperous, and the Buddha's dispensation flourish; and only when the dispensation flourishes and the affairs of the four quarters of the realm are open and prosperous, will I, the Sovereign Lord, the patron of the dispensation, be able to fulfill the vow for Omniscient Buddhahood. Having issued the royal order that, just as the great city of Vesali in the Middle Country was opened and established to provide refuge for all beings, both divine and human, I would open and establish a new great royal city, [I] proceeded from the west of the First Golden Royal City's Kyawbon Gate, crossed the southern moat's inner embankment, and after placing the Hansakya Pagoda, Khapan Ni Monastery, Migadawun Monastery, Ngasu Monastery, Ratanamanju Pagoda, Shinpin Ketu Pagoda, Mintaya Myinkwet Quarter, Nyaungzin Golden Monastery, Weluwan Monastery, San Monastery, Mahamyatmuni Pagoda, Vesali Monastery, Hansagiri Pagoda, Makulapabbata Monastery, Htantalyi Monastery, Tawadeintha Monastery, and Sutaungpyi Pagoda inside, [I] marked the five bends of the golden royal city's eastern face and established the four gates of the eastern face of the great city, naming them the Zinme Gate, Mottama Gate, Mogaung Gate, and Cittakut Gate.</t>
  </si>
  <si>
    <t xml:space="preserve">vol1_s002519_t02_6aea137892c5</t>
  </si>
  <si>
    <t xml:space="preserve">Flourishing Sasana</t>
  </si>
  <si>
    <t xml:space="preserve">King's fulfillment of Buddhahood vow</t>
  </si>
  <si>
    <t xml:space="preserve">vol1_s002519_t03_6b1290d7a601</t>
  </si>
  <si>
    <t xml:space="preserve">vol1_s002519_t04_40365dac3722</t>
  </si>
  <si>
    <t xml:space="preserve">MODELS_CITY_AFTER</t>
  </si>
  <si>
    <t xml:space="preserve">Vesali</t>
  </si>
  <si>
    <t xml:space="preserve">vol1_s002519_t05_c5138a7f6223</t>
  </si>
  <si>
    <t xml:space="preserve">INCORPORATED_SACRED_SITES_INTO</t>
  </si>
  <si>
    <t xml:space="preserve">New Capital</t>
  </si>
  <si>
    <t xml:space="preserve">vol1_s002519_t06_5ea4cbcfcd47</t>
  </si>
  <si>
    <t xml:space="preserve">ESTABLISHED_GATES_ON</t>
  </si>
  <si>
    <t xml:space="preserve">Eastern Face of New Capital</t>
  </si>
  <si>
    <t xml:space="preserve">vol1_s002520</t>
  </si>
  <si>
    <t xml:space="preserve">vol1_s002520_t01_94174126fa53</t>
  </si>
  <si>
    <t xml:space="preserve">ဋ္ဌာန်တဲလျည်ကျောင်းတိုက်၊ ဆုတောင်းပြည့်ဘုရားကသည် အနောက်ကိုလှည့်၍ မိုးထိကျောင်းတိုက်ကို ပြင်ထားပြီးလျှင် တောင်ပလူကုန်း၊ ဖျသီဘုရား၊ လောကထိပ်ဦး ဘုရား၊ ညောင်ရွှေ ကျောင်းတိုက်၊ သံသုမာရဂီရိ ကျောင်းတိုက်၊ မင်္ဂလာကျောင်းတိုက်၊ ဃောသီတာရုံ ကျောင်းတိုက်၊ ညောင်စောက် ကျောင်းတိုက်၊ ပလလည်းတိုက်၊ ညောင်ရွှေ ကျောင်းတိုက်၊ အိမ်ရှေ့ ကျောင်းတိုက်၊ ဂဇင်္ဂလနာလ ပုဏ္ဏားတိုက်များကို အတွင်းထားပြီးလျှင် ရွှေမြို့တော် တောင်မျက်နှာကို မော်ယွန်းကိုးချက် ချိုး၍ ကိုင်းမားတံခါး, ဟံသာဝတီ တံခါး, မျဉ်းတဲ တံခါး, အုန်းဘောင် တံခါးဟု မော်ကွန်းစိုက်ပြီးလျှင် မြို့တော်ကြီး တောင်မျက်နှာမှာ တံခါးလေးတံခါး ထားတော်မူသည်။</t>
  </si>
  <si>
    <t xml:space="preserve">Turning west from the Htantalyi Monastery and Sutaungpyi Pagoda, and having placed the Moti Monastery on the outside, and having placed the Taungpalu Hill, Phyathi Pagoda, Lokathit-u Pagoda, Nyaungshwe Monastery, Santhumaragiri Monastery, Mingala Monastery, Ghositaron Monastery, Nyaungsauk Monastery, Palala Monastery, Nyaungshwe Monastery, Einshae Monastery, and Gajangalanala Brahmin Monastery inside, [I] marked the nine bends of the golden royal city's southern face and established the four gates of the southern face of the great city, naming them the Koingma Gate, Hansawaddy Gate, Myinte Gate, and Onbaung Gate.</t>
  </si>
  <si>
    <t xml:space="preserve">vol1_s002520_t02_440c271c5cc9</t>
  </si>
  <si>
    <t xml:space="preserve">Southern Face of New Capital</t>
  </si>
  <si>
    <t xml:space="preserve">vol1_s002521</t>
  </si>
  <si>
    <t xml:space="preserve">vol1_s002521_t01_dbcd8bd48526</t>
  </si>
  <si>
    <t xml:space="preserve">ဂဇင်္ဂလနာလ ပုဏ္ဏားတိုက်ကသည် မြောက်ကိုလှည့်၍ ခေါင်ထိပ်မိုး ခေါင်ထိပ်ပန်း ဘုရား၊ ဝေရဉ္ဇ ကျောင်းတိုက်၊ တောင်လေးလုံး ဘုရား၊ မြင်းမိုရ် ဘုရား၊ အောင်နန်းကျော်ဘုံ ကျောင်းတိုက်၊ စာလိယပဗ္ဗတတိုက်၊ မင်းကျောင်းတိုက်၊ ဇေတဝန်တိုက်၊ လောကသရဘူဘုရားကို အတွင်း, ဆင်ကျုံးကို ပြင်ထားပြီးလျှင် ဧရာဝတီမြစ်ဆိုက် ရွှေမြို့တော်အနောက်မျက်နှာကို မော်ယွန်း တစ်ဆယ့်တစ်ချက် ချိုး၍ ဂန္ဓာလရာဇ်တံခါး, ကျိုင်းရဲတံခါး, စန္ဒပူရီ တံခါး, ကျိုင်းရုံးတံခါးဟု မော်ကွန်းစိုက်ပြီးလျှင် မြို့တော် အနောက်မျက်နှာမှာ တံခါး လေးတံခါး ထားတော် မူသည်။</t>
  </si>
  <si>
    <t xml:space="preserve">Turning north from the Gajangalanala Brahmin Monastery, and having placed the Khaungthitmoe Khaungthitpan Pagoda, Wayerza Monastery, Taunglaylone Pagoda, Myinmo Pagoda, Awnankyawbon Monastery, Saliyapabbata Monastery, Min Monastery, Zetawun Monastery, and Lokatharabhu Pagoda inside, and having placed the elephant moat on the outside, [I] reached the Ayeyarwady River, marked the eleven bends of the golden royal city's western face, and established the four gates of the western face of the city, naming them the Gandalarit Gate, Kyaingye Gate, Sandapuri Gate, and Kyaingyon Gate.</t>
  </si>
  <si>
    <t xml:space="preserve">vol1_s002521_t02_e6061a944c7d</t>
  </si>
  <si>
    <t xml:space="preserve">Western Face of New Capital</t>
  </si>
  <si>
    <t xml:space="preserve">vol1_s002522</t>
  </si>
  <si>
    <t xml:space="preserve">vol1_s002522_t01_829461d64103</t>
  </si>
  <si>
    <t xml:space="preserve">လောကသရဘူဘုရား အနောက်မြောက် ဧရာဝတီမြစ်ကသည် အရှေ့ကို လှည့်၍ မြသိန်းတန် ဘုရား၊ ဘားတမော့ ကျောင်းတိုက်၊ နိဂြောဓာရုံတိုက်၊ နန်းကျောင်းတိုက်၊ အာဠဝီတိုက်၊ မြောက်နန်း ကျောင်းတိုက်၊ ရွှေကြာပင်ကျောင်းတိုက်၊ ရန်အောင်မြင် ဘုရား၊ ရန်အောင်မြင် သိမ်များကို အတွင်းထားပြီးလျှင် ပဌမရွှေမြို့တော် အနောက်မြောက်ထောင့်သို့ အဆိုက် ရွှေမြို့ တော် မြောက်မျက်နှာကို မော်ယွန်းငါးချက် ချိုး၍ တနင်္သာရီတံခါး, ယိုးဒယားတံခါးဟု မော်ကွန်းစိုက်ပြီးလျှင် မြို့ တော်၏မြောက်မျက်နှာ တံခါး နှစ်တံခါး ထားတော်မူသည်။</t>
  </si>
  <si>
    <t xml:space="preserve">Turning east from the Ayeyarwady River to the northwest of the Lokatharabhu Pagoda, and having placed the Myatheintan Pagoda, Batamawt Monastery, Nigrodharon Monastery, Nan Monastery, Alawi Monastery, Myauk-nan Monastery, Shwekyapin Monastery, Yanaungmyin Pagoda, and Yanaungmyin Ordination Hall inside, [I] reached the northwest corner of the First Golden Royal City, marked the five bends of the golden royal city's northern face, and established the two gates of the northern face of the city, naming them the Tanintharyi Gate and Yodaya Gate.</t>
  </si>
  <si>
    <t xml:space="preserve">vol1_s002522_t02_a09081eb5de4</t>
  </si>
  <si>
    <t xml:space="preserve">Northern Face of New Capital</t>
  </si>
  <si>
    <t xml:space="preserve">vol1_s002523</t>
  </si>
  <si>
    <t xml:space="preserve">vol1_s002523_t01_3d9523721561</t>
  </si>
  <si>
    <t xml:space="preserve">ESTABLISHED_TOTAL_GATES</t>
  </si>
  <si>
    <t xml:space="preserve">23</t>
  </si>
  <si>
    <t xml:space="preserve">ထိုသို့ ရွှေမြို့တော်ကြီး လေးမျက်နှာ တံခါး တစ်ဆယ့်လေးတံခါး၊ ပဌမရွှေမြို့တော်က တံခါးကိုးတံခါးနှင့်သော် တံခါးပေါင်း နှစ်ဆယ့်သုံးတံခါး ထားတော်မူသည်။</t>
  </si>
  <si>
    <t xml:space="preserve">Thus, [I] established fourteen gates on the four faces of the great golden royal city, and with the nine gates from the First Golden Royal City, [I] established a total of twenty-three gates.</t>
  </si>
  <si>
    <t xml:space="preserve">vol1_s002524</t>
  </si>
  <si>
    <t xml:space="preserve">vol1_s002524_t01_5e1c2f2fa9ea</t>
  </si>
  <si>
    <t xml:space="preserve">CONSTRUCTED_DEFENSIVE_MOAT_AROUND</t>
  </si>
  <si>
    <t xml:space="preserve">ရွှေမြို့တော်ကြီး ပတ်လည်ဝန်းကျင်ကိုလည်း အစောက် တစ်ဆယ့်နှစ်တောင်, အချင်းတစ်ဆယ့်ငါးတာရှိသော နက်ဝှမ်းကြီးကျယ်သောကျုံး စီရင်တော်မူပြီးလျှင် သက္ကရာဇ် (၁၁၂၈) တစ်ထောင့်တစ်ရာ့နှစ်ဆယ့်ရှစ်ခု၊ ပြာသိုလဆန်း ဆယ်ရက် သောကြာနေ့၊ ညလေးချက်တီးကျော် တစ်နာရီ၊ နှစ်ပါဒ်၊ သိဟ်လက်၊ ကန်တွင် ကြာသပတေး၊ ပြိဿတွင် စန်းနှင့်စနေ၊ တူတွင် သောကြာ၊ ဗြိစ္ဆာတွင် တနင်္ဂနွေ, ဗုဒ္ဓဟူး၊ ကုံတွင် အင်္ဂါ, ရာဟု၊ တိထီ တစ်လုံး၊ တစ်ဆယ့်သုံး ဃဋီ၊ နက္ခတ် သုံးလုံး နှစ်ပါဒ်၊ လေးဆယ့်သုံး ဃဋီ၊ ကြတ္တိကာနက္ခတ် မွန်းတည့် ကောင်းမြတ်သော မင်္ဂလာ အခါတော်တွင် ပဌမ ရွှေမြို့တော်ဟောင်းက ဆက်၍ အဝန်းတာပေါင်း နှစ်ထောင့်ခုနစ်ရာ့ငါးဆယ်ရှိသော ရွှေမြို့တော်ကြီးကို တည်တော်မူသည်။</t>
  </si>
  <si>
    <t xml:space="preserve">Having also prepared a deep and vast moat around the perimeter of the great golden royal city, twelve cubits deep and fifteen ta in width, on the auspicious and excellent occasion of the 10th day of the waxing moon of Pyatho, in the year 1128, Friday, one hour and two parts past the fourth stroke of the night, with the sun in Leo, Jupiter in Virgo, the moon and Saturn in Taurus, Venus in Libra, the sun and Mercury in Scorpio, Mars and Rahu in Aquarius, one tithi, thirteen ghatis, three nakshatras and two parts, forty-three ghatis, and the Krittika nakshatra at high noon, [I] continued from the old First Golden Royal City and established the great golden royal city, which has a total circumference of two thousand seven hundred and fifty ta.</t>
  </si>
  <si>
    <t xml:space="preserve">vol1_s002524_t02_3da7f911752f</t>
  </si>
  <si>
    <t xml:space="preserve">ESTABLISHED_NEW_CAPITAL_ON</t>
  </si>
  <si>
    <t xml:space="preserve">Auspicious Date</t>
  </si>
  <si>
    <t xml:space="preserve">vol1_s002524_t03_755badc0194c</t>
  </si>
  <si>
    <t xml:space="preserve">HAS_CIRCUMFERENCE_OF</t>
  </si>
  <si>
    <t xml:space="preserve">2750 ta</t>
  </si>
  <si>
    <t xml:space="preserve">vol1_s002616</t>
  </si>
  <si>
    <t xml:space="preserve">vol1_s002616_t01_bc739d96c89b</t>
  </si>
  <si>
    <t xml:space="preserve">Local_villages</t>
  </si>
  <si>
    <t xml:space="preserve">against_Burmese_forces</t>
  </si>
  <si>
    <t xml:space="preserve">ယင်းသောအခါ သုဝန်ခလောက်, ပိဿလောက်, သောက္ကတဲ, ဘန်နာ စသော ပြင်ကျေးရွာသားတို့ စုရုံးတိုင်ပင်ပြီးလျှင် ဆင်နှစ်ရာ, မြင်း နှစ်ထောင်, ရဲမက်နှစ်သောင်းနှင့် ချီလာ၍ ယိုးဒယားမြို့ မြောက် ငါးတိုင်ကွာ ကွန်တောရွာသို့ ရောက်ကြောင်းကို ဗိုလ်ချုပ်နှစ်ဦး ကြားသိလျှင် ဇင်းမယ်ကြောင်းချီတပ်စုက သီရိရာဇသင်္ကြံကို တိုက်ဆင်တစ်ရာ, မြင်းနှစ်ရာ, စစ်သည်ရဲမက် သုံးထောင် ပေးအပ်၍ အရှေ့ကြောင်း၊ ဒဝယ်ကြောင်းချီတပ်စု က သီရိနန္ဒကျော်ထင်ကို တိုက်ဆင်တစ်ရာ, မြင်းနှစ်ရာ, စစ်သည်ရဲမက် သုံးထောင် ပေးအပ်၍ အနောက်ကြောင်း၊ စစ်နှစ်ကြောင်း ချီ၍ ကွန်တောရွာတွင် ရပ်နေသည့် ယိုးဒယားတပ်စုကို တိုက်ရမည် ခန့်၍ တပ်မှူးနှစ်ဦး အလျင်အမြန် ချီသွားစေသည်၊ တပ်မှူးနှစ်ဦးလည်း ကွန်တောရွာအနီးသို့ ရောက်လျှင် ရှမ်းယိုးဒယား အများ ကျွန်တော်ခံ ဝင်ရောက် ကြသည့် လူတို့တွင် ရွေးချယ်၍ လူတစ်ထောင်ကျော် ရသည်ကို တပ်ဖွဲ့ပြီးလျှင် ဒေဝစက္ကူသူကို တပ်မှူးခန့်၍ ရှေ့ဦး ချီစေသည်။</t>
  </si>
  <si>
    <t xml:space="preserve">At that time, the people of the outer villages such as Suwankhalok, Phitsanulok, Sukhothai, and Phanna gathered and consulted, then marched with two hundred elephants, two thousand horses, and twenty thousand soldiers, arriving at Kontaw village, which is five taing away to the north of Ayutthaya; when the two generals heard of this, they assigned Thiri Raza Thingyan from the Chiang Mai-bound force with one hundred war elephants, two hundred horses, and three thousand soldiers to take the eastern route, and assigned Thiri Nanda Kyawhtin from the Dawei-bound force with one hundred war elephants, two hundred horses, and three thousand soldiers to take the western route, ordering the two commanders to march quickly to attack the Ayutthaya force stationed at Kontaw village. When the two commanders reached the vicinity of Kontaw village, they selected over one thousand men from among the many Shan-Ayutthaya people who had come to submit as subjects, organized them into a unit, appointed Dewa Sekkathu as their commander, and had them march in the lead.</t>
  </si>
  <si>
    <t xml:space="preserve">vol1_s002616_t02_05cd768b11b3</t>
  </si>
  <si>
    <t xml:space="preserve">Burmese_generals</t>
  </si>
  <si>
    <t xml:space="preserve">ASSIGNED_COMMANDERS</t>
  </si>
  <si>
    <t xml:space="preserve">to_intercept_force</t>
  </si>
  <si>
    <t xml:space="preserve">vol1_s002616_t03_1955de9556a2</t>
  </si>
  <si>
    <t xml:space="preserve">INCORPORATED_LOCAL_POPULATION</t>
  </si>
  <si>
    <t xml:space="preserve">as_subjects</t>
  </si>
  <si>
    <t xml:space="preserve">vol1_s002616_t04_d8fbe0a4e32d</t>
  </si>
  <si>
    <t xml:space="preserve">Dewa_Sekkathu</t>
  </si>
  <si>
    <t xml:space="preserve">vol1_s002617</t>
  </si>
  <si>
    <t xml:space="preserve">vol1_s002617_t01_3894aa75eaca</t>
  </si>
  <si>
    <t xml:space="preserve">Burmese_units</t>
  </si>
  <si>
    <t xml:space="preserve">EXECUTED_COORDINATED_ATTACK</t>
  </si>
  <si>
    <t xml:space="preserve">Ayutthaya_force</t>
  </si>
  <si>
    <t xml:space="preserve">သီရိရာဇသင်္ကြံ, သီရိနန္ဒကျော်ထင်တို့ နှစ်တပ်လည်း နောက်က လက်ဝဲလက်ယာ စစ်မကန်း ဆင်၍ သုံးတပ်လုံး လှမ်းမှီကမ်းမှီ ချီ၍ သူ့ တပ် အနီးသို့ ရောက်လျှင် ဒေဝစက္ကသူ ရှမ်းယိုးဒယား လူတစ်ထောင် ကျော်နှင့် ရှေ့ချီလာသည်ကို ယိုးဒယားတို့မြင်လျှင် အခြားမြို့ ရွာများက စစ်ကူ စစ်ထပ် ရောက်လှာကြသည်ထင်၍ အမှတ်မဲ့နေသည်ကို ဒေဝစက္ကသူ, သီရိရာဇသင်္ကြံ, သီရိနန္ဒကျော်ထင်တို့ သုံးတပ်လုံး ဆင်းပါမြင်းပါ လူခုနစ်ထောင် ကျော်နှင့် မဆုတ်မဆိုင်း အပြင်းဝင်၍ တိုက်သည်၊ ယိုးဒယားတို့ မရပ်မခံနိုင်၍ အသက်လွတ်ရာ တောကြို တောင်ကြားသို့ ဝင်ပြေးကြလေ၏။</t>
  </si>
  <si>
    <t xml:space="preserve">The two units of Thiri Raza Thingyan and Thiri Nanda Kyawhtin followed behind, deploying their left and right wings, and all three units marched in close coordination; when they reached the vicinity of the enemy force, the Ayutthaya people saw Dewa Sekkathu marching in front with over one thousand Shan-Ayutthaya men and, thinking that reinforcements had arrived from other cities and villages, remained off-guard, whereupon all three units—Dewa Sekkathu, Thiri Raza Thingyan, and Thiri Nanda Kyawhtin—with over seven thousand men including those on elephants and horses, charged in fiercely without retreating and attacked; the Ayutthaya people could not stand their ground and fled for their lives into the thickets and mountain ravines.</t>
  </si>
  <si>
    <t xml:space="preserve">vol1_s002617_t02_159348308057</t>
  </si>
  <si>
    <t xml:space="preserve">FLED_FROM_BATTLE</t>
  </si>
  <si>
    <t xml:space="preserve">due_to_Burmese_assault</t>
  </si>
  <si>
    <t xml:space="preserve">vol1_s002618</t>
  </si>
  <si>
    <t xml:space="preserve">vol1_s002618_t01_76a03a40058e</t>
  </si>
  <si>
    <t xml:space="preserve">from_Ayutthaya_force</t>
  </si>
  <si>
    <t xml:space="preserve">ဆင်တစ်ရာကျော်, မြင်းနှစ်ရာကျော်, လူတစ်ထောင်ကျော် အရှင်ရလိုက်သည်၊ သေလေသည်လည်း များ၏။</t>
  </si>
  <si>
    <t xml:space="preserve">Over one hundred elephants, over two hundred horses, and over one thousand men were captured alive, and many were killed.</t>
  </si>
  <si>
    <t xml:space="preserve">vol1_s002618_t02_f1080c26a801</t>
  </si>
  <si>
    <t xml:space="preserve">INFLICTED_CASUALTIES</t>
  </si>
  <si>
    <t xml:space="preserve">on_Ayutthaya_force</t>
  </si>
  <si>
    <t xml:space="preserve">vol1_s002619</t>
  </si>
  <si>
    <t xml:space="preserve">vol1_s002619_t01_97d877852607</t>
  </si>
  <si>
    <t xml:space="preserve">CONSOLIDATED_CAPTURED_RESOURCES</t>
  </si>
  <si>
    <t xml:space="preserve">at_siege_city</t>
  </si>
  <si>
    <t xml:space="preserve">တပ်မှူးသုံးဦးလည်း ရသည့် ဆင်မြင်းလူ သူတို့ကို ဆောင်ယူ ပြန်ခဲ့၍ ရံတပ်မြို့တော်သို့ ရောက်လှာသည်။</t>
  </si>
  <si>
    <t xml:space="preserve">The three commanders brought back the captured elephants, horses, and men and arrived at the siege city.</t>
  </si>
  <si>
    <t xml:space="preserve">vol1_s002620</t>
  </si>
  <si>
    <t xml:space="preserve">vol1_s002620_t01_f7d0d4e37ff0</t>
  </si>
  <si>
    <t xml:space="preserve">King_of_Ayutthaya</t>
  </si>
  <si>
    <t xml:space="preserve">princes_and_ministers</t>
  </si>
  <si>
    <t xml:space="preserve">ယင်းသောအခါ ယိုးဒယားမင်းလည်း မင်းညီမင်းသားစသော အမှူးအမတ်တို့ကို ဤသို့ဆို၏။</t>
  </si>
  <si>
    <t xml:space="preserve">At that time, the King of Ayutthaya spoke thus to the princes and ministers.</t>
  </si>
  <si>
    <t xml:space="preserve">vol1_s002621</t>
  </si>
  <si>
    <t xml:space="preserve">vol1_s002621_t01_5976b69711ef</t>
  </si>
  <si>
    <t xml:space="preserve">EXTRACTED_RESOURCES</t>
  </si>
  <si>
    <t xml:space="preserve">from_occupied_territory</t>
  </si>
  <si>
    <t xml:space="preserve">ငါတို့နိုင်ငံ သို့ မြန်မာတပ်ရောက်လှာသည် တစ်နှစ်ကျော် နှစ်နှစ်ခန့် ရှိသည်၊ ပြင်မြို့ပြကျေးရွာများကို သူတို့က ဆင်မြင်း လက်နက် လူသူအများနှင့်တကွ သိမ်းယူ မိ၍ လယ်ယာအများ လုပ်ဆောင်စေပြီးလျှင် မြို့ကို ကြည်းရေအပိတ် ဝန်းရံလျက် အရေးကိုသာ စောင့်နေသောကြောင့် ငါတို့က မြို့ ငါးဆယ် တည်၍ အခိုင်နေသည်ကိုလည်း သူတို့က အုတ်မြို့ တည်လုပ်၍ ရံနေပြန်သည်၊ ဆင်လုံးမြင်းရင်းနှင့် ကြည်းရေက ထွက်၍ တိုက်လံဖျက်ဆီးရမည့် အရေးလည်း မြို့ အထပ်ထပ် ဖြစ်၍ အလွန် ခဲခက်သည်၊ သို့ဖြစ်၍ မြို့ တောင် ဘန်ကောက်မြစ်တွင် သွင်းထားသည့် ရဲလှေ, သမ္ဗန်, သင်္ဘောများမှာ လက်နက်ကိရိယာ အများတင်၍ မြို့ တောင်မျက်နှာတွင် ရံသည့် မြို့စုကို ထွက်၍တိုက်စိမ့် မည်၊ တောင်မျက်နှာက စွဲရပ်သည့် မြို့ စုပျက်လျှင် သင်္ဘော, သမ္ဗန်, ရဲလှေစီး တပ်မှူးသူရဲတို့ကို ကြည်းတပ်ဖွဲ့ ပြီး လျှင် မြို့ အနောက်မျက်နှာကို တစ်ကြောင်း၊ မြို့ အရှေ့ မျက်နှာကို တစ်ကြောင်း၊ စစ်နှစ်ကြောင်းဖြန့်၍ တိုက်လံ ဖျက်ဆီးရလျှင် မြန်မာတို့ ခံနိုင်မည်လော၊ ပျက်လေတော့မည် ဆိုသည်ကို မင်းညီမင်းသား စသော မှူးမတ် ဗိုလ်မှူး တပ်မှူးအပေါင်း အကြိုက်ညီကြ၍ သင်္ဘော တစ်ဆယ်, သမ္ဗန် ငါးရာ, ရဲလှေ တစ်ထောင်များတွင် ကုလားပန်းသေး, တရုတ်, ဘင်္ဂါ, ဘရှူး, ရှမ်း, ယိုးဒယား လူပေါင်း ခြောက်သောင်းကျော်ကို အမတ်ကြီး ဘယားဗလဒေဝ, ဘယားကူရတစ်, ဘယားဘရဘတ်, ဘယားရမယားတို့ လေးယောက် ချုပ်အုပ်ပြီးလျှင် ပြောင်းအမြောက် စီစဉ် ခင်းကျင်းလျက် အောင်တံခွန်ဖြန့်၍ မြို့တောင်မျက်နှာက ရံမြို့ကို တိုက်မည်ဟု ဘန်ကောက် မြစ်က ထွက်လာသည်၊ ထိုအခါ ဘန်ကောက်မြစ် လက်ဝဲလက်ယာတည်သည့် မင်းကြီးဇေယသူ, နန္ဒဥဒိန်ကျော်သူတို့ နှစ်မြို့ စပ်ကြား တွင် သံကြိုးအတန်တန် ဆီးတားသည်သို့ ရောက်လျှင် သင်္ဘော, သမ္ဗန်, ရဲလှေအများ မထွက်နိုင်၍ မြစ်လုံး ပြည့်လျက် ရှိလျှင် မင်းကြီးဇေယသူ, နန္ဒဥဒိန်ကျော်ထင်တို့ တည်သည့် နှစ်မြို့လည်း မြစ်နားတွင်ဖြစ်၍ မြို့ထိပ်က အမြောက်ကြီး မြတပူနှင့် ပစ်ခတ်သည်၊ မြစ်အရှေ့ဘက်မြို့ စုက သိဒ္ဓိကျော်သူ, တေဇဗလကျော်, ရွှေတောင် ကျော်စွာတို့ သုံးတပ်၊ မြစ်အနောက်ဘက် မြို့ စုက ဗလနန္ဒကျော်ထင်, လက်ဝဲကျော်စွာ, ရန်ငူးသီရိကျော်ထင်, နန္ဒမိတ်စည်သူတို့ လေးတပ်၊ တပ်ပေါင်း ခုနစ်တပ် ထွက်လာပြီးလျှင် ဘန်ကောက်မြစ် လက်ဝဲလက်ယာ ကမ်းထိပ်က နေ၍ လှည်းရထားတင် အမြောက် တစ်ထောင်ကျော်နှင့် မြစ်လုံး ပဲ့တင်ထပ်မျှ ပစ်ခတ်သည်၊ ယိုးဒယားတို့ သင်္ဘော, သမ္ဗန်, ရဲလှေများသည့် ရေဆန်ဖြစ်၍ ရုတ်တရက် မခွာတည့်နိုင်၊ တစ်စင်းကိုတစ်စင်း တိုက်ခိုက်၍ ဘီလာ ကန့်လန့် အယှက်ယှက် အတင်တင် ကွဲပျက် ကျိုးပေါက်၍ လှေပါလူပါ နစ်လေသည်လည်း များ၏၊ အမတ်လေးဦးမူကား ရဲလှေ အစင်းနှစ်ဆယ်ခန့်နှင့်သာ အပြင်းဆုတ်ခွာလေသောကြောင့် လွတ်လေသည်၊ သင်္ဘော ဆယ်စင်း, သမ္ဗန် သုံးရာကျော်, ရဲလှေငါးရာကျော်, လူတစ်ထောင်ကျော် အရှင် ရလိုက်သည်၊ သေလေသည်လည်း များ၏။</t>
  </si>
  <si>
    <t xml:space="preserve">It has been over a year, nearly two years, since the Burmese army arrived in our country; they have seized the outer cities and villages along with many elephants, horses, weapons, and people, and after forcing them to work the fields, they have surrounded the city by land and water and are merely waiting for the situation to develop, and because we have built fifty forts and are holding them firmly, they have in turn built brick forts and are besieging us; the situation where we must sally forth with our main elephant and horse forces by land and water to attack and destroy them is also very difficult because there are layers upon layers of forts; therefore, I intend to load the war boats, sampans, and ships that have been brought into the Bangkok River south of the city with many weapons and sally forth to attack the group of forts besieging the south side of the city; if the group of forts stationed on the south side is destroyed, and we organize the commanders and soldiers who man the ships, sampans, and war boats into a land force, and spread them into two columns—one to the west of the city and one to the east—to attack and destroy them, will the Burmese be able to withstand it? They will surely be destroyed; the princes, ministers, generals, and commanders all agreed, and they loaded over sixty thousand people—including Kala, Panthay, Chinese, Bengali, Bashu, Shan, and Ayutthaya people—onto ten ships, five hundred sampans, and one thousand war boats, and with the four great ministers Phraya Phala Deva, Phraya Kuratit, Phraya Phrabat, and Phraya Ramaya in command, they arranged and set up cannons, unfurled the victory banners, and set out from the Bangkok River to attack the siege fort on the south side of the city; when they reached the place where iron chains had been set up as a barrier between the two cities of Mingyi Zayathu and Nanda Udin Kyawthu, which were situated on the left and right banks of the Bangkok River, the many ships, sampans, and war boats could not pass and filled the entire river, and the two cities built by Mingyi Zayathu and Nanda Kyawhtin were also by the riverbank, so they fired upon them with large cannons from the tops of the forts; the three units of Siddhi Kyawthu, Teza Bala Kyaw, and Shwetaung Kyawzwa from the city group on the east side of the river, and the four units of Bala Nanda Kyawhtin, Letwe Kyawzwa, Yanngu Thiri Kyawhtin, and Nanda Mit Sithu from the city group on the west side of the river—seven units in total—came out and, positioned on the banks of the Bangkok River, fired with over one thousand wagon-mounted cannons until the whole river echoed; the Ayutthaya ships, sampans, and war boats were traveling against the current and could not suddenly turn back, and as they collided with one another, they became entangled and blocked, breaking apart and sinking with their crews; many were drowned; the four ministers, however, retreated quickly with only about twenty war boats and thus escaped; ten ships, over three hundred sampans, over five hundred war boats, and over one thousand men were captured alive, and many were killed.</t>
  </si>
  <si>
    <t xml:space="preserve">vol1_s002621_t02_e65b7f87d223</t>
  </si>
  <si>
    <t xml:space="preserve">ENFORCED_SIEGE</t>
  </si>
  <si>
    <t xml:space="preserve">on_Ayutthaya</t>
  </si>
  <si>
    <t xml:space="preserve">vol1_s002621_t03_d960075ce074</t>
  </si>
  <si>
    <t xml:space="preserve">PLANNED_COUNTER_OFFENSIVE</t>
  </si>
  <si>
    <t xml:space="preserve">against_Burmese_siege</t>
  </si>
  <si>
    <t xml:space="preserve">vol1_s002621_t04_930b36c7e43f</t>
  </si>
  <si>
    <t xml:space="preserve">MOBILIZED_MULTIETHNIC_FORCE</t>
  </si>
  <si>
    <t xml:space="preserve">for_counter_offensive</t>
  </si>
  <si>
    <t xml:space="preserve">vol1_s002621_t05_2858dbc4c985</t>
  </si>
  <si>
    <t xml:space="preserve">Burmese_forts</t>
  </si>
  <si>
    <t xml:space="preserve">BLOCKED_RIVER_ACCESS</t>
  </si>
  <si>
    <t xml:space="preserve">using_iron_chains</t>
  </si>
  <si>
    <t xml:space="preserve">vol1_s002621_t06_b19087866de2</t>
  </si>
  <si>
    <t xml:space="preserve">DEFEATED_AYUTTHAYA_FLEET</t>
  </si>
  <si>
    <t xml:space="preserve">using_artillery</t>
  </si>
  <si>
    <t xml:space="preserve">vol1_s002621_t07_c561b4224040</t>
  </si>
  <si>
    <t xml:space="preserve">from_Ayutthaya_fleet</t>
  </si>
  <si>
    <t xml:space="preserve">vol1_s002626</t>
  </si>
  <si>
    <t xml:space="preserve">vol1_s002626_t01_e5912a674360</t>
  </si>
  <si>
    <t xml:space="preserve">Nemyo Thihapate</t>
  </si>
  <si>
    <t xml:space="preserve">ASSUMED_COMMAND_OF</t>
  </si>
  <si>
    <t xml:space="preserve">Tavoy and Chiang Mai troops</t>
  </si>
  <si>
    <t xml:space="preserve">ငါးရက်ခန့်ရှိလျှင် ဗိုလ်ချုပ်မဟာနော်ရထာ မကျန်းမမာရှိသည်နှင့် သေလွန်လျှင် ဒဝယ်ကြောင်း, ဇင်းမယ် ကြောင်း ဗိုလ်ပါအလုံးအရင်း ဆိုသမျှကို နေမျိုးသီဟပတေ့ ချုပ်အုပ် စီရင်ရလေ၏၊ ခြေရင်းတော်သို့လည်း မဟာနော်ရထာ သေလွန်ကြောင်း ဒဝယ်ကြောင်းချီ, ဇင်းမယ်ကြောင်းချီ တပ်ပေါင်းကိုလည်း နေမျိုးသီဟပတေ့ အုပ်ချုပ်စီရင်ကြောင်း၊ ယိုးဒယားမြို့ ပတ်လည် မြို့ကြီးပြကြီး ဆိုသမျှကို သိမ်းရုံးမိလျှင် ယိုးဒယားမြို့ကို ကြည်း ရေ အပိတ်ဝန်းရံ၍ မြို့တွင်းသားတို့ ကျဉ်းမြောင်းကြောင်း၊ ယိုးဒယားမင်းနှင့်တကွ တစ်မြို့လုံးကို သိမ်းယူ၍ ရွှေလက်တော်ရောက် ဆက်သမည့် အကြောင်းများနှင့် ဇေယနရာကို အလျှောက်အထား စေလွှတ်သည်။</t>
  </si>
  <si>
    <t xml:space="preserve">About five days later, as General Maha Nawrahta fell ill and passed away, Nemyo Thihapate was tasked with overseeing and managing all the troops from the Tavoy and Chiang Mai routes; he also sent Zayanara to the royal presence to report that Maha Nawrahta had passed away, that he [Nemyo Thihapate] was managing the combined troops from the Tavoy and Chiang Mai routes, that once all the major cities and towns surrounding Ayutthaya were captured, he would blockade Ayutthaya by land and water, causing the people inside to be in dire straits, and that he would capture the entire city along with the King of Ayutthaya and present them to the royal golden hands.</t>
  </si>
  <si>
    <t xml:space="preserve">vol1_s002626_t02_f8bc1003a40e</t>
  </si>
  <si>
    <t xml:space="preserve">REPORTED_TO</t>
  </si>
  <si>
    <t xml:space="preserve">vol1_s002626_t03_46436fd3c2ad</t>
  </si>
  <si>
    <t xml:space="preserve">PLANNED_STRATEGY</t>
  </si>
  <si>
    <t xml:space="preserve">Blockade of Ayutthaya</t>
  </si>
  <si>
    <t xml:space="preserve">vol1_s002626_t04_ee4d734fa150</t>
  </si>
  <si>
    <t xml:space="preserve">INTENDED_ACTION</t>
  </si>
  <si>
    <t xml:space="preserve">Capture of Ayutthayan King and population</t>
  </si>
  <si>
    <t xml:space="preserve">vol1_s002627</t>
  </si>
  <si>
    <t xml:space="preserve">vol1_s002627_t01_08af4c6d5822</t>
  </si>
  <si>
    <t xml:space="preserve">Army</t>
  </si>
  <si>
    <t xml:space="preserve">(၁၁၂၈) တစ်ထောင့်တစ်ရာ့နှစ်ဆယ့်ရှစ်ခု ပြာသိုလဆန်း ဆယ်ရက်နေ့ ခြေရင်းတော်သို့ ရောက်လာ၍ ဘဝရှင် မင်းတရားကြီးဘုရား စေ့စုံစွာ ကြားတော်မူလျှင် အမိန့်တော်ရှိသည်ကား... “တရုတ်ဥဒည်ပြည်ကို ငါကိုယ်တော် ချီ၍ သိမ်းယူ တော်မူမည် ဖြစ်သည်၊ ယိုးဒယားမြို့ကို အလျင် အလိုတော်ပြည့်အောင် လုပ်ကြံ သိမ်းယူပြီးလျှင် မြို့ပြကျုံးမြောင်းကို ဖျက်ဆီး၍ မင်းနှင့်တကွ ယိုးဒယားပြည် အလုံးကို သိမ်းရုံး ပြန်လာစေ၊ မဟာနော်ရထာ သေလွန်သည်ကိုလည်း မှူးကြီးမတ်ကြီးတို့ သေလွန်လျှင် သင်္ဂြိုဟ်သည့်နည်း ကောင်းမွန်အောင် သင်္ဂြိုဟ်စေ”-အမိန့်တော်ရှိ၍ လာလူတို့ကို ပြန်စေ၏။</t>
  </si>
  <si>
    <t xml:space="preserve">On the tenth day of the waxing moon of Pyatho, 1128 [December 1766], [the messenger] arrived at the royal presence, and when the Lord of Life, the Great King, heard the details, he gave the order: 'I myself shall march to and conquer the Chinese-Yodaya [Ayutthaya] country; once you have quickly besieged and captured Ayutthaya to fulfill my wishes, destroy the city walls, moats, and canals, and bring back the entire Yodaya country along with its King; as for Maha Nawrahta's passing, have him buried in a proper manner, as is done for high-ranking ministers who pass away'—having given this order, he sent the people who had come back.</t>
  </si>
  <si>
    <t xml:space="preserve">vol1_s002627_t02_21bcafdd7f3e</t>
  </si>
  <si>
    <t xml:space="preserve">COMMANDED_ACTION</t>
  </si>
  <si>
    <t xml:space="preserve">Conquest of Ayutthaya</t>
  </si>
  <si>
    <t xml:space="preserve">vol1_s002627_t03_b842e3bda0fb</t>
  </si>
  <si>
    <t xml:space="preserve">Destruction of Ayutthayan infrastructure</t>
  </si>
  <si>
    <t xml:space="preserve">vol1_s002627_t04_ece49b8bc9ed</t>
  </si>
  <si>
    <t xml:space="preserve">Extraction of Ayutthayan population</t>
  </si>
  <si>
    <t xml:space="preserve">vol1_s002627_t05_c463f760361c</t>
  </si>
  <si>
    <t xml:space="preserve">Proper burial of Maha Nawrahta</t>
  </si>
  <si>
    <t xml:space="preserve">vol1_s002628</t>
  </si>
  <si>
    <t xml:space="preserve">vol1_s002628_t01_c43ed7fee564</t>
  </si>
  <si>
    <t xml:space="preserve">Minye Min Hla Uzana</t>
  </si>
  <si>
    <t xml:space="preserve">ဒဝယ်ကြောင်းချီ မဟာနော်ရထာ ချုပ်အုပ်ရင်း တပ်စုကိုလည်း မုတ္တမမြို့ဝန် မင်းရဲမင်းလှဥဇနာကို အချုပ် ခန့်တော်မူ၍ ခြေရင်းတော်က နေမျိုးနန္ဒမိတ် တစ်တပ်, လမှူးရန္တ သူ တစ်တပ်, သီရိရန္တ မိတ်ကျော်ထင်ကို ဗိုလ်ချုပ် မင်းရဲမင်းလှဥဇနာတပ်မှာ စစ်ကဲခန့်တော်မူ၍ ယိုးဒယားမြို့ တွင် ပွဲလမ်းရသသူတို့ကို ပေးရန် တစ်ကျွန်းဆေးရေး ပုဆိုးထည်ရေ သုံးရာ, ဘွဲ့ ပြားရေ ငါးရာများနှင့် လူသုံးထောင် ပေးအပ်၍ ခြေရင်းတော်က (၁၁၂၈) တစ်ထောင့် တစ်ရာ့နှစ်ဆယ့်ရှစ်ခု တပို့တွဲလဆန်း ငါးရက်- နေ့ ယိုးဒယားမြို့သို့ အလျင်အမြန် ချီစေသည်။</t>
  </si>
  <si>
    <t xml:space="preserve">He appointed the Governor of Martaban, Minye Min Hla Uzana, to take charge of the troops originally commanded by Maha Nawrahta on the Tavoy route, and appointed Nemyo Nandamit from the royal presence to lead one unit, Lamu Ranta Thu to lead one unit, and Siri Ranta Mit Kyaw Htin as the war commander in Minye Min Hla Uzana's unit; he also provided 300 pieces of one-island-patterned cloth, 500 title plates, and 3,000 men to be given to those who had distinguished themselves in the Ayutthaya campaign, and on the fifth day of the waxing moon of Tabodwe, 1128 [January 1767], he ordered them to march quickly from the royal presence to Ayutthaya.</t>
  </si>
  <si>
    <t xml:space="preserve">vol1_s002628_t02_8fc2eb9aa1b4</t>
  </si>
  <si>
    <t xml:space="preserve">APPOINTED_AS_OFFICER</t>
  </si>
  <si>
    <t xml:space="preserve">Nemyo Nandamit</t>
  </si>
  <si>
    <t xml:space="preserve">vol1_s002628_t03_c4622f7c4afb</t>
  </si>
  <si>
    <t xml:space="preserve">vol1_s002628_t04_1631ba9391d5</t>
  </si>
  <si>
    <t xml:space="preserve">APPOINTED_AS_WAR_COMMANDER</t>
  </si>
  <si>
    <t xml:space="preserve">Siri Ranta Mit Kyaw Htin</t>
  </si>
  <si>
    <t xml:space="preserve">vol1_s002628_t05_5fb8586aed90</t>
  </si>
  <si>
    <t xml:space="preserve">PROVIDED_RESOURCES_TO</t>
  </si>
  <si>
    <t xml:space="preserve">Ayutthaya campaign troops</t>
  </si>
  <si>
    <t xml:space="preserve">vol1_s002628_t06_9a4e3ed91862</t>
  </si>
  <si>
    <t xml:space="preserve">ORDERED_MILITARY_DEPLOYMENT</t>
  </si>
  <si>
    <t xml:space="preserve">vol1_s002629</t>
  </si>
  <si>
    <t xml:space="preserve">vol1_s002629_t01_f0a74c0fb65c</t>
  </si>
  <si>
    <t xml:space="preserve">Maha Nawrahta</t>
  </si>
  <si>
    <t xml:space="preserve">ဇင်းမယ်ကြောင်းချီ ဗိုလ်ချုပ်နေမျိုးသီဟပတေ့တို့လည်း ခြေရင်းတော်သို့ အလျှောက်အထားစေသူ ဇေယနရာ တို့ ပြန်ရောက်လာလျှင် မဟာနော်ရထာကို အမိန့်တော်အတိုင်း ကောင်းမွန်အောင် သင်္ဂြိုဟ်ရသည်၊ ထိုအခါ ယိုးဒယားမြို့တွင်းသို့ လိုဏ်ငါးကြောင်း တူးမည်ကို မြေစာအထုတ်အယူ ခက်သောကြောင့် မြို့ မြောက်မျက်နှာက ကျုံးနဖူးတိုင်အောင် ချဉ်း၍ ဇင်းမယ်က လာသည့်မြစ်ကို အမှီပြုပြီးလျှင် အဝန်းတာရှစ်ရာ, မြို့ ရပ် ဆယ်တောင် သုံးမြို့ ပြိုင်လျက် တည်စေပြီးလျှင် သတိုးမင်းထင်, ဆပ်ပြာကုန်းဗိုလ်, သစ်ဆိမ့်ဗိုလ်တို့ကို ရဲမက်နှစ်ထောင်စီ ပေးအပ်၍ ရဲမက်ပေါင်း ခြောက်ထောင်နှင့် မြို့သစ် သုံးမြို့က အဖြီးအခိုင် နေစေပြီးလျှင် မြို့တွင်းသို့ ဥမင်ငါးကြောင်း တူးရသည်၊ နှစ်ကြောင်း ဥမင်မှာ မြို့ ခြေကိုတွေ့ လျှင် အရှေ့အနောက် လျှောက်၍ တာတစ်ရာကျော်, သုံးထွာခွဲ လေးထွာ ရှိသည့် သစ်ကို စီကာစီကာ ထုပ်ခံ၍ ထောက်ပြီးလျှင် ထားသည်၊ သုံးကြောင်းဥမင်မှာ မြို့ ရိုးမြေတောင် လွတ်အောင် တူးပြီးလျှင် အထက်သို့ တွင်းမော့လျက် မြေသား တစ်တောင်ကျော်ခန့် ချန်ထားသည်၊ ယင်းသောအခါ ယိုးဒယားမြို့တွင်းက ဟင်းခူး ထင်းခွေမျှ မထွက်ရအောင် တပ်တော်အများ တစ်နှစ်ကျော် နှစ်နှစ်ခန့် ဝန်းရံနေလေ သောကြောင့် မြို့တွင်း၌ ရှိရင်းလူ, ပြင်ကျေးရွာများက ဝင်ရောက်သိမ်းသွင်းသူ လူများချေ၍ အစားအစာ အလွန် ငတ်မွတ် ခေါင်းပါးလှလေလျှင် မြို့တွင်းနေလူတို့ မရပ်မတည်နိုင် ရံတပ်တော်များသို့ နေ့စဉ်ရက်ဆက် ထွက်ပြေး ဝင်ရောက်ကြလေ၏။</t>
  </si>
  <si>
    <t xml:space="preserve">When Zayanara, who had been sent to the royal presence, returned to the generals on the Chiang Mai route, including General Nemyo Thihapate, they buried Maha Nawrahta properly according to the royal order; at that time, because it was difficult to remove the excavated earth for the five tunnels being dug into Ayutthaya, they approached the edge of the moat on the north side of the city, relied on the river coming from Chiang Mai, and built three parallel forts, each with a circumference of 800 ta and a height of 10 ta; they assigned 2,000 soldiers each to Thado Min Htin, the Sappya Kone Commander, and the Thit Seint Commander, and with a total of 6,000 soldiers, they stayed firmly in the three new forts and dug five tunnels into the city; for two of the tunnels, upon reaching the city foundation, they proceeded east and west, and placed and supported them with timber that was over 100 ta long and three and a half to four cubits thick; for the three tunnels, they dug until they were clear of the city wall foundation, then turned the tunnels upward, leaving about a cubit of earth; at that time, because the main army had been surrounding the city for over a year to two years, preventing anyone in Ayutthaya from even going out to gather vegetables or firewood, the original inhabitants of the city and those who had fled from outside villages into the city were so hungry and destitute that the people living in the city could not remain, and they fled and entered the surrounding royal troops day after day.</t>
  </si>
  <si>
    <t xml:space="preserve">vol1_s002629_t02_eb8a320c512f</t>
  </si>
  <si>
    <t xml:space="preserve">Burmese Army</t>
  </si>
  <si>
    <t xml:space="preserve">CONSTRUCTED_SIEGE_INFRASTRUCTURE</t>
  </si>
  <si>
    <t xml:space="preserve">Three forts</t>
  </si>
  <si>
    <t xml:space="preserve">vol1_s002629_t03_e7cf720723cb</t>
  </si>
  <si>
    <t xml:space="preserve">ASSIGNED_COMMAND_TO</t>
  </si>
  <si>
    <t xml:space="preserve">Thado Min Htin</t>
  </si>
  <si>
    <t xml:space="preserve">vol1_s002629_t04_e02ed54de991</t>
  </si>
  <si>
    <t xml:space="preserve">Sappya Kone Commander</t>
  </si>
  <si>
    <t xml:space="preserve">vol1_s002629_t05_a2b3f3b3163e</t>
  </si>
  <si>
    <t xml:space="preserve">Thit Seint Commander</t>
  </si>
  <si>
    <t xml:space="preserve">vol1_s002629_t06_3d435e0c30f7</t>
  </si>
  <si>
    <t xml:space="preserve">EMPLOYED_SIEGE_TACTIC</t>
  </si>
  <si>
    <t xml:space="preserve">Tunneling</t>
  </si>
  <si>
    <t xml:space="preserve">vol1_s002629_t07_4c2ca5525692</t>
  </si>
  <si>
    <t xml:space="preserve">IMPOSED_RESOURCE_BLOCKADE</t>
  </si>
  <si>
    <t xml:space="preserve">Ayutthaya</t>
  </si>
  <si>
    <t xml:space="preserve">vol1_s002629_t08_954dbcfdb454</t>
  </si>
  <si>
    <t xml:space="preserve">Ayutthayan population</t>
  </si>
  <si>
    <t xml:space="preserve">vol1_s002630</t>
  </si>
  <si>
    <t xml:space="preserve">vol1_s002630_t01_b6ccd772b5e4</t>
  </si>
  <si>
    <t xml:space="preserve">Phra Mundari</t>
  </si>
  <si>
    <t xml:space="preserve">King of Ayutthaya</t>
  </si>
  <si>
    <t xml:space="preserve">ထိုအခါ ယိုးဒယားမင်း ယောက်ဖ ဗြမုန္ဒရီ ယိုးဒယားမင်းကို လျှောက်သည်ကား‘ယခု မြန်မာ အဝရှင်ဘုရင်က ဒဝယ်ကြောင်း, ဇင်းမယ်ကြောင်း စစ်တက်၍ ကျွန်တော်တို့မြို့ကို ရံသည် နှစ်နှစ်ကျော် သုံးနှစ်ခန့် ရှိသည်၊ ကျွန်တော်တို့ မြို့တွင်းမှာလည်း နှစ်နှစ်ကျော် သုံးနှစ်ခန့် ကြည်းရေအပိတ် သူတို့ဝန်းရံသည်ကို ခံနေရသောကြောင့် မြို့တွင်းမှာ ရှိနေသမျှ ရဲမက် ဗိုလ်ပါစသော ရဟန်းရှင်လူ ပြည်သူအပေါင်း အစားအစာ ဆွံ့ရှား၍ အလွန် ငတ်မွတ် ကျဉ်းမြောင်းလှချေသည်၊ ရှင့်ဘုရင့်အရေးသာ မဟုတ်၊ ကျွန်တော်တို့နှင့်တကွ ရဟန်းရှင်လူ ပြည်သူသတ္တဝါ အပေါင်းတို့ အရေးကြုံကြိုက်၍ ရှိသည်၊ ယင်းသို့ဖြစ်သောကြောင့် မြို့တွင်းမှာရှိသည့် ဆင်ကောင်း မြင်းကောင်း လက်နက်ကောင်း လူကောင်း ဆိုသမျှကို အကုန်အစင် ရွေးကောက်ပြီးလျှင် မြန်မာတို့က မြို့ရင်းတိုင်အောင် ချဉ်း၍ တည်လာသည့် ရံမြို့ များကို အသက်ကိုစွန့်၍ အရတိုက်ယူပြီးလျှင် ရံတပ်များကို အကုန်အစင် မီးတိုက် မည်၊ သည်ကဲ့သို့ တိုက်၍မျှ အောင်မြင်ခြင်းသို့ မရောက်ခဲ့လျှင် ကျွန်တော်တို့နှင့်တကွ ပြည်သူ သတ္တဝါအပေါင်းတို့ ကံကြမ္မာအလျောက် ဖြစ်ပစေတော့ဟု လျှောက်သည်ကို ယိုးဒယားမင်းနှင့်တကွ မင်းညီမင်းသား မှူးမတ် ဗိုလ်မှူး တပ်မှူးတစ်စု အကြိုက်ညီကြ၍ ရွေးရ တိုက်ဆင် ငါးရာကျော်, ရွေးရလူ ငါးသောင်းကျော်များနှင့် မြို့ မြောက် မျက်နှာရံတပ်များကို တိုက်မည်ဟု နှဲခရာ ပုံမောင်း တီးမှုတ်လျက် မြို့လုံး ပဲ့တင်ထပ်မျှ ကြော်ငြာ၍ ထွက်လာ ပြီးလျှင် သတိုးမင်းထင်, ဆပ်ပြာကုန်းဗိုလ်, သစ်ဆိမ့်ဗိုလ်တို့ ရပ်ခံသည့်မြို့ကို ပြောင်းအမြောက် တစ်ထောင်ကျော်နှင့် မီးပေါက်မိုး ရွာသကဲ့သို့ မရပ်မဆိုင်း ပစ်ခတ်ပြီးလျှင် ဆင်ပါမြင်းပါ အပြင်းကပ်၍ ပျားအုံသကဲ့သို့ မြို့ခြေကို တူးသူ တူးသည်၊ လှေကားထောင်၍ တက်သူ တက်သည်၊ သည်ကဲ့သို့ ဗြမုန္ဒရီ အပြင်းအပြ ကွပ်ညှပ်စီရင် လုပ်ကြံ သည်ကို ရဲမက်တော်တို့ မြို့ထိပ်ကနေ၍ တက်လာသမျှ လူအပေါင်းကို ထိုးခုတ်ရိုက်ချသောကြောင့် ရှမ်း, ယိုးဒယား အများ သေကြေပျက်စီးသည်ကိုလည်း လက်မချ ဗြမုန္ဒရီ အကွပ်အညှပ် ပြင်းပြလှသောကြောင့် သေသည့် သူကောင်ကို ခုခံနင်းခုန်ပြီးလျှင် မြို့ ကိုတက်သည်၊ သူရဲတော်တို့လည်း မြို့ထိပ်က ဓား, လှံ, လက်နက် သေနတ်မီးပေါက် အများနှင့် ပစ်ခတ်ထိုးခုတ်သည်ကိုလည်း အလေးမမူ၊ မြို့ထိပ်ကိုသာ ရောက်အောင် ကြိုး၍ တက်ကြသောကြောင့် ယိုးဒယားသား လူတစ်ထောင်ကျော် ရံမြို့တွင်းသို့ ရောက်လာလျှင် ရဲမက်တော်တို့ လှံချင်း ဓားချင်း ယှက်၍ ထိုးခုတ် တိုက်ခိုက်ကြသည်။</t>
  </si>
  <si>
    <t xml:space="preserve">At that time, the brother-in-law of the King of Ayutthaya, Phra Mundari, submitted to the King of Ayutthaya: 'Now, the Burmese King of Ava has marched troops via the Tavoy and Chiang Mai routes and has been besieging our city for over two to three years; because we have been blockaded by land and water for over two to three years, all the soldiers, troops, monks, and laypeople inside the city are suffering from a severe shortage of food and are in dire straits; this is not just a matter for Your Majesty, but a crisis for all of us, including the monks, laypeople, and all living beings; because of this, we should select all the best elephants, horses, weapons, and men in the city, and we should sacrifice our lives to attack and capture the siege forts that the Burmese have built as they approached the city, and burn all the siege forts; if we do not succeed even after fighting like this, then let it be according to the fate of all of us, the people and living beings'; when he submitted this, the King of Ayutthaya, along with the princes, ministers, and commanders, agreed, and with over 500 selected war elephants and over 50,000 selected men, they announced their intention to attack the siege forts on the north side of the city by blowing trumpets and beating drums until the whole city echoed, and then they came out; they fired over 1,000 cannons at the fort held by Thado Min Htin, the Sappya Kone Commander, and the Thit Seint Commander, like a rain of fire, without stopping, and then, with elephants and horses pressing in, they dug at the base of the fort like a swarm of bees, and those with ladders climbed up; although the royal soldiers stood on top of the fort and stabbed, struck, and knocked down all those who climbed up, causing many Shan and Yodaya to die and be destroyed, Phra Mundari's command was so intense that they did not let up, and they climbed the fort by stepping over and jumping on the corpses; the brave soldiers [of the royal army] fired guns and stabbed with swords and spears from the top of the fort, but they [the Yodaya] ignored it and struggled to reach the top, and when over 1,000 Yodaya men reached inside the siege fort, the royal soldiers engaged them in hand-to-hand combat with spears and swords.</t>
  </si>
  <si>
    <t xml:space="preserve">vol1_s002630_t02_a22a5216b9d5</t>
  </si>
  <si>
    <t xml:space="preserve">AUTHORIZED_MILITARY_ASSAULT</t>
  </si>
  <si>
    <t xml:space="preserve">vol1_s002630_t03_f3bb441ea958</t>
  </si>
  <si>
    <t xml:space="preserve">Ayutthaya Elites</t>
  </si>
  <si>
    <t xml:space="preserve">CONSENTED_TO_MILITARY_STRATEGY</t>
  </si>
  <si>
    <t xml:space="preserve">vol1_s002630_t04_e0c693915b39</t>
  </si>
  <si>
    <t xml:space="preserve">Ayutthaya Forces</t>
  </si>
  <si>
    <t xml:space="preserve">500 elephants and 50,000 men</t>
  </si>
  <si>
    <t xml:space="preserve">vol1_s002630_t05_8021fe3efa28</t>
  </si>
  <si>
    <t xml:space="preserve">ATTACKED_SIEGE_FORTS</t>
  </si>
  <si>
    <t xml:space="preserve">vol1_s002630_t06_88490bec8019</t>
  </si>
  <si>
    <t xml:space="preserve">COMMANDED_SIEGE_FORT</t>
  </si>
  <si>
    <t xml:space="preserve">vol1_s002630_t07_229b4a27583a</t>
  </si>
  <si>
    <t xml:space="preserve">Sappya Kone Bo</t>
  </si>
  <si>
    <t xml:space="preserve">vol1_s002630_t08_7828a1c28fed</t>
  </si>
  <si>
    <t xml:space="preserve">Thit Seint Bo</t>
  </si>
  <si>
    <t xml:space="preserve">vol1_s002663</t>
  </si>
  <si>
    <t xml:space="preserve">vol1_s002663_t01_4ea841738062</t>
  </si>
  <si>
    <t xml:space="preserve">INCORPORATED_INTO_PALACE_SYSTEM</t>
  </si>
  <si>
    <t xml:space="preserve">Siamese Royal Women</t>
  </si>
  <si>
    <t xml:space="preserve">ဘဝရှင်မင်းတရားကြီးဘုရားလည်း ယောနက အယုဇ္ဈတိုင်းဖြစ်သော ယိုးဒယားပြည်ကြီးကို အလိုတော် ပြည့်လျှင် ယိုးဒယားမင်း မိဖုရား, သမီး, နှမ, မြေးတို့ကို မညှိုးမနွမ်းစေရ နန်းမြို့တော်အတွင်းမှာ အိမ်နှင့်ချည်း ထားတော်မူ၍ မှူးတော်မတ်တော်တို့ကို တစ်ပါးစီအပ်၍ ပြုစုစေသည်။</t>
  </si>
  <si>
    <t xml:space="preserve">When the Great Lord of Life [the King] had fulfilled his desire regarding the great country of Siam, which is the Yonaka Ayutthaya region, he had the Siamese King's queens, daughters, sisters, and granddaughters kept within the royal city, each in their own house, without letting them wither or fade, and assigned ministers to each one to look after them.</t>
  </si>
  <si>
    <t xml:space="preserve">vol1_s002663_t02_1c4379061c8c</t>
  </si>
  <si>
    <t xml:space="preserve">ASSIGNED_MINISTERS_TO_SUPERVISE</t>
  </si>
  <si>
    <t xml:space="preserve">vol1_s002664</t>
  </si>
  <si>
    <t xml:space="preserve">vol1_s002664_t01_ec760ea95519</t>
  </si>
  <si>
    <t xml:space="preserve">Siamese Male Royals</t>
  </si>
  <si>
    <t xml:space="preserve">ယိုးဒယားမင်း, သား, ညီ, မြေး ယောက်ျားတို့ကိုမူကား ပြင်အိမ်မှာ ထားတော်မူ၍ မျိုးရိက္ခာ အဝတ်အစား အသုံးအဆောင် လုံလောက်အောင် ပေးတော်မူသည်၊ ယိုးဒယားမှူးမတ် ဆင်းရဲသား ဆိုသမျှကိုလည်း အစုအကွက် ချ၍ နေစေ၏။</t>
  </si>
  <si>
    <t xml:space="preserve">As for the Siamese King, his sons, brothers, and grandsons, he had them kept in outside houses and provided them with sufficient food, clothing, and supplies; he also had all the Siamese ministers and commoners settled in groups and sections.</t>
  </si>
  <si>
    <t xml:space="preserve">vol1_s002664_t02_5de5dfa9bf39</t>
  </si>
  <si>
    <t xml:space="preserve">ORGANIZED_INTO_ADMINISTRATIVE_UNITS</t>
  </si>
  <si>
    <t xml:space="preserve">Siamese Commoners</t>
  </si>
  <si>
    <t xml:space="preserve">vol1_s002665</t>
  </si>
  <si>
    <t xml:space="preserve">vol1_s002665_t01_593a36f633f8</t>
  </si>
  <si>
    <t xml:space="preserve">PERFORMED_RITUAL_CONSECRATION</t>
  </si>
  <si>
    <t xml:space="preserve">Zayabitheka</t>
  </si>
  <si>
    <t xml:space="preserve">သက္ကရာဇ် (၁၁၂၉) တစ်ထောင့်တစ်ရာ့နှစ်ဆယ့်ကိုးခု ပြာသိုလဆန်း တစ်ဆယ့်ငါးရက် စနေနေ့ နံတော်၏ ဂဟပတိ အရပ်ဖြစ်သော ရွှေနန်းတော်၏ အနောက်တောင် မြို့ကြီးအုန်းဘောင်တံခါးတော်ပြင်ဝယ် မဟာသင်္ကြန် ခေါ်တော်မူပြီးလျှင် ဇေယာဘိသေက ခံတော်မူ၍ မဟာဥကသံ ဖွင့်တော်မူသည်၊ “သီရိသုဓမ္မ မဟာရာဇာ ဇနိန္ဒာ ဓိပတိ” – ဟူသော တံဆိပ်နာမံကို ခံတော်မူသည်။</t>
  </si>
  <si>
    <t xml:space="preserve">In the year 1129, on the 15th day of the waxing moon of Pyatho, a Saturday, at the area outside the great city's Onbaung Gate to the southwest of the Golden Palace—which is the Gahapati quarter of the royal residence—he held the Great Sangkran ceremony, received the Zayabitheka [consecration], opened the Great Ukathan, and received the title name 'Thiri Sudhamma Maharaja Janinda Dhipati'.</t>
  </si>
  <si>
    <t xml:space="preserve">vol1_s002665_t02_a57aaf4dbeec</t>
  </si>
  <si>
    <t xml:space="preserve">RECEIVED_ROYAL_TITLE</t>
  </si>
  <si>
    <t xml:space="preserve">Thiri Sudhamma Maharaja Janinda Dhipati</t>
  </si>
  <si>
    <t xml:space="preserve">vol1_s002666</t>
  </si>
  <si>
    <t xml:space="preserve">vol1_s002666_t01_c9c95c613389</t>
  </si>
  <si>
    <t xml:space="preserve">ရှင်မိဖုရားခေါင်ကြီးကိုလည်း “သီရိအတုလ မဟာပဒုမာဒေဝီ” - ဟူသော တံဆိပ်နာမံကို ခံစေသည်၊ မြောက်နန်း မိဖုရားကိုလည်း “သီရိမဟာမင်္ဂလာ စန္ဒာဒေဝီ” -ဟူသော ဘွဲ့အမည်ကို အသနားတော်ခံစေသည်၊ အလယ်နန်း မိဖုရားကို “သီရိစန္ဒာ ရတနာဒေဝီ”- ဟူသော ဘွဲ့ အမည်ကို အသနားတော် ခံစေသည်။</t>
  </si>
  <si>
    <t xml:space="preserve">He also had the Chief Queen receive the title name 'Thiri Atula Maha Padumadevi', had the Northern Palace Queen receive the title name 'Thiri Maha Mangala Candadevi', and had the Middle Palace Queen receive the title name 'Thiri Canda Ratanadevi'.</t>
  </si>
  <si>
    <t xml:space="preserve">vol1_s002666_t02_656ccd2cd67a</t>
  </si>
  <si>
    <t xml:space="preserve">vol1_s002666_t03_e6ea73efcef7</t>
  </si>
  <si>
    <t xml:space="preserve">vol1_s002667</t>
  </si>
  <si>
    <t xml:space="preserve">vol1_s002667_t01_3583f3c02670</t>
  </si>
  <si>
    <t xml:space="preserve">Chinese Army</t>
  </si>
  <si>
    <t xml:space="preserve">INVADED</t>
  </si>
  <si>
    <t xml:space="preserve">Kengtung</t>
  </si>
  <si>
    <t xml:space="preserve">ကျိုင်းတုံမြို့တွင် တရုတ်နှင့် ပထမအကြိမ် တိုက်ခိုက်ရာ တရုတ်တို့ ဆုတ်ခွာသွားရခြင်း သက္ကရာဇ် (၁၁၂၇) တစ်ထောင့်တစ်ရာ့နှစ်ဆယ့်ခုနစ်ခု ၊ တိုင်းနိုင်ငံတော်ဖြစ်သော ဂုံပြည် ကျိုင်းတုံမြို့ သို့ တရုတ်စစ် စ ရောက်လာ၏။</t>
  </si>
  <si>
    <t xml:space="preserve">The first time the Chinese were fought in Kengtung and forced to retreat: In the year 1127, the Chinese army first arrived at Kengtung, the city of the Gon country, which is a sovereign state.</t>
  </si>
  <si>
    <t xml:space="preserve">vol1_s002668</t>
  </si>
  <si>
    <t xml:space="preserve">vol1_s002668_t01_106c5f62f753</t>
  </si>
  <si>
    <t xml:space="preserve">Chinese Laoli</t>
  </si>
  <si>
    <t xml:space="preserve">REQUESTED_INFRASTRUCTURE_PERMIT_FROM</t>
  </si>
  <si>
    <t xml:space="preserve">Bhamo and Kaungton Wuns</t>
  </si>
  <si>
    <t xml:space="preserve">ရောက်ကြောင်းကား- တရုတ်လောလီ ဆိုသူသည် ဘဲ, မော်ရော်, သိုး, ပိုးစည်း, ကုန် အထည်အလိပ်များ, နွားဝန်တင် သုံးရာကျော် လေးရာခန့်နှင့် ဗန်းမော် ကောင်းတုံသို့ ရောက်လာသည်၊ နံဘာ ရွာမြောက်တွင် တာပင်မြစ်ကို ကူးခပ်မိအောင် တံတားကြီးလုပ်လိုကြောင်းနှင့် ဗန်းမော်ကောင်းတုံဝန် စစ်ကဲတို့ထံ အစီရင်ခံသည်တွင် ဝန်စစ်ကဲတို့က ရွှေဘဝါးတော်အောက် ရွှေစက်တော်စုံကို အမြဲ ဦးထိပ်ရွက်၍ တိုင်းရေးပြည်မှုကို စီရင်ရသော သေနာပတိ ဝန်ရှင်တော်မင်းများမှာ လျှောက်ထားအစီရင်ခံပြီးမှ မှာထားဆင့်ဆိုရာ ဖြစ်စေရမည် ဆိုသည်ကို တရုတ်လောလီက နှစ်ပြည့်တစ်ပြည် ကုန်သည်တဲကား ရောက်ပေါက် ရောင်းဝယ်မြဲ အရပ်ဒေသဖြစ်၍ ကောင်းမှုပြုလိုပါသောကြောင့် အကြောင်းနှင့်လျော်စွာ ပြောဆိုပါသည်ကို အခွင့်မပေး ရွှေဘဝါးတော်အောက် လျှောက်ထား အစီအရင်ခံရဦးမည် ဆိုလေသည်၊ အခွင့်မပေးလျှင် နေပါတော့ဟု မကျစ်မလျစ်သော စကားဖြင့် တရုတ်ဘာသာ ဆိုသည်ကို နားလည်သူတို့က ဝန်စစ်ကဲတို့ထံ ပြန်ပြောကြားသိလေလျှင် ဝန်စစ်ကဲတို့က ထိုသူမှာ ဝတ်စားဆောင်ရွက်သည်လည်း ဆင်းရဲသား ကုန်သည်ကဲ့သို့ မဟုတ်၊ တရုတ်မှူးမတ်တို့ ဆောင်ရွက်သည့် အထွတ်တပ် ခမောက် မှူးမတ်ဝတ်စားများနှင့် ထည်ထည်ဝါဝါ ဖြစ်သည်၊ ပြောသံ ဆိုသံလည်း တောင့်တောင့်တင်းတင်း ဖြစ်သည်၊ သည်သူကို ရွှေဘဝါးတော်အောက် လျှောက်ထားပို့ဆက်မှ ရာဇဝတ်တော်ရေး ကင်းလွတ်ပြေကုံမည်ဟု အရာရှိတစ်စု တိုင်ပင်ပြီးလျှင် ရွှေဘဝါးတော်အောက် အကြောင်းအရာနှင့်တကွ လျှောက်ထားပို့ဆက်၍ ရွှေဘဝါးတော်အောက် ရောက်လျှင် ချုပ်ထားမြဲ ချုပ်ထား၍ ဝန့်ရှင်တော်တို့က ရွှေနားတော်ကြား တင်လျှောက်သည်တွင် အခြင်းအရာ အလုံးစုံကို ဆေးမေးသော် အထူးအခြား မင်းရေးစိုးခွင့် ဆိုသင့်အောင် စကားမပေါ်မထွက်သောကြောင့် အမှုအခင်း မရှိစေရ ကောင်းတုံဗန်းမော်သို့ ပြန်သွား၍ ရောင်းဝယ်မြဲ ရောင်းဝယ်စေ၊ တံတားဆောက်လိုဟန် ကြံဘန်ဝါ ကြွား၍ စကားဖြစ်ဆန်း ပြောဆိုသည့် လက္ခဏာရှိသည်၊ ကောင်းမှုကုသိုလ် ပြုလိုသည် ဧကန် မှန်လျှင်မူကား တံတား ဆောက်လိုလျှင် မည်သည့်အရပ်မှာမဆို သင့်တင့်ရာ တည်ထား ကောင်းမှုပြုစေရမည်-ဆိုင်ရာ မှာထား ပြန်သွား စေသည်၊ ကောင်းတုံဗန်းမော်သို့ ရောက်သည့်ကာလ တံတားကား မဆောက်၊ ထားရင်းအတိုင်း ကုန် အထည်အလိပ် အစေ့အငုမရှိ၊ ပျောက်ပျက်ခဲ့သည်၊ စစ်ကြော၍ပေးပါ - ဝန်စစ်ကဲတို့ထံ အစီရင်ခံပြန်သည်၊ ဝန်စစ်ကဲတို့က ရွှေဘဝါး တော်အောက် တက်သွားရသော်လည်း လူကုန်ခေါ်သွားသည် မဟုတ်၊ နောက်လိုက် နောက်ပါ ငါးယောက် ခြောက် ယောက်သာ ခေါ်သွားသည်၊ လာရင်း တရုတ်တို့ ပါသမျှကုန်ကို စောင့်ထိန်းနေရစ်သည် ဖြစ်သည်၊ မြို့နေ ရွာသားတို့ကို မစစ်မကြောသင့်၊ ပျောက်ဆုံးသည်မှန်လျှင် ထိန်းသိမ်းသည့် တရုတ်တို့ကိုသာ မေးဆေးပါလေတော့ ဆိုသည်ကို တရုတ်လောလီ မသက်မသာ ကောင်းပါပြီ ဆို၍ ပြန်သွားလေသည်၊ မိုးမျဉ်းသို့ရောက်လျှင် ဗန်းမော်ကောင်းတုံမှာ ကုန်အရောင်းအဝယ် သွားရောက်ပါသည်ကို အဖြောင့်အမတ် မရောင်းမဝယ်ရ၊ ဝန်စစ်ကဲတို့ အမှုရှာကြံ ပြုလုပ်၍ ကုန်အထည်အလိပ်များ ဆုံးပါးခဲ့ရသည်၊ မိုင်းဆည် စုံးတူထံ အစီရင်ခံလိုကြောင်းနှင့် မိုးမျဉ်းဝန်မှာ ပြောဆိုတိုင်တန်း ၍ မိုင်းဆည်သို့ သွားလေသည်၊ မိုင်းဆည်သို့ရောက်၍ အကြောင်းမျိုးကို ပြန်ပြောလျှင် မိုင်းဆည်စုံးတူကလည်း နှစ်ပြည့်တစ်ပြည် ရောက်ပေါက်ရောင်းဝယ်မြဲဖြစ်၍ သွားလာရောက်ပေါက် ရောင်းဝယ်သည်ကို မတော်မသင့် ပြုကျင့်လေသည် ဆိုသည်မှာ ဟုတ်တန်-မဟုတ်တန် နောက်မှုနောက်ရေးကို နားပါး ထောင်ရဦးတော့မည် ဆိုပြီးလျှင် ထိုသူ ့စကားကို နှစ် လ ရက် အသေအချာနှင့် မှတ်သားထားရ၏။</t>
  </si>
  <si>
    <t xml:space="preserve">The reason for their arrival is: A person called Chinese Laoli arrived at Bhamo and Kaungton with over three hundred to four hundred ox-loads of ducks, peacocks, sheep, silk, and various textiles. When he reported to the Bhamo and Kaungton Wuns and Sitkes that he wished to build a large bridge across the Taping River north of Namba village, the Wuns and Sitkes said that it must be done only after reporting and seeking instructions from the ministers and Wuns who always carry the golden feet of the Golden Royal Feet upon their heads to manage the affairs of the country. The Chinese Laoli said that since this is a place where merchants from both countries have always come and gone to trade, he was speaking according to the circumstances because he wished to perform a meritorious deed, but they did not grant permission and said he must first report to the Golden Royal Feet. When he said in Chinese, with unyielding words, 'If you will not grant permission, then I shall stay,' those who understood told the Wuns and Sitkes. Upon hearing this, the Wuns and Sitkes [thought] that his attire and conduct were not like those of a poor merchant, but rather he was dressed in the high-ranking hats and ministerial attire worn by Chinese officials, and his way of speaking was also firm and stiff. A group of officials consulted and decided that if they did not report and send this person to the Golden Royal Feet, they would not be free from royal punishment, so they reported the matter and sent him to the Golden Royal Feet. When he arrived at the Golden Royal Feet, he was kept under guard as usual. When the Wuns reported it to the royal ears and interrogated him about the whole situation, no special matters regarding state affairs or political intentions emerged, so they ordered him to return to Kaungton and Bhamo to trade as usual, saying that there was no case against him, that his talk of wanting to build a bridge was merely a sign of boastful and strange speech, and that if he truly wished to perform a meritorious deed, he could build it in any suitable place if he wished to build a bridge, and they sent him back with instructions to the relevant authorities. When he arrived back at Kaungton and Bhamo, he did not build a bridge, and he reported back to the Wuns and Sitkes that the textiles and goods he had left behind were gone without a trace and asked them to investigate and return them. The Wuns and Sitkes said that even though he had gone up to the Golden Royal Feet, he had not brought a large entourage, but only five or six followers, and that the goods the Chinese had brought upon their arrival were left under their own guard, so they should not interrogate the town and village residents, and if it were true that they were lost, they should only interrogate the Chinese who were guarding them. The Chinese Laoli, feeling uncomfortable, said 'Very well' and left. When he reached Moe Myin, he spoke and complained to the Moe Myin Wun that he had gone to Bhamo and Kaungton to trade, but that he was not allowed to trade fairly, and that the Wuns and Sitkes had schemed and caused his textiles and goods to be lost, and that he wished to report to the Monghsat Sawbwa, and he went to Monghsat. Upon arriving at Monghsat and recounting the whole story, the Monghsat Sawbwa said that since it is a place where people from both countries have always come and gone to trade, he would have to listen carefully to the subsequent matters regarding the claim that they had acted improperly, and he recorded his words with the exact months and days.</t>
  </si>
  <si>
    <t xml:space="preserve">vol1_s002668_t02_69e3ab91ef7e</t>
  </si>
  <si>
    <t xml:space="preserve">ENFORCED_CENTRALIZED_AUTHORITY_ON</t>
  </si>
  <si>
    <t xml:space="preserve">vol1_s002668_t03_9fc7befc87ae</t>
  </si>
  <si>
    <t xml:space="preserve">SUSPECTED_STATUS_OF</t>
  </si>
  <si>
    <t xml:space="preserve">vol1_s002668_t04_c9017eb91972</t>
  </si>
  <si>
    <t xml:space="preserve">SENT_FOREIGN_ACTOR_TO</t>
  </si>
  <si>
    <t xml:space="preserve">vol1_s002668_t05_a433de7c6ea5</t>
  </si>
  <si>
    <t xml:space="preserve">vol1_s002668_t06_6b5407112d44</t>
  </si>
  <si>
    <t xml:space="preserve">REGULATED_FRONTIER_TRADE_ACTIVITY</t>
  </si>
  <si>
    <t xml:space="preserve">vol1_s002668_t07_d13d150316dd</t>
  </si>
  <si>
    <t xml:space="preserve">Monghsat Sawbwa</t>
  </si>
  <si>
    <t xml:space="preserve">RECORDED_GRIEVANCE_OF</t>
  </si>
  <si>
    <t xml:space="preserve">Misidentifies the receiving official as a Monghsat sawbwa. The Burmese identifies the Moing-se/Maing-se zongdu (စုံးတူ), the Chinese regional governor; this is not merely an alternative spelling of sawbwa.</t>
  </si>
  <si>
    <t xml:space="preserve">Moing-se Chinese regional governor → RECORDED_GRIEVANCE_OF → Chinese Laoli</t>
  </si>
  <si>
    <t xml:space="preserve">vol1_s002727</t>
  </si>
  <si>
    <t xml:space="preserve">vol1_s002727_t01_8b1da0b74f41</t>
  </si>
  <si>
    <t xml:space="preserve">Minister Maha Thihathura</t>
  </si>
  <si>
    <t xml:space="preserve">ORDERED_INTERCEPTION_OF</t>
  </si>
  <si>
    <t xml:space="preserve">Chinese provisions</t>
  </si>
  <si>
    <t xml:space="preserve">သိန်းနီကြောင်း ချီစေသော ဝန်ကြီးမဟာသီဟသူရတို့မှာလည်း တရုတ်တို့က ပို့သမျှ မျိုးရိက္ခာကို နောက်က လှည့်၍ တိုက်ဖျက်သိမ်းယူသည်၊ ရိက္ခာပို့သမျှ အကုန်အစင်ပျက်လျှင် တရုတ်တို့စစ်အင်ကို ကြည့်ရှုစုံစမ်း လုပ်ကြံ ရမည်ဟု စစ်ကဲကြီး တိမ်ကြားမင်းခေါင်ကို သေနတ်စွဲ သူရဲသုံးထောင်, မြင်းငါးရာ, တပ်ပါသူရဲ ငါးထောင်ကျော် နှင့် ရှေ့တည်၍ ချီသွားစေသည်၊ တရုတ်တို့က ဗိုလ်ထုဗိုလ်အင် အများနှင့် စစ်ကြီးချီလာသည်ကို တပ်တည် လုပ်ရပ်ခံရမည် စီရင်ခန့်ထားသည့်အတွင်း ဝန်ကြီးမဟာသီဟသူရက လူသူအများ အင်အားကြီးလှသည်ဟု ကြားသည်နှင့် တပ်ပါ လက်နက်ကိုင်တို့ကို မကွဲမပြား သိမ်းဆည်း၍ ဆုတ်ခွာခဲ့ရမည်ဟု မြင်းသည်ငါးယောက် စေလွှတ်ခေါ်လာသည်။</t>
  </si>
  <si>
    <t xml:space="preserve">Minister Maha Thihathura and his party, who were ordered to march toward Hsenwi, also turned back to intercept and seize all the provisions sent by the Chinese. Thinking that once all the provisions were completely destroyed, they would have to observe, investigate, and attack the Chinese military force, he ordered the Great War Commander Tein-gya Minkhaung to march ahead with three thousand musketeers, five hundred cavalry, and over five thousand infantry. While he had arranged and commanded that they must establish a camp and hold their ground against the Chinese who were marching with a large force of commanders and troops, Minister Maha Thihathura heard that the Chinese had a very large number of people and great strength, so he sent five horsemen to call them back, ordering them to gather all the armed men in the camp without separation and retreat.</t>
  </si>
  <si>
    <t xml:space="preserve">vol1_s002727_t02_d3611e2d343e</t>
  </si>
  <si>
    <t xml:space="preserve">Tein-gya Minkhaung</t>
  </si>
  <si>
    <t xml:space="preserve">vol1_s002727_t03_6143bab95b6e</t>
  </si>
  <si>
    <t xml:space="preserve">3000 musketeers, 500 cavalry, 5000 infantry</t>
  </si>
  <si>
    <t xml:space="preserve">vol1_s002727_t04_b7a51e88a1cd</t>
  </si>
  <si>
    <t xml:space="preserve">ORDERED_RETREAT_OF</t>
  </si>
  <si>
    <t xml:space="preserve">vol1_s002728</t>
  </si>
  <si>
    <t xml:space="preserve">vol1_s002728_t01_54fccc12413f</t>
  </si>
  <si>
    <t xml:space="preserve">SUBMITTED_STRATEGIC_REPORT_TO</t>
  </si>
  <si>
    <t xml:space="preserve">တိမ်ကြားမင်းခေါင်လည်း သူ သူနီးမှ ပြန်လည်ချေသော် ကြောက်ရွံ့ ခန့်ညားသည် အထင်နှင့် တရုတ်တို့ အားတက်လေတော့မည်၊ နောက်တပ်စုကသာ ချီတက်ခဲ့ပါ ခံနိုင်အောင် ခံပါမည်ဟု ဝန်ကြီးမဟာသီဟသူရသို့ အစီရင်ခံစာပေး၍ ဝါးပိုးတပ်နှင့် ခံနေသည်၊ တရုတ်တို့ကလည်း ညနေ သုံးချက်တီးအချိန် ရောက်လာ၍ တိမ်ကြား မင်းခေါင်တပ်ကို ပျားအုံသကဲ့သို့ အထပ်ထပ်ဝန်းရံပြီးလျှင် ဝါးရှည်တွင် ကွင်းတပ်၍ တပ်တိုင်ကို ကွင်းနှင့် ကျော့၍ လှဲသည်၊ တိမ်ကြားမင်းခေါင်လည်း သူရဲသူခက်တို့ကို ကိုယ်တိုင်ကွပ်ကဲ၍ သနဝါးချွန်နှင့် ထိုးစေသည်၊ တပ်ထိပ် ကလည်း ခုခံထိုးခုတ် ရိုက်ချစေသည်၊ လဲသမျှ တပ်တိုင်ကိုလည်း တိုင်သစ်ထူလုပ်စေသည်၊ သေနတ်စွဲသူရဲ သုံးထောင်တို့ကိုလည်း တစ်ချက်မလွတ် အညံ့မစဲ ပစ်စေသည်၊ တရုတ်တို့ အထိအပါး အရှအန အသေအပျောက် များလေလျှင် တပ်တွင်းသို့ မပေါက်မရောက်နိုင် တပ်ကိုသာ ဝန်းဝိုင်း၍ နေကြလေသည်။</t>
  </si>
  <si>
    <t xml:space="preserve">Tein-gya Minkhaung thought that if he retreated just as the enemy was near, the Chinese would become emboldened with the impression that he was afraid and respectful, so he sent a report to Minister Maha Thihathura saying that the rear guard should march forward and that he would hold the ground so that they could withstand the enemy, and he held his position with a bamboo-pole stockade. When the Chinese arrived at the time of the three-stroke evening bell, they surrounded Tein-gya Minkhaung's camp layer upon layer like a beehive, attached loops to long bamboo poles, and pulled down the camp posts by hooking them with the loops. Tein-gya Minkhaung personally commanded his warriors to stab with sharpened bamboo spears, and those at the top of the stockade also resisted by stabbing, hacking, and beating them down. He also had new posts erected to replace every post that was pulled down, and he had the three thousand musketeers fire without missing a single shot and without ceasing their defense. As the Chinese suffered many injuries, losses, and deaths, they could not penetrate into the camp and only remained surrounding it.</t>
  </si>
  <si>
    <t xml:space="preserve">vol1_s002728_t02_8dfc5dedca82</t>
  </si>
  <si>
    <t xml:space="preserve">ESTABLISHED_DEFENSIVE_POSITION_AT</t>
  </si>
  <si>
    <t xml:space="preserve">bamboo-pole stockade</t>
  </si>
  <si>
    <t xml:space="preserve">vol1_s002728_t03_32a5764996a6</t>
  </si>
  <si>
    <t xml:space="preserve">ATTACKED_CAMP_OF</t>
  </si>
  <si>
    <t xml:space="preserve">vol1_s002728_t04_229238ff7e84</t>
  </si>
  <si>
    <t xml:space="preserve">COMMANDED_DEFENSE_USING</t>
  </si>
  <si>
    <t xml:space="preserve">sharpened bamboo spears and musketeers</t>
  </si>
  <si>
    <t xml:space="preserve">vol1_s002729</t>
  </si>
  <si>
    <t xml:space="preserve">vol1_s002729_t01_ee65ea9beaef</t>
  </si>
  <si>
    <t xml:space="preserve">REINFORCED</t>
  </si>
  <si>
    <t xml:space="preserve">ဝန်ကြီးမဟာသီဟသူရတို့လည်း စေရင်း မြင်းသည်တို့ ရောက်လာသည်နှင့် တပ်မှူးစစ်ကဲ အပေါင်းတို့ကို ဆော်နှိုးချီတက်လာသည်၊ လမ်းခရီးသို့ရောက်လျှင် အမြောက်သေနတ်သံကြားမှ သူ သူနှင့် တွေ့ ့ချေပြီ အမှတ် ရှိ၍ အပြင်းချီလှာသည်၊ တရုတ်တို့ရှိရာ တိမ်ကြားမင်းခေါင်တပ် အနီးသို့ ရောက်လျှင် ရှိနှင့်သည့် တရုတ်တို့ကို အသီးအသီး ဆင်ပါမြင်းပါ မရပ်မဆိုင်း တိုက်သည်၊ တရုတ်တို့ မခံနိုင်၊ အရံကိုဖြုတ်၍ ဆုတ်ခွာလေ၏၊ တရုတ်တို့ ဆုတ်လျှင် စစ်ကိုသိမ်း၍ လူသူဆင်မြင်း ဖြည့်တင်းပြီးမှ လားရှိုးတွင် တရုတ်တို့ ဘပ်ကြီးတပ်ခိုင် တည်လုပ်ရပ်ခံ သည်ကို တိုက်ပြန်သည်၊ တရုတ်တို့ တပ်ပျက်၍ ကြူရှောတွင် ခံပြန်သည်ကိုလည်း တိုက်ပြန်သည်၊ တရုတ်တို့ သိန်းနီတိုင်အောင် ဆုတ်ပြေးလေ၏။</t>
  </si>
  <si>
    <t xml:space="preserve">Minister Maha Thihathura and his party, upon the arrival of the horsemen he had sent, roused all the commanders and war leaders and marched forward. When they reached the road, hearing the sound of cannons and muskets, they realized that they had encountered the enemy and marched rapidly. Upon reaching the vicinity of Tein-gya Minkhaung's camp where the Chinese were, they attacked the Chinese who were already there, both with elephants and horses, without stopping. The Chinese could not withstand it, broke their formation, and retreated. When the Chinese retreated, they gathered their forces, replenished their men, elephants, and horses, and then attacked the large, fortified Chinese camp that had been established at Lashio. The Chinese camp was destroyed, and they resisted again at Kyu-shaw, which they also attacked, and the Chinese retreated in flight as far as Hsenwi.</t>
  </si>
  <si>
    <t xml:space="preserve">vol1_s002729_t02_afff0152bddd</t>
  </si>
  <si>
    <t xml:space="preserve">Chinese forces at Lashio</t>
  </si>
  <si>
    <t xml:space="preserve">vol1_s002729_t03_4e406979eae2</t>
  </si>
  <si>
    <t xml:space="preserve">Chinese forces at Kyu-shaw</t>
  </si>
  <si>
    <t xml:space="preserve">vol1_s002729_t04_b6c039d86e4c</t>
  </si>
  <si>
    <t xml:space="preserve">Hsenwi</t>
  </si>
  <si>
    <t xml:space="preserve">vol1_s002730</t>
  </si>
  <si>
    <t xml:space="preserve">vol1_s002730_t01_8858f94760f1</t>
  </si>
  <si>
    <t xml:space="preserve">Nam-pan River</t>
  </si>
  <si>
    <t xml:space="preserve">ဝန်ကြီး မဟာသီဟသူရတို့လည်း လိုက်ထပ်ချီတက်၍ သိန်းနီမြို့ သို့ ရောက်လျှင် သိန်းနီမြို့ အရှေ့တောင် နံ့ပင်မြစ်နားတွင် တပ်ချရပ်စွဲနေ၍ တရုတ်တို့က မျိုးရိက္ခာ ပို့သမျှကို သံလွင်မြစ်အနောက်ဘက် ကွန်လုံထားကူး ဆိပ်က ဆီးကြိုတိုက်ဖျက်သိမ်းယူရမည်ဟု ရှေ့ဝင်းမှူး တိမ်ကြားမင်းခေါင်, နေမျိုးလက်ဝဲမင်းခေါင်, နေမျိုး လက်ယာမင်းခေါင်, သည်သုံးတပ်က ရွေးမြင်းခြောက်ရာ, သေနတ်စွဲသူရဲ ငါးထောင်ကို ရှေ့ဝင်းမှူး တိမ်ကြား မင်းခေါင်ကို အချုပ်ခန့်၍ ချီရသည်။</t>
  </si>
  <si>
    <t xml:space="preserve">Minister Maha Thihathura and his party also followed and marched, and upon reaching Hsenwi, they camped and stationed themselves near the Nam-pan River to the southeast of Hsenwi city. They ordered that all provisions sent by the Chinese must be intercepted and seized at the Kunlong-hta ferry landing on the west bank of the Thanlwin River, and they sent the Front Gate Commander Tein-gya Minkhaung, Nemyo Let-we Minkhaung, and Nemyo Let-ya Minkhaung—these three units—with six hundred elite cavalry and five thousand musketeers, placing the Front Gate Commander Tein-gya Minkhaung in overall command.</t>
  </si>
  <si>
    <t xml:space="preserve">vol1_s002730_t02_23082d1bc401</t>
  </si>
  <si>
    <t xml:space="preserve">ORDERED_INTERCEPTION_AT</t>
  </si>
  <si>
    <t xml:space="preserve">Kunlong-hta ferry</t>
  </si>
  <si>
    <t xml:space="preserve">vol1_s002730_t03_180bba47df86</t>
  </si>
  <si>
    <t xml:space="preserve">APPOINTED_AS_COMMANDER_OF</t>
  </si>
  <si>
    <t xml:space="preserve">three-unit task force</t>
  </si>
  <si>
    <t xml:space="preserve">vol1_s002730_t04_2faf90f5bea0</t>
  </si>
  <si>
    <t xml:space="preserve">Task force</t>
  </si>
  <si>
    <t xml:space="preserve">CONSISTED_OF</t>
  </si>
  <si>
    <t xml:space="preserve">600 elite cavalry and 5000 musketeers</t>
  </si>
  <si>
    <t xml:space="preserve">vol1_s002738</t>
  </si>
  <si>
    <t xml:space="preserve">vol1_s002738_t01_e2b0ca4269fa</t>
  </si>
  <si>
    <t xml:space="preserve">Mahathihathura</t>
  </si>
  <si>
    <t xml:space="preserve">APPOINTED_AS_GOVERNORS</t>
  </si>
  <si>
    <t xml:space="preserve">Sit_Kaung_Thiri_and_Udein_Punya</t>
  </si>
  <si>
    <t xml:space="preserve">The appointment is to garrison command/guard duty. One man is explicitly the former governor; the passage does not appoint both men as civil governors.</t>
  </si>
  <si>
    <t xml:space="preserve">Mahathihathura → ASSIGNED_GARRISON_COMMAND_TO → Sit Kaung Thiri and Udein Punya</t>
  </si>
  <si>
    <t xml:space="preserve">အသား ဝန်ကြီး မဟာသီဟသူရတို့လည်း သိန်းနီမှာ ရပ်နေသည့် စစ်သည် နှစ်သိန်းကျော်, မြင်း နှစ်သောင်းကျော်နှင့် ဥဒည်မင်းညီ စူတာလောရဲတို့ တပ်စုကို အလိုတော်ပြည့်လျှင် သိန်းနီမြို့မှာ မြို့ဝန်ဟောင်း စစ်ကောင်းသီရိနှင့် ဥဒိန်ပုညာတို့ကို လက်နက်ဆင်မြင်း လူသူအပြည့်အဝ ပေးအပ်စောင့်နေစေ၍ မြင်းခုံရဲတို့ကို တိုက်မည်ဟု သိန်းနီက သီပေါကြောင်း ချီရ၏။</t>
  </si>
  <si>
    <t xml:space="preserve">Minister Maha Thiha Thura and his forces, having achieved their objective regarding the force of the Wun-de Prince's younger brother, Suta Law-ye, which consisted of over two hundred thousand soldiers and over twenty thousand horses stationed at Hsenwi, left the former Hsenwi town governor Sit Kaung Thiri and Udein Punya in charge with a full complement of weapons, elephants, horses, and men, and marched from Hsenwi toward Thibaw to attack the Myin Khon-ye forces.</t>
  </si>
  <si>
    <t xml:space="preserve">vol1_s002738_t02_b2747b3b86a8</t>
  </si>
  <si>
    <t xml:space="preserve">ASSIGNED_RESOURCES_TO</t>
  </si>
  <si>
    <t xml:space="preserve">Hsenwi_garrison</t>
  </si>
  <si>
    <t xml:space="preserve">vol1_s002738_t03_2c1bd11d17b0</t>
  </si>
  <si>
    <t xml:space="preserve">INITIATED_MILITARY_CAMPAIGN</t>
  </si>
  <si>
    <t xml:space="preserve">Thibaw_region</t>
  </si>
  <si>
    <t xml:space="preserve">vol1_s002739</t>
  </si>
  <si>
    <t xml:space="preserve">vol1_s002739_t01_fe28c057483c</t>
  </si>
  <si>
    <t xml:space="preserve">EXERCISED_AUTHORITY_OVER</t>
  </si>
  <si>
    <t xml:space="preserve">Maha_Sithu</t>
  </si>
  <si>
    <t xml:space="preserve">လုံကာပြင်ကြီးတွင် ရပ်နေသည့် ဝန်ကြီးမဟာစည်သူတို့မှာလည်း ခြေရင်းတော်က ရန်စူးသီရိနော်ရထာ ပြန်ရောက်လာ၍ ဘဝရှင်မင်းတရားကြီးဘုရား အမျက်တော်ရှိကြောင်းကို ကြားသိလျှင် စားအံ့သကဲ့သို့ ကြောက်ရွံ့ကြ၍ ငါတို့ ဗိုလ်မှူးတပ်မှူး နှစ်ဆယ်ကျော် တစ်ယောက်မလွတ် သေ၍ ကုန်သော်သာ တရုတ်တို့ ရှေ့သို့တိုး၍ ပေါက်ရမည်ဟု ကြုံးဝါးပြီးလျှင် လုံကာပြင်ကြီးကသည် သုံးဆယ်ကို လှည့်၍ဆင်းခဲ့သည်၊ ဥဒည်မင်းသမက် မြင်းခုံရဲတို့ တပ်စုနှင့် တွေ့ လေလျှင် ကသည်းဝန်နှင့် ဆယ်တပ်, တိုက်ဆင်တစ်ရာ, မြင်းတစ်ထောင်, စစ်သည်သူရဲ တစ်သောင်းနှင့် လက်ဝဲကြောင်း၊ မက္ခရာဗိုလ်နှင့် ဆယ်တပ်, တိုက်ဆင်တစ်ရာ, မြင်းတစ်ထောင်, စစ်သည်သူရဲ တစ်သောင်းနှင့် လက်ယာကြောင်း၊ ဝန်ကြီးမဟာစည်သူမှာ တပ်ပေါင်း ဆယ်တပ်, တိုက်ဆင်တစ်ရာ, မြင်းတစ်ထောင်, စစ်သည်သူရဲ တစ်သောင်းနှင့် အလယ်ကြောင်း နေပြီးလျှင် စစ်သုံးကြောင်းဖြန့်၍ တိုက်သည်၊ တရုတ်တို့က စစ်အားကြီးလှသည်၊ တရုတ် တစ်သောင်းနှစ်သောင်းခန့် ထိပါးသေဆုံးသော်လည်း ပျက်အောင် မဖျက်မဆီးတည့်နိုင် ရှိလေလျှင် ဝန်ကြီးမဟာစည်သူလည်း စစ်ကိုသိမ်းပြီးမှ ဆင်မြင်းလူသူ ဖြည့်တင်းပြီးလျှင် မဏိစက်နှင့် သေနတ်စွဲသူရဲ တစ်ထောင်, သမန္တရဲနှင့် သေနတ်စွဲသူရဲ တစ်ထောင်, အဂ္ဂရဲနှင့် သေနတ်စွဲ သူရဲ တစ်ထောင်, သိင်္ခပျံချီနှင့် သေနတ်စွဲ သူရဲတစ်ထောင်, ညဉ့်က တရုတ်တို့တပ်ကို နောက်သို့ပတ်မိအောင် လက်ဝဲ လက်ယာ လှည့်သွားပြီးလျှင် နံနက်မိုးသောက်လျှင် တရုတ်တို့တပ် လက်ဝဲစွယ် လက်ယာစွယ်တို့ကို တိုက်ရမည်၊ နောက်ကတိုက်သည့် ပြောင်းသေနတ်သံ ကြားလျှင် ငါတို့တပ် စစ်သုံးကြောင်း တရုတ်တပ်ကို ဝင်၍နင်းမည်ဟု ချိန်းချက် ချီသွားစေသည်၊ မဏိစက်, သမန္တ ရဲ, အဂ္ဂရဲ, သိင်္ခပျံချီတို့ သေနတ်လေးထောင်လည်း ညဉ့်ကို လက်ဝဲ လက်ယာ ချီသွား၍ တရုတ်တို့ တပ်နောက်သို့ လှည့်ပြီးလျှင် အသက်အသံ မရှိစေရ တောက ပုန်းကွယ်နေ၍ နံနက်လင်းအားကြီးကို တရုတ်တို့တပ် လက်ဝဲစွယ် လက်ယာစွယ်ကို မဆုတ်မဆိုင်း တက်သည်၊ တရုတ်တို့လည်း သိန်းနီက မြန်မာတို့တပ်စု ငါတို့ဆီသို့ ဘိ၍ဆင်းချေပြီ အမှတ်နှင့် နောက်ကိုသာ အားကြိုး၍ ခံသည်။</t>
  </si>
  <si>
    <t xml:space="preserve">As for Minister Maha Sithu and his forces stationed at Lonka Plain, when they heard that Yan Su Thiri Nawrahta had returned from the royal presence and that the Lord of Life, the Great King, was angry, they were as terrified as if they were about to be eaten, and they vowed that they must advance and break through the Chinese lines even if all twenty-plus of their commanders and leaders were to die to the last man, and after vowing this, they turned and marched down from Lonka Plain; upon encountering the force of the Wun-de Prince's son-in-law, Myin Khon-ye, they deployed into three columns: the left column with the Kathi Wun, ten regiments, one hundred war elephants, one thousand horses, and ten thousand soldiers; the right column with the Mekkhara Bo, ten regiments, one hundred war elephants, one thousand horses, and ten thousand soldiers; and Minister Maha Sithu himself in the center column with ten regiments, one hundred war elephants, one thousand horses, and ten thousand soldiers, and they attacked. The Chinese had great military strength; although about ten to twenty thousand Chinese were wounded or killed, they could not be broken or destroyed, so Minister Maha Sithu, after withdrawing his forces and replenishing his elephants, horses, and men, ordered Mani Set with one thousand musketeers, Samanta Ye with one thousand musketeers, Agga Ye with one thousand musketeers, and Thinkha Pyan Chi with one thousand musketeers to march around to the left and right during the night to surround the rear of the Chinese army, and he arranged that at dawn they should attack the left and right flanks of the Chinese army, and that upon hearing the sound of the muskets attacking from the rear, his three columns would enter and trample the Chinese army; the four thousand musketeers under Mani Set, Samanta Ye, Agga Ye, and Thinkha Pyan Chi marched left and right during the night, circled to the rear of the Chinese army, and hiding in the forest without making a sound, they advanced without hesitation at early dawn to attack the left and right flanks of the Chinese army; the Chinese, thinking that the Burmese force from Hsenwi had arrived and descended upon them, exerted all their strength to defend their rear.</t>
  </si>
  <si>
    <t xml:space="preserve">vol1_s002739_t02_45a3894de6ff</t>
  </si>
  <si>
    <t xml:space="preserve">RESPONDED_TO_ROYAL_DISPLEASURE</t>
  </si>
  <si>
    <t xml:space="preserve">aggressive_military_performance</t>
  </si>
  <si>
    <t xml:space="preserve">vol1_s002739_t03_4edd2e2c762b</t>
  </si>
  <si>
    <t xml:space="preserve">ORGANIZED_MILITARY_UNITS</t>
  </si>
  <si>
    <t xml:space="preserve">three_columns</t>
  </si>
  <si>
    <t xml:space="preserve">vol1_s002739_t04_408133738508</t>
  </si>
  <si>
    <t xml:space="preserve">COMMANDED_SPECIALIZED_UNITS</t>
  </si>
  <si>
    <t xml:space="preserve">four_thousand_musketeers</t>
  </si>
  <si>
    <t xml:space="preserve">vol1_s002739_t05_1a116a4c24eb</t>
  </si>
  <si>
    <t xml:space="preserve">DEPLOYED_TACTICAL_MANEUVER</t>
  </si>
  <si>
    <t xml:space="preserve">pincer_flanking_attack</t>
  </si>
  <si>
    <t xml:space="preserve">vol1_s002740</t>
  </si>
  <si>
    <t xml:space="preserve">vol1_s002740_t01_c55e5aa9bfd2</t>
  </si>
  <si>
    <t xml:space="preserve">Minister Maha Sithu</t>
  </si>
  <si>
    <t xml:space="preserve">three columns</t>
  </si>
  <si>
    <t xml:space="preserve">ဝန်ကြီး မဟာစည်သူတို့ စစ်သုံးကြောင်းလည်း ညဉ့်ကပင် ဆင်မြင်း လက်နက် စည်းကြပ်၍ အသင့်နေကြသည်နှင့် ပြောင်း သေနတ်သံ ကြားလျှင် စစ်သုံးကြောင်းဖြန့်၍ အတည်းအတွမရှိ ရွပ်ရွပ်သိသိ တရုတ်တို့တပ်စုကို ဆင်ပါမြင်းပါနင်း၍ ထိုးခုတ်ပစ်ခတ်သည်၊ ထိုအခါ တရုတ်တို့ သွေးလူး၍ ဓားလှံလက်နက်ကိုမျှ သူရဲတော်တို့ လက်တွင် မမြဲနိုင်အောင် ရှိ၏၊ ဥဒည်မင်းသမက် စစ်သူကြီး မြင်းခုံရဲလည်း နောက်ကရိက္ခာပို့ မပေါက်မရောက် ပြတ်လပ် ငတ်မွတ်လှသည်နှင့် တရုတ်တို့ မရေမတွက်နိုင်အောင် သေလေလျှင် အထောက်ထောက် တပ်ခံထား၍ သောင်းတပ် သုံးဆယ်အလုံး ဆုတ်ခွာကြလေ၏။</t>
  </si>
  <si>
    <t xml:space="preserve">Minister Maha Sithu's three columns were also ready from the night before, having organized their elephants, horses, and weapons, and upon hearing the sound of the muskets, they deployed into three columns and, without pause, fiercely trampled the Chinese force with elephants and horses, stabbing and shooting; at that time, the Chinese were covered in blood, and they could not even hold their swords and spears in their hands against the warriors; the Wun-de Prince's son-in-law, the general Myin Khon-ye, because his supplies from the rear had not arrived and they were suffering from severe shortages and hunger, and because countless Chinese had died, retreated with his entire force of thirty thousand regiments.</t>
  </si>
  <si>
    <t xml:space="preserve">vol1_s002740_t02_8c5704249ee0</t>
  </si>
  <si>
    <t xml:space="preserve">Minister Maha Sithu's forces</t>
  </si>
  <si>
    <t xml:space="preserve">vol1_s002740_t03_7640dbf1124d</t>
  </si>
  <si>
    <t xml:space="preserve">SUFFERED_FROM</t>
  </si>
  <si>
    <t xml:space="preserve">logistical failure</t>
  </si>
  <si>
    <t xml:space="preserve">vol1_s002740_t04_423948584b47</t>
  </si>
  <si>
    <t xml:space="preserve">Chinese commander Myinkhonye</t>
  </si>
  <si>
    <t xml:space="preserve">supply shortages</t>
  </si>
  <si>
    <t xml:space="preserve">vol1_s002740_t05_f937ce6f2b04</t>
  </si>
  <si>
    <t xml:space="preserve">RETREATED_WITH</t>
  </si>
  <si>
    <t xml:space="preserve">thirty thousand regiments</t>
  </si>
  <si>
    <t xml:space="preserve">The unit/quantity is misread: သောင်းတပ် သုံးဆယ် denotes thirty ten-thousand-strong formations, not thirty thousand regiments.</t>
  </si>
  <si>
    <t xml:space="preserve">Chinese forces → RETREATED_WITH → thirty ten-thousand-strong formations (as claimed by the chronicle)</t>
  </si>
  <si>
    <t xml:space="preserve">vol1_s003138</t>
  </si>
  <si>
    <t xml:space="preserve">vol1_s003138_t01_1e32084479f6</t>
  </si>
  <si>
    <t xml:space="preserve">ORDERED_CONSTRUCTION_OF</t>
  </si>
  <si>
    <t xml:space="preserve">Palace rafters</t>
  </si>
  <si>
    <t xml:space="preserve">တပေါင်းလပြည့်ကျော် တစ်ဆယ့်ငါးရက် တနင်္ဂနွေနေ့၊ နှစ်ချက်တီးကျော်၊ နှစ်နာရီပါဒ်ပြည့်၊ ကိုးဗီဇနာ၊ လေးပြန်၊ ခရာပြည့်၊ ပြိဿလက်၊ ကံစန်း၊ တိထီတစ်ဆယ့်လေး၊ ဃဋီနှစ်ဆယ့်ရှစ်၊ နက္ခတ် နှစ်ဆယ့်သုံး၊ ဃဋီသုံးဆယ့် နှစ်တွင် နေ့ကျော်သားတို့ကို နန်းတော်ယက်မ စ၍ ထွင်းလုပ်စေသည်။</t>
  </si>
  <si>
    <t xml:space="preserve">On the 15th day of the waning moon of Tabaung, Sunday, past the second stroke of the bell, at two full hours and parts, nine bizana, four pyan, and a full khaya, with Taurus rising, Cancer in the moon, 14 tithi, 28 ghatis, 23 nakshatra, and 32 ghatis, [the King] caused the craftsmen to begin carving the palace rafters.</t>
  </si>
  <si>
    <t xml:space="preserve">vol1_s003138_t02_072c64712beb</t>
  </si>
  <si>
    <t xml:space="preserve">Craftsmen</t>
  </si>
  <si>
    <t xml:space="preserve">PERFORMED_LABOR_FOR</t>
  </si>
  <si>
    <t xml:space="preserve">vol1_s003139</t>
  </si>
  <si>
    <t xml:space="preserve">vol1_s003139_t01_fa7f8f3b903b</t>
  </si>
  <si>
    <t xml:space="preserve">Palace decorative turrets</t>
  </si>
  <si>
    <t xml:space="preserve">တန်ခူးလပြည့်ကျော် ငါးရက်- စနေနေ့ ညဉ့်လေးချက်တီးကျော်၊ ခြောက်နာရီပါဒ်ပြည့်၊ တစ်ဆယ့်သုံးဗီဇနာ၊ နှစ်ပြန်၊ ခရာ ပြည့်၊ ဖုသျှနက္ခတ်တစ်ပါဒ်တည့်တည့်၊ တူလက်၊ မကာရ စန်း၊ လေးဃဋီ၊ နက္ခတ်တစ်ဆယ့်ငါးလုံး၊ ဃဋီငါးဆယ့်တစ်တွင် နေ့ကျော်သားတို့ကို မ စေလျက် နန်းတော် အမွှမ်းတုရင် စ၍ တင်စေသည်။</t>
  </si>
  <si>
    <t xml:space="preserve">On the 5th day of the waning moon of Tagu, Saturday, past the fourth stroke of the night bell, at six full hours and parts, thirteen bizana, two pyan, and a full khaya, with Pushya nakshatra exactly at one part, Libra rising, Capricorn in the moon, four ghatis, 15 nakshatra, and 51 ghatis, [the King] caused the craftsmen to begin raising the palace decorative turrets.</t>
  </si>
  <si>
    <t xml:space="preserve">vol1_s003139_t02_d3b4e53d9650</t>
  </si>
  <si>
    <t xml:space="preserve">vol1_s003140</t>
  </si>
  <si>
    <t xml:space="preserve">vol1_s003140_t01_2d9b002be638</t>
  </si>
  <si>
    <t xml:space="preserve">Watch tower bells</t>
  </si>
  <si>
    <t xml:space="preserve">နယုန်လဆန်းခုနစ်ရက် တနင်္လာနေ့ တစ်ချက်တီးကျော်၊ နာရီပြည့်၊ သုံးပါဒ်၊ ငါးဗီဇနာ၊ သုံးပြန်၊ ခရာပြည့် တွင် နေ့ကျော်သားတို့ကို ဗဟိုရ်စည် ခေါင်းလောင်းများကို စ၍ သွန်းစေလုပ်စေသည်။</t>
  </si>
  <si>
    <t xml:space="preserve">On the 7th day of the waxing moon of Nayon, Monday, past the first stroke of the bell, at a full hour, three parts, five bizana, three pyan, and a full khaya, [the King] caused the craftsmen to begin casting the bells for the watch tower.</t>
  </si>
  <si>
    <t xml:space="preserve">vol1_s003140_t02_b46ef4d211d5</t>
  </si>
  <si>
    <t xml:space="preserve">vol1_s003141</t>
  </si>
  <si>
    <t xml:space="preserve">vol1_s003141_t01_021686807395</t>
  </si>
  <si>
    <t xml:space="preserve">Golden umbrellas</t>
  </si>
  <si>
    <t xml:space="preserve">- သက္ကရာဇ် (၁၁၄၅) တစ်ထောင့်တစ်ရာ့လေးဆယ့်ငါးခု၊ နယုန်လဆန်း ငါးရက် ၊ တနင်္လာနေ့၊ နံနက် လေးချက်တီးကျော်၊ နာရီပြည့်၊ နှစ်ပါဒ်၊ ခုနစ်ဗီဇနာ၊ ပြန်ခရာပြည့်တွင် နေ့ကျော်သားတို့ကို မစေ၍ ပြာသာဒ်တော် ရွှေထီး, ပလ္လင်တော်ရှစ်ရပ်များကို တင်စေသည်၊ စွယ်တော်ကျောင်းပဟိုရ်, အတွင်းစွယ်တော်ကျောင်း၊ ထီးများနှင့် ရွှေနန်းတော် အဆောင်ဆောင် မှန်ကင်းများကိုလည်း တင်စေသည်။</t>
  </si>
  <si>
    <t xml:space="preserve">On the 5th day of the waxing moon of Nayon, 1145 Era, Monday, past the fourth stroke of the morning bell, at a full hour, two parts, seven bizana, and a full pyan-khaya, [the King] caused the craftsmen to raise the golden umbrellas of the spire and the eight royal thrones, and also caused the raising of the tooth relic temple watch tower, the inner tooth relic temple, the umbrellas, and the finials of the various golden palace buildings.</t>
  </si>
  <si>
    <t xml:space="preserve">vol1_s003141_t02_f403f591b2b9</t>
  </si>
  <si>
    <t xml:space="preserve">Eight royal thrones</t>
  </si>
  <si>
    <t xml:space="preserve">vol1_s003141_t03_3f0ca1f8a9a2</t>
  </si>
  <si>
    <t xml:space="preserve">Tooth relic temple watch tower</t>
  </si>
  <si>
    <t xml:space="preserve">vol1_s003141_t04_436263a7b884</t>
  </si>
  <si>
    <t xml:space="preserve">Palace building finials</t>
  </si>
  <si>
    <t xml:space="preserve">vol1_s003142</t>
  </si>
  <si>
    <t xml:space="preserve">vol1_s003142_t01_34d140ba91fd</t>
  </si>
  <si>
    <t xml:space="preserve">ORDERED_FINISHING_OF</t>
  </si>
  <si>
    <t xml:space="preserve">Fifty-five golden palace buildings</t>
  </si>
  <si>
    <t xml:space="preserve">လက်သမား, အထည်လုပ်, ပန်းပုလုပ်, ပန်းပွတ်လုပ်, အလုံးစုံ ပြီးပြေလျှင် မှန်နန်းမဆောင်တော်, ပြာသာဒ် ဆောင်တော်, အနောက်ပွဲတက် ဇေတဝန်ဆောင်တော် စသော ရွှေနန်းတော် ငါးဆယ့်ငါးဆောင်, လွှတ်တော်, ဇေတဝန်ဆောင်တော်, ပြင်စွယ်တော်ကျောင်း, အတွင်းစွယ်တော်ကျောင်းများကို ရွှေပိန်းထည့်တော်မူ၍ ခဲမဖြူ အုတ်ကြွပ်သင့်သည်, အမိုးအင်္ဂတေ သင့်သည်များကို လုပ်စေသည်။</t>
  </si>
  <si>
    <t xml:space="preserve">When the carpenters, lacquerware workers, sculptors, and turners had finished all their work, [the King] caused the fifty-five golden palace buildings, including the Glass Palace, the Spire Palace, and the Western Audience Zetawun Palace, as well as the Council Chamber, the Zetawun Palace, the outer tooth relic temple, and the inner tooth relic temple, to be gilded, and caused the necessary tin tiling and roof plastering to be done.</t>
  </si>
  <si>
    <t xml:space="preserve">vol1_s003142_t02_55faf712b360</t>
  </si>
  <si>
    <t xml:space="preserve">Council Chamber</t>
  </si>
  <si>
    <t xml:space="preserve">vol1_s003142_t03_66674ed8e373</t>
  </si>
  <si>
    <t xml:space="preserve">Tooth relic temples</t>
  </si>
  <si>
    <t xml:space="preserve">vol1_s003142_t04_f854c3f66ddf</t>
  </si>
  <si>
    <t xml:space="preserve">vol1_s003143</t>
  </si>
  <si>
    <t xml:space="preserve">vol1_s003143_t01_a696f00634e2</t>
  </si>
  <si>
    <t xml:space="preserve">ပြ, တံခါး, တိုက်တန်း, တင်းကုပ်များကို လည်း သစ်စေး ဟင်္သပဒါး အမိုးအုတ်ကြွပ်အင်္ဂတေမိုး လုပ်စေသည်။</t>
  </si>
  <si>
    <t xml:space="preserve">[The King] also caused the city walls, gates, barracks, and stables to be finished with wood oil, vermilion, and roof tiling and plastering.</t>
  </si>
  <si>
    <t xml:space="preserve">vol1_s003143_t02_72940d3f2359</t>
  </si>
  <si>
    <t xml:space="preserve">City gates</t>
  </si>
  <si>
    <t xml:space="preserve">vol1_s003143_t03_822020b75ae5</t>
  </si>
  <si>
    <t xml:space="preserve">Barracks</t>
  </si>
  <si>
    <t xml:space="preserve">vol1_s003143_t04_ca88cb6d7c1b</t>
  </si>
  <si>
    <t xml:space="preserve">Stables</t>
  </si>
  <si>
    <t xml:space="preserve">vol1_s003144</t>
  </si>
  <si>
    <t xml:space="preserve">vol1_s003144_t01_f0b8ee4d6414</t>
  </si>
  <si>
    <t xml:space="preserve">MOVED_RELIGIOUS_TEXTS_TO</t>
  </si>
  <si>
    <t xml:space="preserve">ရွှေမြို့တော်, ပြ, တံခါး, ရွှေနန်းတော်, လွှတ်တော်, ရှေ့ရုံး, နောက်ရုံး, ဝင်းရုံး, နာရီ, ပဟိုရ်, တိုက်တန်း, တင်းကုပ်မှစ၍ အလုပ်အဆောင် အလုံးစုံ ပြီးပြေလျှင် သက္ကရာဇ် (၁၁၄၅) တစ်ထောင့်တစ်ရာလေးဆယ့်ငါးခု၊ နယုန်လဆန်းတစ်ဆယ့်နှစ်ရက် ၊ တနင်္လာနေ့ ပိဋကတ်တော်များကို တိုးရုပ်ရွှေဖောင်တော်တွင် တင်တော်မူ၍ ရတနာရွှေဖောင်တော် ရှေ့က ထားတော်မူသည်၊ မင်းအိုဆရာတော် “ဂုဏာဘိအနန္တဓဇ မဟာဓမ္မရာဇာဓိရာဇဂုရု”၊ မန်လည်ဆရာတော် “ဂုဏမုနိန္ဒာဓိပတိပဝရသာမိ မဟာဓမ္မရာဇာဓိရာဇဂုရု”၊ ဆုံထားဆရာတော် “နရိန္ဒာဘိသီရိဓဇ မဟာဓမ္မရာဇာဓိရာဇဂုရု”၊ မင်းရွာဆရာတော် “ဉာဏဇမ္ဗူဒီပ အနန္တဓဇ မဟာဓမ္မရာဇာဓိရာဇဂုရု” ဆရာတော်ကြီး လေးပါးတို့လည်း ပိဋကတ်တင်သည့် ရွှေဖောင်တော်တွင် ပိဋကတ်တော်ကို ကြပ်မ၍ လိုက်တော်မူကြရသည်။</t>
  </si>
  <si>
    <t xml:space="preserve">When all the work on the golden city, walls, gates, golden palace, Council Chamber, front office, back office, gate office, clock tower, watch tower, barracks, and stables was finished, on the 12th day of the waxing moon of Nayon, 1145 Era, Monday, [the King] had the Pitaka scriptures placed on the royal golden barge and kept in front of the royal golden barge, and the four great presiding monks—the Min-o Sayadaw “Gunabhianantadhaja Mahadhammarajadhirajaguru”, the Manle Sayadaw “Gunamunindadhipatipavarasami Mahadhammarajadhirajaguru”, the Sonhtah Sayadaw “Narindabhisiridhaja Mahadhammarajadhirajaguru”, and the Minywa Sayadaw “Nyanajambudipa Anantadhaja Mahadhammarajadhirajaguru”—also had to supervise and follow on the golden barge carrying the Pitaka.</t>
  </si>
  <si>
    <t xml:space="preserve">vol1_s003144_t02_607a44fd7c45</t>
  </si>
  <si>
    <t xml:space="preserve">Min-o Sayadaw</t>
  </si>
  <si>
    <t xml:space="preserve">Pitaka scriptures</t>
  </si>
  <si>
    <t xml:space="preserve">vol1_s003144_t03_a841308428b9</t>
  </si>
  <si>
    <t xml:space="preserve">Manle Sayadaw</t>
  </si>
  <si>
    <t xml:space="preserve">vol1_s003144_t04_4e9ea06800b9</t>
  </si>
  <si>
    <t xml:space="preserve">Sonhtah Sayadaw</t>
  </si>
  <si>
    <t xml:space="preserve">vol1_s003144_t05_46dd208dd33c</t>
  </si>
  <si>
    <t xml:space="preserve">Minywa Sayadaw</t>
  </si>
  <si>
    <t xml:space="preserve">vol1_s003145</t>
  </si>
  <si>
    <t xml:space="preserve">vol1_s003145_t01_a9f020de448c</t>
  </si>
  <si>
    <t xml:space="preserve">Ratanapura-Ava</t>
  </si>
  <si>
    <t xml:space="preserve">ဘဝရှင် မင်းတရားကြီးဘုရားမှာကား-ကရဝိက်ငှက် ပတ္တမြားရှင်ကို ငုံ၍ပျံဟန်၊ ဘုံတစ်ဆယ့်တစ်ဆင့်ရှိသော ရွှေဖောင်တော်ကြီးဝယ် ထီးဖြူ ကနက္ကဒဏ်ဖြန့်၍ အရှင်မိဖုရားခေါင်ကြီးနှင့်တကွ မင်းမိဖုရား, သားတော်, ညီတော်, ဆွေတော်, မျိုးတော်, မှူးတော်, မတ်တော်, ဗိုလ်မှူးတပ်မှူး, သူရဲ သူခက်အပေါင်း ခြံရံလျက် သိကြားမင်း ကျက်သရေ ကဲ့သို့ ရွှေဖောင်တော်, ရွှေလှေတော်, ဆင်လုံးမြင်းရင်း, စစ်အင်္ဂါလေးပါးနှင့် ရေတပ်, ကြည်းတပ် ရေမြေညိတ် မွမ်းလျက် ရတနာပူရ အဝရွှေမြို့ တော်ကသည် အမရပူရ ရွှေမြို့တော်သို့ ပြောင်းချီတော်မူသည်။</t>
  </si>
  <si>
    <t xml:space="preserve">As for the Lord of Life, the Great King, he moved from the golden city of Ratanapura-Ava to the golden city of Amarapura, surrounded by the royal golden barge, royal golden boats, elephants, horses, the four branches of the military, and the navy and army, all adorned, while he himself, like the splendor of Sakra, was on the great golden barge with eleven tiers, shaped like a Karavika bird holding a ruby, with white umbrellas and golden staffs spread, surrounded by the Chief Queen, royal queens, princes, younger brothers, relatives, kinsmen, ministers, officials, commanders, and all the warriors.</t>
  </si>
  <si>
    <t xml:space="preserve">vol1_s003145_t02_4a2357628753</t>
  </si>
  <si>
    <t xml:space="preserve">RELOCATED_CAPITAL_TO</t>
  </si>
  <si>
    <t xml:space="preserve">vol1_s003145_t03_1143dca327c8</t>
  </si>
  <si>
    <t xml:space="preserve">MOBILIZED_STATE_APPARATUS</t>
  </si>
  <si>
    <t xml:space="preserve">Four branches of the military</t>
  </si>
  <si>
    <t xml:space="preserve">vol1_s003145_t04_b076537262cd</t>
  </si>
  <si>
    <t xml:space="preserve">Court officials and relatives</t>
  </si>
  <si>
    <t xml:space="preserve">vol1_s003145_t05_50f2a14d5d2f</t>
  </si>
  <si>
    <t xml:space="preserve">Universal monarch (Sakra)</t>
  </si>
  <si>
    <t xml:space="preserve">vol1_s003146</t>
  </si>
  <si>
    <t xml:space="preserve">vol1_s003146_t01_af3d1897f40d</t>
  </si>
  <si>
    <t xml:space="preserve">ESTABLISHED_RESIDENCE_IN</t>
  </si>
  <si>
    <t xml:space="preserve">Western palace of Amarapura</t>
  </si>
  <si>
    <t xml:space="preserve">အမရပူရ ရွှေမြို့တော်သို့ ရောက်တော်မူလျှင် မြို့ အနောက် ဓာတ်နန်းတွင် စံတော်မူ၍ နယုန်လဆန်း တစ်ဆယ့်သုံးရက် အင်္ဂါနေ့ နံတော်၏ ဂဟပတိအရပ်ဖြစ်သော ဓာတ်နန်းတော် အနောက် မြေခုံပေါ်ထွန်းသည့် ကျွန်းထိပ်ထက် မဟာသင်္ကြန်တော်ကြီး ခေါ်တော်မူပြီးလျှင် နယုန်လပြည့်ကျော်တစ်ရက်J သောကြာနေ့ ရှေ့တပ်, လက်ယာတပ်, လက်ဝဲတပ်, နောက်တပ် စစ်အင်္ဂါလေးပါး ခြံရံလျက် အရှင်မိဖုရားခေါင်ကြီးနှင့် ရွှေဝေါစီးတော်မူ၍ ရွှေမြို့တော်ကို လက်ယာရစ်လှည့်ပြီးလျှင် မြို့ရှေ့မျက်နှာ-ဦးနှိမ်တံခါးက ဝင်တော်မူ၍ နန်းမြို့အတွင်း ကွန်းထောက် နန်းတော်မှာ စံတော်မူပြီးလျှင် နယုန်လပြည့်ကျော်နှစ်ရက်၃ စနေနေ့သို့အဝင် ညဉ့်သုံးချက်တီးကျော် ခြောက်နာရီတွင် သိကြားရေစင် ခံတော်မူသည်။</t>
  </si>
  <si>
    <t xml:space="preserve">Upon arriving at the golden city of Amarapura, he resided in the western palace of the city, and after having the Great Maha Thingyan called on the top of the teak post that rose on the western earth mound of the palace, which was the Gahapati direction of the royal residence, on the 1st day of the waning moon of Nayon, Friday, surrounded by the four branches of the military—the vanguard, right wing, left wing, and rear guard—he rode the golden palanquin with the Chief Queen, circled the golden city clockwise, entered through the front-facing U-hnain gate, resided in the Kun-htauk palace inside the palace city, and received the Sakra holy water at six hours past the third stroke of the night, entering the 2nd day of the waning moon of Nayon, Saturday.</t>
  </si>
  <si>
    <t xml:space="preserve">vol1_s003146_t02_f438ec2d2074</t>
  </si>
  <si>
    <t xml:space="preserve">Great Maha Thingyan</t>
  </si>
  <si>
    <t xml:space="preserve">vol1_s003146_t03_11c21d3a6933</t>
  </si>
  <si>
    <t xml:space="preserve">Circling the city clockwise</t>
  </si>
  <si>
    <t xml:space="preserve">vol1_s003146_t04_8418fb80899f</t>
  </si>
  <si>
    <t xml:space="preserve">Receiving Sakra holy water</t>
  </si>
  <si>
    <t xml:space="preserve">vol1_s003146_t05_665e5a0cc520</t>
  </si>
  <si>
    <t xml:space="preserve">vol2_s000076</t>
  </si>
  <si>
    <t xml:space="preserve">vol2_s000076_t01_b2018b080605</t>
  </si>
  <si>
    <t xml:space="preserve">Maha Thamada Raza</t>
  </si>
  <si>
    <t xml:space="preserve">Converts a rejected conditional possibility into an accomplished tribute offering. The preceding page supplies 'if I offered children'; the king instead refuses and flees.</t>
  </si>
  <si>
    <t xml:space="preserve">Maha Thamada Raza → REJECTED_TRIBUTARY_SUBMISSION_TO → Burmese King</t>
  </si>
  <si>
    <t xml:space="preserve">နောက်နောက် ရခိုင်ပြည်နယ်ကြီးဝယ် စိုးအုပ်သော မဟာသမ္မတရာဇာ မင်းတရားသည် မြန်မာမင်းသို့ သားသမီး ဆက်၍ ကျွန်ခံလေတော့သည်ဟု အစဉ်အဆက် ဥဒါန်းစကား မငုပ်မတိမ် ပြောပရာ ဖြစ်ရစ်လေတော့မည်။</t>
  </si>
  <si>
    <t xml:space="preserve">In the future, it will remain a story told continuously, never to be submerged or lost, that the great ruler Maha Thamada Raza, who governed the great Rakhine State, offered his children to the Burmese King and became a servant.</t>
  </si>
  <si>
    <t xml:space="preserve">vol2_s000077</t>
  </si>
  <si>
    <t xml:space="preserve">vol2_s000077_t01_06d3bfdac817</t>
  </si>
  <si>
    <t xml:space="preserve">Rakhine State</t>
  </si>
  <si>
    <t xml:space="preserve">ရှေးရခိုင်မင်း စောမွန်ကြီးလက်ထက် ရခိုင်ပြည်နယ်ကြီးကို မြန်မာမင်းက လုပ်ကြံလေလျှင် ရခိုင်မင်းစောမွန်ကြီး မရပ်မနေနိုင်ရှိသည့် ကာလလည်း စောမွန်ကြီးသည် ရခိုင်မြို့က ခွာ၍ အနောက်ပြည် ပဆာမြို့သို့ ရှောင်လွှဲနေလေသည်။</t>
  </si>
  <si>
    <t xml:space="preserve">During the time of the ancient Rakhine King Saw Mon Gyi, when the Burmese King attacked the great Rakhine State, at a time when Rakhine King Saw Mon Gyi could not remain, Saw Mon Gyi departed from Rakhine city and took refuge in Pasa city in the western country.</t>
  </si>
  <si>
    <t xml:space="preserve">vol2_s000077_t02_ec99c6fa3cca</t>
  </si>
  <si>
    <t xml:space="preserve">Saw Mon Gyi</t>
  </si>
  <si>
    <t xml:space="preserve">Rakhine City</t>
  </si>
  <si>
    <t xml:space="preserve">vol2_s000077_t03_1fb1e3aeedf2</t>
  </si>
  <si>
    <t xml:space="preserve">Pasa City</t>
  </si>
  <si>
    <t xml:space="preserve">vol2_s000078</t>
  </si>
  <si>
    <t xml:space="preserve">vol2_s000078_t01_429dfe5cba93</t>
  </si>
  <si>
    <t xml:space="preserve">Rakhine political custom</t>
  </si>
  <si>
    <t xml:space="preserve">MANDATED_EXILE_DURATION_OF</t>
  </si>
  <si>
    <t xml:space="preserve">12_years</t>
  </si>
  <si>
    <t xml:space="preserve">Invents a prescribed twelve-year exile. The Burmese recounts Saw Mon Gyi's historical return after twelve years as a precedent, not a rule mandating that duration.</t>
  </si>
  <si>
    <t xml:space="preserve">Saw Mon Gyi → RESUMED_RULE_AFTER_TWELVE_YEARS → Rakhine</t>
  </si>
  <si>
    <t xml:space="preserve">နောက်တစ်ဆယ့်နှစ်နှစ်ရှိမှ ရခိုင်ပြည်နယ်သို့ ပြန်၍ မင်းပြုမြဲ ပြုပြန်လေသည့် ထုံးစံရှိသည်။</t>
  </si>
  <si>
    <t xml:space="preserve">There was a custom that only after twelve years would he return to the Rakhine State and resume his rule as king.</t>
  </si>
  <si>
    <t xml:space="preserve">vol2_s000079</t>
  </si>
  <si>
    <t xml:space="preserve">vol2_s000079_t01_c5f095919d4e</t>
  </si>
  <si>
    <t xml:space="preserve">PLANNED_STRATEGIC_RETREAT_TO</t>
  </si>
  <si>
    <t xml:space="preserve">Refuge_location</t>
  </si>
  <si>
    <t xml:space="preserve">ငါလည်း ယခုအခိုက်အတံ့ကို သင့်ရာအရပ်သို့ ရှောင်လွှဲနေမည်။</t>
  </si>
  <si>
    <t xml:space="preserve">I, too, will take refuge in a suitable place for the time being.</t>
  </si>
  <si>
    <t xml:space="preserve">vol2_s000080</t>
  </si>
  <si>
    <t xml:space="preserve">vol2_s000080_t01_e62ff0b324be</t>
  </si>
  <si>
    <t xml:space="preserve">Kun-chaung Kyun-tha-yar</t>
  </si>
  <si>
    <t xml:space="preserve">ငါတို့မြို့ကို မြေနှင့်တကွ မြန်မာမင်းသား ယူသွားနိုင်မည် မဟုတ်ဟု ဆိုပြီးလျှင် ရခိုင်မင်း မဟာသမ္မတရာဇာ ညဉ့်သန်းခေါင်ကျော်အချိန်ကို ရှင်မိဖုရားခေါင်ကြီး၊ မြောက်နန်းမိဖုရား၊ တောင်ဆောင်မိဖုရား၊ သမီးတော် မှောက်တော်ကြီး၊ သမီးတော် မှောက်တော်လတ်၊ သားတော် မောင်ဝက်တောင်း၊ မောင်ရဲဘော်၊ ကိုယ်လုပ် မောင်းမခုနစ်ဆယ်ကျော်၊ ယောက်ျားသင်းပင်း သုံးဆယ်ကျော်များနှင့် မြို့ တောင်တံခါးကသည် မြို့ကြီး အနောက် တံခါးသို့ ထွက်ပြီးလျှင် မြို့အနောက် ပါးပူတောင်ဆိပ်က လှေနှင့် ထွက်သွား၍ ရခိုင်မြို့ တောင် နှစ်ရက်ခရီးကွာ ကွန်းချောင်းကျွန်းသာယာမှာ ရှောင်လွှဲနေလေ၏။</t>
  </si>
  <si>
    <t xml:space="preserve">Saying that the Burmese prince would not be able to take our city along with its land, the Rakhine King Maha Thamada Raza, past midnight, departed with the Chief Queen, the Northern Palace Queen, the Southern Palace Queen, the eldest princess, the middle princess, the prince Maung Wet Taung, Maung Ye Baw, over seventy ladies-in-waiting, and over thirty male attendants, exiting from the city's southern gate to the great city's western gate, and then departed by boat from the Pa-bu landing on the western side of the city, taking refuge in Kun-chaung Kyun-tha-yar, two days' journey south of Rakhine city.</t>
  </si>
  <si>
    <t xml:space="preserve">vol2_s000081</t>
  </si>
  <si>
    <t xml:space="preserve">vol2_s000081_t01_d1f4de4c7645</t>
  </si>
  <si>
    <t xml:space="preserve">Prince Maha Uparaja</t>
  </si>
  <si>
    <t xml:space="preserve">သားတော် မဟာဥပရာဇာလည်း ရခိုင်မင်း မဟာသမ္မတရာဇာ သားမယား အခြွေအရံ စုံရာနှင့် ညဉ့် သန်းခေါင်ကျော်အချိန်ကပင် ဘုန်းတော်ရှိန်ကို မခံဝံ့၍ ရှောင်ရှားထွက်ပြေးကြောင်းကို သိတော်မူလေလျှင် သက္ကရာဇ် (၁၁၄၆) တစ်ထောင့်တစ်ရာ့လေးဆယ့်ခြောက်ခု ပြာသိုလပြည့်ကျော် ရှစ်ရက် တနင်္ဂနွေနေ့ ရခိုင်တစ်မြို့လုံးကို သိမ်းယူတော်မူ၍ ထီးစည် မှန်ကင်းများကို ချလှည်း သိမ်းရပ်တော်မူသည်။</t>
  </si>
  <si>
    <t xml:space="preserve">When the Prince Maha Uparaja learned that the Rakhine King Maha Thamada Raza had fled to take refuge, unable to withstand the royal power, along with his wife, children, and full entourage since past midnight, he seized the entire city of Rakhine on Sunday, the eighth day after the full moon of Pyatho, in the year 1146, and had the royal drums and spires taken down and confiscated.</t>
  </si>
  <si>
    <t xml:space="preserve">vol2_s000081_t02_9696ed198d72</t>
  </si>
  <si>
    <t xml:space="preserve">CONFISCATED_SYMBOLS_OF_SOVEREIGNTY</t>
  </si>
  <si>
    <t xml:space="preserve">Royal drums and spires</t>
  </si>
  <si>
    <t xml:space="preserve">vol2_s000082</t>
  </si>
  <si>
    <t xml:space="preserve">vol2_s000082_t01_d5f286c5c9b2</t>
  </si>
  <si>
    <t xml:space="preserve">REPORTED_CONQUEST_TO</t>
  </si>
  <si>
    <t xml:space="preserve">ခမည်းတော်ဘုရား ခြေတော်ရင်းသို့လည်း ရခိုင်ပြည်နယ်အလုံးကို အလိုတော်ပြည့်ကြောင်းနှင့် ရွှေတောင်သိင်္ခကျော်ထင်ကို အလျှောက်အထား စေလွှတ်တော် မူသည်။</t>
  </si>
  <si>
    <t xml:space="preserve">He also sent Shwe Taung Thinkha Kyaw Htin to report to the feet of his royal father that the entire Rakhine State had been brought under his command.</t>
  </si>
  <si>
    <t xml:space="preserve">vol2_s000083</t>
  </si>
  <si>
    <t xml:space="preserve">vol2_s000083_t01_d1972eacd176</t>
  </si>
  <si>
    <t xml:space="preserve">ORDERED_MILITARY_SEARCH_FOR</t>
  </si>
  <si>
    <t xml:space="preserve">ရခိုင်ရှင်ဘုရင် မဟာသမ္မတရာဇာ ထွက်ရှောင်လေသည်ကိုလည်း ရေကြောင်း ကြည်းကြောင်း အနှံ့အစပ် တပ်ခန့်၍ ရှာဖွေ ဖမ်းဆီးစေပြီးလျှင် မဟာမုနိ ဘုရားသခင်ကို နေပြည်တော်သို့ ပင့်ဆောင်မည် အစီအရင်ကို ကြံတော်မူ၍ စက်တော်ခေါ်စဉ် အိပ်မက်တော် မြင်တော်မူသည်ကား...သားတော် မဟာဥပရာဇာ မဟာမုနိဘုရား . သခင် အထံတော်သို့ ကြွတော်မူ၍ ဖူးမြော်ပူဇော်တော်မူသည်တွင် မဟာမုနိဘုရားသခင် အရှေ့သို့ မျက်နှာလှည့်၍ စကားပြောတော်မူသည်ဟု အိပ်မက်တော်ထင်တော်မူသည်။</t>
  </si>
  <si>
    <t xml:space="preserve">Regarding the fact that the Rakhine King Maha Thamada Raza had fled, he arranged for troops to search and capture him by both water and land, and while planning to transport the Lord Maha Muni Buddha to the capital, he had a dream while sleeping: he dreamed that his son, Prince Maha Uparaja, went to the presence of the Lord Maha Muni Buddha to pay homage, and the Lord Maha Muni Buddha turned his face to the east and spoke.</t>
  </si>
  <si>
    <t xml:space="preserve">vol2_s000083_t02_6565a9a62749</t>
  </si>
  <si>
    <t xml:space="preserve">PLANNED_RELOCATION_OF</t>
  </si>
  <si>
    <t xml:space="preserve">Mahamuni Buddha</t>
  </si>
  <si>
    <t xml:space="preserve">vol2_s000084</t>
  </si>
  <si>
    <t xml:space="preserve">vol2_s000084_t01_1f1d7fead452</t>
  </si>
  <si>
    <t xml:space="preserve">INITIATED_RITUAL_APPROPRIATION_OF</t>
  </si>
  <si>
    <t xml:space="preserve">မိုးသောက်လျှင် မဟာမုနိ ဘုရားသခင်ကို ငါပင့်ဆောင် လျှင် လိုက်တော်မူမည့်အကြောင်းကို အိပ်မက်တော်မူသည်ဟု ဗိုလ်မှူးတပ်မှူးတို့ အလယ်၌ အမိန့်တော်ရှိပြီးလျှင် ပြာသိုလပြည့်ကျော် ဆယ်ရက်- အင်္ဂါနေ့ သားတော် မဟာဥပရာဇာ ကိုယ်တော်တိုင် မဟာမုနိဘုရားရှင့် ထံတော်သို့ ကြွတော်မူသည်။</t>
  </si>
  <si>
    <t xml:space="preserve">Upon waking, he announced to the commanders and officers that he had dreamed that if he were to transport the Lord Maha Muni Buddha, he would follow, and on Tuesday, the tenth day after the full moon of Pyatho, the Prince Maha Uparaja himself went to the presence of the Lord Maha Muni Buddha.</t>
  </si>
  <si>
    <t xml:space="preserve">vol2_s000085</t>
  </si>
  <si>
    <t xml:space="preserve">vol2_s000085_t01_98140a3e1a55</t>
  </si>
  <si>
    <t xml:space="preserve">PERFORMED_RITUAL_HOMAGE_TO</t>
  </si>
  <si>
    <t xml:space="preserve">ကျောင်းတော်နှင့် တစ်တိုင်ကျော်ကွာ ဇီးချောင်း အရပ်တွင် ဖောင်တော်ခံစေ၍ စက်ယန္တရား စီရင်တော်မူပြီးမှ ရွှေပန်းခိုင် ငွေပန်းခိုင်, ရွှေတန်ဆောင် ငွေတန်ဆောင်, ရွှေပေါက်ပေါက် ငွေပေါက်ပေါက်တို့ဖြင့် ရိုသေစွာ လက်ယာရစ်သုံးပတ် လှည့်တော်မူ၍ ပူဇော်တော်မူပြီးလျှင် ပင့်ဆောင်တော်မူသည်။</t>
  </si>
  <si>
    <t xml:space="preserve">He had a royal raft prepared at the Zee Chaung area, more than a taing away from the temple, and after performing the mechanical arrangements, he respectfully circled three times to the right with gold flower clusters, silver flower clusters, gold umbrellas, silver umbrellas, and gold and silver popped rice to offer worship before transporting him.</t>
  </si>
  <si>
    <t xml:space="preserve">vol2_s000086</t>
  </si>
  <si>
    <t xml:space="preserve">vol2_s000086_t01_fb3c0135595c</t>
  </si>
  <si>
    <t xml:space="preserve">TRANSPORTED</t>
  </si>
  <si>
    <t xml:space="preserve">ကျောင်းတော်ကသည် ဖောင်တော်သို့ မဟာမုနိဘုရားသခင် ရောက်တော်မူ၍ ရေကြောင်း ကိုယ်တော်တိုင် ပင့်ဆောင်တော်မူခဲ့သည်။</t>
  </si>
  <si>
    <t xml:space="preserve">The Lord Maha Muni Buddha arrived at the royal raft from the temple, and he personally transported him by water.</t>
  </si>
  <si>
    <t xml:space="preserve">vol2_s000087</t>
  </si>
  <si>
    <t xml:space="preserve">vol2_s000087_t01_2cf010c557e8</t>
  </si>
  <si>
    <t xml:space="preserve">Po-chi Island</t>
  </si>
  <si>
    <t xml:space="preserve">တပို့တွဲလဆန်း ဆယ်ရက်၃ ဗုဒ္ဓဟူးနေ့ ပိုးချည်ကျွန်း တပ်တော်ဆိပ်သို့ မဟာမုနိဘုရားသခင် ဆိုက်ရောက်တော်မူ၏။</t>
  </si>
  <si>
    <t xml:space="preserve">On Wednesday, the tenth day of the waxing moon of Tabodwe, the Lord Maha Muni Buddha arrived at the royal landing of Po-chi Island.</t>
  </si>
  <si>
    <t xml:space="preserve">vol2_s000088</t>
  </si>
  <si>
    <t xml:space="preserve">vol2_s000088_t01_662576bf4116</t>
  </si>
  <si>
    <t xml:space="preserve">Akkaphat cavalry commanders</t>
  </si>
  <si>
    <t xml:space="preserve">Rakhine King Maha Thamada Raza</t>
  </si>
  <si>
    <t xml:space="preserve">ရခိုင်ဘုရင် မဟာသမ္မတရာဇာ မြို့က ထွက်ခွာ၍ ကွန်းချောင်းကျွန်းသာယာမှာ ရှောင်ရှား၍နေသည်ကို လည်း အက္ကပတ်မြင်းတပ်မှူး စက္ကစန္ဒရာကျော်, စက္က သူရဲကျော်သူ, သမနစန္ဒတို့ တပ်မှူးသုံးဦး ဖမ်းမိ၍ ရခိုင် ဘုရင်နှင့် မိဖုရား သားသမီး အခြွေအရံတို့ကို ဗိုလ်မှူး အက္ကပတ်မြင်းဝန် နေမျိုးကျော်ထင်စည်သူ သိမ်းရုံးခဲ့၍ တပို့တွဲလဆန်း တစ်ဆယ့်တစ်ရက်နေ့ သားတော် မဟာဥပရာဇာ ခြေရင်းတော်သို့ ဆက်လှာ၏။</t>
  </si>
  <si>
    <t xml:space="preserve">As for the Rakhine King Maha Thamada Raza having departed from the city and taking refuge in Kun-chaung Kyun-tha-yar, the three commanders—the Akkaphat cavalry commander Sekka Sandra Kyaw, Sekka Thu-ye Kyaw Thu, and Thamana Sandra—captured him, and the commander Akkaphat cavalry minister Nemyo Kyaw Htin Sithu rounded up the Rakhine King, his queen, children, and entourage, and on the eleventh day of the waxing moon of Tabodwe, presented them to the feet of the Prince Maha Uparaja.</t>
  </si>
  <si>
    <t xml:space="preserve">vol2_s000088_t02_3f104da8073b</t>
  </si>
  <si>
    <t xml:space="preserve">Akkaphat cavalry minister Nemyo Kyaw Htin Sithu</t>
  </si>
  <si>
    <t xml:space="preserve">ROUNDED_UP</t>
  </si>
  <si>
    <t xml:space="preserve">Rakhine royal family and entourage</t>
  </si>
  <si>
    <t xml:space="preserve">vol2_s000088_t03_134cfff734cc</t>
  </si>
  <si>
    <t xml:space="preserve">PRESENTED_CAPTIVES_TO</t>
  </si>
  <si>
    <t xml:space="preserve">vol2_s000100</t>
  </si>
  <si>
    <t xml:space="preserve">vol2_s000100_t01_85232ebc2e79</t>
  </si>
  <si>
    <t xml:space="preserve">ogre_Pakkhiti</t>
  </si>
  <si>
    <t xml:space="preserve">PREYED_UPON</t>
  </si>
  <si>
    <t xml:space="preserve">ferry_passengers</t>
  </si>
  <si>
    <t xml:space="preserve">ညီပက္ခတိမှာ မြစ်က ကူးတို့ပို့ အဟန်ဆောင်၍ ကူးတို့စီးတို့ကို စားသည်။</t>
  </si>
  <si>
    <t xml:space="preserve">The younger brother Pakkhiti pretends to be a ferryman at the river and eats those who ride the ferry.</t>
  </si>
  <si>
    <t xml:space="preserve">vol2_s000101</t>
  </si>
  <si>
    <t xml:space="preserve">vol2_s000101_t01_c561e106e395</t>
  </si>
  <si>
    <t xml:space="preserve">ogre_Rakkhaing</t>
  </si>
  <si>
    <t xml:space="preserve">forest_travelers</t>
  </si>
  <si>
    <t xml:space="preserve">ညီ ငရက္ခိုင်မှာ တောတစ်ခုက နေ၍ အထွက်အဝင် လူတို့ကို စားသည်။</t>
  </si>
  <si>
    <t xml:space="preserve">The younger brother Rakkhaing lives in a forest and eats people who go in and out.</t>
  </si>
  <si>
    <t xml:space="preserve">vol2_s000102</t>
  </si>
  <si>
    <t xml:space="preserve">vol2_s000102_t01_a5c137cd044f</t>
  </si>
  <si>
    <t xml:space="preserve">ogre_Rayapu</t>
  </si>
  <si>
    <t xml:space="preserve">ညီငရာပုမှာ တောင်တစ်ခုက လူအယောင်ဆောင်၍ ပြပြီးလျှင် လာသမျှ လူတို့ကို စားသည်။</t>
  </si>
  <si>
    <t xml:space="preserve">The younger brother Rayapu lives on a mountain, shows himself by disguising as a human, and then eats all the people who come.</t>
  </si>
  <si>
    <t xml:space="preserve">vol2_s000103</t>
  </si>
  <si>
    <t xml:space="preserve">vol2_s000103_t01_0b0161a4111a</t>
  </si>
  <si>
    <t xml:space="preserve">ogres_Ngapi_and_Ngalat</t>
  </si>
  <si>
    <t xml:space="preserve">ညီ ငပိ, ငလကျုပ်တို့မှာ တောင်တစ်ခုကနေ၍ တောသွား တောလာ လူငှက် တိရစ္ဆာန်တို့ကို စားသည်။</t>
  </si>
  <si>
    <t xml:space="preserve">The younger brothers Ngapi and Ngalat live on a mountain and eat forest-goers, travelers, humans, birds, and animals.</t>
  </si>
  <si>
    <t xml:space="preserve">vol2_s000104</t>
  </si>
  <si>
    <t xml:space="preserve">vol2_s000104_t01_16085a3da37f</t>
  </si>
  <si>
    <t xml:space="preserve">ogre_Rakkhini</t>
  </si>
  <si>
    <t xml:space="preserve">water_users</t>
  </si>
  <si>
    <t xml:space="preserve">နှမ ရက္ခိဏီမှာ ရေကန်တစ်ခုက ရေချိုး ရေခပ်တို့ကို စားသည်။</t>
  </si>
  <si>
    <t xml:space="preserve">The younger sister Rakkhini lives at a pond and eats those who bathe and draw water.</t>
  </si>
  <si>
    <t xml:space="preserve">vol2_s000105</t>
  </si>
  <si>
    <t xml:space="preserve">vol2_s000105_t01_e39771d4906f</t>
  </si>
  <si>
    <t xml:space="preserve">city_population</t>
  </si>
  <si>
    <t xml:space="preserve">SUFFERED_CONFINEMENT_DUE_TO</t>
  </si>
  <si>
    <t xml:space="preserve">ogre_predation</t>
  </si>
  <si>
    <t xml:space="preserve">မြို့တွင်းက မြို့ပြင်သို့ မထွက်ဝံ့။</t>
  </si>
  <si>
    <t xml:space="preserve">[They] dare not go out from inside the city to outside the city.</t>
  </si>
  <si>
    <t xml:space="preserve">vol2_s000106</t>
  </si>
  <si>
    <t xml:space="preserve">vol2_s000106_t01_177dd5adb1c3</t>
  </si>
  <si>
    <t xml:space="preserve">ogres</t>
  </si>
  <si>
    <t xml:space="preserve">BREACHED</t>
  </si>
  <si>
    <t xml:space="preserve">city_security</t>
  </si>
  <si>
    <t xml:space="preserve">မစားရလျှင် မြို့တွင်းသို့ ဝင်၍ စားသည်။</t>
  </si>
  <si>
    <t xml:space="preserve">If [they] cannot eat, [they] enter the city and eat.</t>
  </si>
  <si>
    <t xml:space="preserve">vol2_s000107</t>
  </si>
  <si>
    <t xml:space="preserve">vol2_s000107_t01_8abca0251483</t>
  </si>
  <si>
    <t xml:space="preserve">queen_and_princess_Rucitamala</t>
  </si>
  <si>
    <t xml:space="preserve">SURVIVED</t>
  </si>
  <si>
    <t xml:space="preserve">မိဖုရားနှင့် မင်းသမီး ရုစိတမာလာသာ ကျန်သည်။</t>
  </si>
  <si>
    <t xml:space="preserve">Only the queen and the princess Rucitamala remain.</t>
  </si>
  <si>
    <t xml:space="preserve">vol2_s000108</t>
  </si>
  <si>
    <t xml:space="preserve">vol2_s000108_t01_f39363a21a51</t>
  </si>
  <si>
    <t xml:space="preserve">King_Arjuna</t>
  </si>
  <si>
    <t xml:space="preserve">DELEGATED_AUTHORITY_TO</t>
  </si>
  <si>
    <t xml:space="preserve">son_Dhammasena</t>
  </si>
  <si>
    <t xml:space="preserve">ကပိလဝတ်ပြည်ကို အစိုးရသော အဇ္ဇုနမင်းကြီးသည် တိုင်းပြည်ကို သား ဓမ္မသေနသို့ နှင်းအပ်၍ တော ထွက်သည်နှင့် ဂစ္ဆပနဒီမြစ်ညာ ညောင်ပင်ကြီးရင်း၌ ရသေ့ပြု၍နေသည်။</t>
  </si>
  <si>
    <t xml:space="preserve">King Arjuna, who ruled the kingdom of Kapilavatthu, entrusted the country to his son Dhammasena and, upon leaving for the forest, became a hermit at the base of a large banyan tree at the headwaters of the Gassapanadi River.</t>
  </si>
  <si>
    <t xml:space="preserve">vol2_s000108_t02_8211bdb0d31d</t>
  </si>
  <si>
    <t xml:space="preserve">ABANDONED_POLITICAL_OFFICE_FOR</t>
  </si>
  <si>
    <t xml:space="preserve">hermit_life</t>
  </si>
  <si>
    <t xml:space="preserve">vol2_s000109</t>
  </si>
  <si>
    <t xml:space="preserve">vol2_s000109_t01_011af8b9d268</t>
  </si>
  <si>
    <t xml:space="preserve">tree_spirit</t>
  </si>
  <si>
    <t xml:space="preserve">SERVED</t>
  </si>
  <si>
    <t xml:space="preserve">hermit_Arjuna</t>
  </si>
  <si>
    <t xml:space="preserve">အကျင့်သီလ တန်ခိုးကြောင့် ညောင်ပင် စောင့် ရုက္ခစိုးက မျောက်ယောင်ဆောင်၍ တောတောင်ရှိသည့် မျောက်အပေါင်းကို နှိုးဆော်လျှင် မျောက်အများ သစ်သီးဝလံ ဆွတ်ယူလုပ်ကျွေးသည်။</t>
  </si>
  <si>
    <t xml:space="preserve">Because of the power of his moral conduct, the tree spirit guarding the banyan tree disguised itself as a monkey and summoned all the monkeys in the forest and mountains, and many monkeys picked fruits and served [him].</t>
  </si>
  <si>
    <t xml:space="preserve">vol2_s000110</t>
  </si>
  <si>
    <t xml:space="preserve">vol2_s000110_t01_a4bca54a78f4</t>
  </si>
  <si>
    <t xml:space="preserve">doe</t>
  </si>
  <si>
    <t xml:space="preserve">BECAME_PARTNER_OF</t>
  </si>
  <si>
    <t xml:space="preserve">ဆတ်ယောင်ဆောင်၍ ဆတ်အပေါင်းတို့ကို နှိုးဆော်လျှင် ဆတ်အများ လုပ်ကျွေးသည်တွင် အဇ္ဇုနရသေ့နှင့် ရှေးဘဝက လင်မယားဖြစ်ခဲ့ဖူးသော ဆတ်မတစ်ခုသည် ပါလာ၍ အိမ်ထောင် ဘက် ဖြစ်ကြရာ ပဋိသန္ဓေအရင့်အမာနှင့် လေကြီးမိုးကြီးလာ၍ ဂစ္ဆပနဒီမြစ်သို့ မျောသည်။</t>
  </si>
  <si>
    <t xml:space="preserve">[The spirit] disguised itself as a deer and summoned all the deer, and while many deer were serving [him], a doe that had been the wife of the hermit Arjuna in a previous life came along and they became life partners; [she] was heavily pregnant when a great storm and rain came, and [she] drifted to the Gassapanadi River.</t>
  </si>
  <si>
    <t xml:space="preserve">vol2_s000111</t>
  </si>
  <si>
    <t xml:space="preserve">vol2_s000111_t01_ab1ae023b3a6</t>
  </si>
  <si>
    <t xml:space="preserve">human_child</t>
  </si>
  <si>
    <t xml:space="preserve">ကြိမ်ပိုက်တော၌ တင်၍ ဆတ်မက လူငယ် ဖွားသည်။</t>
  </si>
  <si>
    <t xml:space="preserve">[She] landed in a rattan thicket and the doe gave birth to a human child.</t>
  </si>
  <si>
    <t xml:space="preserve">vol2_s000112</t>
  </si>
  <si>
    <t xml:space="preserve">vol2_s000112_t01_0914f69935d3</t>
  </si>
  <si>
    <t xml:space="preserve">MANIFESTED</t>
  </si>
  <si>
    <t xml:space="preserve">divine_aura</t>
  </si>
  <si>
    <t xml:space="preserve">အရပ်ထက်ဝန်းကျင် ခုနစ်တောင်ခန့် မီးအလျှံကဲ့သို့ ဝင်းသည်။</t>
  </si>
  <si>
    <t xml:space="preserve">The area around [the child] for about seven cubits shone like a flame of fire.</t>
  </si>
  <si>
    <t xml:space="preserve">vol2_s000113</t>
  </si>
  <si>
    <t xml:space="preserve">vol2_s000113_t01_9eed43c18a86</t>
  </si>
  <si>
    <t xml:space="preserve">hunter_Thingyi_Aungla</t>
  </si>
  <si>
    <t xml:space="preserve">RESCUED</t>
  </si>
  <si>
    <t xml:space="preserve">မူဆိုးသင်ကြီးအောင်လာ တောလှည့်ရာ ခွေးတွေ့၍ ဟောင်လျှင် သင်ကြီးအောင်လာ သူငယ်ကို ကောင်းမွန်စွာ ဆောင်ယူသွားသည်။</t>
  </si>
  <si>
    <t xml:space="preserve">When the hunter Thingyi Aungla was roaming the forest and his dog found [the child] and barked, Thingyi Aungla took the child away safely.</t>
  </si>
  <si>
    <t xml:space="preserve">vol2_s000114</t>
  </si>
  <si>
    <t xml:space="preserve">vol2_s000114_t01_c730fb5fef7a</t>
  </si>
  <si>
    <t xml:space="preserve">LEGITIMIZED</t>
  </si>
  <si>
    <t xml:space="preserve">မြို့နေ လူမျိုးအပေါင်းတို့ ချီးမြှင့်ကိုးကွယ်ကြသည်။</t>
  </si>
  <si>
    <t xml:space="preserve">All the people living in the city honored and worshipped [him].</t>
  </si>
  <si>
    <t xml:space="preserve">vol2_s000115</t>
  </si>
  <si>
    <t xml:space="preserve">vol2_s000115_t01_1d2601a99eb3</t>
  </si>
  <si>
    <t xml:space="preserve">CROWNED</t>
  </si>
  <si>
    <t xml:space="preserve">human_child_as_king</t>
  </si>
  <si>
    <t xml:space="preserve">အတန်ကြီးသည့်ကာလ မင်းမြှောက်သည်။</t>
  </si>
  <si>
    <t xml:space="preserve">When [he] was of age, [they] crowned [him] king.</t>
  </si>
  <si>
    <t xml:space="preserve">vol2_s000116</t>
  </si>
  <si>
    <t xml:space="preserve">vol2_s000116_t01_8e542914eaf5</t>
  </si>
  <si>
    <t xml:space="preserve">PAID_TRIBUTE_TO</t>
  </si>
  <si>
    <t xml:space="preserve">new_king</t>
  </si>
  <si>
    <t xml:space="preserve">အခွန်ဘဏ္ဍာ ဆက်သည်။</t>
  </si>
  <si>
    <t xml:space="preserve">[They] paid taxes and tribute.</t>
  </si>
  <si>
    <t xml:space="preserve">vol2_s000117</t>
  </si>
  <si>
    <t xml:space="preserve">vol2_s000117_t01_bcab9ec74a98</t>
  </si>
  <si>
    <t xml:space="preserve">MARRIED</t>
  </si>
  <si>
    <t xml:space="preserve">daughter_of_Thingyi_Aungla</t>
  </si>
  <si>
    <t xml:space="preserve">သင်ကြီးအောင်လာ သမီးနှင့် ပေးစားသည်။</t>
  </si>
  <si>
    <t xml:space="preserve">[He] was given Thingyi Aungla's daughter in marriage.</t>
  </si>
  <si>
    <t xml:space="preserve">vol2_s000118</t>
  </si>
  <si>
    <t xml:space="preserve">vol2_s000118_t01_c188fc0df371</t>
  </si>
  <si>
    <t xml:space="preserve">Sakka</t>
  </si>
  <si>
    <t xml:space="preserve">BESTOWED_WEAPONS_UPON</t>
  </si>
  <si>
    <t xml:space="preserve">သိကြားပေး လက်နက်ငါးပါး ရသည်။</t>
  </si>
  <si>
    <t xml:space="preserve">[He] received the five weapons given by Sakka.</t>
  </si>
  <si>
    <t xml:space="preserve">vol2_s000119</t>
  </si>
  <si>
    <t xml:space="preserve">vol2_s000119_t01_46f0c058b73c</t>
  </si>
  <si>
    <t xml:space="preserve">ELIMINATED</t>
  </si>
  <si>
    <t xml:space="preserve">ogre_threat</t>
  </si>
  <si>
    <t xml:space="preserve">ဝေသာလီမြို့မှာ ဘီလူးငဆဒ္ဒန်, ငရက္ခိုင်တို့ ညီအစ်ကိုတစ်စုတို့ကို သတ်၍ မင်းပြုသောကြောင့် ရခိုင်ပြည်နယ် အစတွင်သည်။</t>
  </si>
  <si>
    <t xml:space="preserve">In the city of Vesali, because [he] killed the group of brothers, the ogres Ngasaddan and Ngarakkhaing, and became king, [this] is the beginning of the Rakhine region.</t>
  </si>
  <si>
    <t xml:space="preserve">vol2_s000119_t02_f9b69b2e2eeb</t>
  </si>
  <si>
    <t xml:space="preserve">ESTABLISHED</t>
  </si>
  <si>
    <t xml:space="preserve">Rakhine_region</t>
  </si>
  <si>
    <t xml:space="preserve">vol2_s000120</t>
  </si>
  <si>
    <t xml:space="preserve">vol2_s000120_t01_dba9ad4c40db</t>
  </si>
  <si>
    <t xml:space="preserve">LOCATED</t>
  </si>
  <si>
    <t xml:space="preserve">royal_descendants</t>
  </si>
  <si>
    <t xml:space="preserve">ဝေသာလီမြို့မှာ မင်းဆွေမင်းမျိုးကို ရှာလျှင် မိဖုရားနှင့် သမီးတော် ရုစိတမာလာကို တွေ့သည်။</t>
  </si>
  <si>
    <t xml:space="preserve">When searching for royal descendants in the city of Vesali, [they] found the queen and the princess Rucitamala.</t>
  </si>
  <si>
    <t xml:space="preserve">vol2_s000121</t>
  </si>
  <si>
    <t xml:space="preserve">vol2_s000121_t01_127b82634561</t>
  </si>
  <si>
    <t xml:space="preserve">princess_Rucitamala</t>
  </si>
  <si>
    <t xml:space="preserve">ရုစိတမာလာကို မိဖုရားမြှောက်၍ မင်းပြုသည်။</t>
  </si>
  <si>
    <t xml:space="preserve">[They] raised Rucitamala to be queen and [he] became king.</t>
  </si>
  <si>
    <t xml:space="preserve">vol2_s000121_t02_34f2b7cda5f3</t>
  </si>
  <si>
    <t xml:space="preserve">BECAME</t>
  </si>
  <si>
    <t xml:space="preserve">queen</t>
  </si>
  <si>
    <t xml:space="preserve">vol2_s000122</t>
  </si>
  <si>
    <t xml:space="preserve">vol2_s000122_t01_67e29293d6ad</t>
  </si>
  <si>
    <t xml:space="preserve">King_Mayaru</t>
  </si>
  <si>
    <t xml:space="preserve">city_of_Dhanyawadi</t>
  </si>
  <si>
    <t xml:space="preserve">သား 2 - ဝေသာလီမြို့သည် ဘီလူးတို့ ဖျက်ဆီးသည်ဖြစ်၍ ဓညဝတီမြို့ကို ဆတ်မသား မာယာရုမင်း အစတည် ထောင်၍ မင်းပြုသည်။</t>
  </si>
  <si>
    <t xml:space="preserve">Son 2 - Because the city of Vesali was destroyed by ogres, the doe-born King Mayaru founded the city of Dhannavati and became king.</t>
  </si>
  <si>
    <t xml:space="preserve">vol2_s000123</t>
  </si>
  <si>
    <t xml:space="preserve">vol2_s000123_t01_712111695a66</t>
  </si>
  <si>
    <t xml:space="preserve">Chronicle</t>
  </si>
  <si>
    <t xml:space="preserve">RECORDS_SUCCESSION_OF</t>
  </si>
  <si>
    <t xml:space="preserve">55 Kings of Rakkhapura Dhanyawadi</t>
  </si>
  <si>
    <t xml:space="preserve">စည်းစိမ်ခြောက်ဆယ့်နှစ်နှစ်၊ သား မာရမည်-စည်းစိမ် သုံးဆယ့်နှစ်နှစ်၊ သား မာရဘို လင်း-စည်းစိမ် သုံးဆယ့်ငါးနှစ်၊ သား မာရရွယ်လင်း-စည်းစိမ် ငါးဆယ့်နှစ်နှစ်၊ သား မာရတင်-စည်းစိမ် လေးဆယ့်နှစ်နှစ်၊ သား မာရဇိန်-စည်းစိမ် သုံးဆယ့်သုံးနှစ်၊ သား မာရကင်-စည်းစိမ် သုံးဆယ့်ငါးနှစ်၊ အမတ် ငဆတ်ဖို-စည်းစိမ် နှစ်ဆယ့်တစ်နှစ်၊ မာရကင်သား-ဒေါရစန္ဒရာ-စည်းစိမ်လေးဆယ်၊ သား သောလစန္ဒရာ - စည်းစိမ် သုံးဆယ့်သုံးနှစ်၊ သား စန္ဒသူရိယစန္ဒရာ-စည်းစိမ် သုံးဆယ့်သုံးနှစ်၊ သား ကာလစန္ဒရာ စည်းစိမ် လေးဆယ်၊ တိုင်စန္ဒရာ -စည်းစိမ်သုံးဆယ်၊ သား မဓူရစန္ဒရာ’စည်းစိမ် နှစ်ဆယ်၊ သား ဇေယစန္ဒရာ-စည်းစိမ် လေးဆယ်၊ သား ပေါက္ခရစန္ဒရာ-စည်းစိမ် နှစ်ဆယ့်ခြောက်၊ သား ကုလ္လစန္ဒရာ-စည်းစိမ် နှစ်ဆယ့်နှစ်၊ အမတ်မျိုး ကျွန် သုံးယောက်-စည်းစိမ် နှစ်ဆယ့်နှစ်၊ ကုလ္လစန္ဒရာမြေး ကံရာဇာကြီး-စည်းစိမ် လေးဆယ့်တစ်နှစ်၊ သား ကံရာဇာငယ်- စည်းစိမ် သုံးဆယ့်ခြောက်နှစ်၊ သား အိန္ဒသူရိယ-စည်းစိမ် သုံးဆယ့်ငါးနှစ်၊ သား အသူရိယ-စည်းစိမ် သုံးဆယ်၊ သား သာရမိတ္တ-စည်းစိမ် နှစ်ဆယ့်ရှစ်နှစ်၊ သား သူရိယ-စည်းစိမ် သုံးဆယ့်တစ်နှစ်၊ သား မင်းထီး-စည်းစိမ် နှစ်ဆယ့်နှစ်နှစ်၊ သား မင်းဖား -စည်းစိမ် နှစ်ဆယ့်နှစ်နှစ်၊ သား စည်အောင်သာ-စည်းစိမ် နှစ်ဆယ့်ရှစ်နှစ်၊ ညိ ထီးတိုင်သေည်’စည်းစိမ် သုံးဆယ့်တစ်နှစ်၊ သား ကျောက်ခေါင်စေ - စည်းစိမ် သုံးဆယ့်တစ်နှစ်၊ သား သူရရန္တ မိတ် -စည်းစိမ် နှစ်ဆယ့်တစ်နှစ်၊ သား အာနန္ဒက -စည်းစိမ် သုံးဆယ့်တစ်နှစ်၊ သား လက်ယာစည်သူကြီး -စည်းစိမ် လေ သုံးဆယ့်နှစ်နှစ်၊ သား သိဒက -စည်းစိမ် လေးဆယ့်သုံးနှစ်၊ သား မင်းဘုန်းသံ-စည်းစိမ်သုံးဆယ့်တစ်နှစ်၊ သား သရက်မွေ -စည်းစိမ် လေးဆယ့်နှစ်နှစ်၊ သား ဇေယနန်သူ -စည်းစိမ် သုံးဆယ့်လေးနှစ်၊ သား တက္ကသူ- စည်းစိမ် လေးဆယ့်ခြောက်နှစ်၊ သား လက္ခဏာ-စည်းစိမ် သုံးဆယ့်ခုနစ်နှစ်၊ သား ဂုဏ္ဏရာဇ် စည်းစိမ် လေးဆယ့်နှစ်နှစ်၊ သား ဝိသုရာဇ်-စည်းစိမ် လေးဆယ့်နှစ်နှစ်၊ သား မင်းလှ -စည်းစိမ် သုံးဆယ့်တစ်နှစ်၊ သား ပရိန္ဒ -စည်းစိမ် သုံးဆယ့်ခြောက်နှစ်၊ သား ဣန္ဒတ္ထကုမာရ -စည်းစိမ် နှစ်ဆယ့်နှစ်နှစ်၊ သား မင်းလှကြီး-စည်းစိမ် လေးဆယ့်ခုနစ်နှစ်၊ ညီ မင်းလှငယ်-စည်းစိမ် နှစ်ဆယ့်လေးနှစ်၊ သား ဥပရာဇ်- စည်းစိမ် သုံးဆယ့်ရှစ်နှစ်၊ သား မျက်နှာဝန်း-စည်းစိမ် သုံးဆယ့်တစ်နှစ်၊ သား လက်ခုတ်ကြီး-စည်းစိမ် နှစ်ဆယ့်ခုနစ်နှစ်၊ သား သီရိကမ္မသုန္ဒရ-စည်းစိမ် သုံးဆယ့်တစ် နှစ်၊ သား နန္ဒကောဓာဘယ-စည်းစိမ် သုံးဆယ့်နှစ်နှစ်၊ သား မင်းနံဖြူ-စည်းစိမ်နှစ်ဆယ်၊ သား မင်းမနု-စည်းစိမ် နှစ်ဆယ့်ရှစ်နှစ်၊ သား မင်းခေါင်ငယ်-စည်းစိမ် တစ်ဆယ့်ကိုး၊ သား လောက်ခေါင်ရာဇာ-စည်းစိမ် လေးဆယ်၊ သား မင်းငယ်လှပျောစည်သူ-စည်းစိမ် သုံးဆယ်၊ ထိုရက္ခပူရ ဓညဝတီမြို့ ကြီးဝယ် မာယာရမင်း အစ မင်းငယ် လှပျောစည်သူ အဆုံး မင်းပေါင်း ငါးဆယ့်ငါးဆက်၊ နှစ်ပေါင်း တစ်ထောင့်ရှစ်ရာ့တစ်ဆယ့်ခြောက်နှစ် မင်းပြုသည်။</t>
  </si>
  <si>
    <t xml:space="preserve">Reign of sixty-two years; son Maramyi - reign of thirty-two years; son Maraboling - reign of thirty-five years; son Mararaywaling - reign of fifty-two years; son Maratin - reign of forty-two years; son Marazein - reign of thirty-three years; son Marakin - reign of thirty-five years; minister Ngasathpo - reign of twenty-one years; Marakin's son Doracandra - reign of forty years; son Tholacandra - reign of thirty-three years; son Candasuriyacandra - reign of thirty-three years; son Kalacandra - reign of forty years; Taicandra - reign of thirty years; son Madhuracandra - reign of twenty years; son Zeyacandra - reign of forty years; son Pokkharacandra - reign of twenty-six years; son Kullacandra - reign of twenty-two years; three servants of the minister class - reign of twenty-two years; Kullacandra's grandson Kanrajagyi - reign of forty-one years; son Kanrajange - reign of thirty-six years; son Indasuriya - reign of thirty-five years; son Asuriya - reign of thirty years; son Tharamitta - reign of twenty-eight years; son Suriya - reign of thirty-one years; son Minhti - reign of twenty-two years; son Minpha - reign of twenty-two years; son Si-aungtha - reign of twenty-eight years; Nyi Htitaingsi - reign of thirty-one years; son Kyaukhaungse - reign of thirty-one years; son Surarantamit - reign of twenty-one years; son Anandaka - reign of thirty-one years; son Letyasithugyi - reign of thirty-two years; son Thidaka - reign of forty-three years; son Minbhonsan - reign of thirty-one years; son Thayetmwe - reign of forty-two years; son Zeyananthu - reign of thirty-four years; son Takkathu - reign of forty-six years; son Lakkhana - reign of thirty-seven years; son Gunnaraj - reign of forty-two years; son Visuraj - reign of forty-two years; son Minhla - reign of thirty-one years; son Parinda - reign of thirty-six years; son Indatthakumara - reign of twenty-two years; son Minhlagyi - reign of forty-seven years; younger brother Minhlange - reign of twenty-four years; son Uparaj - reign of thirty-eight years; son Myethnawun - reign of thirty-one years; son Letkhotgyi - reign of twenty-seven years; son Sirikammasundara - reign of thirty-one years; son Nandakodhabaya - reign of thirty-two years; son Minnangpyu - reign of twenty years; son Minmanu - reign of twenty-eight years; son Min Khaungnge - reign of nineteen years; son Laukhaungraja - reign of forty years; son Mingelhapyaw-sithu - reign of thirty years; in that great city of Rakkhapura Dhannavati, from King Mayaru to King Mingelhapyaw-sithu, a total of fifty-five kings reigned for one thousand eight hundred and sixteen years.</t>
  </si>
  <si>
    <t xml:space="preserve">vol2_s000123_t02_dd12c1bbbce7</t>
  </si>
  <si>
    <t xml:space="preserve">RECORDS_REIGN_LENGTHS_OF</t>
  </si>
  <si>
    <t xml:space="preserve">vol2_s000123_t03_515eea4a0552</t>
  </si>
  <si>
    <t xml:space="preserve">REIGNED_FOR_TOTAL_OF</t>
  </si>
  <si>
    <t xml:space="preserve">1816 years</t>
  </si>
  <si>
    <t xml:space="preserve">vol2_s000296</t>
  </si>
  <si>
    <t xml:space="preserve">vol2_s000296_t01_3bdeaac09c11</t>
  </si>
  <si>
    <t xml:space="preserve">PAKHANGYI_MIN</t>
  </si>
  <si>
    <t xml:space="preserve">30000_TROOPS</t>
  </si>
  <si>
    <t xml:space="preserve">ထိုသူတို့ကို စစ်လျှင် ပုခန်းမင်းကြီး လူ သုံးသောင်းကျော်နှင့် ဇင်းမယ်ကြောင်းက ချီတက်သည်။</t>
  </si>
  <si>
    <t xml:space="preserve">Upon interrogating those people, it was found that the Pakhangyi Min [Lord of Pakhangyi] marched via the Chiang Mai route with over thirty thousand men.</t>
  </si>
  <si>
    <t xml:space="preserve">vol2_s000296_t02_12c2a684a34d</t>
  </si>
  <si>
    <t xml:space="preserve">DEPLOYED_VIA_ROUTE</t>
  </si>
  <si>
    <t xml:space="preserve">CHIANG_MAI</t>
  </si>
  <si>
    <t xml:space="preserve">vol2_s000297</t>
  </si>
  <si>
    <t xml:space="preserve">vol2_s000297_t01_c7fafcc1f72c</t>
  </si>
  <si>
    <t xml:space="preserve">KINWUN_MINGYI</t>
  </si>
  <si>
    <t xml:space="preserve">ကင်းဝန်မင်းကြီး လူသုံးသောင်းကျော်နှင့် ဗြိတ်ကြောင်းက ချီတက်သည်။</t>
  </si>
  <si>
    <t xml:space="preserve">The Kinwun Mingyi marched via the Mergui route with over thirty thousand men.</t>
  </si>
  <si>
    <t xml:space="preserve">vol2_s000297_t02_07914d9df8f5</t>
  </si>
  <si>
    <t xml:space="preserve">MERGUI</t>
  </si>
  <si>
    <t xml:space="preserve">vol2_s000298</t>
  </si>
  <si>
    <t xml:space="preserve">vol2_s000298_t01_8b31d7978043</t>
  </si>
  <si>
    <t xml:space="preserve">ANAUK_BET_TAIKWUN</t>
  </si>
  <si>
    <t xml:space="preserve">အနောက်ဘက်တိုက်ဝန် လူသုံးသောင်းကျော်နှင့် ဒဗယ်ကြောင်းက ချီတက်သည်။</t>
  </si>
  <si>
    <t xml:space="preserve">The Anauk-bet Taikwun marched via the Tavoy route with over thirty thousand men.</t>
  </si>
  <si>
    <t xml:space="preserve">vol2_s000298_t02_85f88814da3a</t>
  </si>
  <si>
    <t xml:space="preserve">TAVOY</t>
  </si>
  <si>
    <t xml:space="preserve">vol2_s000299</t>
  </si>
  <si>
    <t xml:space="preserve">vol2_s000299_t01_86aac81bb938</t>
  </si>
  <si>
    <t xml:space="preserve">NAWRAHTA_KYAWGAUNG</t>
  </si>
  <si>
    <t xml:space="preserve">နော်ရထာ ကျော်ခေါင်တို့ လူသုံးသောင်းကျော်နှင့် ရွာဟိုင်းကြောင်းက ချီတက်သည်။</t>
  </si>
  <si>
    <t xml:space="preserve">Nawrahta Kyawgaung and others marched via the Ra-haing route with over thirty thousand men.</t>
  </si>
  <si>
    <t xml:space="preserve">vol2_s000299_t02_6b91fcaca75a</t>
  </si>
  <si>
    <t xml:space="preserve">RA_HAING</t>
  </si>
  <si>
    <t xml:space="preserve">vol2_s000300</t>
  </si>
  <si>
    <t xml:space="preserve">vol2_s000300_t01_abf7b754ecc1</t>
  </si>
  <si>
    <t xml:space="preserve">KING_OF_AVA</t>
  </si>
  <si>
    <t xml:space="preserve">100000_TROOPS</t>
  </si>
  <si>
    <t xml:space="preserve">ဘဝရှင် မင်းတရားကြီးဘုရားမူကား လူတစ်သိန်းကျော်နှင့် ထားရိုက်ကြောင်းက ချီတက်သည်။</t>
  </si>
  <si>
    <t xml:space="preserve">As for the Bawa-shin Min-taya-gyi-baya [the King], he marched via the Three Pagodas route with over one hundred thousand men.</t>
  </si>
  <si>
    <t xml:space="preserve">vol2_s000300_t02_340a7d597ab5</t>
  </si>
  <si>
    <t xml:space="preserve">THREE_PAGODAS</t>
  </si>
  <si>
    <t xml:space="preserve">vol2_s000301</t>
  </si>
  <si>
    <t xml:space="preserve">vol2_s000301_t01_4e9cb4d2adf6</t>
  </si>
  <si>
    <t xml:space="preserve">PRINCE_OF_SAGU</t>
  </si>
  <si>
    <t xml:space="preserve">THREE_PAGODAS_COLUMN</t>
  </si>
  <si>
    <t xml:space="preserve">ကျွန်တော်တို့မှာ ထားရိုက်ကြောင်း သားတော် စကုသခင့် တပ်ပါဖြစ်၍ မုတ္တမမြို့က ဇမီမြစ်ဆိပ်သို့ ရေကြောင်း စပါးသယ်ပို့ရသည်နှင့် ကုန်းသို့တက်ရာ ဇမီအရှေ့တောတွင် ကရင်တို့ ဖမ်းမိသည်ဟု မေးချက်ရသည်။</t>
  </si>
  <si>
    <t xml:space="preserve">As for us, because we were part of the Prince of Sagu's force on the Three Pagodas route, and while transporting rice by water from Martaban to the Zami river landing and then proceeding to land, we received reports that we were captured by the Karen in the forest east of the Zami.</t>
  </si>
  <si>
    <t xml:space="preserve">vol2_s000301_t02_7cc9846482db</t>
  </si>
  <si>
    <t xml:space="preserve">BURMESE_STATE</t>
  </si>
  <si>
    <t xml:space="preserve">ORGANIZED_LOGISTICS_VIA</t>
  </si>
  <si>
    <t xml:space="preserve">RIVER_TRANSPORT</t>
  </si>
  <si>
    <t xml:space="preserve">vol2_s000301_t03_b9fe1fba3efb</t>
  </si>
  <si>
    <t xml:space="preserve">KAREN_ACTORS</t>
  </si>
  <si>
    <t xml:space="preserve">INTERCEPTED</t>
  </si>
  <si>
    <t xml:space="preserve">BURMESE_SUPPLY_LINES</t>
  </si>
  <si>
    <t xml:space="preserve">vol2_s000302</t>
  </si>
  <si>
    <t xml:space="preserve">vol2_s000302_t01_b95c84882823</t>
  </si>
  <si>
    <t xml:space="preserve">KING_OF_SIAM</t>
  </si>
  <si>
    <t xml:space="preserve">SIAMESE_ELITES</t>
  </si>
  <si>
    <t xml:space="preserve">ထိုအကြောင်းကို ယိုးဒယားမင်း ကြားလေလျှင် မြန်မာမင်း လူနှစ်သိန်းကျော် သုံးသိန်းနှင့် စစ်ကြီးငါးကြောင်း စီရင်၍ လာသည်ကို မည်သို့ ရပ်ခံရသော် သင့်မည်ဟု မင်းညီ မင်းသား မှူးတော် မတ်တော်တို့ကို ခေါ်၍ ယိုးဒယားမင်း တိုင်ပင်သည်တွင် မင်းညီမင်းသား မှူးတော်မတ်တော် တစ်စုတို့က ယိုးဒယား မင်းကို လျှောက်ကြသည်မှာ·ယခုစစ်သည် ရှေးခါကာလ ချီလာသည့်စစ်နှင့် တူဟန် မရှိချေ။</t>
  </si>
  <si>
    <t xml:space="preserve">When the King of Siam heard of this, he summoned the princes, ministers, and officials to consult on how it would be appropriate to stand and resist, given that the Burmese King was coming having organized five great armies with over two hundred to three hundred thousand men; the princes, ministers, and officials submitted to the King of Siam that this current war did not appear to be like the wars that had marched in previous times.</t>
  </si>
  <si>
    <t xml:space="preserve">vol2_s000302_t02_39c211eb6931</t>
  </si>
  <si>
    <t xml:space="preserve">ASSESSED_THREAT_AS</t>
  </si>
  <si>
    <t xml:space="preserve">UNPRECEDENTED_MILITARY_SCALE</t>
  </si>
  <si>
    <t xml:space="preserve">vol2_s000303</t>
  </si>
  <si>
    <t xml:space="preserve">vol2_s000303_t01_b86a03cde4dc</t>
  </si>
  <si>
    <t xml:space="preserve">DEPLOYED_STRATEGIC_FORMATION</t>
  </si>
  <si>
    <t xml:space="preserve">FIVE_ARMIES</t>
  </si>
  <si>
    <t xml:space="preserve">မြန်မာမင်းကိုယ်နှင့်တကွ လူနှစ်သိန်း သုံးသိန်း စစ်ငါးကြောင်း ဖြန့်၍ ချီလှာချေသည်။</t>
  </si>
  <si>
    <t xml:space="preserve">The Burmese King himself, along with two to three hundred thousand men, is marching having deployed five armies.</t>
  </si>
  <si>
    <t xml:space="preserve">vol2_s000303_t02_50faf8e0a75f</t>
  </si>
  <si>
    <t xml:space="preserve">MOBILIZED_TOTAL_FORCE</t>
  </si>
  <si>
    <t xml:space="preserve">200000_TO_300000_TROOPS</t>
  </si>
  <si>
    <t xml:space="preserve">vol2_s000304</t>
  </si>
  <si>
    <t xml:space="preserve">vol2_s000304_t01_ee9bce83cd35</t>
  </si>
  <si>
    <t xml:space="preserve">BURMESE_MILITARY_COLUMNS</t>
  </si>
  <si>
    <t xml:space="preserve">MAINTAINED_FORCE_LEVELS</t>
  </si>
  <si>
    <t xml:space="preserve">30000_TO_40000_TROOPS_EACH</t>
  </si>
  <si>
    <t xml:space="preserve">မြန်မာမင်း ချီလှာသည့် ထားရိုက်ကြောင်းကသာ အလုံးအရင်း များသည် မဟုတ်၊ ဇင်းမယ်ကြောင်း, ရွာဟိုင်းကြောင်း, ဒဝယ်ကြောင်း, ဗြိတ်ကြောင်းက ချီလာသည့် စစ်လေးကြောင်းလည်း လူသုံးသောင်း လေးသောင်းစီနှင့်ချည်း စစ်ကြီး စတေ ဖြစ်ချေသည်။</t>
  </si>
  <si>
    <t xml:space="preserve">It is not only the Three Pagodas route on which the Burmese King is marching that has a large force; the four armies marching via the Chiang Mai, Ra-haing, Tavoy, and Mergui routes are also each great armies of thirty to forty thousand men.</t>
  </si>
  <si>
    <t xml:space="preserve">vol2_s000305</t>
  </si>
  <si>
    <t xml:space="preserve">vol2_s000305_t01_4291f9081359</t>
  </si>
  <si>
    <t xml:space="preserve">ADVISED_STRATEGY_OF</t>
  </si>
  <si>
    <t xml:space="preserve">WISDOM_OVER_FORCE</t>
  </si>
  <si>
    <t xml:space="preserve">ယင်းသို့ ဖြစ်သောကြောင့် သည်စစ်သည် လက်ရုံးကို မကိုးသင့်၊ နှလုံးလှ ကြံမှသာ အရေးကောင်းမည် ထင်သည်ဟု လျှောက်ကြသည်တွင် ယိုးဒယားမင်းက ကိုယ်တို့ လျှောက်ကြသည့် စကားလည်း စစ်အားကြီးသည်ကိုထောက်၍ လျှောက်ထားကြသည့်အရာ ဖြစ်သည်။</t>
  </si>
  <si>
    <t xml:space="preserve">Because it is like this, one should not rely on physical strength in this war; it is thought that only by planning with wisdom will the situation be favorable, they submitted, to which the King of Siam replied that the words they submitted were submitted based on the fact that the enemy's military strength is great.</t>
  </si>
  <si>
    <t xml:space="preserve">vol2_s000305_t02_69a76a22dbe9</t>
  </si>
  <si>
    <t xml:space="preserve">ACKNOWLEDGED_THREAT_AS</t>
  </si>
  <si>
    <t xml:space="preserve">SUPERIOR_MILITARY_STRENGTH</t>
  </si>
  <si>
    <t xml:space="preserve">vol2_s000306</t>
  </si>
  <si>
    <t xml:space="preserve">vol2_s000306_t01_fb5962ea5bf7</t>
  </si>
  <si>
    <t xml:space="preserve">ADOPTED_STRATEGY_OF</t>
  </si>
  <si>
    <t xml:space="preserve">DEFENSIVE_CONSOLIDATION</t>
  </si>
  <si>
    <t xml:space="preserve">သို့ရာတွင် မြန်မာမင်းချီလာသည့် ထားရိုက်ကြောင်းကိုသာ ခံနိုင်အောင် ကြံသင့်သည်၊ ထားရိုက်ကြောင်း ကို ခံနိုင်လျှင် မြန်မာတို့ ခွဲ၍ချီသည့် စစ်လေးကြောင်း ဆုတ်ရလိမ့်မည်၊ ယင်းသို့ဖြစ်သောကြောင့် ငါ့ကိုယ်နှင့်တကွ မြစ်ဆုံတွင် မြို့နှင့်အတူ တပ်ကြီးတည်ပြီးလျှင် မြန်မာမင်း ချီလာသည်ကို ရုံး၍ခံမည်၊ အရေးသာလျှင် နိုင်အောင် တိုက်မည်၊ အရေးမသာလျှင်လည်း စကားပြေအောင် ပြောမည်၊ ငါတို့မြို့မူကား မြို့ထိပ်သို့ အမြောက် စိန် ပြောင်း တင်ပြီးလျှင် အခိုင်ခံနေစေမည်၊ မြန်မာတို့က ခွဲ၍ချီသည့် စစ်လေးကြောင်းကိုမူကား ငါတို့က အသွယ်သွယ် အဝဝ ခွဲ၍ ခံသင့်တော့သည် မဟုတ်ပြီ၊ မြန်မာစစ်လေးကြောင်းလုံး မြို့ ရင်းသို့တိုင်အောင်ပင် ချဉ်းလာ ပေါက် လာသော်လည်း ငါတို့မြို့ကို လှုပ်ရှားတည့်နိုင်မည်မဟုတ် ဆိုပြီးလျှင် မြစ်ဆုံတွင် တပ်ကြီးတည်၍ ကျုံးမြောင်း, ပစ္စင်, ရင်လျှောက်, ဆင်ခလုတ် မြင်းခလုတ်, ကတုတ် ဆူးငြောင့် စီရင်သည်။</t>
  </si>
  <si>
    <t xml:space="preserve">However, one should plan to be able to resist only the Three Pagodas route on which the Burmese King is marching; if one can resist the Three Pagodas route, the four armies that the Burmese have split and marched with will have to retreat; because it is like this, I myself, along with the city, will establish a great camp at the river confluence and will stand and resist the Burmese King's advance; if the situation is favorable, I will fight to win, and if the situation is not favorable, I will speak to reach a peaceful settlement; as for our city, I will have cannons and swivel guns mounted on the city ramparts and keep it strongly defended; as for the four armies that the Burmese have split and marched with, we no longer need to split ourselves in various ways to resist them; even if all four Burmese armies reach the base of the city, they will not be able to shake our city, he said, and then established a great camp at the river confluence and prepared moats, ditches, ramparts, breastworks, elephant traps, horse traps, stockades, and thorns.</t>
  </si>
  <si>
    <t xml:space="preserve">vol2_s000306_t02_2abe9a970f6d</t>
  </si>
  <si>
    <t xml:space="preserve">ESTABLISHED_DEFENSIVE_CAMP_AT</t>
  </si>
  <si>
    <t xml:space="preserve">RIVER_CONFLUENCE</t>
  </si>
  <si>
    <t xml:space="preserve">vol2_s000306_t03_1ed39d55ae44</t>
  </si>
  <si>
    <t xml:space="preserve">FORTIFIED_CAPITAL_WITH</t>
  </si>
  <si>
    <t xml:space="preserve">ARTILLERY_AND_DEFENSIVE_WORKS</t>
  </si>
  <si>
    <t xml:space="preserve">vol2_s000306_t04_e150618b7e90</t>
  </si>
  <si>
    <t xml:space="preserve">PLANNED_CONTINGENCY_OF</t>
  </si>
  <si>
    <t xml:space="preserve">DIPLOMATIC_NEGOTIATION</t>
  </si>
  <si>
    <t xml:space="preserve">vol2_s000307</t>
  </si>
  <si>
    <t xml:space="preserve">vol2_s000307_t01_db3c286732e1</t>
  </si>
  <si>
    <t xml:space="preserve">FORTIFIED_CAMP_WITH</t>
  </si>
  <si>
    <t xml:space="preserve">ARTILLERY</t>
  </si>
  <si>
    <t xml:space="preserve">တပ်ထိပ်သို့လည်း အမြောက် စိန်ပြောင်း အပြည့်တင်သည်။</t>
  </si>
  <si>
    <t xml:space="preserve">He also had the top of the camp fully mounted with cannons and swivel guns.</t>
  </si>
  <si>
    <t xml:space="preserve">vol2_s000308</t>
  </si>
  <si>
    <t xml:space="preserve">vol2_s000308_t01_c4a736850bac</t>
  </si>
  <si>
    <t xml:space="preserve">ယိုးဒယားမြို့မှာလည်း မြို့ ထိပ်သို့ အမြောက် စိန်ပြောင်း အပြည့်တင်သည်။</t>
  </si>
  <si>
    <t xml:space="preserve">In the city of Siam as well, the top of the city was fully mounted with cannons and swivel guns.</t>
  </si>
  <si>
    <t xml:space="preserve">vol2_s000309</t>
  </si>
  <si>
    <t xml:space="preserve">vol2_s000309_t01_afb1466d3935</t>
  </si>
  <si>
    <t xml:space="preserve">CONSOLIDATED_MILITARY_ELITES_IN</t>
  </si>
  <si>
    <t xml:space="preserve">CAPITAL_AND_RIVER_CAMPS</t>
  </si>
  <si>
    <t xml:space="preserve">ယိုးဒယား နိုင်ငံအလုံးတွင် သူရဲကောင်းဆိုသမျှကို သိမ်းပြီးလျှင် ယိုးဒယားမြို့နှင့် မြစ်ဆုံတပ်ကြီးများသို့ သွင်းသည်။</t>
  </si>
  <si>
    <t xml:space="preserve">He gathered all those who were called heroes in the entire kingdom of Siam and brought them into the city of Siam and the great camps at the river confluence.</t>
  </si>
  <si>
    <t xml:space="preserve">vol2_s000310</t>
  </si>
  <si>
    <t xml:space="preserve">vol2_s000310_t01_87de8c8a0797</t>
  </si>
  <si>
    <t xml:space="preserve">ESTABLISHED_DEFENSIVE_CAMP_SCALE</t>
  </si>
  <si>
    <t xml:space="preserve">5000_TA_SQUARE</t>
  </si>
  <si>
    <t xml:space="preserve">မြစ်ဆုံ တပ်ကြီးကလည်း အနောက်ကို တာနှစ်ထောင်ခန့် ခွာ၍ တောင် မြောက် တာလေးထောင် ငါးထောင်, အရှေ့ အနောက် တာလေးထောင် ငါးထောင် တပ်အများ တည်လုပ်စေပြီးလျှင် လူငါးသောင်း ခြောက်သောင်း စည်းကြပ် ခံနေစေသည်။</t>
  </si>
  <si>
    <t xml:space="preserve">The great camp at the river confluence also had many camps established by withdrawing about two thousand ta [a unit of length] to the west, with four to five thousand ta north to south, and four to five thousand ta east to west, and had fifty to sixty thousand men stationed to resist.</t>
  </si>
  <si>
    <t xml:space="preserve">vol2_s000310_t02_d3a5f258130e</t>
  </si>
  <si>
    <t xml:space="preserve">STATIONED_DEFENSIVE_FORCE</t>
  </si>
  <si>
    <t xml:space="preserve">50000_TO_60000_TROOPS</t>
  </si>
  <si>
    <t xml:space="preserve">vol2_s000311</t>
  </si>
  <si>
    <t xml:space="preserve">vol2_s000311_t01_a509da521be5</t>
  </si>
  <si>
    <t xml:space="preserve">STATIONED_INTERCEPTION_FORCE_AT</t>
  </si>
  <si>
    <t xml:space="preserve">KANCHANABURI</t>
  </si>
  <si>
    <t xml:space="preserve">ကမ္ဗူရီသို့ ခွာ၍လည်း လူနှစ်သောင်း သုံးသောင်း ဆီးကြိုခံနေစေသည်။</t>
  </si>
  <si>
    <t xml:space="preserve">He also withdrew to Kanchanaburi and had twenty to thirty thousand men stationed to intercept and resist.</t>
  </si>
  <si>
    <t xml:space="preserve">vol2_s000311_t02_80d774c89c86</t>
  </si>
  <si>
    <t xml:space="preserve">ALLOCATED_MILITARY_FORCE</t>
  </si>
  <si>
    <t xml:space="preserve">20000_TO_30000_TROOPS</t>
  </si>
  <si>
    <t xml:space="preserve">vol2_s000312</t>
  </si>
  <si>
    <t xml:space="preserve">vol2_s000312_t01_1cace3bebc48</t>
  </si>
  <si>
    <t xml:space="preserve">MOBILIZED_RESOURCES</t>
  </si>
  <si>
    <t xml:space="preserve">80 large ships</t>
  </si>
  <si>
    <t xml:space="preserve">သင်္ဘောကြီး နှစ်ပင်တိုင် သုံးပင်တိုင် ရှစ်ဆယ်ကျော်ကိုလည်း သင်္ဘောစီး ကုလားပန်းသေးတို့နှင့် မြို့တောင် ပင်လယ်နားက အသင့်ပြင်ဆင် စည်းကြပ်၍ ထားသည်။</t>
  </si>
  <si>
    <t xml:space="preserve">He also had over eighty two-masted and three-masted large ships prepared and stationed near the sea south of the city with the ship-borne Kala Panthay [foreigners/merchants].</t>
  </si>
  <si>
    <t xml:space="preserve">vol2_s000312_t02_aa7ffea1c00c</t>
  </si>
  <si>
    <t xml:space="preserve">UTILIZED_FOREIGN_GROUP</t>
  </si>
  <si>
    <t xml:space="preserve">Kala Panthay merchants</t>
  </si>
  <si>
    <t xml:space="preserve">vol2_s000312_t03_8c173eb0f4f0</t>
  </si>
  <si>
    <t xml:space="preserve">Sea south of the city</t>
  </si>
  <si>
    <t xml:space="preserve">vol2_s000552</t>
  </si>
  <si>
    <t xml:space="preserve">vol2_s000552_t01_567945b5cc30</t>
  </si>
  <si>
    <t xml:space="preserve">အရညဝါသီပုဂ္ဂိုလ်, ဂါမဝါသီပုဂ္ဂိုလ်, အရိယာ သံဃာတော်တို့ကိုလည်း ရဟန်းတို့ အသုံးအဆောင်ကို များစွာ လှူတော်မူ၍ ပွဲသဘင်ကြီးစွာ ခံတော်မူ၏။</t>
  </si>
  <si>
    <t xml:space="preserve">He also donated many monastic requisites to the forest-dwelling monks, village-dwelling monks, and noble Sangha, and held a grand celebration.</t>
  </si>
  <si>
    <t xml:space="preserve">vol2_s000552_t02_76c7b13f5e72</t>
  </si>
  <si>
    <t xml:space="preserve">SPONSORED_RELIGIOUS_FESTIVAL</t>
  </si>
  <si>
    <t xml:space="preserve">vol2_s000553</t>
  </si>
  <si>
    <t xml:space="preserve">vol2_s000553_t01_5bbddac9727a</t>
  </si>
  <si>
    <t xml:space="preserve">SENT_SACRED_OBJECTS_TO</t>
  </si>
  <si>
    <t xml:space="preserve">သက္ကရာဇ် (၁၁၅၁) တစ်ထောင့်တစ်ရာ့ငါးဆယ့်တစ်ခု ကဆုန်လဆန်း ရှစ်ရက် စနေနေ့ တရုတ်ဥဒည်ဘွားက သကျမုနိ ရုပ်တုတော်, စွယ်တော်ပွားများကို ပင့်ဆောင် ပို့ရောက်လာသည်ကို ကိုယ်တော်တိုင် မြစ်ညာ အုန်းတစဉ် ရောက် ကြိုတော်မူပြီးလျှင် ရတနာရွှေပန်းတောင်းနှင့် ခံတော်မူ၍ ဘုံကိုးဆင့် ရှိသော ရန်နိုင်လှော်ကားတော်ထက် တင်ဆောင် ပင့်ယူတော်မူ၏။</t>
  </si>
  <si>
    <t xml:space="preserve">On Saturday, the 8th day of the waxing moon of Kason, 1151 [BE], when the Chinese Emperor sent a Shakyamuni statue and replicas of the Tooth Relic, he himself went to meet them upon their arrival at Ontazin, upstream, received them with a golden jeweled tray, and had them transported and brought aboard the nine-tiered royal barge, Yannain.</t>
  </si>
  <si>
    <t xml:space="preserve">vol2_s000553_t02_64c7cebab71b</t>
  </si>
  <si>
    <t xml:space="preserve">PERFORMED_RITUAL_RECEPTION_OF</t>
  </si>
  <si>
    <t xml:space="preserve">sacred objects</t>
  </si>
  <si>
    <t xml:space="preserve">vol2_s000553_t03_1a2e7422b127</t>
  </si>
  <si>
    <t xml:space="preserve">TRANSPORTED_SACRED_OBJECTS_ON</t>
  </si>
  <si>
    <t xml:space="preserve">royal barge</t>
  </si>
  <si>
    <t xml:space="preserve">vol2_s000554</t>
  </si>
  <si>
    <t xml:space="preserve">vol2_s000554_t01_e71916444665</t>
  </si>
  <si>
    <t xml:space="preserve">crown and ornaments</t>
  </si>
  <si>
    <t xml:space="preserve">ကဆုန်လပြည့်ကျော် နှစ်ရက် တနင်္လာနေ့ သားတော် ကောလင်းမင်းသားကို ဗောင်း ကတ္တီပါနီ၊ ရွှေသား ပန်းကိုး၊ တမာရွက်ထောင်ကိုး ပေးတော်မူသည်။</t>
  </si>
  <si>
    <t xml:space="preserve">On Monday, the 2nd day of the waning moon of Kason, he bestowed upon his son, the Prince of Kawlin, a red velvet crown, nine golden flowers, and nine standing tamarind-leaf ornaments.</t>
  </si>
  <si>
    <t xml:space="preserve">vol2_s000555</t>
  </si>
  <si>
    <t xml:space="preserve">vol2_s000555_t01_da5b3b0c30e2</t>
  </si>
  <si>
    <t xml:space="preserve">DECOMMISSIONED_ROYAL_ASSET</t>
  </si>
  <si>
    <t xml:space="preserve">Pyigimon barge</t>
  </si>
  <si>
    <t xml:space="preserve">ဝါခေါင်လပြည့်ကျော် ခြောက်ရက် ဗုဒ္ဓဟူးနေ့ ပြည်ကြီးမွန် ဖောင်တော်ကို သိမ်းတော်မူသည်။</t>
  </si>
  <si>
    <t xml:space="preserve">On Wednesday, the 6th day of the waning moon of Wagaung, he decommissioned the royal barge, Pyigimon.</t>
  </si>
  <si>
    <t xml:space="preserve">vol2_s000556</t>
  </si>
  <si>
    <t xml:space="preserve">vol2_s000556_t01_3f4032cb7e03</t>
  </si>
  <si>
    <t xml:space="preserve">PERFORMED_FUNERAL_RITES_FOR</t>
  </si>
  <si>
    <t xml:space="preserve">တော်သလင်းလဆန်း တစ်ဆယ့်လေးရက် ကြာသပတေးနေ့ အလယ်နန်းမိဖုရား သီရိမဟာ နန္ဒာဘိ ရတနာဒေဝီ နတ်ရွာစံသည်ကို ရွှေဝေါနှင့် ထွက်တော်မူ၍ လွှတ်တော်အရှေ့မြောက် နန်းမြို့တွင်းမှာ သင်္ဂြိုဟ်တော် မူသည်။</t>
  </si>
  <si>
    <t xml:space="preserve">On Thursday, the 14th day of the waxing moon of Tawthalin, when the Middle Palace Queen, Siri Maha Nanda-abhi Ratana Devi, passed away, he went out in a golden palanquin and had her interred within the palace city, northeast of the Hluttaw.</t>
  </si>
  <si>
    <t xml:space="preserve">vol2_s000556_t02_56fc8b4451bd</t>
  </si>
  <si>
    <t xml:space="preserve">DESIGNATED_BURIAL_SITE_FOR</t>
  </si>
  <si>
    <t xml:space="preserve">vol2_s000557</t>
  </si>
  <si>
    <t xml:space="preserve">vol2_s000557_t01_0f6059d883eb</t>
  </si>
  <si>
    <t xml:space="preserve">Prince of Pathein</t>
  </si>
  <si>
    <t xml:space="preserve">RECEIVED_APPANAGE_FROM_KING</t>
  </si>
  <si>
    <t xml:space="preserve">Thamyintun town</t>
  </si>
  <si>
    <t xml:space="preserve">တော်သလင်းလပြည့်ကျော် ကိုးရက် တနင်္ဂနွေနေ့ သားတော် ပုသိန်မင်းသားကို သမြင်တုံမြို့ကို ထပ်၍ ပေးတော်မူသည်။</t>
  </si>
  <si>
    <t xml:space="preserve">On Sunday, the 9th day of the waning moon of Tawthalin, he additionally granted the town of Thamyintun to his son, the Prince of Pathein.</t>
  </si>
  <si>
    <t xml:space="preserve">vol2_s000558</t>
  </si>
  <si>
    <t xml:space="preserve">vol2_s000558_t01_c2c8858d34fc</t>
  </si>
  <si>
    <t xml:space="preserve">Prince of Laing</t>
  </si>
  <si>
    <t xml:space="preserve">သီတင်းကျွတ်လပြည့်ကျော် ငါးရက်၆ သောကြာနေ့ သားတော် လိုင်မင်းသားကို လိုင်မြို့နှင့်လဲ၍ ပင်းတလဲမြို့ကို ပေးတော်မူသည်။</t>
  </si>
  <si>
    <t xml:space="preserve">On Friday, the 5th day of the waning moon of Thadingyut, he exchanged the town of Laing for the town of Pindale and granted it to his son, the Prince of Laing.</t>
  </si>
  <si>
    <t xml:space="preserve">vol2_s000560</t>
  </si>
  <si>
    <t xml:space="preserve">vol2_s000560_t01_4fc34381fd6d</t>
  </si>
  <si>
    <t xml:space="preserve">ORDERED_TRANSPORT_OF</t>
  </si>
  <si>
    <t xml:space="preserve">Shwemawdaw Pagoda umbrella</t>
  </si>
  <si>
    <t xml:space="preserve">တန်ဆောင်မုန်းလဆန်း တစ်ဆယ့်တစ်ရက်? ကြာသပတေးနေ့ သီဟိုဠ်ကျွန်းက ရှင်ဝရကာလန္တေ ရောက် တပို့တွဲလဆန်း ဆယ်ရက်နေ့ ဟံသာဝတီ ရွှေမော်ဓောဘုရားထီးတော်ကို ရွှေဖောင်တော်မှာ တင်ပြီးလျှင် မြင်းမှူး မင်းရဲ မင်းလှကျော်ထင်, အမြောက်ဝန် နေမျိုးဇေယနော်ရထာတို့ကို ကြပ်မတ်စေ၍ ပွဲသဘင်စုံနှင့် ဟံသာဝတီ မြို့သို့ ပို့စေသည်။</t>
  </si>
  <si>
    <t xml:space="preserve">On Thursday, the 11th day of the waxing moon of Tazaungmon, when Shin Wara Kalante arrived from the island of Sri Lanka, and on the 10th day of the waxing moon of Tabodwe, he had the umbrella of the Shwemawdaw Pagoda in Hanthawaddy placed on the royal golden barge, and ordered the Cavalry Chief Minye Minla Kyawhtin and the Artillery Minister Nemyo Zeya Nawrahta to supervise its transport to the city of Hanthawaddy with a full celebration.</t>
  </si>
  <si>
    <t xml:space="preserve">vol2_s000560_t02_97126b6ea4c2</t>
  </si>
  <si>
    <t xml:space="preserve">Cavalry Chief Minye Minla Kyawhtin</t>
  </si>
  <si>
    <t xml:space="preserve">vol2_s000560_t03_a5ef5386ccce</t>
  </si>
  <si>
    <t xml:space="preserve">Artillery Minister Nemyo Zeya Nawrahta</t>
  </si>
  <si>
    <t xml:space="preserve">vol2_s000561</t>
  </si>
  <si>
    <t xml:space="preserve">vol2_s000561_t01_83d9d1864ab7</t>
  </si>
  <si>
    <t xml:space="preserve">Prince of Myanaung</t>
  </si>
  <si>
    <t xml:space="preserve">Thado Minye Kyawkhaung</t>
  </si>
  <si>
    <t xml:space="preserve">တပို့တွဲလပြည့်ကျော် သုံးရက်မိ သောကြာနေ့ သားတော် မြန်အောင်မင်းသား မောင်ဘဲကြီးကို သတိုး မင်းရဲကျော်ခေါင်ဘွဲ့ ၊ သားတော် မောင်ဘဲငယ်ကို မင်းရဲစည်သူဘွဲ့ ၊ သားတော် ညောင်ရမ်းမင်းသားကို သတိုး မင်းရဲရွှေတောင်ဘွဲ့၊ သားတော် မောင်ရွှေလွှတ်ကို သတိုးမင်းရဲကျော်စွာဘွဲ့ ၊ သားတော် မင်းသားမောင်မောင်ကို သတိုးမင်းရဲနရာဘွဲ့ကို ပေးတော်မူသည်။</t>
  </si>
  <si>
    <t xml:space="preserve">On Friday, the 3rd day of the waning moon of Tabodwe, he bestowed the title Thado Minye Kyawkhaung upon his son, the Prince of Myanaung, Maung Bae Gyi; the title Minye Sithu upon his son, Maung Bae Nge; the title Thado Minye Shwetaung upon his son, the Prince of Nyaungyan; the title Thado Minye Kyawzwa upon his son, Maung Shwe Hlut; and the title Thado Minye Nara upon his son, Prince Maung Maung.</t>
  </si>
  <si>
    <t xml:space="preserve">vol2_s000561_t02_9fbd7d424f37</t>
  </si>
  <si>
    <t xml:space="preserve">Maung Bae Nge</t>
  </si>
  <si>
    <t xml:space="preserve">Minye Sithu</t>
  </si>
  <si>
    <t xml:space="preserve">vol2_s000561_t03_ea43c21f42eb</t>
  </si>
  <si>
    <t xml:space="preserve">Thado Minye Shwetaung</t>
  </si>
  <si>
    <t xml:space="preserve">vol2_s000561_t04_57efcd742ed3</t>
  </si>
  <si>
    <t xml:space="preserve">Maung Shwe Hlut</t>
  </si>
  <si>
    <t xml:space="preserve">Thado Minye Kyawzwa</t>
  </si>
  <si>
    <t xml:space="preserve">vol2_s000561_t05_6c7fd908d418</t>
  </si>
  <si>
    <t xml:space="preserve">Thado Minye Nara</t>
  </si>
  <si>
    <t xml:space="preserve">vol2_s000562</t>
  </si>
  <si>
    <t xml:space="preserve">vol2_s000562_t01_484f64e6547c</t>
  </si>
  <si>
    <t xml:space="preserve">SENT_WHITE_ELEPHANT_TO</t>
  </si>
  <si>
    <t xml:space="preserve">ကလေးစော်ဘွားက နောက်ဆက်သည့် ဆင်ဖြူတော်ကို အဆောင်အယူ အနောက်ဘက် တိုက်ဝန် မဟာ မင်းလှကျော်စွာ, ဝန်ထောက် မြောင်းလှမြို့စား နေမျိုးရာဇကျော်ထင်, စာရေးကြီးနန္ဒကျော်သူတို့ကို ခန့်ထား ဆောင်ယူစေသည်။</t>
  </si>
  <si>
    <t xml:space="preserve">He appointed the Western Taikwun Maha Minla Kyawzwa, the Wundauk and Governor of Myaungla, Nemyo Raza Kyawhtin, and the Chief Clerk Nanda Kyawthu to take charge of and bring the white elephant that the Sawbwa of Kale had sent.</t>
  </si>
  <si>
    <t xml:space="preserve">vol2_s000562_t02_f81fdec5ab37</t>
  </si>
  <si>
    <t xml:space="preserve">APPOINTED_OFFICIALS_TO_RETRIEVE</t>
  </si>
  <si>
    <t xml:space="preserve">white elephant</t>
  </si>
  <si>
    <t xml:space="preserve">vol2_s000563</t>
  </si>
  <si>
    <t xml:space="preserve">vol2_s000563_t01_cd8769f3725d</t>
  </si>
  <si>
    <t xml:space="preserve">Maha Minla Kyawzwa</t>
  </si>
  <si>
    <t xml:space="preserve">CONSTRUCTED_TRANSPORT_VESSEL_FOR</t>
  </si>
  <si>
    <t xml:space="preserve">မဟာမင်းလှကျော်စွာ, နေမျိုးရာဇကျော်ထင်, နန္ဒကျော်သူတို့လည်း မင်းခင်းမြို့ ဆိပ်တွင် နှစ်စင်းတွဲဖောင်တော်ဆောင် အမိုးသုံးထပ် လုပ်၍ ဆောင်ယူခဲ့သည်။</t>
  </si>
  <si>
    <t xml:space="preserve">Maha Minla Kyawzwa, Nemyo Raza Kyawhtin, and Nanda Kyawthu also constructed a three-tiered roof on a double-hulled royal barge at the Minkin town landing and brought it.</t>
  </si>
  <si>
    <t xml:space="preserve">vol2_s000563_t02_a95deeefe9c7</t>
  </si>
  <si>
    <t xml:space="preserve">Nemyo Raza Kyawhtin</t>
  </si>
  <si>
    <t xml:space="preserve">vol2_s000563_t03_d1e446560539</t>
  </si>
  <si>
    <t xml:space="preserve">Nanda Kyawthu</t>
  </si>
  <si>
    <t xml:space="preserve">vol2_s000564</t>
  </si>
  <si>
    <t xml:space="preserve">vol2_s000564_t01_25d074c87377</t>
  </si>
  <si>
    <t xml:space="preserve">ဆင်ဖြူတော်ကို (၁၁၅၂) တစ်ထောင့် တစ်ရာ့ ငါးဆယ့်နှစ်ခု တပို ့တွဲလပြည့်ကျော် ငါးရက်၁° နေ့ မြောင်ရွာ စင်ရော်ကျွန်းရောက် ရေကြောင်း ထွက်တော်မူ၍ ကြိုယူတော်မူသည်။</t>
  </si>
  <si>
    <t xml:space="preserve">On the 5th day of the waning moon of Tabodwe, 1152 [BE], he traveled by water to the island of Sin-yaw in Myaung village to meet and receive the white elephant.</t>
  </si>
  <si>
    <t xml:space="preserve">vol2_s000734</t>
  </si>
  <si>
    <t xml:space="preserve">vol2_s000734_t01_ce1536f3934c</t>
  </si>
  <si>
    <t xml:space="preserve">Minye Thiha</t>
  </si>
  <si>
    <t xml:space="preserve">သားတော် မင်းရဲသီဟ, မင်း ရဲသိင်္ခ တို့ကိုလည်း ရွှေနဖူးစည်း၊ ကျောက်အိမ်ပါ ပေးတော်မူသည်။</t>
  </si>
  <si>
    <t xml:space="preserve">He also bestowed upon his sons, Minye Thiha and Minye Thinkha, golden headbands with gem-encrusted settings.</t>
  </si>
  <si>
    <t xml:space="preserve">vol2_s000734_t02_c0d33cb87299</t>
  </si>
  <si>
    <t xml:space="preserve">Minye Thinkha</t>
  </si>
  <si>
    <t xml:space="preserve">vol2_s000735</t>
  </si>
  <si>
    <t xml:space="preserve">vol2_s000735_t01_3e378fcaf3e7</t>
  </si>
  <si>
    <t xml:space="preserve">GRANTED_APPANAGE_TO</t>
  </si>
  <si>
    <t xml:space="preserve">Prince of Myanaung (Pathein-gyi)</t>
  </si>
  <si>
    <t xml:space="preserve">The granted town is Pakhan Gyi, not Pathein-gyi. The erroneous place is added to an otherwise correct recipient.</t>
  </si>
  <si>
    <t xml:space="preserve">King → GRANTED_APPANAGE_TO → Prince of Myanaung (Pakhan Gyi, in exchange for Myanaung)</t>
  </si>
  <si>
    <t xml:space="preserve">သားတော် မြန်အောင်မင်းသားကို မြန်အောင်မြို့နှင့်လဲ၍ ပုခန်းကြီးမြို့၊ သပြေငါးရွာမင်းသားကို သပြေ ငါးရွာနှင့် လဲ၍ အမြင့်မြို့ ၊ သတိုးမင်းလှကျော်ထင်ကို မြဝတီမြို့ ၊ သတိုးမင်းရဲကျော်စွာကို ပန်းထိမ်းမြို့ ၊ သတိုး မင်းရဲနရာကို ရန်အောင်မြို့သစ်မြို့၊ မင်းရဲသီဟကို ရှိမ်းမကားရွာ၊ မင်းရဲသိင်္ခကို ငါးပတ်ချောင်းရွာကို ပေးတော် မူ၏။</t>
  </si>
  <si>
    <t xml:space="preserve">He granted the Prince of Myanaung the town of Pathein-gyi in exchange for Myanaung; the Prince of Thapyay-ngaywa the town of Amyint in exchange for Thapyay-ngaywa; Thado Min Hla Kyaw Htin the town of Mawlamyine; Thado Minye Kyawswa the town of Panhteim; Thado Minye Nara the town of Yan-aung-thit; Minye Thiha the village of Sheinmaga; and Minye Thinkha the village of Ngapat-chaung.</t>
  </si>
  <si>
    <t xml:space="preserve">vol2_s000735_t02_ed4765a3f73c</t>
  </si>
  <si>
    <t xml:space="preserve">Prince of Thapyay-ngaywa (Amyint)</t>
  </si>
  <si>
    <t xml:space="preserve">vol2_s000735_t03_dc8713a6f9ea</t>
  </si>
  <si>
    <t xml:space="preserve">Thado Min Hla Kyaw Htin (Mawlamyine)</t>
  </si>
  <si>
    <t xml:space="preserve">Myawaddy is mistranslated as Mawlamyine, a different town.</t>
  </si>
  <si>
    <t xml:space="preserve">King → GRANTED_APPANAGE_TO → Thado Min Hla Kyaw Htin (Myawaddy)</t>
  </si>
  <si>
    <t xml:space="preserve">vol2_s000735_t04_8428de598f88</t>
  </si>
  <si>
    <t xml:space="preserve">Thado Minye Kyawswa (Panhteim)</t>
  </si>
  <si>
    <t xml:space="preserve">vol2_s000735_t05_ccc0667fa841</t>
  </si>
  <si>
    <t xml:space="preserve">Thado Minye Nara (Yan-aung-thit)</t>
  </si>
  <si>
    <t xml:space="preserve">vol2_s000735_t06_41f8c391e8ed</t>
  </si>
  <si>
    <t xml:space="preserve">Minye Thiha (Sheinmaga)</t>
  </si>
  <si>
    <t xml:space="preserve">vol2_s000735_t07_e2173ee5f74e</t>
  </si>
  <si>
    <t xml:space="preserve">Minye Thinkha (Ngapat-chaung)</t>
  </si>
  <si>
    <t xml:space="preserve">vol2_s000736</t>
  </si>
  <si>
    <t xml:space="preserve">vol2_s000736_t01_ba79cafcd6f5</t>
  </si>
  <si>
    <t xml:space="preserve">BESTOWED_LUXURY_GOODS_ON</t>
  </si>
  <si>
    <t xml:space="preserve">၎င်းနှစ် ဒုတိယဝါဆိုလဆန်းလေးရက် နေ့ သားတော် ပုသိန်မင်းသားကို ကွမ်းခွက် တစ်ဆယ့်ရှစ်မြှောင့် မှန်တပ် အနားပတ္တမြားသုံးရစ်စီ၊ ကွမ်းလိပ်သုံးမြွှာ တစ်ဆယ့်နှစ်မြှောင့်မှန်တပ် ပတ္တမြား သုံးရစ်စီ၊ လက်ဖက်အိုး တကောင်းပိတ် တစ်ဆယ့်နှစ်မြှောင့်မှန်တပ် ပတ္တမြားသုံးရစ်၊ ရွှေထွေးအင် ပေးတော်မူသည်။</t>
  </si>
  <si>
    <t xml:space="preserve">On the fourth day of the waxing moon of the second Waso of that year, he bestowed upon his son, the Prince of Pathein, an eighteen-cornered betel box with glass settings and three rows of rubies on the rim, three rolls of betel in twelve-cornered glass-set containers with three rows of rubies each, a tea jar with a Tagaung-style lid in a twelve-cornered glass-set container with three rows of rubies, and a golden spittoon.</t>
  </si>
  <si>
    <t xml:space="preserve">vol2_s000737</t>
  </si>
  <si>
    <t xml:space="preserve">vol2_s000737_t01_36aa11f641f7</t>
  </si>
  <si>
    <t xml:space="preserve">RESTORED_RELIGIOUS_MONUMENTS</t>
  </si>
  <si>
    <t xml:space="preserve">Monasteries, pagodas, and inscriptions</t>
  </si>
  <si>
    <t xml:space="preserve">၎င်းနှစ် ဒုတိယဝါဆိုလပြည့်ကျော် နှစ်ရက်- နေ့ အရပ်ရပ် ကျောင်း, ဘုရား, ကျောက်စာ ယိုယွင်းပျက်စီး သည်များကို အသစ်ထုလုပ်စေ၍ လဲလှယ်စိုက်ထားတော်မူ၏။</t>
  </si>
  <si>
    <t xml:space="preserve">On the second day of the waning moon of the second Waso of that year, he had various dilapidated monasteries, pagodas, and stone inscriptions newly crafted and replaced.</t>
  </si>
  <si>
    <t xml:space="preserve">vol2_s000738</t>
  </si>
  <si>
    <t xml:space="preserve">vol2_s000738_t01_99ecdec02f8f</t>
  </si>
  <si>
    <t xml:space="preserve">VISITED_FOR_MEDICAL_CARE</t>
  </si>
  <si>
    <t xml:space="preserve">Chief Queen of the Heir Apparent</t>
  </si>
  <si>
    <t xml:space="preserve">သမီးတော် အိမ်ရှေ့မိဖုရား မကျန်းမမာရှိသည်ကို ဘဝရှင်မင်းတရားကြီးဘုရား ကိုယ်တော်တိုင် အိမ်ရှေ့ အိမ်တော်သို့ ထွက်တော်မူ၍ ကြည့်ရှုကုမ ပါသော်လည်း ဝေဒနာမှ မထွက်မလွတ်။</t>
  </si>
  <si>
    <t xml:space="preserve">When his daughter, the Chief Queen of the Heir Apparent, fell ill, the Lord of Life [the King] himself went out to the Heir Apparent's palace to look after and treat her, but she did not recover from the ailment.</t>
  </si>
  <si>
    <t xml:space="preserve">vol2_s000739</t>
  </si>
  <si>
    <t xml:space="preserve">vol2_s000739_t01_4d6ba233837b</t>
  </si>
  <si>
    <t xml:space="preserve">တန်ဆောင်မုန်းလပြည့်ကျော် ရှစ်ရက်နေ့ နတ်ရွာစံတော်မူသည်ကို အိမ်ရှေ့အိမ်တော် အရှေ့မြောက် ဝင်းတော်အတွင်းတွင် မိဖုရားကြီးတို့ကို သင်္ဂြိုဟ်သည့်နည်း၊ ရွှေဝေါနှင့် ထွက်တော်မူ၍ သင်္ဂြိုဟ်တော်မူသည်။</t>
  </si>
  <si>
    <t xml:space="preserve">On the eighth day of the waning moon of Tazaungmon, when she passed away, he went out in a golden palanquin and performed the funeral rites in the same manner as those for a chief queen, within the northeast compound of the Heir Apparent's palace.</t>
  </si>
  <si>
    <t xml:space="preserve">vol2_s000741</t>
  </si>
  <si>
    <t xml:space="preserve">vol2_s000741_t01_303f4aac0f7c</t>
  </si>
  <si>
    <t xml:space="preserve">DELEGATED_CAPITAL_ADMINISTRATION_TO</t>
  </si>
  <si>
    <t xml:space="preserve">ပြာသိုလဆန်းတစ်ရက်နေ့ သားတော် မဟာဥပရာဇာကို နေပြည်တော်မှာ အစောင့်အနေ ထားတော် မူခဲ့ပြီးလျှင် မင်းကွန်းသို့ ထွက်တော်မူ၍ ပုထိုးတော်ကြီးကို ကိုယ်တော်တိုင် စီရင်တော်မူ၍ တည်လုပ်စေသည်။</t>
  </si>
  <si>
    <t xml:space="preserve">On the first day of the waxing moon of Pyatho, after having left his son, the Maha Uparaja, to keep watch in the capital, he went out to Mingun and personally directed the construction of the great pagoda.</t>
  </si>
  <si>
    <t xml:space="preserve">vol2_s000741_t02_725ead180089</t>
  </si>
  <si>
    <t xml:space="preserve">DIRECTED_CONSTRUCTION_OF</t>
  </si>
  <si>
    <t xml:space="preserve">Mingun Pagoda</t>
  </si>
  <si>
    <t xml:space="preserve">vol2_s000742</t>
  </si>
  <si>
    <t xml:space="preserve">vol2_s000742_t01_27eec55ece50</t>
  </si>
  <si>
    <t xml:space="preserve">CONSTRUCTED_MONUMENTAL_SCULPTURES</t>
  </si>
  <si>
    <t xml:space="preserve">Two great lions</t>
  </si>
  <si>
    <t xml:space="preserve">ပြာသိုလပြည့်ကျော် ငါးရက်နေ့ ပုထိုးတော်ကြီး အရှေ့မုခ် စောင်းတန်းဦး ဧရာဝတီမြစ်နားတွင် အရပ် အတောင်ခြောက်ဆယ်ရှိသော ခြင်္သေ့ကြီး နှစ်ဆူကို တည်လုပ်တော်မူသည်။</t>
  </si>
  <si>
    <t xml:space="preserve">On the fifth day of the waning moon of Pyatho, he had two great lions, each sixty cubits tall, constructed near the Irrawaddy River at the head of the stairway at the eastern entrance of the great pagoda.</t>
  </si>
  <si>
    <t xml:space="preserve">vol2_s000743</t>
  </si>
  <si>
    <t xml:space="preserve">vol2_s000743_t01_c8fc78d5b024</t>
  </si>
  <si>
    <t xml:space="preserve">Maung Phyo (Meiktila)</t>
  </si>
  <si>
    <t xml:space="preserve">Mekkhaya is mistranslated as Meiktila, a different appanage.</t>
  </si>
  <si>
    <t xml:space="preserve">King → GRANTED_APPANAGE_TO → Maung Phyo (Mekkhaya)</t>
  </si>
  <si>
    <t xml:space="preserve">သားတော် မောင်ဖြိုးကိုလည်း မက္ခရာမြို့ ကို ပေးတော်မူသည်။</t>
  </si>
  <si>
    <t xml:space="preserve">He also granted his son, Maung Phyo, the town of Meiktila.</t>
  </si>
  <si>
    <t xml:space="preserve">vol2_s000744</t>
  </si>
  <si>
    <t xml:space="preserve">vol2_s000744_t01_552943ea09eb</t>
  </si>
  <si>
    <t xml:space="preserve">Chinese-Yunnan King</t>
  </si>
  <si>
    <t xml:space="preserve">SENT_TRIBUTE_TO</t>
  </si>
  <si>
    <t xml:space="preserve">The Chinese ruler and gift direction are supported, but 'Chinese-Yunnan King' introduces an unwarranted regional title. Burmese identifies the Chinese emperor.</t>
  </si>
  <si>
    <t xml:space="preserve">Chinese Emperor → SENT_DIPLOMATIC_GIFTS_TO → Konbaung King</t>
  </si>
  <si>
    <t xml:space="preserve">တပေါင်းလဆန်း သုံးရက်၆ နေ့ တရုတ်ဥဒည်ပြည်သို့ စေခန့်တော်မူသည့် ဗန်းမော်စော်ဘွား, ဘဏ္ဍာ ဝန်, ကင်းဝန်တို့နှင့်အတူ တရုတ်ဥဒည်မင်းက ဘဲရွှေဖျင် မိုင်းလုံကတ္တီပါ စသော ထည်မျိုး အုပ်မျိုးတို့နှင့် အထူးထူး အဆန်းဆန်းသော လက်ဆောင်တော် များစွာ ရောက်သည်ကို မင်းကွန်း စံနန်းတော်တွင် အဆက်အသ ခံတော် မူ၏။</t>
  </si>
  <si>
    <t xml:space="preserve">On the third day of the waxing moon of Tabaung, he received at the Mingun royal palace the many special and novel gifts sent by the Chinese-Yunnan King—including duck-patterned golden cloth and Mong Long velvet—which arrived with the Bhamo Sawbwa, the Minister of Treasury, and the Minister of Customs, whom he had sent to the Chinese-Yunnan country.</t>
  </si>
  <si>
    <t xml:space="preserve">vol2_s000744_t02_73b719c3f512</t>
  </si>
  <si>
    <t xml:space="preserve">RECEIVED_TRIBUTE_FROM</t>
  </si>
  <si>
    <t xml:space="preserve">Same regional-title contamination as T1; the receipt of gifts from the Chinese ruler is genuine.</t>
  </si>
  <si>
    <t xml:space="preserve">Konbaung King → RECEIVED_DIPLOMATIC_GIFTS_FROM → Chinese Emperor</t>
  </si>
  <si>
    <t xml:space="preserve">vol2_s001374</t>
  </si>
  <si>
    <t xml:space="preserve">vol2_s001374_t01_ba7f5bf1a8da</t>
  </si>
  <si>
    <t xml:space="preserve">Northern Shweraesaung Queen Siri Maha Sudhamma Devi</t>
  </si>
  <si>
    <t xml:space="preserve">HELD_RANK</t>
  </si>
  <si>
    <t xml:space="preserve">Royal_Consort</t>
  </si>
  <si>
    <t xml:space="preserve">) ပလ သက္ကရာဇ် (၁၁၇၁) တစ်ထောင့်တစ်ရာ့ခုနစ်ဆယ့်တစ်ခု ဝါခေါင်လဆန်း တစ်ဆယ့်တစ်ရက် နေ့ မြောက် ရွှေရေးဆောင်မိဖုရား သီရိမဟာသုဓမ္မာဒေဝီ လွန်သည်။</t>
  </si>
  <si>
    <t xml:space="preserve">) On the 11th day of the waxing moon of Wagaung, 1171 B.E., the Northern Shweraesaung Queen, Siri Maha Sudhamma Devi, passed away.</t>
  </si>
  <si>
    <t xml:space="preserve">vol2_s001374_t02_edfe7e20f1ab</t>
  </si>
  <si>
    <t xml:space="preserve">DIED_IN</t>
  </si>
  <si>
    <t xml:space="preserve">1171_BE</t>
  </si>
  <si>
    <t xml:space="preserve">vol2_s001375</t>
  </si>
  <si>
    <t xml:space="preserve">vol2_s001375_t01_777f696b87f4</t>
  </si>
  <si>
    <t xml:space="preserve">Governor of Danubyu Siri Singha Mahe</t>
  </si>
  <si>
    <t xml:space="preserve">Governor_of_Danubyu</t>
  </si>
  <si>
    <t xml:space="preserve">ဝါခေါင်လပြည့်ကျော် လေးရက်ခံ နေ့ ဓနုဖြူမြို့စား သီရိသင်္ခါမဟေ လွန်သည်။</t>
  </si>
  <si>
    <t xml:space="preserve">On the 4th day of the waning moon of Wagaung, the Governor of Danubyu, Siri Singha Mahe, passed away.</t>
  </si>
  <si>
    <t xml:space="preserve">vol2_s001375_t02_020eb9db6682</t>
  </si>
  <si>
    <t xml:space="preserve">vol2_s001376</t>
  </si>
  <si>
    <t xml:space="preserve">vol2_s001376_t01_98090ae18a03</t>
  </si>
  <si>
    <t xml:space="preserve">Rakhine Tansaung Queen</t>
  </si>
  <si>
    <t xml:space="preserve">တော်သလင်းလဆန်း သုံးရက် နေ့ ရခိုင်တန်ဆောင်းမိဖုရား လွန်သည်။</t>
  </si>
  <si>
    <t xml:space="preserve">On the 3rd day of the waxing moon of Tawthalin, the Rakhine Tansaung Queen passed away.</t>
  </si>
  <si>
    <t xml:space="preserve">vol2_s001376_t02_295603964764</t>
  </si>
  <si>
    <t xml:space="preserve">vol2_s001377</t>
  </si>
  <si>
    <t xml:space="preserve">vol2_s001377_t01_fb3245d84cbb</t>
  </si>
  <si>
    <t xml:space="preserve">Rulers of Galle and Colombo</t>
  </si>
  <si>
    <t xml:space="preserve">သီတင်းကျွတ်လပြည့်ကျော် ရှစ်ရက် နေ့ သီဟိုဠ်ကျွန်း ဂါလီပူရမြို့, ကောလမ္ဗူရမြို့ စော်ဘွားတို့က ဆက်သည့် လက်ယာရစ် ခရုသင်း၊ ဆင်စွယ်သေတ္တာ၊ နံ့သာသေတ္တာ၊ အထူးထူးသော ထည်မျိုးအုပ်မျိုး၊ ဝရရောဂ ဆေးကျမ်း၊ သာရသင်္ခေပ ဆေးကျမ်းများနှင့် ကြေးဆင်းတုတော် နှစ်ဆူ၊ သရီရဓာတ်တော်ကိုးဆူ၊ မဟာဗောဓိကိုင်း အရှည် ခြောက်တောင်ခန့်၊ မဟာဗောဓိပင်ငယ် လေးပင်များကို သံဃာတော်ရှင် ဓမ္မစန္ဒ, ရှင်သိဒ္ဓတ္ထတို့ ဆောင်ယူ ရောက်သည်ကို ခန့်ထား ကြိုယူတော်မူ၍ ဓာတ်တော်, မွေတော်, ရုပ်တုတော်များကို ရိုသေစွာ ကိုးကွယ်တော်မူသည်။</t>
  </si>
  <si>
    <t xml:space="preserve">On the 8th day of the waning moon of Thadingyut, the monks Shin Dhamma Canda and Shin Siddhattha brought and arrived with the right-turning conch shell, ivory box, perfume box, various types of fabrics and containers, the Wararoga medical treatise, the Sarasangaha medical treatise, two bronze Buddha statues, nine bodily relics, a Maha Bodhi branch about six cubits long, and four small Maha Bodhi trees, which were offered by the rulers of Galle and Colombo in the island of Ceylon; [the King] appointed [officials] to welcome them and respectfully worshipped the relics, remains, and statues.</t>
  </si>
  <si>
    <t xml:space="preserve">vol2_s001377_t02_7ce0c18bbb3f</t>
  </si>
  <si>
    <t xml:space="preserve">Monks Shin Dhamma Canda and Shin Siddhattha</t>
  </si>
  <si>
    <t xml:space="preserve">TRANSPORTED_SACRED_OBJECTS_TO</t>
  </si>
  <si>
    <t xml:space="preserve">Konbaung_Court</t>
  </si>
  <si>
    <t xml:space="preserve">vol2_s001377_t03_d7928ea29439</t>
  </si>
  <si>
    <t xml:space="preserve">APPOINTED_OFFICIALS_TO_RECEIVE</t>
  </si>
  <si>
    <t xml:space="preserve">Sacred_objects</t>
  </si>
  <si>
    <t xml:space="preserve">vol2_s001377_t04_00558babe1db</t>
  </si>
  <si>
    <t xml:space="preserve">WORSHIPPED</t>
  </si>
  <si>
    <t xml:space="preserve">vol2_s001378</t>
  </si>
  <si>
    <t xml:space="preserve">vol2_s001378_t01_98faefe0b183</t>
  </si>
  <si>
    <t xml:space="preserve">PLANTED</t>
  </si>
  <si>
    <t xml:space="preserve">Bodhi_trees</t>
  </si>
  <si>
    <t xml:space="preserve">ဗောဓိပင်များကို ရှင်ဖြူဘုရား အရံတွင် စိုက်တော်မူသည်။</t>
  </si>
  <si>
    <t xml:space="preserve">He planted the Bodhi trees in the enclosure of the Shinbyu Pagoda.</t>
  </si>
  <si>
    <t xml:space="preserve">vol2_s001378_t02_dc4445f76339</t>
  </si>
  <si>
    <t xml:space="preserve">PLACED_IN</t>
  </si>
  <si>
    <t xml:space="preserve">Shinbyu_Pagoda_enclosure</t>
  </si>
  <si>
    <t xml:space="preserve">vol2_s001379</t>
  </si>
  <si>
    <t xml:space="preserve">vol2_s001379_t01_078d1f439d17</t>
  </si>
  <si>
    <t xml:space="preserve">BESTOWED_TITLE_AND_REGALIA_UPON</t>
  </si>
  <si>
    <t xml:space="preserve">Prince_Yanaung</t>
  </si>
  <si>
    <t xml:space="preserve">နတ်တော်လပြည့်ကျော် သုံးရက် နေ့ သားတော် ယနောင်မင်းသားကို ကလေးမြို့၊ ဗောင်းကတ္တီပါနီ ရွှေသား ပန်းကိုး၊ စလွယ် တစ်ဆယ့်နှစ်သွယ်၊ နဖူးစည်း ကျောက်တန်းစီ၊ စိန်နန်းဆွဲတန့်ပါ ရွှေကျပ် မြင်းမိုရ်အဝန်း၊ လက်ဖက်အိုး လေးထောင့်၊ ရွှေထွေးအင်၊ ဓားအဆောက် ရွှေသာပိန်း၊ သင်းချော၊ ထမ်းစင် တစ်ဆယ့်ရှစ်ဝန်း၊ ကျိုင်းဆင်စွယ်ထွတ်နှစ်၊ မြင်းကကိုင်း ညောင်ရွက်ခုနစ်၊ နင်းနှင်းသိပ်၊ အိမ်မြောင် ရင်ပတ်ကွင်း ဆက်ပါးကာ ရွှေဇဝါပိန်း၊ ကတောင် ရွှေရေး၊ တိုးရုပ် ပန်းခက်ကိုက် ခြူသေးသွတ်၊ အနား သံလေးသစ် ရွှေပိန်း၊ မြင်းကြိုး ဦးခက်ထိပ်ဆောင်း မြီးပျမ်း ရင်ပတ်သက္ကလတ်ကြိုး ရွှေကြယ်တပ်၊ စီးနှီးသက္ကဒါန်၊ သက္ကလတ်တင်ရန်း၊ ဆက်ညွှန်း သုံးဆင့် ပေးတော်မူသည်။</t>
  </si>
  <si>
    <t xml:space="preserve">On the 3rd day of the waning moon of Natdaw, he bestowed upon his son, Prince Yanoung, the Kalay city [title], a red velvet crown, a golden flower bouquet, twelve shoulder belts, a forehead band inlaid with stones, a diamond-studded hair ornament, a golden-rimmed Mount Meru-style tea pot, a golden spittoon, a sword with a golden-patterned hilt, a fine mat, eighteen palanquins, two ivory-tipped fly whisks, seven horse-hair ornaments with banyan leaf designs, a saddle pad, a small chest piece with a continuous thin-cloth golden-patterned border, a golden-painted saddle flap, a decorative figure with floral-patterned small bells, a four-inch golden-plated border, a horse bridle with a headpiece and tail-cover, a chest-piece with woolen cords and golden stars, a riding belt, a woolen saddle cloth, and three levels of insignia.</t>
  </si>
  <si>
    <t xml:space="preserve">vol2_s001379_t02_4fe21a0e656f</t>
  </si>
  <si>
    <t xml:space="preserve">RECEIVED_APPOINTMENT_AS</t>
  </si>
  <si>
    <t xml:space="preserve">Governor_of_Kalay</t>
  </si>
  <si>
    <t xml:space="preserve">vol2_s001379_t03_2597c3d0181d</t>
  </si>
  <si>
    <t xml:space="preserve">RECEIVED_REGALIA_FROM</t>
  </si>
  <si>
    <t xml:space="preserve">vol2_s001380</t>
  </si>
  <si>
    <t xml:space="preserve">vol2_s001380_t01_13d28c3df670</t>
  </si>
  <si>
    <t xml:space="preserve">Fire</t>
  </si>
  <si>
    <t xml:space="preserve">ORIGINATED_IN</t>
  </si>
  <si>
    <t xml:space="preserve">Chinese_Quarter</t>
  </si>
  <si>
    <t xml:space="preserve">တန်ခူးလဆန်း ကိုးရက် နေ့ ရွှေမြို့ တော်အနောက် တရုတ်တန်းက စ၍ မီးစွဲလောင်သည်တွင် မုန်တိုင်းလေရူး သည်းထန်ပြင်းပြစွာ တိုက်ခတ်၍ မြို့တွင်းတိုင်အောင် မီးစွဲညိုကူးရောက်ချေသောကြောင့် ရွှေနန်းတော်နှင့်တကွ မီးသင့်ချေ၏။</t>
  </si>
  <si>
    <t xml:space="preserve">On the 9th day of the waxing moon of Tagu, a fire started in the Chinese quarter to the west of the Golden City, and because a storm with fierce and intense winds blew, the fire spread and reached into the city, causing the Golden Palace and its surroundings to be consumed by fire.</t>
  </si>
  <si>
    <t xml:space="preserve">vol2_s001380_t02_8da68195d6a6</t>
  </si>
  <si>
    <t xml:space="preserve">vol2_s001381</t>
  </si>
  <si>
    <t xml:space="preserve">vol2_s001381_t01_671d0d873e7c</t>
  </si>
  <si>
    <t xml:space="preserve">ARRANGED_MARRIAGE_BETWEEN</t>
  </si>
  <si>
    <t xml:space="preserve">Prince_Lain_and_Princess_Siri_Suratanapabha_Devi</t>
  </si>
  <si>
    <t xml:space="preserve">သက္ကရာဇ် (၁၁၇၁) တစ်ထောင့်တစ်ရာ့ခုနစ်ဆယ့်တစ်ခု ကဆုန်လဆန်း ငါးရက်'နေ့ သားတော် လိုင်မင်းသား သီရိသုဓမ္မရာဇာကို သမီးတော် သီရိသုရတနာပဘာဒေဝီနှင့် စုံဖက်တော်မူသည်။</t>
  </si>
  <si>
    <t xml:space="preserve">On the 5th day of the waxing moon of Kason, 1171 B.E., he united his son, Prince Lain, Siri Sudhamma Raja, with his daughter, Siri Suratanapabha Devi.</t>
  </si>
  <si>
    <t xml:space="preserve">vol2_s001381_t02_fc02924855a5</t>
  </si>
  <si>
    <t xml:space="preserve">Prince_Lain</t>
  </si>
  <si>
    <t xml:space="preserve">Siri_Sudhamma_Raja</t>
  </si>
  <si>
    <t xml:space="preserve">vol2_s001382</t>
  </si>
  <si>
    <t xml:space="preserve">vol2_s001382_t01_7701a2a11602</t>
  </si>
  <si>
    <t xml:space="preserve">DISPATCHED_MISSION_TO</t>
  </si>
  <si>
    <t xml:space="preserve">Rakhine_Dhannavati</t>
  </si>
  <si>
    <t xml:space="preserve">A genuine royal mission is represented, but the first transit stop is promoted to its mission destination. The stated purpose is the Maha Bodhi pilgrimage and gathering scriptures in the sixteen regions.</t>
  </si>
  <si>
    <t xml:space="preserve">Konbaung King → DISPATCHED_RELIGIOUS_TEXT_COLLECTION_MISSION_TO → Maha Bodhi and the sixteen regions</t>
  </si>
  <si>
    <t xml:space="preserve">ဗောဓိပင်ကို သွားသော ခရီးလမ်းစဉ်၊ မဟာဗောဓိအကြောင်း စသည်နှင့် ဗောဓိပင် စိုက်တော်မူခြင်း မဟာဗောဓိပင်ကို အဖူးအမြော် အကြည့်အရှု သောဠသ တစ်ဆယ့်ခြောက်တိုင်းများမှာ ပိဋကတ်ကျမ်းဂန် စာပေ အဆောင်အယူ စေလွှတ်တော်မူသည့် ပုရောဟိတ်ပုဏ္ဏား ဝါသိဋ္ဌဗြဟ္မာ, ရမ္မာဝတီမြို့ဝန် ရွှေတောင်သာဂသူ, ဇေယကျော်သူ, ဇေယကျော်ထင်, ဇေယကျော်စွာတို့လည်း ရွှေဖဝါးတော်အောက်က စလင်းဘားအိုင်ဒလက်ကြောင်း သွား၍ ခရီး နှစ်ဆယ့်နှစ်ယူဇနာကွာ ရခိုင်ဓညဝတီမြို့သို့ ရောက်သည်။</t>
  </si>
  <si>
    <t xml:space="preserve">Regarding the route taken to the Bodhi tree, the history of the Maha Bodhi, etc., and the planting of the Bodhi tree, the Brahmin priest Wasittha Brahma, the Governor of Rammavati Shwetaung Thagathu, Zeya Kyawthu, Zeya Kyawhtin, and Zeya Kyawswa, who were sent to the sixteen regions of Solasa to pay homage to and view the Maha Bodhi tree and to deliver Buddhist scriptures and offerings, traveled from under the royal feet via the Salin-Bar-Ain-Dalet route and reached the Rakhine city of Dhannavati, a distance of twenty-two yojana.</t>
  </si>
  <si>
    <t xml:space="preserve">vol2_s001382_t02_20dace790f25</t>
  </si>
  <si>
    <t xml:space="preserve">Brahmin_priest_Wasittha_Brahma_and_officials</t>
  </si>
  <si>
    <t xml:space="preserve">vol2_s001382_t03_3d8257534005</t>
  </si>
  <si>
    <t xml:space="preserve">TRAVELED_TO</t>
  </si>
  <si>
    <t xml:space="preserve">vol2_s001383</t>
  </si>
  <si>
    <t xml:space="preserve">vol2_s001383_t01_77c7fe36fcbd</t>
  </si>
  <si>
    <t xml:space="preserve">Royal_officials</t>
  </si>
  <si>
    <t xml:space="preserve">TRAVELED_THROUGH</t>
  </si>
  <si>
    <t xml:space="preserve">Aungseik_Ngamanyi_Marukhon_Kyaukpantu</t>
  </si>
  <si>
    <t xml:space="preserve">ထိုကမှ အနောက်မြောက်ကို အောင်ဆိပ်, ငမန်ရည်, မရူခုံ, ကျောက်ပန်တူကြောင်းသွား၍ ခရီးရှစ်ယူဇနာကွာ မုန်တောကင်းသို့ ရောက်သည်။</t>
  </si>
  <si>
    <t xml:space="preserve">From there, they traveled northwest via Aungseik, Ngamanyi, Marukhon, and Kyaukpantu, and reached Montawkain, a distance of eight yojana.</t>
  </si>
  <si>
    <t xml:space="preserve">vol2_s001383_t02_3d60866760e1</t>
  </si>
  <si>
    <t xml:space="preserve">REACHED</t>
  </si>
  <si>
    <t xml:space="preserve">Montawkain</t>
  </si>
  <si>
    <t xml:space="preserve">vol2_s001384</t>
  </si>
  <si>
    <t xml:space="preserve">vol2_s001384_t01_1adae271689a</t>
  </si>
  <si>
    <t xml:space="preserve">Yeganton_Thinbawpyetkhon_Panmaw_Panwa_Mahaso</t>
  </si>
  <si>
    <t xml:space="preserve">ထိုကမှ အနောက်မြစ်ကို ရေငံတုံ, သင်္ဘောပျက်ခုံ, ပန်းမော်, ပန်းဝါ, မဟာစိုကြောင်း သွား၍ ခရီးရှစ်ယူဇနာကွာ စစ်တကောင်းမြို့သို့ ရောက်သည်။</t>
  </si>
  <si>
    <t xml:space="preserve">From there, they traveled west across the river via Yeganton, Thinbawpyetkhon, Panmaw, Panwa, and Mahaso, and reached the city of Chittagong, a distance of eight yojana.</t>
  </si>
  <si>
    <t xml:space="preserve">vol2_s001384_t02_e64945b36c40</t>
  </si>
  <si>
    <t xml:space="preserve">Chittagong</t>
  </si>
  <si>
    <t xml:space="preserve">vol2_s001385</t>
  </si>
  <si>
    <t xml:space="preserve">vol2_s001385_t01_23c7ab72e466</t>
  </si>
  <si>
    <t xml:space="preserve">Kusinara_Yeponmi_Saungtikyun_Hattirakyun</t>
  </si>
  <si>
    <t xml:space="preserve">ထိုကမှ အနောက်မြောက်ကို ကုသိနာရုံ, ရေပေါ်မီး, စောင်းတီးကျွန်း, ဟတ္တိရာကျွန်းကြောင်း သွား၍ ခရီးခုနစ်ယူဇနာကွာ လောက်ချီပူရာမြို့သို့ ရောက်သည်။</t>
  </si>
  <si>
    <t xml:space="preserve">From there, they traveled northwest via Kusinara, Yeponmi, Saungtikyun, and Hattirakyun, and reached the city of Laukchipura, a distance of seven yojana.</t>
  </si>
  <si>
    <t xml:space="preserve">vol2_s001385_t02_3be265ecf529</t>
  </si>
  <si>
    <t xml:space="preserve">Laukchipura</t>
  </si>
  <si>
    <t xml:space="preserve">vol2_s001545</t>
  </si>
  <si>
    <t xml:space="preserve">vol2_s001545_t01_b238ddd58e6d</t>
  </si>
  <si>
    <t xml:space="preserve">Naymyo Zeya Thura</t>
  </si>
  <si>
    <t xml:space="preserve">Four regiments</t>
  </si>
  <si>
    <t xml:space="preserve">တမူးကြောင်း တပ်ဦးချီ အိမ်ရှေ့အတွင်းဝန် နေမျိုးဇေယသူရတို့ လေးတပ်နှင့် တစ်ချိန်တစ်ခါတည်း မဏိပူရမြို့မှာ ပေါင်းဆုံမိ၍ မဏိပူရ ကသည်းတစ်မြို့လုံးကို သိမ်းယူကြသည်။</t>
  </si>
  <si>
    <t xml:space="preserve">The Crown Prince's Minister Naymyo Zeya Thura and his four regiments, who were marching at the vanguard along the Tamu route, met at the same time in Manipur city and seized the entire city of Manipur and the Kathe people.</t>
  </si>
  <si>
    <t xml:space="preserve">vol2_s001545_t02_e8f5d5aaa86b</t>
  </si>
  <si>
    <t xml:space="preserve">Manipur city</t>
  </si>
  <si>
    <t xml:space="preserve">vol2_s001545_t03_a90a6b0eecfd</t>
  </si>
  <si>
    <t xml:space="preserve">SUBJUGATED</t>
  </si>
  <si>
    <t xml:space="preserve">Kathe people</t>
  </si>
  <si>
    <t xml:space="preserve">vol2_s001546</t>
  </si>
  <si>
    <t xml:space="preserve">vol2_s001546_t01_d9637ef55a25</t>
  </si>
  <si>
    <t xml:space="preserve">Kathe Sawbwa Maharaja</t>
  </si>
  <si>
    <t xml:space="preserve">ကသည်း စော်ဘွား မဟာရာဇာမူကား တပ်တော်များ ချီတက်သည် ကြားစကာလကပင် သားမယားတို့ကို အက္ကပတ်မြို့သို့ ပို့ထားသည်ဖြစ်၍ ကက်စိန်တပ်ပျက်လျှင် မဏိပူရမြို့သို့ မဝင်၊ ရုံးစုမိသမျှ အခြွေအရံ စုံရာနှင့် ပင်လယ်တိမ်ကသည် အက္ကပတ်မြို့သို့ ပြေးသွားလေသောကြောင့် မမိ မရ လွတ်လေ၏။</t>
  </si>
  <si>
    <t xml:space="preserve">As for the Kathe Sawbwa Maharaja, since he had sent his wife and children to Akkaphat city as soon as he heard that the royal troops were marching, when the Kathe army was defeated, he did not enter Manipur city; instead, he fled to Akkaphat city with all the attendants he could gather, and because he fled to the sea-side Akkaphat city, he escaped and was not caught.</t>
  </si>
  <si>
    <t xml:space="preserve">vol2_s001546_t02_a19f9033bf6e</t>
  </si>
  <si>
    <t xml:space="preserve">SOUGHT_REFUGE_IN</t>
  </si>
  <si>
    <t xml:space="preserve">Akkaphat city</t>
  </si>
  <si>
    <t xml:space="preserve">vol2_s001546_t03_ac726c91d1b6</t>
  </si>
  <si>
    <t xml:space="preserve">vol2_s001547</t>
  </si>
  <si>
    <t xml:space="preserve">vol2_s001547_t01_43043968f064</t>
  </si>
  <si>
    <t xml:space="preserve">Naymyo Min Hla Maha Nawrahta</t>
  </si>
  <si>
    <t xml:space="preserve">ACTED_UNDER_ORDER_OF</t>
  </si>
  <si>
    <t xml:space="preserve">Sovereign King</t>
  </si>
  <si>
    <t xml:space="preserve">ဗိုလ်ချုပ် နေမျိုးမင်းလှမဟာနော်ရထာလည်း ကသည်းစော်ဘွား မဟာရာဇာ” ထွက်ပြေး၍ မဏိပူရမြို့ အလုံးကို သိမ်းရုံးမိလျှင် ဆင်ဖြူများသခင် အသျှင် ဘဝရှင်မင်းတရားကြီးဘုရား အမိန့်တော်အတိုင်း မဏိပူရ ကသည်းတို့ တိုင်းပြည်ကို အနေအထား ကျအောင် စီရင် စည်းကြပ်ခဲ့၍ ဇူပရာဇာ' ကို နန်းတင်ခဲ့ပြီးလျှင် တပ်တော်များကို သိမ်းရုံး၍ ရွှေဖဝါးတော်အောက် တပ်စဉ်အတိုင်း ပြန်လာခဲ့၏။</t>
  </si>
  <si>
    <t xml:space="preserve">General Naymyo Min Hla Maha Nawrahta also, once the Kathe Sawbwa Maharaja had fled and he had seized the whole of Manipur city, according to the order of the Lord of the White Elephants, the Sovereign King, arranged and organized the country of the Manipur Kathe people to be in order, installed Zupraza on the throne, and then gathered the royal troops and returned under the golden feet according to the military formation.</t>
  </si>
  <si>
    <t xml:space="preserve">vol2_s001547_t02_9e9bbde9c046</t>
  </si>
  <si>
    <t xml:space="preserve">REORGANIZED_ADMINISTRATION_OF</t>
  </si>
  <si>
    <t xml:space="preserve">Manipur</t>
  </si>
  <si>
    <t xml:space="preserve">vol2_s001547_t03_fe6ed08fb478</t>
  </si>
  <si>
    <t xml:space="preserve">INSTALLED_AS_RULER</t>
  </si>
  <si>
    <t xml:space="preserve">Zupraza</t>
  </si>
  <si>
    <t xml:space="preserve">vol2_s001547_t04_53081b4c5dd5</t>
  </si>
  <si>
    <t xml:space="preserve">BECAME_VASSAL_OF</t>
  </si>
  <si>
    <t xml:space="preserve">vol2_s001547_t05_1ed406091a03</t>
  </si>
  <si>
    <t xml:space="preserve">RETURNED_TO_CENTER</t>
  </si>
  <si>
    <t xml:space="preserve">vol2_s001548</t>
  </si>
  <si>
    <t xml:space="preserve">vol2_s001548_t01_2324d56c3eca</t>
  </si>
  <si>
    <t xml:space="preserve">Lai Prince Thiri Dhamma Raja</t>
  </si>
  <si>
    <t xml:space="preserve">Royal Prince</t>
  </si>
  <si>
    <t xml:space="preserve">ထိုနှစ် တပေါင်းလပြည့်ကျော် ခြောက်ရက်၃ နေ့ သားတော် လိုင်မင်းသား သီရိဓမ္မရာဇာ လွန်သည်။</t>
  </si>
  <si>
    <t xml:space="preserve">On the sixth day after the full moon of Tabaung of that year, the son, Lai Prince Thiri Dhamma Raja, passed away.</t>
  </si>
  <si>
    <t xml:space="preserve">vol2_s001548_t02_2266288fd7ab</t>
  </si>
  <si>
    <t xml:space="preserve">DIED</t>
  </si>
  <si>
    <t xml:space="preserve">Dynastic loss</t>
  </si>
  <si>
    <t xml:space="preserve">vol2_s001549</t>
  </si>
  <si>
    <t xml:space="preserve">vol2_s001549_t01_0faeb7f0bf9e</t>
  </si>
  <si>
    <t xml:space="preserve">SPONSORED_INFRASTRUCTURE</t>
  </si>
  <si>
    <t xml:space="preserve">Minte bridge</t>
  </si>
  <si>
    <t xml:space="preserve">သက္ကရာဇ် (၁၁၇၆) တစ်ထောင့်တစ်ရာ့ ခုနစ်ဆယ့်ခြောက်ခု ကဆုန်လဆန်း ကိုးရက်နေ့ မင်းတဲမြစ်ကူးတံတား, ဆူးကားမြစ်ကူး တံတားတော်ကြီးနှစ်ရပ် အလုပ်အဆောင် အလုံးစုံ ပြီးပြေလျှင် မင်းတဲအရပ်တွင် မင်းတဲကြီးကျယ်စွာ စီရင်တော်မူ၍ ထွက်စံတော်မူပြီးလျှင် အရညဝါသီပုဂ္ဂိုလ်, ဂါမဝါသီပုဂ္ဂိုလ်, အရိယာ သံဃာတော်တို့အား ပရိက္ခရာ ရှစ်ပါးနှင့်တကွ ရဟန်းတို့ အသုံးအဆောင်ကို များစွာ လှူတော်မူပြီးလျှင် ရေစက်သွန်းချတော်မူ၍ သာဓုအနုမောဒနာ ပြုတော်မူသည်။</t>
  </si>
  <si>
    <t xml:space="preserve">In the year 1176, on the ninth day of the waxing moon of Kason, when the construction of the two great bridges, the Minte bridge and the Sukar bridge, was entirely completed, he held a grand royal pavilion in the Minte area and went to reside there, and then he donated many sets of the eight requisites and other monastic necessities to the forest-dwelling monks, village-dwelling monks, and the noble Sangha, and after pouring water of dedication, he performed the sharing of merit.</t>
  </si>
  <si>
    <t xml:space="preserve">vol2_s001549_t02_a7a051896a3f</t>
  </si>
  <si>
    <t xml:space="preserve">Sukar bridge</t>
  </si>
  <si>
    <t xml:space="preserve">vol2_s001549_t03_b9aa14d8d04b</t>
  </si>
  <si>
    <t xml:space="preserve">PERFORMED_MERIT_MAKING</t>
  </si>
  <si>
    <t xml:space="preserve">vol2_s001549_t04_3455cfdb4704</t>
  </si>
  <si>
    <t xml:space="preserve">vol2_s001550</t>
  </si>
  <si>
    <t xml:space="preserve">vol2_s001550_t01_fe6d5847c2a2</t>
  </si>
  <si>
    <t xml:space="preserve">DISTRIBUTED_WEALTH_TO</t>
  </si>
  <si>
    <t xml:space="preserve">Ministers and commanders</t>
  </si>
  <si>
    <t xml:space="preserve">မှူးတော်မတ်တော် ဗိုလ်မှူးတပ်မှူး သူရဲသူခက် ပြည်သူပြည်သားတို့နှင့် အသက်အရွယ် အိုးမင်းကြီးရင့်သသူ, အထီးကျန်သသူ, မစားရတတ်– မဝတ်ရတတ်သသူတို့ကိုလည်း ရက်ပေါင်းငါးဆယ်တိုင်တိုင် ရွှေ၊ ငွေ၊ ပုဆိုး, ထည်မျိုးအုပ်မျိုး များစွာသော အသဒိသအလှူတော်ကြီးကို အထိုက်အလိုက် ပေးကမ်းစွန့်လှူတော်မူ၍ ပွဲသဘင်ကြီးစွာ ခံနေတော်မူကြိုက် မဇ္ဈိမတိုက် သောဠသ တစ်ဆယ့်ခြောက်တိုင်း ဖြစ်သော ဗာရာဏသီပြည် ဗုဒ္ဓသေနမင်းကြီး, ဝေကန္တေ ယျရာဇာမင်းက နာဂရီဘာသာရေးစာ၊ လောကနီတိကျမ်း၊ ရာဇနီတိကျမ်း၊ ဝိပါဟပဌလ ဗေဒင်ကျမ်း၊ ဟိုရသျှတြ- ဗေဒင်ကျမ်း၊ သုရုတ ဆေးကျမ်း၊ ဝေဒဇီဝန ဆေးကျမ်း၊ ဗဟုရတနမာရတန္တ ဒီပနီ ဋီကာကျမ်း၊ ရသာယနသမုစ္စယ ဆေးကျမ်း၊ နရာန်ဋီကာကျမ်း၊ ဂေါတ္တမသုတ္တရကျမ်း၊ ဂေါရိကညာသျှတြကျမ်း၊ ဇာတကဖရဏ ဗေဒင်ကျမ်း၊ ဂရမဟာတပြ ပူရဏကျမ်း၊ ဂမရသတန္တ ရမန္တ ရကျမ်း၊ တိတဌမုတ္တာဝမုနာနယတန ကျမ်း၊ သိပါတြဘာဇဗေဒင်ကျမ်း၊ ဂရုဓမ္မပူရဏကျမ်း၊ ဘောဇဝရတန္တ ရာဇနီတိကျမ်း၊ ဝါရဟိသံဟိတဗေဒင်ကျမ်း၊ ဓမ္မသျှမုတ္တမုတ္တရ ဗေဒင်ကျမ်း၊ နရဘန်ကျမ်း၊ ပါရသိပကာသျှမုစ္စလ ဗေဒင်ကျမ်း၊ ယောဂဝါ ဗိတဒိဋ္ဌိကျမ်း၊ ဘိဒါတ မုတ္တာဝလိကျမ်း၊ တန္တ သာရကျမ်း၊ ဝါသိဋ္ဌစန္ဒရန ဗေဒင်ကျမ်း၊ အမရသာရ ဗေဒင်ကျမ်း၊ သရမန်စရိ ဆေးကျမ်း၊ အထူးထူးသော ထည်မျိုးအုပ်မျိုး လက်ဆောင်တော်များနှင့် အသက်တစ်ဆယ့်တစ်နှစ်အရွယ် အဆင်းအင်္ဂါ လက္ခဏာ နှင့် ပြည့်စုံသော မင်းသမီးကို အထိမ်းအယ သင်းပင်း ခြွေရံများနှင့်တကွ အဆက်အသ ပုရောဟိတ်ပုဏ္ဏားကြီး ဂေါဝိန္ဒ မဟာရာဇိန္ဒ အဂ္ဂမဟာဓမ္မရာဇဂုရု ဆရာတော်နှင့် ဗာရာဏသီအမတ်ကြီးတို့ ကြပ်မ၍ ခြေတော်ဦးခိုက် ရောက်လျှင် အဆက်အသ ခံတော်မူသည်။</t>
  </si>
  <si>
    <t xml:space="preserve">He also gave away, according to their needs, many incomparable great alms of gold, silver, cloth, and various types of garments for fifty days to the ministers, commanders, troop leaders, warriors, the public, the elderly, the lonely, and those who could not afford to eat or wear clothes, and while he was holding a grand festival, King Buddhasena of Varanasi, which is one of the sixteen great countries of the Middle Land, and King Vekanteyyara Raja sent Nagari religious texts, the Lokaniti treatise, the Rajaniti treatise, the Vipahapathala astrology treatise, the Horasastra astrology treatise, the Su-ruta medical treatise, the Vedajivana medical treatise, the Bahuratanamaratanta Dipani commentary, the Rasayanasamuccaya medical treatise, the Naran commentary, the Gotama Suttara treatise, the Gorikanyasastra treatise, the Jatakapharana astrology treatise, the Grahamahatapa Purana treatise, the Gamarasatanta Ramantara treatise, the Titathamuttavamunanayatana treatise, the Sipatrabaja astrology treatise, the Garudhamma Purana treatise, the Bojavaratanta Rajaniti treatise, the Varahisamhita astrology treatise, the Dhammasyamuttamuttara astrology treatise, the Naraban treatise, the Parasipakasyamuccala astrology treatise, the Yogava Bitaditthi treatise, the Bhidata Muttavali treatise, the Tantrasara treatise, the Wasitthacandarana astrology treatise, the Amarasara astrology treatise, the Saramancari medical treatise, and various types of cloth and garments as gifts, along with a princess who was eleven years old and endowed with beauty and auspicious signs, accompanied by attendants and escorts, and when they arrived to pay homage under the supervision of the great Brahmin priest Govinda Maharajinda Aggamahadhammarajaguru Sayadaw and the great ministers of Varanasi, he accepted the offerings.</t>
  </si>
  <si>
    <t xml:space="preserve">vol2_s001550_t02_a97e273f5896</t>
  </si>
  <si>
    <t xml:space="preserve">Public</t>
  </si>
  <si>
    <t xml:space="preserve">vol2_s001550_t03_286d2f01af1b</t>
  </si>
  <si>
    <t xml:space="preserve">PERFORMED_ASADISA_CHARITY</t>
  </si>
  <si>
    <t xml:space="preserve">vol2_s001550_t04_cb4bbb4c5c5d</t>
  </si>
  <si>
    <t xml:space="preserve">King Buddhasena of Varanasi</t>
  </si>
  <si>
    <t xml:space="preserve">SENT_DIPLOMATIC_GIFTS_TO</t>
  </si>
  <si>
    <t xml:space="preserve">vol2_s001550_t05_ddd104fe25aa</t>
  </si>
  <si>
    <t xml:space="preserve">SENT_PRINCESS_TO</t>
  </si>
  <si>
    <t xml:space="preserve">vol2_s001550_t06_6f5717a3b838</t>
  </si>
  <si>
    <t xml:space="preserve">ACCEPTED_DIPLOMATIC_SUBMISSION_FROM</t>
  </si>
  <si>
    <t xml:space="preserve">vol2_s001551</t>
  </si>
  <si>
    <t xml:space="preserve">vol2_s001551_t01_6b11eed8b1bd</t>
  </si>
  <si>
    <t xml:space="preserve">Golden Royal City</t>
  </si>
  <si>
    <t xml:space="preserve">နယုန်လပြည့်ကျော် တစ်ဆယ့်လေးရက်နေ့ မင်းတဲအရပ်က ရွှေမြို့တော်သို့ ဝင်တော်မူသည်။</t>
  </si>
  <si>
    <t xml:space="preserve">On the fourteenth day after the full moon of Nayon, he entered the golden royal city from the Minte area.</t>
  </si>
  <si>
    <t xml:space="preserve">vol2_s001552</t>
  </si>
  <si>
    <t xml:space="preserve">vol2_s001552_t01_0c71707feb9e</t>
  </si>
  <si>
    <t xml:space="preserve">Bagan Min Thiha Thura Maha Dhamma Raja</t>
  </si>
  <si>
    <t xml:space="preserve">တန်ဆောင်မုန်းလဆန်း နှစ်ရက်နေ့ သားတော်ပုဂံမင်း သီဟသူရမဟာဓမ္မရာဇာ လွန်သည်။</t>
  </si>
  <si>
    <t xml:space="preserve">On the second day of the waxing moon of Tazaungmon, the son, Bagan Min Thiha Thura Maha Dhamma Raja, passed away.</t>
  </si>
  <si>
    <t xml:space="preserve">vol2_s001552_t02_a5215361a97c</t>
  </si>
  <si>
    <t xml:space="preserve">vol2_s001553</t>
  </si>
  <si>
    <t xml:space="preserve">vol2_s001553_t01_acf868ad440f</t>
  </si>
  <si>
    <t xml:space="preserve">Laikaing Prince Min Ye Min Hla Nge</t>
  </si>
  <si>
    <t xml:space="preserve">တန်ဆောင်မုန်း လဆန်း တစ်ဆယ့်ငါးရက် နေ့ သားတော် လယ်ကိုင်းမင်းသား မင်းရဲမင်းလှငယ်နှင့် သမီးတော် သီရိဟီရိဝတီကို စုံဖက်တော်မူသည်။</t>
  </si>
  <si>
    <t xml:space="preserve">On the fifteenth day of the waxing moon of Tazaungmon, he united his son, the Laikaing Prince Min Ye Min Hla Nge, and his daughter, Thiri Hirivati, in marriage.</t>
  </si>
  <si>
    <t xml:space="preserve">vol2_s001553_t02_081b1e51c53f</t>
  </si>
  <si>
    <t xml:space="preserve">Thiri Hirivati</t>
  </si>
  <si>
    <t xml:space="preserve">vol2_s002049</t>
  </si>
  <si>
    <t xml:space="preserve">vol2_s002049_t01_98d22e9e18ea</t>
  </si>
  <si>
    <t xml:space="preserve">DELEGATED_COMMAND_TO</t>
  </si>
  <si>
    <t xml:space="preserve">Prince of Dwaravati Thado Minye Kyawhtin</t>
  </si>
  <si>
    <t xml:space="preserve">ညီတော် ဗိုလ်ချုပ် ဒွါရာဝတီမြို့စား မင်းသား သတိုးမင်းရဲကျော်ထင်နှင့် တပ်ပေါင်းသုံးဆယ်မှာ ကန္နီ မြို့ဝန် နေမျိုးရဲခေါင်ကျော်ထင် တပ်၊ နေမျိုးကျော်ခေါင် တပ်၊ ကင်းတပ်မှူး ဇေယနော်ရထာ တပ်၊ မြေဒူးမြို့ဝန် ရဲကျော်နော်ရထာ တပ်၊ ကတူးစား ရဲသူဇေယနော်ရထာ တပ်၊ နေမျိုးသူရရွှေတောင် တပ်၊ ရွှေတောင်အာကာ တပ်၊ ဇေယရွှေတောင်ကျော် တပ်၊ ရဲလှနော်ရထာ တပ်၊ ကျော်ခေါင်ဇေယနော်ရထာ တပ်၊ ရဲထင်အာကာ တပ်၊ သီဟသူရကျော် တပ်၊ တုရင်စက္က တပ်၊ လက်ဝဲစစ်ကဲကြီး အလုံမြို့ဝန် မင်းကြီးမဟာဗန္ဓုလ တပ်နှင့် တပ်ပေါင်း တစ်ဆယ့်လေးတပ်ကို စစ်ကဲကြီး အလုံမြို့ဝန် မင်းကြီးမဟာဗန္ဓုလ ချုပ်၍ မိုးလေးဝပြည်တောင် ချင်းရွာကြောင်း ရှေ့တပ်ဦး ချီစေပြီးလျှင် စလေမြို့စား နေမျိုးမင်းလှရာဇသူတပ်၊ ဒလမြို့ဝန် နေမျိုးမင်းခေါင်တပ်၊ မင်းရဲသီဟကျော် တပ်၊ မြစ်သားမြို့စား မင်းလှမင်းခေါင် တပ်၊ နေမျိုးကျော်စွာရွှေတောင် တပ်၊ ညောင်ပင်ဆိပ်မြို့စား နေမျိုးသူရရဲခေါင် တပ်၊ သပြေငါးရွာစား နေမျိုးရဲခေါင်ကျော် တပ်၊ လင်းဇင်းဗိုလ် ကျော်ခေါင်ဇေယနော်ရထာ တပ်၊ ရဲခေါင်တုရင် တပ်၊ မအူမြို့စား မင်းလှမင်းငယ်ကျော် တပ်၊ မတ္တရာမြို့စား မင်းလှရွှေတောင်ကျော် တပ်၊ ရွှေတောင်နန္ဒနော်ရထာတပ်၊ သီဟရန္တကျော် တပ်၊ ရန်နိုင်သူရကျော် တပ်၊ ရမည်းသင်းမြို့ဝန် မဟာသီဟပတေ့ တပ်၊ လက်ယာစစ်ကဲကြီး ပုခန်းကြီးမြို့ဝန် မင်းကြီးမင်းခေါင်ကျော်တပ်၊ ညီတော် ဗိုလ်ချုပ် ဒွါရာဝတီမင်းသား သတိုးမင်းရဲကျော်ထင် တပ်မတော်နှင့် တပ်ပေါင်း တစ်ဆယ့်ရှစ်တပ်နှင့် မိုးလေးဝပြည်တောင် ချင်းရွာကြောင်းချီ စစ်ကဲကြီး အလုံမြို့ဝန် မင်းကြီးမဟာဗန္ဓုလတို့ တစ်ဆယ့်လေးတပ်နှင့် ထောက်မီ လှမ်းမီ နောက်အုပ်၍ ချီတက်၏။</t>
  </si>
  <si>
    <t xml:space="preserve">Regarding the younger brother, General, Prince of Dwaravati, Thado Minye Kyawhtin, and the thirty combined regiments: the Kanni Governor, Nemyo Yekhaung Kyawhtin's regiment, Nemyo Kyawhaung's regiment, the outpost commander Zeya Nawrahta's regiment, the Myedu Governor Yekyaw Nawrahta's regiment, the Katu Governor Yethu Zeya Nawrahta's regiment, Nemyo Thura Shwetaung's regiment, Shwetaung Akha's regiment, Zeya Shwetaung Kyaw's regiment, Yelhla Nawrahta's regiment, Kyawhaung Zeya Nawrahta's regiment, Yethin Akha's regiment, Thihathura Kyaw's regiment, Tuyin Sekka's regiment, and the Left Great War Commander, Alon Governor, Mingyi Maha Bandula's regiment—these fourteen regiments were placed under the command of the Left Great War Commander, Alon Governor, Mingyi Maha Bandula, and were ordered to march in the vanguard along the route of the Chin village south of Molaywa; then, the Sale Governor Nemyo Minhlayazathu's regiment, the Dala Governor Nemyo Minkhaung's regiment, Minye Thihakyaw's regiment, the Myittha Governor Minhla Minkhaung's regiment, Nemyo Kyawzwa Shwetaung's regiment, the Nyaungpinsit Governor Nemyo Thura Yekhaung's regiment, the Thapyengasit Governor Nemyo Yekhaung Kyaw's regiment, the Linzin Commander Kyawhaung Zeya Nawrahta's regiment, Yekhaung Tuyin's regiment, the Ma-u Governor Minhla Mingyikyaw's regiment, the Mattaya Governor Minhla Shwetaungkyaw's regiment, Shwetaung Nanda Nawrahta's regiment, Thiharantakyaw's regiment, Yannaint Thura Kyaw's regiment, the Yamethin Governor Mahathihapate's regiment, the Right Great War Commander, Pakokku Governor, Mingyi Minkhaungkyaw's regiment, and the younger brother, General, Prince of Dwaravati, Thado Minye Kyawhtin's army—these eighteen regiments marched, following and supporting the fourteen regiments of the Left Great War Commander, Alon Governor, Mingyi Maha Bandula, who were marching along the route of the Chin village south of Molaywa.</t>
  </si>
  <si>
    <t xml:space="preserve">vol2_s002049_t02_91946b374d3c</t>
  </si>
  <si>
    <t xml:space="preserve">Alon Governor Mingyi Maha Bandula</t>
  </si>
  <si>
    <t xml:space="preserve">vol2_s002049_t03_fd0bd210044e</t>
  </si>
  <si>
    <t xml:space="preserve">14 regiments</t>
  </si>
  <si>
    <t xml:space="preserve">vol2_s002049_t04_4b93268c4322</t>
  </si>
  <si>
    <t xml:space="preserve">18 regiments</t>
  </si>
  <si>
    <t xml:space="preserve">vol2_s002049_t05_05e32a852622</t>
  </si>
  <si>
    <t xml:space="preserve">ORDERED_MILITARY_DEPLOYMENT_ALONG</t>
  </si>
  <si>
    <t xml:space="preserve">Chin village route</t>
  </si>
  <si>
    <t xml:space="preserve">Assigns the immediate field-route deployment to the king. The preceding narrative puts the army under the Prince of Dwaravati at Tamu; this passage describes his division and advance of the force.</t>
  </si>
  <si>
    <t xml:space="preserve">Prince of Dwaravati / Burmese field command → ORDERED_MILITARY_DEPLOYMENT_ALONG → Chin village route</t>
  </si>
  <si>
    <t xml:space="preserve">vol2_s002050</t>
  </si>
  <si>
    <t xml:space="preserve">vol2_s002050_t01_5e1d80fc7d2d</t>
  </si>
  <si>
    <t xml:space="preserve">ORDERED_STRATEGIC_DISPERSAL_OF</t>
  </si>
  <si>
    <t xml:space="preserve">Royal regiments</t>
  </si>
  <si>
    <t xml:space="preserve">Royal troops are not evidence that the king personally ordered this local redistribution. 'ယင်းသို့' continues the prince's field deployments described on pp189–190.</t>
  </si>
  <si>
    <t xml:space="preserve">Prince of Dwaravati / Burmese field command → ORDERED_STRATEGIC_DISPERSAL_OF → Royal regiments</t>
  </si>
  <si>
    <t xml:space="preserve">ယင်းသို့ တပ်တော်များ မလိန်ခွေးပူကြောင်း, ဆူးပုံကြောင်း, တမူးကြောင်း ဖြန့်၍ ချီတက်စေသည်။</t>
  </si>
  <si>
    <t xml:space="preserve">In this way, the royal regiments were ordered to spread out and march along the routes of Malin Khwepu, Supon, and Tamu.</t>
  </si>
  <si>
    <t xml:space="preserve">vol2_s002050_t02_6a29491c59d9</t>
  </si>
  <si>
    <t xml:space="preserve">DEPLOYED_ALONG</t>
  </si>
  <si>
    <t xml:space="preserve">Malin Khwepu, Supon, and Tamu routes</t>
  </si>
  <si>
    <t xml:space="preserve">vol2_s002051</t>
  </si>
  <si>
    <t xml:space="preserve">vol2_s002051_t01_387993894e95</t>
  </si>
  <si>
    <t xml:space="preserve">Manipuri Sawbwa Maha Shin Raza</t>
  </si>
  <si>
    <t xml:space="preserve">RESISTED_ROYAL_FORCES_AT</t>
  </si>
  <si>
    <t xml:space="preserve">Mount Palinswelawa</t>
  </si>
  <si>
    <t xml:space="preserve">66 ကသည်းတို့ကလည်း ပလ္လင်ဆွေလာဝတောင် နှစ်ဖက်ကြား ခရီးကျဉ်းတွင် တပ်တော်များ မပေါက်မရောက် နိုင်အောင် ကသည်းစော်ဘွား မဟာရှိန်ရာဇာ သားအဖ မြင်း လူအများနှင့် ရပ်ခံနှင့်သည်ကို တမူးကြောင်းတပ်ဦးချီ လက်ဝဲစစ်ကဲကြီး အလုံမြို့ဝန် မင်းကြီးမဟာဗန္ဓုလတို့ တစ်ဆယ့်လေးတပ်၊ ဆူးပုံကြောင်းတပ်ဦးချီ ရွေးလက်ယာ ဗိုလ် မင်းကျော်တန်ဆောင်တို့ တစ်ဆယ့်ရှစ်တပ်၊ တပ်ပေါင်း သုံးဆယ့်နှစ်တပ် ပေါင်းဆုံမိကြသည်နှင့် နေ့ညဉ့် မရပ်မဆိုင်း တိုက်သည်။</t>
  </si>
  <si>
    <t xml:space="preserve">66 As the Manipuris were standing and resisting with many horses and men under the Manipuri Sawbwa Maha Shin Raza in the narrow pass between the two sides of Mount Palinswelawa to prevent the royal regiments from passing through, the fourteen regiments of the Left Great War Commander, Alon Governor, Mingyi Maha Bandula, who were marching in the vanguard along the Tamu route, and the eighteen regiments of the Royal Right Commander, Min Kyaw Tanshaung, who were marching in the vanguard along the Supon route, met and combined into thirty-two regiments and fought without stopping day and night.</t>
  </si>
  <si>
    <t xml:space="preserve">vol2_s002051_t02_fd798dfea272</t>
  </si>
  <si>
    <t xml:space="preserve">COMBINED_FORCES_TO</t>
  </si>
  <si>
    <t xml:space="preserve">Counter Manipuri resistance</t>
  </si>
  <si>
    <t xml:space="preserve">vol2_s002051_t03_74375d06dce4</t>
  </si>
  <si>
    <t xml:space="preserve">Manipuri forces</t>
  </si>
  <si>
    <t xml:space="preserve">UTILIZED_GEOGRAPHIC_CHOKEPOINT</t>
  </si>
  <si>
    <t xml:space="preserve">vol2_s002052</t>
  </si>
  <si>
    <t xml:space="preserve">vol2_s002052_t01_b57df5c6253f</t>
  </si>
  <si>
    <t xml:space="preserve">SUFFERED_ATTRITION_FROM</t>
  </si>
  <si>
    <t xml:space="preserve">Royal military engagement</t>
  </si>
  <si>
    <t xml:space="preserve">နှစ်ရက်ရှိ၍ ကသည်းတို့ မြင်း လူအများ သေဆုံးလေလျှင် ကသည်းစော်ဘွား မဟာရှိန်ရာဇာ မရပ်မခံနိုင် ပလ္လင်ဆွေလာဝက ဆုတ်ခွာ၍ ရှေးအလောင်းဘုရား မြေကတုတ်ကြီးတွင် ခံပြန်သည်။</t>
  </si>
  <si>
    <t xml:space="preserve">After two days, when many of the Manipuris' horses and men had died, the Manipuri Sawbwa Maha Shin Raza could not stand and resist any longer, so he retreated from Palinswelawa and resisted again at the large earthwork fortification of the former Alaungpaya.</t>
  </si>
  <si>
    <t xml:space="preserve">vol2_s002052_t02_fae84a8408fc</t>
  </si>
  <si>
    <t xml:space="preserve">Alaungpaya earthwork fortification</t>
  </si>
  <si>
    <t xml:space="preserve">vol2_s002053</t>
  </si>
  <si>
    <t xml:space="preserve">vol2_s002053_t01_e009f4b55eb6</t>
  </si>
  <si>
    <t xml:space="preserve">PURSUED</t>
  </si>
  <si>
    <t xml:space="preserve">လက်ဝဲစစ်ကဲကြီး အလုံမြို့ဝန် မင်းကြီးမဟာဗန္ဓုလ, ရွေးလက်ယာဗိုလ် မင်းကျော်တန်ဆောင်တို့ တပ်ပေါင်း သုံးဆယ့်နှစ်တပ်လည်း မရပ်မဆိုင်း ချီတက်လိုက်ထပ်၍ ကသည်းစော်ဘွား မဟာရှိန်ရာဇာ သားအဖတို့ ခံနှင့်သည့် မြေကတုတ်ကြီးကို နေ့ညဉ့် မရပ်မတင်း တိုက်သည်။</t>
  </si>
  <si>
    <t xml:space="preserve">The thirty-two regiments of the Left Great War Commander, Alon Governor, Mingyi Maha Bandula, and the Royal Right Commander, Min Kyaw Tanshaung, also marched without stopping, followed up, and fought day and night without pause at the large earthwork fortification where the Manipuri Sawbwa Maha Shin Raza and his son were resisting.</t>
  </si>
  <si>
    <t xml:space="preserve">vol2_s002053_t02_1757aac4db40</t>
  </si>
  <si>
    <t xml:space="preserve">ATTACKED_DEFENSIVE_POSITION</t>
  </si>
  <si>
    <t xml:space="preserve">vol2_s002054</t>
  </si>
  <si>
    <t xml:space="preserve">vol2_s002054_t01_5defc16c6922</t>
  </si>
  <si>
    <t xml:space="preserve">Ketsin earthwork fortification</t>
  </si>
  <si>
    <t xml:space="preserve">တစ်ညဉ့်နှင့် တစ်ရက်ရှိလျှင် ကသည်းစော်ဘွား မဟာရှိန်ရာဇာ မစည်းမကြပ် နိုင် ဆုတ်ခွာပြန်၍ ကက်စိန်တပ်ကြီးနှင့် တာငါးရာကွာအရပ် မြေကတုတ်ကြီးတွင် ကသည်းစော်ဘွား မဟာရှိန် ရာဇာ သားအဖ ကြီးကြီးကြပ်ကြပ် ကွပ်၍ ကြံ့ကြံ့ခံသည်ကို လက်ဝဲစစ်ကဲကြီး အလုံမြို့ဝန် မင်းကြီးမဟာဗန္ဓုလ, ရွေးလက်ယာဗိုလ် မင်းကျော်တန်ဆောင်တို့ သုံးဆယ့်နှစ်တပ်လည်း မြေကတုတ်ကြီးသို့ ချဉ်း၍ တပ်စွဲရပ်သည်။</t>
  </si>
  <si>
    <t xml:space="preserve">After one night and one day, the Manipuri Sawbwa Maha Shin Raza could not maintain his formation, retreated again, and at a large earthwork fortification at a distance of five hundred ta from the Ketsin main camp, the Manipuri Sawbwa Maha Shin Raza and his son supervised closely and resisted firmly, so the thirty-two regiments of the Left Great War Commander, Alon Governor, Mingyi Maha Bandula, and the Royal Right Commander, Min Kyaw Tanshaung, approached the large earthwork fortification and stood to establish a camp.</t>
  </si>
  <si>
    <t xml:space="preserve">vol2_s002054_t02_837e81faeefb</t>
  </si>
  <si>
    <t xml:space="preserve">SUPERVISED_DEFENSE_AT</t>
  </si>
  <si>
    <t xml:space="preserve">vol2_s002054_t03_4d9d46378e13</t>
  </si>
  <si>
    <t xml:space="preserve">ESTABLISHED_SIEGE_CAMP_AT</t>
  </si>
  <si>
    <t xml:space="preserve">vol2_s002055</t>
  </si>
  <si>
    <t xml:space="preserve">vol2_s002055_t01_e62d70272691</t>
  </si>
  <si>
    <t xml:space="preserve">UTILIZED_ARTILLERY_TO_DISRUPT</t>
  </si>
  <si>
    <t xml:space="preserve">Royal camp establishment</t>
  </si>
  <si>
    <t xml:space="preserve">ကသည်းတို့ကလည်း တပ်တော်များ မစွဲမရပ်နိုင်အောင် တပ်တွင်းက ပြောင်းအမြောက်နှင့် လှမ်းကာ ပစ်လွှတ်သည်။</t>
  </si>
  <si>
    <t xml:space="preserve">The Manipuris also fired from within the camp with cannons and guns to prevent the royal regiments from establishing a camp.</t>
  </si>
  <si>
    <t xml:space="preserve">vol2_s002056</t>
  </si>
  <si>
    <t xml:space="preserve">vol2_s002056_t01_5bdce8ea1863</t>
  </si>
  <si>
    <t xml:space="preserve">DEPLOYED_CAVALRY_UNITS_TO</t>
  </si>
  <si>
    <t xml:space="preserve">Attack royal regiments</t>
  </si>
  <si>
    <t xml:space="preserve">မြင်း နှစ်ထောင်စု, သုံးထောင်စု ထွက်၍လည်း အနှံ့အစပ်ထိုးသည်။</t>
  </si>
  <si>
    <t xml:space="preserve">They also sent out groups of two thousand and three thousand horses to attack from all directions.</t>
  </si>
  <si>
    <t xml:space="preserve">vol2_s002057</t>
  </si>
  <si>
    <t xml:space="preserve">vol2_s002057_t01_b176d1f99c39</t>
  </si>
  <si>
    <t xml:space="preserve">EXECUTED_FLANKING_MANEUVER_FROM</t>
  </si>
  <si>
    <t xml:space="preserve">Southwest and southeast foothills</t>
  </si>
  <si>
    <t xml:space="preserve">အနောက်တောင်ခြေ, အရှေ့တောင်ခြေများက လှည့်၍လည်း မြင်းနှစ်ထောင်စု, သုံးထောင်စု တပ်တော်များကို နောက်ကပတ်၍ ထိုးသည်။</t>
  </si>
  <si>
    <t xml:space="preserve">They also circled from the southwest and southeast foothills, and groups of two thousand and three thousand horses surrounded the royal regiments from the rear and attacked.</t>
  </si>
  <si>
    <t xml:space="preserve">vol2_s002057_t02_1e39045f9f0a</t>
  </si>
  <si>
    <t xml:space="preserve">ATTACKED_ROYAL_REAR_GUARD</t>
  </si>
  <si>
    <t xml:space="preserve">vol2_s002078</t>
  </si>
  <si>
    <t xml:space="preserve">vol2_s002078_t01_db23dee8f31b</t>
  </si>
  <si>
    <t xml:space="preserve">DEPLOYED_MILITARY_FORCE</t>
  </si>
  <si>
    <t xml:space="preserve">Sittang Governor Naymyo Thihayekhaung regiment</t>
  </si>
  <si>
    <t xml:space="preserve">The Prince of Dwaravati, not the king, orders this field deployment. The immediate subject is explicit on p192 and resumes explicitly in this sentence.</t>
  </si>
  <si>
    <t xml:space="preserve">Replace subject King with Prince of Dwaravati Thado Minye Kyawhtin</t>
  </si>
  <si>
    <t xml:space="preserve">စစ်တောင်းမြို့ဝန် နေမျိုးသီဟရဲခေါင်တပ်၊ နေမျိုးလက်ယာကျော်ထင်တပ်၊ နေမျိုးမင်းထင်တပ်၊ နေမျိုး မင်းလှမင်းခေါင်တပ်၊ သည်လေးတပ်ကို သေနတ်စွဲသူရဲ နှစ်ထောင်ကျော်နှင့် ထော်ပန်ကြောင်းချီလိုက်စေပြီးလျှင် လက်ယာစစ်ကဲကြီး ပုခန်းကြီးမြို့ဝန် မင်းကြီးမင်းခေါင်ကျော်နှင့် ပျံချီဇေယတပ်၊ သီဟရန္တ ကျော်တပ်၊ ရန်နိုင် သူရတပ်၊ သည်လေးတပ် သေနတ်စွဲသူရဲ သုံးထောင်ကျော်ကို ရှေ့တပ်ထား၍ ညီတော်ဗိုလ်ချုပ် ဒွါရာဝတီမင်းသား သတိုးမင်းရဲကျော်ထင် တပ်တော် ဆိုသမျှနှင့် ကုလားရွာကြောင်း မဏိပူရမြို့သို့ အပြင်းချီလိုက်သည်။</t>
  </si>
  <si>
    <t xml:space="preserve">Having ordered the Sittang Governor's Naymyo Thihayekhaung regiment, Naymyo Letwayakyawhtin regiment, Naymyo Minhtin regiment, and Naymyo Minhlaminhaung regiment—these four regiments—to march via the Htawpan route with over two thousand musketeers, and having placed the Great Right-Wing Commander, Pakokku Governor Mingyi Minkhaungkyaw, along with the Pyancheizeya regiment, Thiharantakyaw regiment, and Yannainthura regiment—these four regiments with over three thousand musketeers—in the vanguard, [the King] ordered the younger brother, General Prince of Dwarawadi Thadominyeikyawhtin, to march rapidly with all his royal regiments via the Kula village route to Manipur city.</t>
  </si>
  <si>
    <t xml:space="preserve">vol2_s002078_t02_b951ee52c383</t>
  </si>
  <si>
    <t xml:space="preserve">Naymyo Letwayakyawhtin regiment</t>
  </si>
  <si>
    <t xml:space="preserve">vol2_s002078_t03_e628ffa297cd</t>
  </si>
  <si>
    <t xml:space="preserve">Naymyo Minhtin regiment</t>
  </si>
  <si>
    <t xml:space="preserve">vol2_s002078_t04_4ba3687e3660</t>
  </si>
  <si>
    <t xml:space="preserve">Naymyo Minhlaminhaung regiment</t>
  </si>
  <si>
    <t xml:space="preserve">vol2_s002078_t05_a901f4fb6299</t>
  </si>
  <si>
    <t xml:space="preserve">APPOINTED_AS_VANGUARD_COMMANDER</t>
  </si>
  <si>
    <t xml:space="preserve">Pakokku Governor Mingyi Minkhaungkyaw</t>
  </si>
  <si>
    <t xml:space="preserve">Wrong commissioning actor and wrong toponym: the prince places this vanguard; ပုခန်းကြီး is Pakhan Gyi, not Pakokku.</t>
  </si>
  <si>
    <t xml:space="preserve">Prince of Dwaravati → ASSIGNED_VANGUARD_COMMAND_TO → Pakhan Gyi Governor Mingyi Minkhaungkyaw</t>
  </si>
  <si>
    <t xml:space="preserve">vol2_s002078_t06_b5220956de4d</t>
  </si>
  <si>
    <t xml:space="preserve">APPOINTED_AS_GENERAL</t>
  </si>
  <si>
    <t xml:space="preserve">Prince of Dwarawadi Thadominyeikyawhtin</t>
  </si>
  <si>
    <t xml:space="preserve">vol2_s002078_t07_15c2ab384822</t>
  </si>
  <si>
    <t xml:space="preserve">COMMANDED_MILITARY_EXPEDITION</t>
  </si>
  <si>
    <t xml:space="preserve">vol2_s002079</t>
  </si>
  <si>
    <t xml:space="preserve">vol2_s002079_t01_b17927086de2</t>
  </si>
  <si>
    <t xml:space="preserve">Meithei Sawbwa Mahasheinraza</t>
  </si>
  <si>
    <t xml:space="preserve">RESISTED_AUTHORITY_OF</t>
  </si>
  <si>
    <t xml:space="preserve">ကသည်း စော်ဘွား မဟာရှိန်ရာဇာ မဏိပူရမြို့တွင်မျှ မရပ်မခံဝံ့၊ အခြံအရံနှင့် တောအုံတောင်ကမ်းကြီးရာ ပုန်းလျှိုးဝင်ပြေး လေလျှင် ညီတော် ဗိုလ်ချုပ် ဒွါရာဝတီမင်းသား သတိုးမင်းရဲကျော်ထင်လည်း မဏိပူရမြို့ကိုသာ သိမ်းယူရ၏။</t>
  </si>
  <si>
    <t xml:space="preserve">The Meithei Sawbwa Mahasheinraza dared not stand or resist even in Manipur city, and when he fled, hiding in the great forests and mountain ravines with his entourage, the younger brother, General Prince of Dwarawadi Thadominyeikyawhtin, was able to take possession of Manipur city.</t>
  </si>
  <si>
    <t xml:space="preserve">vol2_s002079_t02_f1d5fd94428c</t>
  </si>
  <si>
    <t xml:space="preserve">vol2_s002079_t03_903dc340dbff</t>
  </si>
  <si>
    <t xml:space="preserve">vol2_s002080</t>
  </si>
  <si>
    <t xml:space="preserve">vol2_s002080_t01_076ed486efac</t>
  </si>
  <si>
    <t xml:space="preserve">Prince of Rammawadi Thadominyeikyawswa</t>
  </si>
  <si>
    <t xml:space="preserve">ခွေးပူကြောင်းခွဲ၍ ချီစေသော ညီတော် ရမ္မာဝတီမင်းသား သတိုးမင်းရဲကျော်စွာနှင့် မင်းခေါင်ရဲထင်တပ်၊ ရဲထင်နော်ရထာစည်သူ တပ်၊ ရဲလှကျော်ခေါင် တပ်၊ နေမျိုးသူရသံတိုင်ဘပ်၊ အင်းယည်းသူရတပ်၊ ဗလရဲခေါင် ကျော်ထင်တပ်၊ နေမျိုးသီဟကျော်တပ်၊ ရဲလှရဲခေါင်နော်ရထာတပ်၊ ကလေးစော်ဘွား မောရိယသီဟရာဇာ တပ်၊ သီဟကျော်သူတပ်၊ ကျော်ထင်သူရရွှေတောင် တပ်၊ ရဲလှစက္ကသူ တပ်၊ မဟာဇေယဝတ္တနရာဇာ တပ်၊ တလုပ်မြို့ဝန် မဟာသူရရဲကျော်တပ်၊ သည်တပ်ပေါင်း တစ်ဆယ့်ခုနစ်တပ်မှာလည်း ကသည်းဗိုလ်မှူးတို့ ခရီးလမ်းပေါက် လမ်းဝ တိုင်း အထောက်ထောက် တပ်နှင့် ဆီးဆို့ရပ်ခံသည်များကို တွေ့တိုင်း မြင်တိုင်း တိုက်၍ ချီတက်သည်။</t>
  </si>
  <si>
    <t xml:space="preserve">The seventeen regiments—the younger brother, Prince of Rammawadi Thadominyeikyawswa, and the Minkhaungyeihtin regiment, Yeihinnawrahtazithu regiment, Yeihlakyawhaung regiment, Naymyothurathantaing regiment, Inyethura regiment, Balayeikhaungkyawhtin regiment, Naymyothihakyaw regiment, Yeihlayeikhaungnawrahtaregiment, Kale Sawbwa Mawriyathiharaja regiment, Thihakyawthu regiment, Kyawhtinthurashwetaung regiment, Yeihlasakkathu regiment, Mahazeyawattanaraja regiment, and Talok Governor Mahathurayeikyaw regiment—which were ordered to march by splitting off via the Khwepu route, also fought and marched forward whenever they saw the Meithei commanders blocking the way with troops at every road junction and path.</t>
  </si>
  <si>
    <t xml:space="preserve">vol2_s002080_t02_1913ac93eb67</t>
  </si>
  <si>
    <t xml:space="preserve">Kale Sawbwa Mawriyathiharaja</t>
  </si>
  <si>
    <t xml:space="preserve">SERVED_IN_MILITARY_CAMPAIGN_OF</t>
  </si>
  <si>
    <t xml:space="preserve">vol2_s002080_t03_41aff6d00c4c</t>
  </si>
  <si>
    <t xml:space="preserve">Meithei commanders</t>
  </si>
  <si>
    <t xml:space="preserve">vol2_s002081</t>
  </si>
  <si>
    <t xml:space="preserve">vol2_s002081_t01_402f62661e03</t>
  </si>
  <si>
    <t xml:space="preserve">Helaungwa camp</t>
  </si>
  <si>
    <t xml:space="preserve">ခွေးပူ တောင်ကြီးအဆင်း ချောင်းဆုံ လမ်းကျဉ်းတွင် ကသည်းဗိုလ်မှူးတပ်မှူးတို့ မြင်း လူ အများနှင့် ဆီးကြို ခံလာသည်ကို တွေ့၍ တိုက်ကြလျှင် ကသည်းဗိုလ်မှူးတပ်မှူးတို့ မစည်းမကြပ် မရပ်မခံနိုင် ဆုတ်ခွာ၍ ကသည်း စော်ဘွား ယောက္ခမ ထွတ်စောင်မန္ဒလီ စွဲရပ်သည့် ဟဲလောက်ဝ တပ်ကြီးသို့ ပေါင်းလေသည်။</t>
  </si>
  <si>
    <t xml:space="preserve">When they encountered the Meithei commanders and officers waiting to intercept them with many horses and men at the narrow pass at the descent of the Khwepu great mountain and the river confluence, they fought, and the Meithei commanders and officers, unable to stand or resist in an unorganized manner, retreated and joined the great Helaungwa camp where the Meithei Sawbwa's father-in-law, Htwetsaungmandali, was stationed.</t>
  </si>
  <si>
    <t xml:space="preserve">vol2_s002081_t02_0a310f3f1d60</t>
  </si>
  <si>
    <t xml:space="preserve">Htwetsaungmandali</t>
  </si>
  <si>
    <t xml:space="preserve">vol2_s002082</t>
  </si>
  <si>
    <t xml:space="preserve">vol2_s002082_t01_0bd23b75d615</t>
  </si>
  <si>
    <t xml:space="preserve">ကသည်းစော်ဘွား ယောက္ခမ ထွတ်စောင်မန္ဒလီလည်း ဟဲလောက်ဝတပ်ကြီးကို လူသူ ပြောင်းအမြောက် အပြည့်တင်၍ ဆင်မြင်း ဗိုလ်ပါ စည်းကြပ် ရုံးစုပြီးလျှင် ခံနေနှင့်၏။</t>
  </si>
  <si>
    <t xml:space="preserve">The Meithei Sawbwa's father-in-law, Htwetsaungmandali, also fully loaded the great Helaungwa camp with men, cannons, and muskets, and after organizing and gathering his elephants, horses, and troops, he remained to resist.</t>
  </si>
  <si>
    <t xml:space="preserve">vol2_s002082_t02_69f83857c0f4</t>
  </si>
  <si>
    <t xml:space="preserve">elephants horses and troops</t>
  </si>
  <si>
    <t xml:space="preserve">vol2_s002083</t>
  </si>
  <si>
    <t xml:space="preserve">vol2_s002083_t01_e37fa8d9970a</t>
  </si>
  <si>
    <t xml:space="preserve">တပ်တော်များလည်း ခွေးပူတောင်ဆင်း ချောင်းဆုံကို တိုက်ပြီးလျှင် လိုက်ထပ်ချီတက်၍ ဟဲလောက်ဝ တပ်ကြီးကို နေ့ညမဆို ဟိုက်ပြန်သည်။</t>
  </si>
  <si>
    <t xml:space="preserve">The royal regiments also, after fighting at the Khwepu mountain descent and river confluence, followed and marched in pursuit, attacking the great Helaungwa camp day and night.</t>
  </si>
  <si>
    <t xml:space="preserve">vol2_s002084</t>
  </si>
  <si>
    <t xml:space="preserve">vol2_s002084_t01_29c500688439</t>
  </si>
  <si>
    <t xml:space="preserve">Kasein camp</t>
  </si>
  <si>
    <t xml:space="preserve">ယင်းသောအခါ ကသည်းစော်ဘွား မဟာရှိန်ရာဇာ ခံသည့် ကက်စိန်တပ် ကြီး ပျက်ကြောင်းကို ထွတ်စောင်မန္ဒလီ ကြားသည်နှင့် တပ်ကို နုတ်၍ အပြင်းဆုတ်ခွာလေလျှင် ရမ္မာဝတီမင်း သား သတိုးမင်းရဲကျော်စွာတို့ တစ်ဆယ့်ငါးတပ်လည်း လိုက်ထပ်ချီတက်သည်။</t>
  </si>
  <si>
    <t xml:space="preserve">At that time, as soon as Htwetsaungmandali heard that the great Kasein camp, where the Meithei Sawbwa Mahasheinraza was resisting, had been destroyed, he withdrew his troops and retreated rapidly, and the fifteen regiments of the Prince of Rammawadi Thadominyeikyawswa also followed and marched in pursuit.</t>
  </si>
  <si>
    <t xml:space="preserve">vol2_s002084_t02_750361357c24</t>
  </si>
  <si>
    <t xml:space="preserve">WITHDREW_FROM</t>
  </si>
  <si>
    <t xml:space="preserve">vol2_s002085</t>
  </si>
  <si>
    <t xml:space="preserve">vol2_s002085_t01_cf34c9c2f97a</t>
  </si>
  <si>
    <t xml:space="preserve">ညီတော် ဗိုလ်ချုပ် ဒွါရာဝတီ မင်းသား သတိုးမင်းရဲကျော်ထင် တပ်မတော် မဏိပူရမြို့သို့ ဆိုက်ရောက် သိမ်းရုံးသည့်နေ့ တစ်ပြိုင်နက် မဏိ ပူရမြို့သို့ ရောက်လာ၏။</t>
  </si>
  <si>
    <t xml:space="preserve">They arrived at Manipur city at the same time that the younger brother, General Prince of Dwarawadi Thadominyeikyawhtin's royal army arrived and took possession of Manipur city.</t>
  </si>
  <si>
    <t xml:space="preserve">vol2_s002086</t>
  </si>
  <si>
    <t xml:space="preserve">vol2_s002086_t01_d1c482669873</t>
  </si>
  <si>
    <t xml:space="preserve">Royal glory</t>
  </si>
  <si>
    <t xml:space="preserve">Converts inability to withstand royal glory and flight into submission. The ruler escapes and must be pursued; no submission occurs.</t>
  </si>
  <si>
    <t xml:space="preserve">Meithei Sawbwa Mahasheinraza → FLED_FROM → Royal forces / power</t>
  </si>
  <si>
    <t xml:space="preserve">ညီတော် ဗိုလ်ချုပ် ဒွါရာဝတီမင်းသား သတိုးမင်းရဲကျော်ထင်လည်း ကသည်းစော်ဘွား မဟာရှိန်ရာဇာ ရွှေဘုန်းတော်ရှိန်ကို မခံဝံ့၊ အခြွေအရံ စုံရာနှင့် တောအုံတောင်ကမ်းကြီးရာ ပုန်းလျှိုးရှောင်ရှားထွက်သွား ပြေးဝင် လေ၍ မဏိပူရ ကသည်းတစ်တိုင်းလုံးကို အလိုတော်ပြည့်လျှင် ကသည်းစော်ဘွား မဟာရှိန်ရာဇာ ပြေးလေရာ မိအောင် ဖမ်းဆီးရမည်ဟု လက်ယာစစ်ကဲကြီး ပုခန်းကြီးမြို့ဝန် မင်းကြီးမင်းခေါင်ကျော်တပ်၊ ပျံချီဇေယတပ်၊ သီဟရန္တ ကျော်တပ်၊ ရန်နိုင်သူရကျော်တပ်၊ စလေစား နေမျိုးသူရကျော်တပ်၊ ဒလမြို့ဝန် နေမျိုးမင်းခေါင်တပ်၊ မြစ်သားမြို့စား မင်းလှမင်းခေါင်တပ်၊ ညောင်ပင်ဆိပ်မြို့စား နေမျိုးသူရရဲခေါင်တပ်၊ မင်းရဲသီဟကျော်တပ်၊ နေမျိုးကျော်စွာရွှေတောင် တပ်၊ ကလေးစော်ဘွား မောရိယသီဟရာဇာ တပ်၊ နေမျိုးသီဟရဲကျော် တပ်၊ သည် တစ်ဆယ့်နှစ်တပ်ကို သေနတ်စွဲသူရဲ ခြောက်ထောင်နှင့် ကသည်းမြို့ အနောက်တောင်ကို ချီလိုက်စေသည်။</t>
  </si>
  <si>
    <t xml:space="preserve">The younger brother, General Prince of Dwarawadi Thadominyeikyawhtin, also [saw that] the Meithei Sawbwa Mahasheinraza could not withstand the power of the royal glory and had fled, hiding and escaping into the great forests and mountain ravines with his full entourage; once the entire Manipur Meithei region was under his control, he ordered the Great Right-Wing Commander, Pakokku Governor Mingyi Minkhaungkyaw's regiment, Pyancheizeya regiment, Thiharantakyaw regiment, Yannainthurakyaw regiment, Salay-sa Naymyothurakyaw regiment, Dala Governor Naymyominkhaung regiment, Myittha-sa Minhlaminhaung regiment, Nyaungpinsate-sa Naymyothurayeikhaung regiment, Minyethihakyaw regiment, Naymyokyawswashwetaung regiment, Kale Sawbwa Mawriyathiharaja regiment, and Naymyothihayeikyaw regiment—these twelve regiments—to march to the southwest of the Meithei city with six thousand musketeers to capture the Meithei Sawbwa Mahasheinraza wherever he had fled.</t>
  </si>
  <si>
    <t xml:space="preserve">vol2_s002086_t02_f99f39ae2f17</t>
  </si>
  <si>
    <t xml:space="preserve">ORDERED_PURSUIT_OF</t>
  </si>
  <si>
    <t xml:space="preserve">vol2_s002086_t03_76feef546590</t>
  </si>
  <si>
    <t xml:space="preserve">six thousand musketeers</t>
  </si>
  <si>
    <t xml:space="preserve">The sentence explicitly assigns this six-thousand-musketeer pursuit order to the Prince of Dwaravati, not the king.</t>
  </si>
  <si>
    <t xml:space="preserve">Prince of Dwaravati → DEPLOYED_MILITARY_FORCE → six thousand musketeers</t>
  </si>
  <si>
    <t xml:space="preserve">vol2_s002208</t>
  </si>
  <si>
    <t xml:space="preserve">vol2_s002208_t01_73da9e967b0a</t>
  </si>
  <si>
    <t xml:space="preserve">BESTOWED_REWARDS_UPON</t>
  </si>
  <si>
    <t xml:space="preserve">Kanni Myowun Naymyo Yekhaung Kyawhtin</t>
  </si>
  <si>
    <t xml:space="preserve">မဏိပူရမြို့ တပ်စောင့် ကန္နီမြို့ဝန် နေမျိုးရဲခေါင်ကျော်ထင်နှင့် ငါ့ကျွန် ဗိုလ်မှူးတပ်မှူးတို့ကို ပေးဝေရမည်ဟုလည်း ဆုတော် ရွှေငွေပုဆိုး ဝတ်လုံများစွာ ပေးအပ်တော်မူလိုက်၏။</t>
  </si>
  <si>
    <t xml:space="preserve">He also bestowed many royal rewards of gold, silver, and garments to be distributed to the Manipur city garrison commander, Kanni town governor Naymyo Yekhaung Kyawhtin, and [my] commanders and battalion leaders.</t>
  </si>
  <si>
    <t xml:space="preserve">vol2_s002208_t02_a01afc50bc1e</t>
  </si>
  <si>
    <t xml:space="preserve">Military_Commanders</t>
  </si>
  <si>
    <t xml:space="preserve">vol2_s002209</t>
  </si>
  <si>
    <t xml:space="preserve">vol2_s002209_t01_0fa5aa0edf9d</t>
  </si>
  <si>
    <t xml:space="preserve">Manipuri_Leaders</t>
  </si>
  <si>
    <t xml:space="preserve">MAINTAINED_SIEGE_OF</t>
  </si>
  <si>
    <t xml:space="preserve">Manipur_City</t>
  </si>
  <si>
    <t xml:space="preserve">ကသည်းစော်ဘွားသား ဟဲလားစန္ဒရော်, အိန်စောင်တာပတို့နှင့် ဆနာပတိ, ဝင်းမှူးအထွတ်ပတို့လည်း တပ်တော်များ ချီတက်လာကြောင်းကို အထောက်အထောက် ကင်းထောက်လှမ်းစေသူတို့ ဆင့်ပြောကြား သိလေလျှင် မဏိပူရမြို့ကို အရံမဖြုတ်၊ ရံမြဲရံနေ၍ တပ်တော်များ မရောက်မပေါက်နိုင်အောင်ကို ထောင်နီဝ, ဒီလုံချောင်း, ထော်ပန်, ဟဲလိုက်ဝ, ကက်စိန်, ပလ္လင်, ဆွေလာဝ, စပ်ကပ်ပင်, အဲမွန်ချင်းရွာ အရပ်များနှင့် လမ်းပေါက်လမ်းဝ ဆိုသမျှများမှာ လက်နက် မြင်းလူအများ လုံးကြီးရင်းကြီး ခန့်ထားဆီးဆို့ ရပ်ခံစေ၏။</t>
  </si>
  <si>
    <t xml:space="preserve">When the Manipur Sawbwa's sons, Helasandaw and Einzaungtarpa, along with the Senapati and the chief of the palace guards, were informed by scouts that the royal troops were marching, they did not lift the siege of Manipur city; instead, they kept it under siege and, to prevent the royal troops from arriving and reaching [the city], they stationed large numbers of armed men and cavalry to block and hold all the places and road junctions at Htaungniwa, Dilong Creek, Htawpan, Helaiwa, Katsein, Palin, Sweilawa, Satkapin, and Aemon Chin village.</t>
  </si>
  <si>
    <t xml:space="preserve">vol2_s002209_t02_f69e6917ed09</t>
  </si>
  <si>
    <t xml:space="preserve">FORTIFIED_STRATEGIC_LOCATIONS_AGAINST</t>
  </si>
  <si>
    <t xml:space="preserve">Royal_Troops</t>
  </si>
  <si>
    <t xml:space="preserve">vol2_s002210</t>
  </si>
  <si>
    <t xml:space="preserve">vol2_s002210_t01_2d96b4fae8ea</t>
  </si>
  <si>
    <t xml:space="preserve">Pakhan-gyi Myowun</t>
  </si>
  <si>
    <t xml:space="preserve">Minhla Minhtin</t>
  </si>
  <si>
    <t xml:space="preserve">ဗိုလ်ချုပ် ပုခန်းကြီးမြို့ဝန် မင်းကြီးမင်းခေါင်ကျော်တို့ တစ်ဆယ့်ကိုးတပ်လည်း ရွှေဖဝါးတော်အောက်က စခန်းစဉ်အတိုင်း ချီတက်၍ တမူးသို့ရောက်လျှင် ရဲခေါင်ကျော်စွာကျော်တပ်၊ မင်းခင်းမြို့ဝန် ပျံချီသူရနော်ရထာ တပ်၊ မြစ်စဉ်ဝန် နော်ရထာရဲလှကျော်တပ်၊ သူရရဲခေါင်နော်ရထာတပ်၊ ခန်းပတ်စစ်ကဲ တေဇအာကာတပ်၊ ကလေး စော်ဘွား မောရိယသီဟရာဇာတပ်၊ ထီးလင်းမြို့ သူကြီး သေဋ္ဌဇေယကျော်တပ်၊ သောင်သွပ်စစ်ကဲ စက်မီးထိန်ကျော် တပ်၊ တွင်းသင်းတိုက်ဝန် နေမျိုးသင်္ခယာတပ်၊ နေမျိုးစည်သူတပ်၊ နေမျိုးရာဇသီရိကျော်ထင်တပ်၊ မြောက်ဘက်မြင်းဝန် မင်းလှမင်းထင်တပ်၊ သည်တစ်ဆယ့်နှစ်တပ်ကို မြောက်ဘက်မြင်းဝန် မင်းလှမင်းထင် ချုပ်စေ၍ တမူးကသည် မိုးလေးဝလမ်းကို တပ်ဦး ချီတက်စေသည်။</t>
  </si>
  <si>
    <t xml:space="preserve">The nineteen battalions led by the commander-in-chief, the Pakhan-gyi town governor Mingyi Minkhaung Kyaw, marched according to the order of camps from under the royal feet, and upon reaching Tamu, he placed the North Cavalry Governor Minhla Minhtin in command of the twelve battalions—the Yekhaung Kyawzwa Kyaw battalion, the Minkhin town governor Pyanchi Thura Nawrahta battalion, the Myitzin governor Nawrahta Yehlakyaw battalion, the Thura Yekhaung Nawrahta battalion, the Khanpat military officer Teza Akara battalion, the Kale Sawbwa Mauriya Thihayaza battalion, the Tilin town headman Setthe Zeya Kyaw battalion, the Thaungthut military officer Setmi Hteinkyaw battalion, the Twinthe Taikwun Naymyo Thinkhaya battalion, the Naymyo Sithu battalion, the Naymyo Yazathiri Kyawhtin battalion, and the North Cavalry Governor Minhla Minhtin battalion—and had them march as the vanguard along the road from Tamu to Molaywa.</t>
  </si>
  <si>
    <t xml:space="preserve">vol2_s002210_t02_0d40eb47a170</t>
  </si>
  <si>
    <t xml:space="preserve">COMMANDED_VANGUARD_UNITS</t>
  </si>
  <si>
    <t xml:space="preserve">Twelve_Battalions</t>
  </si>
  <si>
    <t xml:space="preserve">vol2_s002211</t>
  </si>
  <si>
    <t xml:space="preserve">vol2_s002211_t01_5e0e23ad382c</t>
  </si>
  <si>
    <t xml:space="preserve">COMMANDED_REAR_GUARD_UNITS</t>
  </si>
  <si>
    <t xml:space="preserve">Seven_Battalions</t>
  </si>
  <si>
    <t xml:space="preserve">ဗိုလ်ချုပ် ပုခန်းကြီးမြို့ဝန် မင်းကြီးမင်းခေါင်ကျော်မှာလည်း မင်းခေါင်ရဲထင်တပ်၊ နော်ရထာရန်အောင် တပ်၊ ဇေယနန္ဒရာဇာတပ်၊ သီဟရန္တ ကျော်တပ်၊ ရန်နိုင်သူရကျော်ထင်တပ်၊ ရဲကျော်သူရတပ်၊ သည်ခုနစ်တပ် နှင့် ရှေ့ချီ မင်းလှမင်းထင်တို့ တစ်ဆယ့်နှစ်တပ်ကို ထောက်မီလှမ်းမီ နောက်အုပ်၍ ချီတက်သည်။</t>
  </si>
  <si>
    <t xml:space="preserve">The commander-in-chief, the Pakhan-gyi town governor Mingyi Minkhaung Kyaw, also marched, following and supporting the twelve battalions led by Minhla Minhtin, along with these seven battalions: the Minkhaung Yehtin battalion, the Nawrahta Yan-aung battalion, the Zeya Nandayaza battalion, the Thihayanta Kyaw battalion, the Yannaint Thura Kyawhtin battalion, and the Yekyaw Thura battalion.</t>
  </si>
  <si>
    <t xml:space="preserve">vol2_s002212</t>
  </si>
  <si>
    <t xml:space="preserve">vol2_s002212_t01_5a371902a7d2</t>
  </si>
  <si>
    <t xml:space="preserve">Royal_Army</t>
  </si>
  <si>
    <t xml:space="preserve">ENCOUNTERED_RESISTANCE_AT</t>
  </si>
  <si>
    <t xml:space="preserve">Aemon Chin Village</t>
  </si>
  <si>
    <t xml:space="preserve">တမူးက သုံးစခန်းကွာ တောင်ပေါ် အဲမွန်ချင်းရွာ ခရီးကျဉ်းတွင် တပ်မြေကတုတ်နှင့် ကသည်းစော်ဘွား သား ဟဲလားစန္ဒရော် မြင်းလူ အများနှင့် စည်းကြပ်ခံနေသည်ကို တွေ့၍ တိုက်သည်။</t>
  </si>
  <si>
    <t xml:space="preserve">Three stages away from Tamu, at a narrow pass in the Aemon Chin village on the mountain, they encountered the Manipur Sawbwa's son Helasandaw, who was holding the position with earthworks and a large number of cavalry, and they attacked.</t>
  </si>
  <si>
    <t xml:space="preserve">vol2_s002212_t02_cab61df43c87</t>
  </si>
  <si>
    <t xml:space="preserve">Helasandaw</t>
  </si>
  <si>
    <t xml:space="preserve">DEFENDED_POSITION_WITH</t>
  </si>
  <si>
    <t xml:space="preserve">Earthworks_and_Cavalry</t>
  </si>
  <si>
    <t xml:space="preserve">vol2_s002213</t>
  </si>
  <si>
    <t xml:space="preserve">vol2_s002213_t01_eca2d79c915e</t>
  </si>
  <si>
    <t xml:space="preserve">FAILED_TO_RESIST</t>
  </si>
  <si>
    <t xml:space="preserve">Royal_Army_Attack</t>
  </si>
  <si>
    <t xml:space="preserve">ကသည်းစော်ဘွား သား ဟဲလားစန္ဒရော်နှင့် ဗိုလ်မှူးတပ်မှူးတို့ မရပ်မခံနိုင်။</t>
  </si>
  <si>
    <t xml:space="preserve">The Manipur Sawbwa's son Helasandaw and the commanders and battalion leaders could not stand or resist.</t>
  </si>
  <si>
    <t xml:space="preserve">vol2_s002450</t>
  </si>
  <si>
    <t xml:space="preserve">vol2_s002450_t01_780f26a9ddb2</t>
  </si>
  <si>
    <t xml:space="preserve">Royal_Authority</t>
  </si>
  <si>
    <t xml:space="preserve">DERIVES_FROM</t>
  </si>
  <si>
    <t xml:space="preserve">မဟာသမတမင်းမြတ်မှသည်။</t>
  </si>
  <si>
    <t xml:space="preserve">From the Great King Mahasammata.</t>
  </si>
  <si>
    <t xml:space="preserve">vol2_s002451</t>
  </si>
  <si>
    <t xml:space="preserve">vol2_s002451_t01_4d0893bf63c7</t>
  </si>
  <si>
    <t xml:space="preserve">Konbaung_Dynasty</t>
  </si>
  <si>
    <t xml:space="preserve">Adicca_Kshatriya_Lineage</t>
  </si>
  <si>
    <t xml:space="preserve">အမရပူရ ပဋ္ဌမ မြို့တည် နန်းတည် ဘိုးတော် မင်းတရားကြီးတိုင် မင်းပေါင်း (၃၃၄၀၀၀) ကျော်တို့၏အာဒိစ္စကုလခတ္တိယရာဇအသမ္ဘိန္န။</t>
  </si>
  <si>
    <t xml:space="preserve">Up to the Great King Bodawpaya, the first founder of the city and palace of Amarapura, [covering] over (334,000) kings of the unbroken Adicca lineage of Kshatriya kings.</t>
  </si>
  <si>
    <t xml:space="preserve">vol2_s002451_t02_c1d6f82f2a27</t>
  </si>
  <si>
    <t xml:space="preserve">Bodawpaya</t>
  </si>
  <si>
    <t xml:space="preserve">Amarapura_City_and_Palace</t>
  </si>
  <si>
    <t xml:space="preserve">vol2_s002452</t>
  </si>
  <si>
    <t xml:space="preserve">vol2_s002452_t01_52607a988c80</t>
  </si>
  <si>
    <t xml:space="preserve">CLAIMS_DESCENT_FROM</t>
  </si>
  <si>
    <t xml:space="preserve">Sakya_Clan</t>
  </si>
  <si>
    <t xml:space="preserve">သကျသာကိယ။</t>
  </si>
  <si>
    <t xml:space="preserve">The Sakyan [lineage].</t>
  </si>
  <si>
    <t xml:space="preserve">vol2_s002454</t>
  </si>
  <si>
    <t xml:space="preserve">vol2_s002454_t01_76872d4882b0</t>
  </si>
  <si>
    <t xml:space="preserve">Konbaung_Monarchy</t>
  </si>
  <si>
    <t xml:space="preserve">ESTABLISHED_CENTER_AT</t>
  </si>
  <si>
    <t xml:space="preserve">Ratanapura</t>
  </si>
  <si>
    <t xml:space="preserve">ရတနာပူရ စတုတ္ထ မြို့ တည်နန်းတည်။</t>
  </si>
  <si>
    <t xml:space="preserve">The fourth founder of the city and palace of Ratanapura.</t>
  </si>
  <si>
    <t xml:space="preserve">vol2_s002458</t>
  </si>
  <si>
    <t xml:space="preserve">vol2_s002458_t01_e8bdbc6bdd92</t>
  </si>
  <si>
    <t xml:space="preserve">CONSULTED_ON</t>
  </si>
  <si>
    <t xml:space="preserve">Chronicle_Compilation</t>
  </si>
  <si>
    <t xml:space="preserve">ပညာရှိတို့နှိုင်းညှိတိုင်ပင်၍။</t>
  </si>
  <si>
    <t xml:space="preserve">The wise men compared and consulted.</t>
  </si>
  <si>
    <t xml:space="preserve">vol2_s002459</t>
  </si>
  <si>
    <t xml:space="preserve">vol2_s002459_t01_2d235d8f19b8</t>
  </si>
  <si>
    <t xml:space="preserve">COMPILED</t>
  </si>
  <si>
    <t xml:space="preserve">First_Great_Royal_Chronicle</t>
  </si>
  <si>
    <t xml:space="preserve">စီရင်ရေးသားသော။</t>
  </si>
  <si>
    <t xml:space="preserve">And compiled and wrote.</t>
  </si>
  <si>
    <t xml:space="preserve">vol2_s002462</t>
  </si>
  <si>
    <t xml:space="preserve">vol2_s002462_t01_4cf8e92fa50f</t>
  </si>
  <si>
    <t xml:space="preserve">COVERS_PERIOD_UP_TO</t>
  </si>
  <si>
    <t xml:space="preserve">1183</t>
  </si>
  <si>
    <t xml:space="preserve">၁၁၈၃ ခုနှစ်တိုင်သာ စီရင်ရေးသား တည်ထားရှိ၍။</t>
  </si>
  <si>
    <t xml:space="preserve">It was compiled and established only up to the year 1183.</t>
  </si>
  <si>
    <t xml:space="preserve">vol2_s002465</t>
  </si>
  <si>
    <t xml:space="preserve">vol2_s002465_t01_3b96f651af60</t>
  </si>
  <si>
    <t xml:space="preserve">COMMISSIONED</t>
  </si>
  <si>
    <t xml:space="preserve">Second_Great_Royal_Chronicle</t>
  </si>
  <si>
    <t xml:space="preserve">ငါ့ရွှေလက်ထက်တော်တိုင် ဒုတိယမဟာရာဇဝင်တော်ကြီး ဆက်လက် စီရင်ရေးသားစေ။</t>
  </si>
  <si>
    <t xml:space="preserve">Up to my own golden reign, [they] ordered the Second Great Royal Chronicle to be continued to be compiled and written.</t>
  </si>
  <si>
    <t xml:space="preserve">vol2_s002466</t>
  </si>
  <si>
    <t xml:space="preserve">vol2_s002466_t01_84ce376a797d</t>
  </si>
  <si>
    <t xml:space="preserve">Mandalay_Ratanapon</t>
  </si>
  <si>
    <t xml:space="preserve">မန္တ လေးရတနာပုံ ပဋ္ဌမမြို့တည်နန်းတည် ပဉ္စမသင်္ဂါ ယနာတင် မင်းတရားကြီးအမိန့်တော်မြတ်နှင့်။</t>
  </si>
  <si>
    <t xml:space="preserve">By the royal command of the Great King, the first founder of the city and palace of Mandalay Ratanapon and the convener of the Fifth Buddhist Council.</t>
  </si>
  <si>
    <t xml:space="preserve">vol2_s002466_t02_83fb8e1de158</t>
  </si>
  <si>
    <t xml:space="preserve">CONVENED</t>
  </si>
  <si>
    <t xml:space="preserve">Fifth_Buddhist_Council</t>
  </si>
  <si>
    <t xml:space="preserve">vol2_s002469</t>
  </si>
  <si>
    <t xml:space="preserve">vol2_s002469_t01_122b1efc8f20</t>
  </si>
  <si>
    <t xml:space="preserve">Learned_Monks_and_Brahmins</t>
  </si>
  <si>
    <t xml:space="preserve">ASSISTED_IN</t>
  </si>
  <si>
    <t xml:space="preserve">ရဟန်းပညာရှိ ပုဏ္ဏားပညာရှိတို့နှင့်။</t>
  </si>
  <si>
    <t xml:space="preserve">With the learned monks and learned Brahmins.</t>
  </si>
  <si>
    <t xml:space="preserve">vol2_s002470</t>
  </si>
  <si>
    <t xml:space="preserve">vol2_s002470_t01_167b7bced5db</t>
  </si>
  <si>
    <t xml:space="preserve">တိုင်ပင်နှိုင်းညှိ၍။</t>
  </si>
  <si>
    <t xml:space="preserve">Consulting and comparing.</t>
  </si>
  <si>
    <t xml:space="preserve">vol2_s002472</t>
  </si>
  <si>
    <t xml:space="preserve">vol2_s002472_t01_ed541c21f30b</t>
  </si>
  <si>
    <t xml:space="preserve">Wise_Ministers_and_Officials</t>
  </si>
  <si>
    <t xml:space="preserve">စီရင်ရေးသားပြုစုတည်ထားပါသတည်း။</t>
  </si>
  <si>
    <t xml:space="preserve">Compiled, prepared, and established it.</t>
  </si>
  <si>
    <t xml:space="preserve">vol2_s002476</t>
  </si>
  <si>
    <t xml:space="preserve">vol2_s002476_t01_ed87c3564317</t>
  </si>
  <si>
    <t xml:space="preserve">CIRCULATED_THROUGHOUT</t>
  </si>
  <si>
    <t xml:space="preserve">Cities_and_Villages</t>
  </si>
  <si>
    <t xml:space="preserve">နှံ ့စပ်ပျံ့ပွားရှိ၍။</t>
  </si>
  <si>
    <t xml:space="preserve">Is widely spread and available.</t>
  </si>
  <si>
    <t xml:space="preserve">vol2_s002479</t>
  </si>
  <si>
    <t xml:space="preserve">vol2_s002479_t01_8b783a762605</t>
  </si>
  <si>
    <t xml:space="preserve">WAS_METAPHORICALLY_COMPARED_TO</t>
  </si>
  <si>
    <t xml:space="preserve">Buried_Treasure</t>
  </si>
  <si>
    <t xml:space="preserve">သိုမှီးသွင်းနှံမြှုပ်ထားသော ရွှေအိုးရတနာကို။</t>
  </si>
  <si>
    <t xml:space="preserve">Like a treasure of a golden pot that has been stored, buried, and hidden.</t>
  </si>
  <si>
    <t xml:space="preserve">vol2_s002480</t>
  </si>
  <si>
    <t xml:space="preserve">vol2_s002480_t01_6adab218db19</t>
  </si>
  <si>
    <t xml:space="preserve">LACKED</t>
  </si>
  <si>
    <t xml:space="preserve">Public_Accessibility</t>
  </si>
  <si>
    <t xml:space="preserve">မသိမတွေ့ မသုံးဆောင် မခံစားရသကဲ့သို့။</t>
  </si>
  <si>
    <t xml:space="preserve">Just as one does not know, find, use, or enjoy it.</t>
  </si>
  <si>
    <t xml:space="preserve">vol2_s002481</t>
  </si>
  <si>
    <t xml:space="preserve">vol2_s002481_t01_1b41adf10165</t>
  </si>
  <si>
    <t xml:space="preserve">WAS_NOT</t>
  </si>
  <si>
    <t xml:space="preserve">Widely_Available</t>
  </si>
  <si>
    <t xml:space="preserve">မပျံ့မပွား မတွေ့ မရှိကြသည်နှင့်။</t>
  </si>
  <si>
    <t xml:space="preserve">Because it is not spread, found, or present.</t>
  </si>
  <si>
    <t xml:space="preserve">vol2_s002483</t>
  </si>
  <si>
    <t xml:space="preserve">vol2_s002483_t01_97336d93496e</t>
  </si>
  <si>
    <t xml:space="preserve">Later_Descendants</t>
  </si>
  <si>
    <t xml:space="preserve">LACKED_KNOWLEDGE_OF</t>
  </si>
  <si>
    <t xml:space="preserve">Four_Kings_Reigns</t>
  </si>
  <si>
    <t xml:space="preserve">မသိမမီလိုက်ကြသော။</t>
  </si>
  <si>
    <t xml:space="preserve">Those who did not know or reach [that time].</t>
  </si>
  <si>
    <t xml:space="preserve">vol2_s002485</t>
  </si>
  <si>
    <t xml:space="preserve">vol2_s002485_t01_85af84756396</t>
  </si>
  <si>
    <t xml:space="preserve">Later_Generations</t>
  </si>
  <si>
    <t xml:space="preserve">PERCEIVED_HISTORY_AS</t>
  </si>
  <si>
    <t xml:space="preserve">Trivial</t>
  </si>
  <si>
    <t xml:space="preserve">နောက်ပွားနော်လူငယ်တို့က၊ မည်ကာမတ္တသာမညကဲ့သို့။</t>
  </si>
  <si>
    <t xml:space="preserve">The later generations and young people, as if it were something trivial and ordinary.</t>
  </si>
  <si>
    <t xml:space="preserve">vol2_s002486</t>
  </si>
  <si>
    <t xml:space="preserve">vol2_s002486_t01_c3511eacd5fd</t>
  </si>
  <si>
    <t xml:space="preserve">DOUBTED</t>
  </si>
  <si>
    <t xml:space="preserve">Historical_Accuracy</t>
  </si>
  <si>
    <t xml:space="preserve">The preface describes later generations' doubtful or mistaken view of the past kings' significance; 'Historical_Accuracy' is a narrower object than the continuous Burmese passage warrants.</t>
  </si>
  <si>
    <t xml:space="preserve">Later generations → UNDERESTIMATED_OR_DOUBTED → Past royal greatness</t>
  </si>
  <si>
    <t xml:space="preserve">မှတ်ထင် ယုံမှားဘွယ်ရှိကြပါသတည်း။</t>
  </si>
  <si>
    <t xml:space="preserve">Have reason to think and doubt.</t>
  </si>
  <si>
    <t xml:space="preserve">vol2_s002488</t>
  </si>
  <si>
    <t xml:space="preserve">vol2_s002488_t01_0ff307f36165</t>
  </si>
  <si>
    <t xml:space="preserve">Elders</t>
  </si>
  <si>
    <t xml:space="preserve">RECALLED</t>
  </si>
  <si>
    <t xml:space="preserve">Past_Reigns</t>
  </si>
  <si>
    <t xml:space="preserve">လူကြီးရှင်ကြီးတို့မှာတမူကား။</t>
  </si>
  <si>
    <t xml:space="preserve">As for the elders and masters.</t>
  </si>
  <si>
    <t xml:space="preserve">vol2_s002490</t>
  </si>
  <si>
    <t xml:space="preserve">vol2_s002490_t01_cc8ca45a06b7</t>
  </si>
  <si>
    <t xml:space="preserve">WAS_PERCEIVED_AS</t>
  </si>
  <si>
    <t xml:space="preserve">Different_Life</t>
  </si>
  <si>
    <t xml:space="preserve">ဘဝတဖြစ် ဆိုဘိသောစကားကဲ့သို့။</t>
  </si>
  <si>
    <t xml:space="preserve">Like the saying 'a different life'.</t>
  </si>
  <si>
    <t xml:space="preserve">vol2_s002492</t>
  </si>
  <si>
    <t xml:space="preserve">vol2_s002492_t01_5ed741b7eafd</t>
  </si>
  <si>
    <t xml:space="preserve">Royal_Reign</t>
  </si>
  <si>
    <t xml:space="preserve">PROVIDED</t>
  </si>
  <si>
    <t xml:space="preserve">Peace_and_Abundance</t>
  </si>
  <si>
    <t xml:space="preserve">ကိုယ်စိတ်နှစ်ဖြာလို့ လွန့်ကျယ်ဝန်းစွာ ချမ်းသာ ဧမြနေထိုင်ခဲ့ကြရသည်ကို၎င်း။</t>
  </si>
  <si>
    <t xml:space="preserve">That they had lived in peace and happiness, both in body and mind, in great abundance.</t>
  </si>
  <si>
    <t xml:space="preserve">vol2_s002493</t>
  </si>
  <si>
    <t xml:space="preserve">vol2_s002493_t01_a8a756c4741b</t>
  </si>
  <si>
    <t xml:space="preserve">EXPERIENCED</t>
  </si>
  <si>
    <t xml:space="preserve">Royal_Splendor</t>
  </si>
  <si>
    <t xml:space="preserve">ဒိဌတွေ့ကြုံဘူးမြင်ခဲ့ကြရသော။</t>
  </si>
  <si>
    <t xml:space="preserve">That they had directly experienced and seen.</t>
  </si>
  <si>
    <t xml:space="preserve">vol2_s002496</t>
  </si>
  <si>
    <t xml:space="preserve">vol2_s002496_t01_9370a3963885</t>
  </si>
  <si>
    <t xml:space="preserve">FELT_LONGING_FOR</t>
  </si>
  <si>
    <t xml:space="preserve">နောက်နော်ရှေ့ရှေ့ အောက်မေ့တသ လွမ်းဆွတ်ကြေကွဲကြလျက်။</t>
  </si>
  <si>
    <t xml:space="preserve">Thinking back to the past, longing, and feeling sorrowful.</t>
  </si>
  <si>
    <t xml:space="preserve">vol2_s002497</t>
  </si>
  <si>
    <t xml:space="preserve">vol2_s002497_t01_6243ebbcb7cf</t>
  </si>
  <si>
    <t xml:space="preserve">DESIRED_TO_READ</t>
  </si>
  <si>
    <t xml:space="preserve">ဘတ်ရွတ်ကြည့်ရှုမှတ်နာလိုသော အာသာဆန္ဒဖြင့်။</t>
  </si>
  <si>
    <t xml:space="preserve">With a desire to read, recite, and listen to it.</t>
  </si>
  <si>
    <t xml:space="preserve">vol2_s002499</t>
  </si>
  <si>
    <t xml:space="preserve">vol2_s002499_t01_e838f90e0907</t>
  </si>
  <si>
    <t xml:space="preserve">SEARCHED_FOR</t>
  </si>
  <si>
    <t xml:space="preserve">လိုက်လံဘွေရှာပါသော်လည်း။</t>
  </si>
  <si>
    <t xml:space="preserve">Although they searched for it.</t>
  </si>
  <si>
    <t xml:space="preserve">vol2_s002500</t>
  </si>
  <si>
    <t xml:space="preserve">vol2_s002500_t01_8ba1cffc141a</t>
  </si>
  <si>
    <t xml:space="preserve">WAS_UNAVAILABLE_TO</t>
  </si>
  <si>
    <t xml:space="preserve">တစုံတရာတပိုင်းတစမျှ မတွေ့ မရနိုင် ရှိကြလေသတည်း။</t>
  </si>
  <si>
    <t xml:space="preserve">They could not find or obtain even a single part of it.</t>
  </si>
  <si>
    <t xml:space="preserve">vol2_s002502</t>
  </si>
  <si>
    <t xml:space="preserve">vol2_s002502_t01_b483e521c934</t>
  </si>
  <si>
    <t xml:space="preserve">ENABLED_UNDERSTANDING_OF</t>
  </si>
  <si>
    <t xml:space="preserve">Myanmar_State</t>
  </si>
  <si>
    <t xml:space="preserve">ကြည့်ရှုဘတ်နာကြရမှ သာလျှင်။</t>
  </si>
  <si>
    <t xml:space="preserve">Can one truly [understand].</t>
  </si>
  <si>
    <t xml:space="preserve">vol2_s002505</t>
  </si>
  <si>
    <t xml:space="preserve">vol2_s002505_t01_326ddb739171</t>
  </si>
  <si>
    <t xml:space="preserve">PROVIDED_BASIS_FOR</t>
  </si>
  <si>
    <t xml:space="preserve">National_Pride</t>
  </si>
  <si>
    <t xml:space="preserve">အံဘွယ်ကြီးမားမှတ်သား ယုံကြည်နှိုင်ရန် ရှိခြင်းနှင့်တကွ။</t>
  </si>
  <si>
    <t xml:space="preserve">Along with having [things] to admire, record, and believe in.</t>
  </si>
  <si>
    <t xml:space="preserve">vol2_s002507</t>
  </si>
  <si>
    <t xml:space="preserve">vol2_s002507_t01_e0f3c44834e3</t>
  </si>
  <si>
    <t xml:space="preserve">Konbaung_State</t>
  </si>
  <si>
    <t xml:space="preserve">Foreign_Diplomatic_Relations</t>
  </si>
  <si>
    <t xml:space="preserve">တိုင်းတပါးမင်းတို့နှင့်မဟာမိတ်ပြုခြင်း။</t>
  </si>
  <si>
    <t xml:space="preserve">Making alliances with foreign kings.</t>
  </si>
  <si>
    <t xml:space="preserve">vol2_s002509</t>
  </si>
  <si>
    <t xml:space="preserve">vol2_s002509_t01_97ab565e63e5</t>
  </si>
  <si>
    <t xml:space="preserve">သာသနာတော်ကိုခြီးမြှောက်ခြင်း။</t>
  </si>
  <si>
    <t xml:space="preserve">Promoting the Sasana.</t>
  </si>
  <si>
    <t xml:space="preserve">vol2_s002510</t>
  </si>
  <si>
    <t xml:space="preserve">vol2_s002510_t01_9c388a3f80a8</t>
  </si>
  <si>
    <t xml:space="preserve">Chronicle_Content</t>
  </si>
  <si>
    <t xml:space="preserve">TAUGHT</t>
  </si>
  <si>
    <t xml:space="preserve">Buddhist_Impermanence</t>
  </si>
  <si>
    <t xml:space="preserve">ဖြစ်သူပျက်မြဲ။</t>
  </si>
  <si>
    <t xml:space="preserve">That which arises must perish.</t>
  </si>
  <si>
    <t xml:space="preserve">vol2_s002511</t>
  </si>
  <si>
    <t xml:space="preserve">vol2_s002511_t01_56940f593373</t>
  </si>
  <si>
    <t xml:space="preserve">INSTRUCTED_ON</t>
  </si>
  <si>
    <t xml:space="preserve">Spiritual_Urgency</t>
  </si>
  <si>
    <t xml:space="preserve">မလွဲဧကန်အမြန်နေ့ည အနိစ္စသင်္ခါရ သံဝေဂတရား ထိတ်လန့်ဖြစ်ပွား ငြီးငွေ့ခြင်းစသော လောကဓမ္မအနှစ်သာရတို့ကို။</t>
  </si>
  <si>
    <t xml:space="preserve">The essence of worldly truths such as the inevitable, certain, quick day-and-night impermanence, the state of spiritual urgency, fear, and weariness.</t>
  </si>
  <si>
    <t xml:space="preserve">vol2_s002512</t>
  </si>
  <si>
    <t xml:space="preserve">vol2_s002512_t01_7e98164c1e43</t>
  </si>
  <si>
    <t xml:space="preserve">Readers</t>
  </si>
  <si>
    <t xml:space="preserve">Spiritual_Truths</t>
  </si>
  <si>
    <t xml:space="preserve">မုချသုံးဆောင်ခံစားကြရမည်ဖြစ်ပါသတည်း။</t>
  </si>
  <si>
    <t xml:space="preserve">One will definitely be able to consume and experience.</t>
  </si>
  <si>
    <t xml:space="preserve">vol2_s002516</t>
  </si>
  <si>
    <t xml:space="preserve">vol2_s002516_t01_db1ee7bb747e</t>
  </si>
  <si>
    <t xml:space="preserve">Editors</t>
  </si>
  <si>
    <t xml:space="preserve">INTENDED_TO_DISTRIBUTE</t>
  </si>
  <si>
    <t xml:space="preserve">ပုံရိုက်ထုတ်ဆောင် ဖြန့်ချိပါမည့်အကြောင်းများနှင့်။</t>
  </si>
  <si>
    <t xml:space="preserve">With the intention of printing and distributing it.</t>
  </si>
  <si>
    <t xml:space="preserve">vol2_s002517</t>
  </si>
  <si>
    <t xml:space="preserve">vol2_s002517_t01_cdb9cca445a1</t>
  </si>
  <si>
    <t xml:space="preserve">Elite_Scholars</t>
  </si>
  <si>
    <t xml:space="preserve">URGED_PUBLICATION_OF</t>
  </si>
  <si>
    <t xml:space="preserve">သုတေသနပဏ္ဍိတဇာတိက ပုဂ္ဂိုလ်သူမြတ်လူကြီး လူကောင်းတို့က။</t>
  </si>
  <si>
    <t xml:space="preserve">As requested and urged by the research scholars, noble persons, elders, and good people.</t>
  </si>
  <si>
    <t xml:space="preserve">vol2_s002519</t>
  </si>
  <si>
    <t xml:space="preserve">vol2_s002519_t01_6327b814d5f8</t>
  </si>
  <si>
    <t xml:space="preserve">WAS</t>
  </si>
  <si>
    <t xml:space="preserve">Rare_Historical_Text</t>
  </si>
  <si>
    <t xml:space="preserve">အလွန်တွေ ့ခဲကြုံခဲကြည့်ရှုဘတ်နာခဲသော။</t>
  </si>
  <si>
    <t xml:space="preserve">Which is very rare to find, encounter, read, or listen to.</t>
  </si>
  <si>
    <t xml:space="preserve">vol2_s002522</t>
  </si>
  <si>
    <t xml:space="preserve">vol2_s002522_t01_ed22076110e6</t>
  </si>
  <si>
    <t xml:space="preserve">DOCUMENTED</t>
  </si>
  <si>
    <t xml:space="preserve">ဖြစ်ပျက်ဥဿုံ စေ့စုံမှန်ကန်စွာ ဤဒုတိယမဟာရာဇဝင် တော်ကြီး ကျမ်းစာကို။</t>
  </si>
  <si>
    <t xml:space="preserve">This Second Great Royal Chronicle text, which is complete and accurate in every event.</t>
  </si>
  <si>
    <t xml:space="preserve">vol2_s002523</t>
  </si>
  <si>
    <t xml:space="preserve">vol2_s002523_t01_06b41eb1b320</t>
  </si>
  <si>
    <t xml:space="preserve">Worldly_and_Transcendental_Benefits</t>
  </si>
  <si>
    <t xml:space="preserve">လောကီ လောကုတ္တရာအကျိုးနှစ်ပါးနှိုက်။</t>
  </si>
  <si>
    <t xml:space="preserve">For the two benefits of the worldly and the transcendental.</t>
  </si>
  <si>
    <t xml:space="preserve">vol2_s002525</t>
  </si>
  <si>
    <t xml:space="preserve">vol2_s002525_t01_16358b47b47a</t>
  </si>
  <si>
    <t xml:space="preserve">BENEFITED</t>
  </si>
  <si>
    <t xml:space="preserve">Virtuous_People</t>
  </si>
  <si>
    <t xml:space="preserve">သူမွန်သူမြတ် သူတော်ကောင်းအပေါင်းတို့၏ အကျိုးစီးပွားအလို့ငှာ။</t>
  </si>
  <si>
    <t xml:space="preserve">For the benefit of all noble, virtuous, and good people.</t>
  </si>
  <si>
    <t xml:space="preserve">vol2_s002526</t>
  </si>
  <si>
    <t xml:space="preserve">vol2_s002526_t01_153c5e294083</t>
  </si>
  <si>
    <t xml:space="preserve">PRINTED</t>
  </si>
  <si>
    <t xml:space="preserve">စက်တင်ပုံရိုက်လုပ်ဆောင်ပါသတည်း။</t>
  </si>
  <si>
    <t xml:space="preserve">It is being printed and produced.</t>
  </si>
  <si>
    <t xml:space="preserve">vol2_s002696</t>
  </si>
  <si>
    <t xml:space="preserve">vol2_s002696_t01_fe4594c35516</t>
  </si>
  <si>
    <t xml:space="preserve">Konbaung royal soldiers</t>
  </si>
  <si>
    <t xml:space="preserve">PURSUED_REBEL</t>
  </si>
  <si>
    <t xml:space="preserve">Candragandhsin</t>
  </si>
  <si>
    <t xml:space="preserve">ရဲမက်တော် ဗိုလ်မှူးတပ်မှူးတို့လည်း စန္ဒရဂန္ဓရှိန်ကို မတွေ့ မမိသည်နှင့် ယမုနာမြစ်ရိုးကို လျှောက်၍ အုပ်စည်းမပျက် လိုက်လံရှာဖွေကြရာ ဘင်္ဂါရဟတ်မြို့ ဈေး၏အထွက် တောချုံစေးပျစ်ထူထပ်လှသော မလ္လာမြစ် အထက်က ဝေသာလီစား စန္ဒရဂန္ဓရှိန် ကြို၍ ခုခံပြန်သည်ကို တွေ့ လျှင် ဗိုလ်မှူးတပ်မှူး စစ်ကဲစစ်ကွပ် အပေါင်း တို့လည်း စစ်သည် ရဲမက်တော်တို့ကို ဆော်ဘန်ကွပ်ကဲ၍ တိုက်ခိုက်ကြလေလျှင် ဝေသာလီစား စန္ဒရဂန္ဓရှိန်လည်း ကိုယ်သက်လွတ်ရာ ဘင်္ဂလားမြို့ သို့ ထွက်ပြေး၍ အင်္ဂလိပ်လူမျိုးတို့ကို ခိုမှီလေ၏။</t>
  </si>
  <si>
    <t xml:space="preserve">The royal soldiers, commanders, and leaders, not finding or capturing Candragandhsin, followed the Yamuna riverbank and searched without breaking formation; when they found that the ruler of Vesali, Candragandhsin, was resisting them in advance above the Malla River—where the forest thickets were very dense at the exit of the Bangarahat city market—the commanders, leaders, generals, and officers urged on and directed the royal soldiers to attack, and upon being attacked, the ruler of Vesali, Candragandhsin, fled to the city of Bengal to save his own life and took refuge with the English people.</t>
  </si>
  <si>
    <t xml:space="preserve">vol2_s002696_t02_c27ef7d7716c</t>
  </si>
  <si>
    <t xml:space="preserve">RESISTED_AUTHORITY</t>
  </si>
  <si>
    <t xml:space="preserve">vol2_s002696_t03_da07980ba25b</t>
  </si>
  <si>
    <t xml:space="preserve">SOUGHT_REFUGE_WITH</t>
  </si>
  <si>
    <t xml:space="preserve">English</t>
  </si>
  <si>
    <t xml:space="preserve">vol2_s002697</t>
  </si>
  <si>
    <t xml:space="preserve">vol2_s002697_t01_52be081e99f8</t>
  </si>
  <si>
    <t xml:space="preserve">Assam</t>
  </si>
  <si>
    <t xml:space="preserve">ဗိုလ်မှူး တပ်မှူးတို့လည်း လက်နက်နိုင်ငံတော် ဖြစ်သော အာသန်ပြည်ကြီးကို တိုက်သိမ်းအောင်မြင် သည့်နောက် ယာနီစော်ဘွား, ဇယန္တာစော်ဘွားတို့ မကျိုးမနွံသည်ကို တိုက်သိမ်းပြီးမှ ဘင်္ဂါရဟတ်, မထောက်, တိုးလျား စသော အာသန်ပြည် အရံမြို့ ပြ ကိုးစော်ဘွားတို့က တစ်နှစ်လျှင် ဒင်္ဂါးသုံးသောင်း, ဆင်ပေါက်မ ရွှေကြိုး ကစုံ၊ ယာနီစော်ဘွားကလည်း တစ်နှစ်လျှင် ဒင်္ဂါး သုံးသောင်း, ဆင်ပေါက်မ ရွှေကြိုးကစုံ၊ ဇယန္တာစော်ဘွားက လည်း နှစ်စဉ် ဆယ်ခိုင်တစ်ခိုင် အခွန်တော်ငွေ ဆက်သရန် ခန့်ထားဆင့်ဆို၍ ချီတက်ပြန်ရာ အက္ကပတ်မင်း မခွံမနာသည်ကို တိုက်သိမ်းအောင်မြင်ပြန်လျှင် အက္ကပတ်မြို့မှာလည်း နန်းရိုးနန်းဆက် မှန်သူကို ဘွားစားမြဲ ဘွားစား စိုးအုပ်စေသည်။</t>
  </si>
  <si>
    <t xml:space="preserve">After the commanders and leaders had conquered and subdued the great country of Assam, which was a land of weapons, and after they had subdued the Yani Sawbwa and the Jayanta Sawbwa who were not submissive, they ordered and commanded that the nine Sawbwas of the vassal towns of Assam, such as Bangarahat, Mathauk, and Toyar, pay an annual tribute of thirty thousand coins, a young female elephant, and gold chains; that the Yani Sawbwa also pay an annual tribute of thirty thousand coins, a young female elephant, and gold chains; and that the Jayanta Sawbwa pay a tax of one in ten every year; and as they marched back, they conquered and subdued the King of Akkaphat who was not submissive, and in the city of Akkaphat, they allowed the one who was rightfully of the royal lineage to continue to rule as the ruler.</t>
  </si>
  <si>
    <t xml:space="preserve">vol2_s002697_t02_d22f0ee9e34d</t>
  </si>
  <si>
    <t xml:space="preserve">Yani Sawbwa</t>
  </si>
  <si>
    <t xml:space="preserve">vol2_s002697_t03_cc1cc8cd8f9b</t>
  </si>
  <si>
    <t xml:space="preserve">Jayanta Sawbwa</t>
  </si>
  <si>
    <t xml:space="preserve">vol2_s002697_t04_60acd7589b0b</t>
  </si>
  <si>
    <t xml:space="preserve">Nine Sawbwas of Assam</t>
  </si>
  <si>
    <t xml:space="preserve">REQUIRED_TO_PAY_TRIBUTE_OF</t>
  </si>
  <si>
    <t xml:space="preserve">30000 coins, female elephant, gold chains</t>
  </si>
  <si>
    <t xml:space="preserve">vol2_s002697_t05_a86b2f8da23f</t>
  </si>
  <si>
    <t xml:space="preserve">vol2_s002697_t06_05b74827549c</t>
  </si>
  <si>
    <t xml:space="preserve">REQUIRED_TO_PAY_TAX_OF</t>
  </si>
  <si>
    <t xml:space="preserve">10 percent annual revenue</t>
  </si>
  <si>
    <t xml:space="preserve">vol2_s002697_t07_39eb0b52561d</t>
  </si>
  <si>
    <t xml:space="preserve">Akkaphat</t>
  </si>
  <si>
    <t xml:space="preserve">vol2_s002697_t08_25e93965281d</t>
  </si>
  <si>
    <t xml:space="preserve">Akkaphat ruler</t>
  </si>
  <si>
    <t xml:space="preserve">APPOINTED_BY_CONQUEROR_AS</t>
  </si>
  <si>
    <t xml:space="preserve">Rightful royal lineage successor</t>
  </si>
  <si>
    <t xml:space="preserve">vol2_s002698</t>
  </si>
  <si>
    <t xml:space="preserve">vol2_s002698_t01_0938ca28e6c8</t>
  </si>
  <si>
    <t xml:space="preserve">King of Akkaphat</t>
  </si>
  <si>
    <t xml:space="preserve">SUBMITTED_TO_KONBAUNG_VIA</t>
  </si>
  <si>
    <t xml:space="preserve">Daughters and gifts</t>
  </si>
  <si>
    <t xml:space="preserve">အက္ကပတ်မင်းကလည်း သမီးရင်း နှစ်ယောက်နှင့် ပဏ္ဏာလက်ဆောင်များ ဆက်သ လိုက်သည်။</t>
  </si>
  <si>
    <t xml:space="preserve">The King of Akkaphat also presented his own two daughters and gifts.</t>
  </si>
  <si>
    <t xml:space="preserve">vol2_s002699</t>
  </si>
  <si>
    <t xml:space="preserve">vol2_s002699_t01_7766534f01f2</t>
  </si>
  <si>
    <t xml:space="preserve">Zaw Rahan</t>
  </si>
  <si>
    <t xml:space="preserve">INSTALLED_AS_RULER_OF_ASSAM_BY</t>
  </si>
  <si>
    <t xml:space="preserve">Konbaung commanders</t>
  </si>
  <si>
    <t xml:space="preserve">ဗိုလ်မှူးတပ်မှူးတို့လည်း အသမ သက္ကဒေဝ မည်သော အာသန်တိုင်း အလုံးကို အနေအထား ကျအောင် ခန့်ထား စီမံ ပျပ်ဝပ်နွံနာစေပြီးမှ အမိန့်တော်နှင့်အညီ အထက် သမီးကညာဆက်သည့် အာသန်မင်းသမီး ဗန်းမော် မြို့စား သီရိအတုလရတနာဒေဝီ မောင်ရင်း ဇော်ရဟန်” ကို – သီရိစန္ဒသီဟမဟာဓမ္မရာဇာဘွဲ့ မင်းမြှောက်တန်ဆာ ငါးပါးများနှင့် ဗိုလ်မှူး တပ်မှူး စစ်ကဲ နာခံ တပ်အရာရှိ စော်ဘွားမြို့စား အစုံအညီ ထီးနန်းတင်အပ်ခဲ့ပြီးလျှင် အာသန်မြို့, ဂါဟတ္ထိမြို့မှစ၍ အရံမြို့ ပြ ကျေးရွာများမှာ သားတော်အစဉ် မြေးတော်အဆက် မြစ်တော်အညွန့် အဓွန့်ရှည်စွာ ထာဝရမြဲမြံအောင် အထက် အာသန်ဗိုလ်မှူး မင်းကြီးမဟာသီလဝ စစ်ကဲနာခံ အရာရှိတို့ကို စောင့်ထိန်းမြဲ စောင့်ထိန်းစေ၍ အမတ်ပကွန်းရာဇခွာ, ဟော်ကြာ, ဘော်ရာ ခန့်ထားသင့်သည့် မြို့ပြကျေးရွာများမှာလည်း အအုပ် အထိန်း အစောင့်အနေ ခန့်ထားခဲ့ပြီးလျှင် ယမုနာမြစ် မြောက်ဘက်တစ်လွှား ဒိုရုံညီ, ဆိုက်, ဒွါ, မထောက်, တိုးလျား စော်ဘွား, အက္ကပတ်မင်းတို့က ဆက်သကြသည့် သမီးကညာများနှင့် အထူးထူးသော ရွှေ၊ ငွေ, ထည်မျိုး အုပ်မျိုး ပဏ္ဏာလက်ဆောင် တင်စာ လျှောက်စာများကို ဆောင်ယူ၍ တပ်ပါဗိုလ်ရဲမက်တို့နှင့် အုပ်စည်းမပျက် အာသန်တိုင်းပြည်က မင်းကြီးမဟာဗန္ဓုလ ချီထွက်ပြန်လာသည်။</t>
  </si>
  <si>
    <t xml:space="preserve">After the commanders and leaders had arranged and managed the entire country of Assam, known as Asama Sakkadeva, so that it was in order and made it submissive and obedient, they, in accordance with the royal order, installed on the throne the younger brother of the Bhamo governor, Siri Atula Ratana Devi—the Assam princess who had previously presented her daughter—named Zaw Rahan, with the title Siri Canda Siha Maha Dhamma Raja, along with the five royal regalia, in the presence of the commanders, leaders, generals, obedient officers, and Sawbwas and governors; and they ordered the aforementioned Assam commander, Mingyi Maha Thilawa, and the obedient officers to maintain the Assam city, Gahatthi city, and the vassal towns and villages so that they would remain permanently stable for the descendants of the sons, grandsons, and great-grandsons for a long time to come; and after they had appointed administrators, guards, and sentries for the towns and villages where the ministers Pakun Razakhwa, Hawkyar, and Bawyar were to be appointed, Mingyi Maha Bandula marched out and returned from the country of Assam with the soldiers under his command, without breaking formation, bringing with him the daughters presented by the Sawbwas of Dorunnyi, Sai, Dwa, Mathauk, and Toyar, and the King of Akkaphat from along the north side of the Yamuna River, as well as various kinds of gold, silver, fabrics, and goods, and the tribute lists and petitions.</t>
  </si>
  <si>
    <t xml:space="preserve">vol2_s002699_t02_4ad6a19537c3</t>
  </si>
  <si>
    <t xml:space="preserve">Siri Canda Siha Maha Dhamma Raja</t>
  </si>
  <si>
    <t xml:space="preserve">vol2_s002699_t03_e6b5d4868b11</t>
  </si>
  <si>
    <t xml:space="preserve">Mingyi Maha Thilawa</t>
  </si>
  <si>
    <t xml:space="preserve">CHARGED_WITH_MAINTAINING</t>
  </si>
  <si>
    <t xml:space="preserve">Assam administrative stability</t>
  </si>
  <si>
    <t xml:space="preserve">vol2_s002699_t04_e421c290c949</t>
  </si>
  <si>
    <t xml:space="preserve">APPOINTED_ADMINISTRATORS_FOR</t>
  </si>
  <si>
    <t xml:space="preserve">Assam towns and villages</t>
  </si>
  <si>
    <t xml:space="preserve">vol2_s002700</t>
  </si>
  <si>
    <t xml:space="preserve">vol2_s002700_t01_fe4fd52432a7</t>
  </si>
  <si>
    <t xml:space="preserve">CONSTRUCTED_RELIGIOUS_MONUMENT_IN</t>
  </si>
  <si>
    <t xml:space="preserve">Ratanapura capital</t>
  </si>
  <si>
    <t xml:space="preserve">သက္ကရာဇ် (၁၁၈၄) တစ်ထောင့်တစ်ရာ့ရှစ်ဆယ့်လေးခု နတ်တော်လပြည့်ကျော် ငါးရက်ခံနေ့ ရတနာပူရ မြို့တော်အတွင်း ထီးလှိုင်ရှင်ဘုရား အနောက်မြောက် မြေလပ်တွင် နန်းမတော် မိဖုရားခေါင်ကြီး ကုသိုလ်တော် အုတ်ကျောင်းတည်လုပ်ရန် အခါတော်အတိုင်း စ၍ တည်လုပ်စေသည်။</t>
  </si>
  <si>
    <t xml:space="preserve">On the fifth day after the full moon of Natdaw, in the year 1184, they began the construction of the royal merit-making brick monastery for the Chief Queen in the vacant land to the northwest of the Htilainshin Pagoda within the city of Ratanapura, according to the auspicious time.</t>
  </si>
  <si>
    <t xml:space="preserve">vol2_s002701</t>
  </si>
  <si>
    <t xml:space="preserve">vol2_s002701_t01_3659c827ab42</t>
  </si>
  <si>
    <t xml:space="preserve">Ude King</t>
  </si>
  <si>
    <t xml:space="preserve">Konbaung authorities</t>
  </si>
  <si>
    <t xml:space="preserve">အထက် ဗန်းမော်မြို့က ပြန်သွားသည့် ဥဒည်မင်း သံတို့လည်း အနောက်မျက်နှာ မိုင်းဆည်စုန်းတူ, မိုးမျဉ်း မြို့ဝန်တို့ထံ ပြန်ပြောသည့်ကာလ မိုင်းဆည်စုန်းတူ, မိုးမျဉ်းမြို့ဝန်တို့က ဥဒည်မင်းထံ တင်လျှောက်၍ ရွှေပေ ရာဇသံ လက်ဆောင်တော်များကို ထပ်မံ ပေးအပ်လိုက်သည်နှင့် ဆောင်ယူပြန်လာရာ သက္ကရာဇ် (၁၁၈၄) တစ် ထောင့်တစ်ရာ့ရှစ်ဆယ့်လေးခု ပြာသိုလဆန်း ခြောက်ရက် နေ့ ဗန်းမော်မြို့ သို့ ဆိုက်ရောက်သည်။</t>
  </si>
  <si>
    <t xml:space="preserve">When the envoys of the Ude King who had returned from the aforementioned Bhamo city reported back to the governors of Moinseisuntu and Moyin in the west, the governors of Moinseisuntu and Moyin submitted a report to the Ude King, and because he additionally provided gold-leaf royal letters and gifts, they brought them back and arrived at Bhamo city on the sixth day of the waxing moon of Pyatho, in the year 1184.</t>
  </si>
  <si>
    <t xml:space="preserve">vol2_s002702</t>
  </si>
  <si>
    <t xml:space="preserve">vol2_s002702_t01_23b32696ffce</t>
  </si>
  <si>
    <t xml:space="preserve">Maha Bandula</t>
  </si>
  <si>
    <t xml:space="preserve">အာသန်ကြောင်းချီ ဗိုလ်မှူး မင်းကြီးမဟာဗန္ဓုလလည်း လက်နက်နိုင်ငံတော် အာသန်တိုင်းပြည် အလုံး ကို တိုက်သိမ်းအောင်မြင်၍ မြို့စားစော်ဘွားတို့က ဆက်သလိုက်သည့် သမီးကညာလက်ဆောင်တော်, ရွှေငွေ ထည်မျိုးအုပ်မျိုးများကို ဆောင်ယူပြန်လာရာ ဂန္ဓာလရာဇ်တိုင်း- တရုတ်ဥဒည်မင်းသံတို့ ဗန်းမော်မြို့ သို့ ဆိုက် ရောက်သည်နှင့် မရှေးမနှောင်း သက္ကရာဇ် (၁၁၈၄) တစ်ထောင့်တစ်ရာ့ရှစ်ဆယ့်လေးခု ပြာသိုလပြည့်ကျော် ငါးရက် နေ့ အာသန်ကြောင်း ချီတက်သည့် ရဲမက်တော်တို့နှင့် အုပ်စည်းမပျက် ဗိုလ်မှူး မင်းကြီးမဟာဗန္ဓုလ ဆိုက်ရောက်ရာ ဗန်းမော်မြို့တွင် သုံးရက်ခန့် ရပ်ဆိုင်း၍ တရုတ်သံတို့ အကြောင်းအရာများကို ကြည့်ရှုမေးမြန်း စုံစမ်းပြီးလျှင် အလုံးစုံ ဆင့်ဆိုမှာထားရန် ရှိသည်များကို ဗန်းမော်မြို့ဝန်သို့ မှာထား ဆင့်ဆိုခဲ့ပြီး၍ ဗိုလ်မှူး မင်းကြီးမဟာဗန္ဓုလလည်း သိကြားစစ်သည် အပေါင်းတို့ကို အုပ်ချုပ်စီရင်ရသော သေနာဂုတ္တကုဝေရနတ်အတူ ပါသည့် ရဲမက်တော်တို့ကို ရှေ့နောက် အုပ်ချုပ်စည်းကြပ်၍ အောင်တံခွန်ကို ဖြန့်လျက် တစ်ပြိုင်နက် အောင်စည် အောင်မောင်းသံတို့ဖြင့် မြစ်လုံးပဲ့တင်ထပ်မျှ တပ်တော်ချီထွက် စုန်ဆင်းခဲ့ကြသည်ကို ဥဒည်မင်းသံတို့ ရဲမက်တော် ဗိုလ်ခြေအင်အား အလုံးအရင်းများကို မြင်လျှင် အချင်းချင်း အံ့ဩပြောပ ချီးမွမ်းကြသော ဟူ၏။</t>
  </si>
  <si>
    <t xml:space="preserve">Mingyi Maha Bandula, the commander who led the Assam campaign, having conquered and subdued the entire country of Assam, which was a land of weapons, was returning with the gifts of daughters and the gold, silver, fabrics, and goods presented by the governors and Sawbwas, and not long after the envoys of the Gandalarit country—the Chinese Ude King—arrived at Bhamo city, on the fifth day after the full moon of Pyatho, in the year 1184, Mingyi Maha Bandula arrived at Bhamo city with the soldiers who had marched on the Assam campaign without breaking formation; he stayed for about three days, observed, asked about, and investigated the matters of the Chinese envoys, and after giving instructions and orders for everything to the Bhamo governor, Mingyi Maha Bandula led and organized the royal soldiers—who were like the soldiers of the god Kuvera, the guardian of the army who commands all the celestial soldiers—in front and behind, and with the victory banners unfurled and the sounds of victory drums and gongs echoing throughout the river, they marched out and descended, and it is said that when the envoys of the Ude King saw the strength and size of the royal soldiers and troops, they were amazed and praised them to one another.</t>
  </si>
  <si>
    <t xml:space="preserve">vol2_s002702_t02_8a07c6be219e</t>
  </si>
  <si>
    <t xml:space="preserve">Assam Governors and Sawbwas</t>
  </si>
  <si>
    <t xml:space="preserve">PRESENTED_TRIBUTE_TO</t>
  </si>
  <si>
    <t xml:space="preserve">vol2_s002702_t03_ecda38dc0177</t>
  </si>
  <si>
    <t xml:space="preserve">ISSUED_ORDERS_TO</t>
  </si>
  <si>
    <t xml:space="preserve">Bhamo Governor</t>
  </si>
  <si>
    <t xml:space="preserve">vol2_s002702_t04_875a988e777c</t>
  </si>
  <si>
    <t xml:space="preserve">DEMONSTRATED_MILITARY_STRENGTH_TO</t>
  </si>
  <si>
    <t xml:space="preserve">Chinese Envoys</t>
  </si>
  <si>
    <t xml:space="preserve">vol2_s002886</t>
  </si>
  <si>
    <t xml:space="preserve">vol2_s002886_t01_8d2485282791</t>
  </si>
  <si>
    <t xml:space="preserve">British</t>
  </si>
  <si>
    <t xml:space="preserve">ATTACKED_PROVINCIAL_CENTER</t>
  </si>
  <si>
    <t xml:space="preserve">Pathein</t>
  </si>
  <si>
    <t xml:space="preserve">နောက် ပုသိမ်မြို့ သို့ အင်္ဂလိပ်တို့က သင်္ဘောသမ္ဗန် ရဲမက်လက်နက်ကိုင် ဗိုလ်ခြေအင်အား အများ ချီတက် ဝန်းရံ တိုက်ခိုက်ကြပြန်ရာ ပုသိန်မြို့ဝန်၊ အောက်မားဝန်တို့ ရဲမက် လက်နက်ကိုင်အပေါင်းတို့နှင့် တံ့စား ရပ်ခံ တိုက်ခိုက်ကြသော်လည်း လက်နက်လူသူ အင်အား မတန်သည်နှင့် ယင်းသည့် သက္ကရာဇ် တပေါင်းလဆန်း ကိုးရက် နေ့ ပုသိမ်မြို့ က ဆုတ်ခွာရချေ၏။</t>
  </si>
  <si>
    <t xml:space="preserve">Later, the English marched on Pathein city with a large force of steamships, boats, and armed soldiers to surround and attack it again; although the Pathein governor and the Aukma governor, along with all their armed soldiers, stood their ground and fought back, because their weapons and manpower were not equal, they had to retreat from Pathein city on the ninth day of the waxing moon of Tabaung of that same year.</t>
  </si>
  <si>
    <t xml:space="preserve">vol2_s002886_t02_af8d7e935720</t>
  </si>
  <si>
    <t xml:space="preserve">Pathein Governor and Aukma Governor</t>
  </si>
  <si>
    <t xml:space="preserve">RESISTED_COLONIAL_ADVANCE</t>
  </si>
  <si>
    <t xml:space="preserve">vol2_s002886_t03_82910ae1699a</t>
  </si>
  <si>
    <t xml:space="preserve">RETREATED_FROM_PROVINCIAL_CENTER</t>
  </si>
  <si>
    <t xml:space="preserve">vol2_s002886_t04_702e26f50d11</t>
  </si>
  <si>
    <t xml:space="preserve">POSSESSED_SUPERIOR_MILITARY_CAPACITY</t>
  </si>
  <si>
    <t xml:space="preserve">vol2_s002887</t>
  </si>
  <si>
    <t xml:space="preserve">vol2_s002887_t01_816c5c235510</t>
  </si>
  <si>
    <t xml:space="preserve">MOBILIZED_SERVICE_GROUPS</t>
  </si>
  <si>
    <t xml:space="preserve">Seven military units</t>
  </si>
  <si>
    <t xml:space="preserve">ထိုသက္ကရာဇ် ဟံသာဝတီကြောင်း ချီတက်စေရန် ဗန့်ကျီတိုက်ဝန် မဟာမင်းခေါင်ရဲထင်တစ်တပ်၊ လှေတော် ထောင်ကဲပဲ့နင်း နေမျိုးဇလကျော်ထင် တစ်တပ်၊ နေမျိုးဇလကျော်သူ တစ်တပ်၊ ရွှေနန်းရိုး လမိုင်းစာရေး နေမျိုးမင်းထင် တစ်တပ်၊ အောင်ပင်လယ် လမိုင်းစာရေး နေမျိုးကျော်ခေါင် တစ်တပ်၊ အလုံသင်းမှူး နေမျိုးနော်ရထာတစ်တပ်၊ ဒီပဲယင်းသင်းမှူး နေမျိုးရဲထင် တစ်တပ်၊ စုစုတပ်ပေါင်း ခုနစ်တပ်၊ လှေအမှုထမ်း၊ လမိုင်းအမှုထမ်း၊ သင်းအမှုထမ်း၊ စုစုရဲမက်လက်နက်ကိုင် လူငါးထောင်, လက်နက်ကိရိယာ မျိုးရိက္ခာအစုံ ပေး၍ အတွင်းဝန် မင်းကြီးမဟာဥဇနာကို ဗိုလ်မှူး၊ နန်းကံကျွေးဝန် နေမျိုးစည်သူ, နေမျိုးမင်းကျော်တို့ကို စစ်ကဲ၊ တလုပ်မြို့ သင်းမှူး နေမျိုးရဲခေါင်, နတ်ရှင့် စည်သူ နော်ရထာတို့ကို နာခံ၊ လက်ဝဲသူရနော်ရထာ, သီရိသိင်္ခသူတို့ကို တပ်ရေး ခန့်ထား စည်းကြပ်ပြီးလျှင် သက္ကရာဇ် (၁၁၈၆) တစ်ထောင့်တစ်ရာ့ရှစ်ဆယ့်ခြောက်ခု တပေါင်းလပြည့်ကျော် ဆယ်ရက်- နေ့ ဟံသာဝတီ ကြောင်းချီ ဝန်ကြီး သတိုးသုဓမ္မမဟာဗန္ဓုလတပ်သို့ ထပ်ဖြည့် ချီတက်စေ၏။</t>
  </si>
  <si>
    <t xml:space="preserve">In that same year, to march toward Hanthawaddy, [the King] appointed and organized seven units in total: one unit of the Banyi Taikwun Maha Minhkaung Yahtin, one unit of the royal boat commander Nemyo Zalakyawhtin, one unit of Nemyo Zalakyawthu, one unit of the Shwenanyo Lamain clerk Nemyo Minhtin, one unit of the Aungpinle Lamain clerk Nemyo Kyawhkaung, one unit of the Alon regiment commander Nemyo Nawrahta, and one unit of the Depayin regiment commander Nemyo Yahtin; providing them with five thousand armed soldiers in total—including boat service personnel, Lamain service personnel, and regiment service personnel—along with all kinds of weapons and provisions, and appointing the Interior Minister Mingyi Maha Uzana as the commander, Nangkankye Wun Nemyo Sithu and Nemyo Minkyaw as military advisors, Talok city regiment commander Nemyo Yahtkaung and Natsin Sithu Nawrahta as adjutants, and Lawethura Nawrahta and Thiri Thinkathu as logistics officers, and then had them march to reinforce the army of the minister Thado Thudamma Maha Bandula, who was marching toward Hanthawaddy, on the tenth day of the waning moon of Tabaung in the year 1186.</t>
  </si>
  <si>
    <t xml:space="preserve">vol2_s002887_t02_cae3eb7feebc</t>
  </si>
  <si>
    <t xml:space="preserve">Interior Minister Mingyi Maha Uzana</t>
  </si>
  <si>
    <t xml:space="preserve">vol2_s002887_t03_eb3b07410697</t>
  </si>
  <si>
    <t xml:space="preserve">APPOINTED_MILITARY_STAFF</t>
  </si>
  <si>
    <t xml:space="preserve">Nangkankye Wun Nemyo Sithu and Nemyo Minkyaw</t>
  </si>
  <si>
    <t xml:space="preserve">vol2_s002887_t04_3413b3b64eea</t>
  </si>
  <si>
    <t xml:space="preserve">APPOINTED_ADJUTANTS</t>
  </si>
  <si>
    <t xml:space="preserve">Talok city regiment commander Nemyo Yahtkaung and Natsin Sithu Nawrahta</t>
  </si>
  <si>
    <t xml:space="preserve">vol2_s002887_t05_138b6d9f949c</t>
  </si>
  <si>
    <t xml:space="preserve">APPOINTED_LOGISTICS_OFFICERS</t>
  </si>
  <si>
    <t xml:space="preserve">Lawethura Nawrahta and Thiri Thinkathu</t>
  </si>
  <si>
    <t xml:space="preserve">vol2_s002887_t06_3533f300ddb7</t>
  </si>
  <si>
    <t xml:space="preserve">DISPATCHED_REINFORCEMENTS_TO</t>
  </si>
  <si>
    <t xml:space="preserve">Minister Thado Thudamma Maha Bandula</t>
  </si>
  <si>
    <t xml:space="preserve">vol2_s002888</t>
  </si>
  <si>
    <t xml:space="preserve">vol2_s002888_t01_ac859674b1db</t>
  </si>
  <si>
    <t xml:space="preserve">General Cotton</t>
  </si>
  <si>
    <t xml:space="preserve">4,000 armed service personnel</t>
  </si>
  <si>
    <t xml:space="preserve">အင်္ဂလိပ် စစ်သည်တို့လည်း ရန်ကုန်မြို့က မီးသင်္ဘော, တိုက်သင်္ဘော, ရဲလှေသမ္ဗန်များတွင် ရဲမက် လက်နက်ကိုင် အမှုထမ်း လူလေးထောင်ကျော်ကို ဇနင်ကာတင် ခေါ် ဗိုလ်မှူး ချုပ်အုပ်၍ ရေကြောင်း, ကြည်းကြောင်း ကလည်း စစ်သည် ရဲမက် လက်နက်ကိုင် လူလေးထောင်ကျော်ကို ဇနရံကြေမံခေါ် ဗိုလ်မှူးအုပ်ချုပ်၍ သာရဝေါ, ဟင်္သာတမြို့ အနောက်ဘက်လမ်း ချီတက်ပြီးလျှင် ဓနုဖြူ မြို့ တောင် ကျိုက်ကလွန်ပွန်း ဘုရားတွင် စွဲရပ်သည့် နေမျိုးရဲထင်, ခြောက်ကြောင်းဗိုလ် နေမျိုးရဲဖျား, မဟာမင်းခေါင်သင်္ခယာတို့ တပ်သို့ ချဉ်းကပ် တိုက်ခိုက်လာသည်ကို ရဲမက်တော် ဗိုလ်မှူးတပ်မှူး စစ်သည်တော်တို့ ခုခံတိုက်ခိုက်ကြရာ နေမျိုးရဲထင်လည်း ယင်းတွင်ပင် ဆုံးချေ၏။</t>
  </si>
  <si>
    <t xml:space="preserve">The English soldiers also marched from Yangon city with over four thousand armed service personnel on steamships, warships, and police boats, commanded by a general called General Cotton, and also marched over four thousand armed soldiers by land, commanded by a general called General Campbell, via the route west of Tharrawaddy and Hinthada city, and when they approached and attacked the units of Nemyo Yahtin, the six-route commander Nemyo Yahtpyar, and Maha Minhkaung Thinkhaya, who were stationed at the Kyaik-ka-lun-pun Pagoda south of Danubyu city, the royal soldiers, commanders, and troops resisted and fought back, and Nemyo Yahtin died right there.</t>
  </si>
  <si>
    <t xml:space="preserve">vol2_s002888_t02_6d7e73b97a1f</t>
  </si>
  <si>
    <t xml:space="preserve">4,000 armed soldiers</t>
  </si>
  <si>
    <t xml:space="preserve">vol2_s002888_t03_61692a0eeaec</t>
  </si>
  <si>
    <t xml:space="preserve">British Forces</t>
  </si>
  <si>
    <t xml:space="preserve">Kyaik-ka-lun-pun Pagoda</t>
  </si>
  <si>
    <t xml:space="preserve">vol2_s002888_t04_d8299d729440</t>
  </si>
  <si>
    <t xml:space="preserve">Nemyo Yahtin, Nemyo Yahtpyar, and Maha Minhkaung Thinkhaya</t>
  </si>
  <si>
    <t xml:space="preserve">DEFENDED_POSITION</t>
  </si>
  <si>
    <t xml:space="preserve">vol2_s002888_t05_da59199abb55</t>
  </si>
  <si>
    <t xml:space="preserve">CAUSED_DEATH_OF</t>
  </si>
  <si>
    <t xml:space="preserve">Nemyo Yahtin</t>
  </si>
  <si>
    <t xml:space="preserve">vol2_s002889</t>
  </si>
  <si>
    <t xml:space="preserve">vol2_s002889_t01_c0e44a56b19d</t>
  </si>
  <si>
    <t xml:space="preserve">RENEWED_ATTACK_ON</t>
  </si>
  <si>
    <t xml:space="preserve">Nemyo Yahtpyar and Maha Minhkaung Thinkhaya</t>
  </si>
  <si>
    <t xml:space="preserve">အင်္ဂလိပ် စစ်သည် ဗိုလ်မှူးတပ်မှူးတို့လည်း နေမျိုးရဲထင်တပ် ပျက်ပြားကြောင်းကို သိလျှင် ခြောက်ကြောင်း ဗိုလ် နေမျိုးရဲဖျား, မဟာမင်းခေါင်သင်္ခယာတို့ တပ်ကို အားသစ်၍ ကြည်းရေနှစ်ဖက်ညှပ် တိုက်ခိုက်ကြပြန်ရာ ဗိုလ်မှူးတပ်မှူးအပေါင်းတို့ ရဲမက်တော်တို့ကို ကြပ်ကြပ်တည်းတည်း အုပ်ကွပ်စည်းကြပ် တိုက်ခိုက်ကြသည်တွင် တပ်တွင်းက အမြောက်သေနတ် ထပ်မနား ပစ်လွှတ်သည်နှင့် အင်္ဂလိပ်စစ်သည် ဗိုလ်ပါ ရဲမက်အပေါင်းတို့ တပ်ရင်းသို့ ရောက်အောင် မချဉ်းမကပ်နိုင်၊ တပ်လုံးတပ်ရင်း ပျက်ပြားထွက်ပြေး၍ ဧရွံ့မြို့သို့ ဆုတ်ခွာရပ်နေလေ၏။</t>
  </si>
  <si>
    <t xml:space="preserve">When the English soldiers and commanders learned that Nemyo Yahtin's unit had been broken, they renewed their strength and attacked the units of the six-route commander Nemyo Yahtpyar and Maha Minhkaung Thinkhaya by pinning them from both land and water; as the commanders and unit leaders strictly controlled and organized the royal soldiers to fight, and because cannons and muskets were fired from within the unit without pause, the English soldiers and troops could not approach or reach the main unit, and the entire unit was broken and fled, retreating to stay at E-ywan city.</t>
  </si>
  <si>
    <t xml:space="preserve">vol2_s002889_t02_a7f8c7f8d66e</t>
  </si>
  <si>
    <t xml:space="preserve">Burmese Commanders</t>
  </si>
  <si>
    <t xml:space="preserve">ORGANIZED_DEFENSIVE_FIRE</t>
  </si>
  <si>
    <t xml:space="preserve">vol2_s002889_t03_e91e852ce680</t>
  </si>
  <si>
    <t xml:space="preserve">Burmese Defensive Fire</t>
  </si>
  <si>
    <t xml:space="preserve">REPELLED_COLONIAL_ADVANCE</t>
  </si>
  <si>
    <t xml:space="preserve">vol2_s002889_t04_f178d8db855d</t>
  </si>
  <si>
    <t xml:space="preserve">E-ywan city</t>
  </si>
  <si>
    <t xml:space="preserve">vol2_s002890</t>
  </si>
  <si>
    <t xml:space="preserve">vol2_s002890_t01_5bdc16f56046</t>
  </si>
  <si>
    <t xml:space="preserve">CAUSED_CASUALTIES_TO</t>
  </si>
  <si>
    <t xml:space="preserve">English military officers and Gora service personnel</t>
  </si>
  <si>
    <t xml:space="preserve">ယင်းတွင် အင်္ဂလိပ်စစ်ဗိုလ် ငါးယောက်နှင့် ဂေါ်ရာစစ်ပိုင်အမှုထမ်း အများ သေဆုံးလေ၏။</t>
  </si>
  <si>
    <t xml:space="preserve">In that [engagement], five English military officers and many Gora service personnel died.</t>
  </si>
  <si>
    <t xml:space="preserve">vol2_s002891</t>
  </si>
  <si>
    <t xml:space="preserve">vol2_s002891_t01_8569576aa1a6</t>
  </si>
  <si>
    <t xml:space="preserve">COMMANDED_MILITARY_EXPEDITION_BY</t>
  </si>
  <si>
    <t xml:space="preserve">water</t>
  </si>
  <si>
    <t xml:space="preserve">ထိုအခါ ရေကြောင်းချုပ်အုပ်ချီတက်လာသည့် ဇနင်ကာတင်ခေါ် ဗိုလ်ချုပ်ဆိုသူ ဓနုဖြူမြို့ ကျိုက်ကလွန်ပွန်း တပ်သို့ ချီတက် တိုက်ခိုက်ရာ အင်္ဂလိပ်ဗိုလ်ခြေ အမှုထမ်းအများ သေကြေပျက်စီး၊ ပြောင်းအမြောက် သေနတ် အထိအခိုက် များလှသောကြောင့် မတိုက်မခိုက်နိုင်ကြောင်းနှင့် ဖနရံကြေမံခေါ် ကြည်းကြောင်းဗိုလ်ချုပ်ထံ စေလွှတ် ပြောရာ ဇနရံကြေမုံလည်း ဇနင်ကာတင် ရှိရာ သာရဝေါအရပ်သို့ ပေါင်းဆုံလာပြီးလျှင် ဧရာဝတီမြစ် အနောက်ဘက် ဟင်္သာတရောက် ချီတက်၍ ဓနုဖြူ မြို့ တောင်မျက်နှာ ရွှေရောင်ပြဘုရားတွင် ကြည်းကြောင်းချီ အင်္ဂလိပ်တို့ တပ်စွဲရပ်သည်၊ ရေကြောင်းကလည်း မီးသင်္ဘော, ရဲလှေသမ္ဗန်များနှင့် ဆန်တက်၍ ဓနုဖြူမြို့အထက် သာပေါင်းဆိပ်က စွဲရပ်သည်။</t>
  </si>
  <si>
    <t xml:space="preserve">At that time, the person called General Cotton, who was leading the march by water, marched and attacked the Kyaik-ka-lun-pun unit at Danubyu city, but because many English troops and service personnel died and were injured, and the damage from cannons and muskets was very great, he sent word to the land-route general called General Campbell saying that they could not fight; General Campbell then joined up at the place where General Cotton was at Tharrawaddy, marched to Hinthada on the west side of the Ayeyarwady River, and the land-marching English stationed their troops at the Shwe-yaung-pya Pagoda on the south side of Danubyu city, while those by water also sailed up with steamships and police boats and stationed themselves at Thapaung port above Danubyu city.</t>
  </si>
  <si>
    <t xml:space="preserve">vol2_s002891_t02_c711387c077a</t>
  </si>
  <si>
    <t xml:space="preserve">ATTACKED_GARRISON</t>
  </si>
  <si>
    <t xml:space="preserve">Kyaik-ka-lun-pun unit</t>
  </si>
  <si>
    <t xml:space="preserve">vol2_s002891_t03_404cb3005585</t>
  </si>
  <si>
    <t xml:space="preserve">English troops</t>
  </si>
  <si>
    <t xml:space="preserve">Burmese artillery and musketry</t>
  </si>
  <si>
    <t xml:space="preserve">vol2_s002891_t04_15f212dd0dd8</t>
  </si>
  <si>
    <t xml:space="preserve">REPORTED_INABILITY_TO_FIGHT_TO</t>
  </si>
  <si>
    <t xml:space="preserve">vol2_s002891_t05_d078f3d1648f</t>
  </si>
  <si>
    <t xml:space="preserve">JOINED_FORCES_WITH</t>
  </si>
  <si>
    <t xml:space="preserve">vol2_s002891_t06_33ad81813db2</t>
  </si>
  <si>
    <t xml:space="preserve">English land forces</t>
  </si>
  <si>
    <t xml:space="preserve">Shwe-yaung-pya Pagoda</t>
  </si>
  <si>
    <t xml:space="preserve">vol2_s002891_t07_6543db0cf110</t>
  </si>
  <si>
    <t xml:space="preserve">English water forces</t>
  </si>
  <si>
    <t xml:space="preserve">Thapaung port</t>
  </si>
  <si>
    <t xml:space="preserve">vol2_s003209</t>
  </si>
  <si>
    <t xml:space="preserve">vol2_s003209_t01_7301a9fd8cd1</t>
  </si>
  <si>
    <t xml:space="preserve">GRANTED_INSIGNIA_TO</t>
  </si>
  <si>
    <t xml:space="preserve">princes, sawbwas, and town governors</t>
  </si>
  <si>
    <t xml:space="preserve">တပ်တော်ရှေ့ကလည်း မင်းညီမင်းသား စော်ဘွားမြို့စားတို့ သနားတော်မြတ် ခံရသည့် ကျိုင်း, ဝေါ, ထမ်းစင်, ဗောင်းဝတ်လုံစလွယ် ဆင်ယင်ကျင်းပ၍ တပ်စဉ်သင့် လိုက်ကြရ၏။</t>
  </si>
  <si>
    <t xml:space="preserve">In front of the royal procession, the princes, sawbwas, and town governors, having been granted the royal favor of wearing the [insignia of] kyine, palanquins, litters, crowns, robes, and shoulder belts, followed in their proper order.</t>
  </si>
  <si>
    <t xml:space="preserve">vol2_s003209_t02_479ca3190d2b</t>
  </si>
  <si>
    <t xml:space="preserve">DISPLAYED_STATUS_THROUGH</t>
  </si>
  <si>
    <t xml:space="preserve">royal-granted insignia</t>
  </si>
  <si>
    <t xml:space="preserve">vol2_s003209_t03_a368300891d8</t>
  </si>
  <si>
    <t xml:space="preserve">PERFORMED_RITUAL_SUBMISSION_THROUGH</t>
  </si>
  <si>
    <t xml:space="preserve">participation in royal procession</t>
  </si>
  <si>
    <t xml:space="preserve">vol2_s003210</t>
  </si>
  <si>
    <t xml:space="preserve">vol2_s003210_t01_7f0af0869023</t>
  </si>
  <si>
    <t xml:space="preserve">ministers and officials</t>
  </si>
  <si>
    <t xml:space="preserve">၎င်းနောက် အမြောက်တပ်၊ ၎င်းနောက် မြင်းတပ်၊ ယင်းသည့်နောက် အဖိုးအနဂ္ဃထိုက်သော အဆင်တန်ဆာစုံ ဆင်ယင်ပြီးလျှင် ဆောင်ယောင်ခမ်းနားနှင့်တကွ ဆင်မင်းအရာရှိတို့ ကြပ်မခြံရံလျက် ဆဒ္ဒန်ဆင်မင်းတပ်၊ ဝန်စုရ နေရာနေ မှူးတော်မတ်တော်တို့လည်း သနားတော်မြတ် ခံရသည့် ဗောင်းဝတ်လုံ ဆင်ယင်ပြီးလျှင် ဓား ယပ် စွဲကိုင်၍ ရတနာထမ်းစင်တော် ဝဲယာနောက်တော် လိုက်ကြရသည်။</t>
  </si>
  <si>
    <t xml:space="preserve">Following that was the artillery corps, and following that was the cavalry; after that, the ministers and officials who were stationed in the royal service, having been granted the royal favor of wearing crowns and robes, and having adorned themselves with all manner of priceless ornaments, followed the royal litter on the left and right, holding swords and fans, while being surrounded and guarded by the officers of the Saddan elephant corps and the ministers and officials of the ministerial group.</t>
  </si>
  <si>
    <t xml:space="preserve">vol2_s003210_t02_a65ea215f17c</t>
  </si>
  <si>
    <t xml:space="preserve">vol2_s003210_t03_de157785ca5c</t>
  </si>
  <si>
    <t xml:space="preserve">Saddan elephant corps officers</t>
  </si>
  <si>
    <t xml:space="preserve">royal litter</t>
  </si>
  <si>
    <t xml:space="preserve">The elephant officers surround/supervise the royal white elephant's contingent, not the king's litter. The following clause assigns attendance beside the litter to ministers.</t>
  </si>
  <si>
    <t xml:space="preserve">Royal white-elephant officers → SUPERVISED_AND_ESCORTED → Royal white elephant</t>
  </si>
  <si>
    <t xml:space="preserve">vol2_s003211</t>
  </si>
  <si>
    <t xml:space="preserve">vol2_s003211_t01_1ebd5e4c777f</t>
  </si>
  <si>
    <t xml:space="preserve">queens and wives of officials</t>
  </si>
  <si>
    <t xml:space="preserve">မင်းမိဖုရား, ကတော်မယားများမှာလည်း သနားတော်မြတ် ခံရသည့် ထမ်းစင် မုတ်လှ ကန္နား ဆောင်ယောင်ခမ်းနားများနှင့် ဆင်ယင်၍ အစဉ်သင့် နောက်တော် လိုက်ကြရ၏။</t>
  </si>
  <si>
    <t xml:space="preserve">The queens and the wives of the officials also followed in order, adorned with the litters, curtains, and canopies that had been granted by royal favor, along with their own grand processions.</t>
  </si>
  <si>
    <t xml:space="preserve">vol2_s003211_t02_6d8236ab9651</t>
  </si>
  <si>
    <t xml:space="preserve">vol2_s003212</t>
  </si>
  <si>
    <t xml:space="preserve">vol2_s003212_t01_ddbc193249ef</t>
  </si>
  <si>
    <t xml:space="preserve">SPONSORED_PERFORMANCES</t>
  </si>
  <si>
    <t xml:space="preserve">inner court and public entertainers</t>
  </si>
  <si>
    <t xml:space="preserve">စံနန်းတော်သို့ ရောက်တော်မူလျှင် အတွင်းအငြိမ့်, ရုပ်စုံ, မြန်မာဇာတ်ကြီး, ယိုးဒယားဇာတ်ကြီး, အတီး အက, ကျွမ်းထိုး, တိုင်တက်, လက်ဝှေ့လက်ပမ်းမှစ၍ ပွဲသဘင်စုံ ခံတော်မူပြီးလျှင် သက္ကရာဇ် (၁၁၉၀) တစ်ထောင့် တစ်ရာ့ကိုးဆယ် တပေါင်းလဆန်း တစ်ဆယ့်သုံးရက် နေ့ ဘုရားအမှူးရှိသော သာသနာပြုဆရာတော်, တံဆိပ် တော်ရ-မရ ဆရာတော် သံဃာတော်တို့အား ပရိက္ခရာရှစ်ပါးနှင့်တကွ ရဟန်းတို့ အသုံးအဆောင် ပဒေသာပင်ရေ တစ်ရာကျော်ကို ရတနာမဏ္ဍပ်အတွင်း အရှင်နှစ်ပါး ရေစက်သွန်းချ လှူတော်မူ၍ ကျောင်းတော်ကို “မဟာအောင်မြေ ဘုံသာ” ကမ္ပည်းတပ်တော်မူပြီးလျှင် မုနိန္ဒာဘိသီရိသဒ္ဓမ္မဓဇ မဟာဓမ္မရာဇာဓိရာဇဂုရု-သာသနာပြု ဆရာတော်အား တင်လှူတော်မူ၏။</t>
  </si>
  <si>
    <t xml:space="preserve">Upon arriving at the royal palace, after having enjoyed all manner of performances—including inner court music, puppet shows, grand Burmese dramas, grand Siamese dramas, instrumental music, dancing, acrobatics, pole climbing, and boxing and wrestling—on the thirteenth day of the waxing moon of Tabaung in the year 1190, the two sovereigns poured water of dedication and donated to the presiding Sayadaw, the Sayadaws who held royal titles and those who did not, and the Sangha, over one hundred padetha trees along with the eight requisites and other monastic utensils inside the royal pavilion, named the monastery 'Maha Aungmye Bontha,' and offered it to the Munindabhirisiri Saddhamma Dhaja Maha Dhamma Rajadhiraja Guru missionary Sayadaw.</t>
  </si>
  <si>
    <t xml:space="preserve">vol2_s003212_t02_0c7a6a4d7941</t>
  </si>
  <si>
    <t xml:space="preserve">vol2_s003212_t03_e7561f68ac1f</t>
  </si>
  <si>
    <t xml:space="preserve">Maha Aungmye Bontha</t>
  </si>
  <si>
    <t xml:space="preserve">vol2_s003212_t04_e6e5179edb7d</t>
  </si>
  <si>
    <t xml:space="preserve">OFFERED_MONASTERY_TO</t>
  </si>
  <si>
    <t xml:space="preserve">Munindabhirisiri Saddhamma Dhaja Maha Dhamma Rajadhiraja Guru Sayadaw</t>
  </si>
  <si>
    <t xml:space="preserve">vol2_s003213</t>
  </si>
  <si>
    <t xml:space="preserve">vol2_s003213_t01_d115ed36a33c</t>
  </si>
  <si>
    <t xml:space="preserve">princes, ministers, and subjects</t>
  </si>
  <si>
    <t xml:space="preserve">မင်းညီမင်းသား မှူးတော်မတ်တော် တိုင်းသူပြည်သားတို့အား မစေ့မ မရှိစေရ၊ အထိုက်အလိုက် ပေးကမ်းစွန့်ကြဲတော်မူ၏။</t>
  </si>
  <si>
    <t xml:space="preserve">He distributed alms to the princes, ministers, and the people of the country according to their status, ensuring that no one was left out.</t>
  </si>
  <si>
    <t xml:space="preserve">vol2_s003214</t>
  </si>
  <si>
    <t xml:space="preserve">vol2_s003214_t01_c2a54006010d</t>
  </si>
  <si>
    <t xml:space="preserve">prisoners</t>
  </si>
  <si>
    <t xml:space="preserve">အပြစ်အလျောက် ထောင်တန်း အကျဉ်းခံနေရသူတို့ကိုလည်း ဘေးမဲ့ချမ်းသာ ပေးတော်မူ၍ အကျဉ်းက လွှတ်၏။</t>
  </si>
  <si>
    <t xml:space="preserve">He also granted amnesty and relief to those who were imprisoned for their offenses and released them from confinement.</t>
  </si>
  <si>
    <t xml:space="preserve">vol2_s003215</t>
  </si>
  <si>
    <t xml:space="preserve">vol2_s003215_t01_0cee9bf9930b</t>
  </si>
  <si>
    <t xml:space="preserve">SPONSORED_RITUAL_DISPLAY</t>
  </si>
  <si>
    <t xml:space="preserve">fireworks</t>
  </si>
  <si>
    <t xml:space="preserve">စံကျောင်းတော် သာဓုခေါ်တော်မူပြီးနောက် စက်တော် တုံးတော်နှင့် မင်းညီမင်းသား မှူးတော် မတ်တော် ရပ်စုကွက်စုက စက်တုံးများကိုလည်း သွင်းပြ၍ ရင်းရဲဖောင်တော်ဆိပ် မြစ်မြောက်ဘက် သောင်ပြင်တွင် ရှို့ လွှတ်ကြရ၏။</t>
  </si>
  <si>
    <t xml:space="preserve">After the royal monastery was consecrated, the royal fireworks and the fireworks of the princes and ministers from their respective quarters were displayed and set off on the sandbank north of the river at the Rinyai Royal Landing.</t>
  </si>
  <si>
    <t xml:space="preserve">vol2_s003215_t02_8ceb5da2de32</t>
  </si>
  <si>
    <t xml:space="preserve">PARTICIPATED_IN_RITUAL_DISPLAY</t>
  </si>
  <si>
    <t xml:space="preserve">vol2_s003216</t>
  </si>
  <si>
    <t xml:space="preserve">vol2_s003216_t01_a728b69d5df0</t>
  </si>
  <si>
    <t xml:space="preserve">OBSERVED_RITUAL_DISPLAY</t>
  </si>
  <si>
    <t xml:space="preserve">ဆဒ္ဒန်ဆင်မင်းသခင် ဘဝရှင်မင်းတရားကြီးဘုရားလည်း ရင်းရဲဖောင်တော်ဆိပ် ကပ်ချိုဖောင်သို့ ထွက်စံတော်မူ၍ စက်တုံး ရှို့ လွှတ်သည်များကို ကြည့်ရှုတော်မူ၏။</t>
  </si>
  <si>
    <t xml:space="preserve">The Lord of the Saddan Elephant, the Living King, also went out to the royal raft moored at the Rinyai Royal Landing to watch the fireworks being set off.</t>
  </si>
  <si>
    <t xml:space="preserve">vol2_s003217</t>
  </si>
  <si>
    <t xml:space="preserve">vol2_s003217_t01_f247d4071b3e</t>
  </si>
  <si>
    <t xml:space="preserve">Pegu (Ramanya region)</t>
  </si>
  <si>
    <t xml:space="preserve">ရတနာသိင်္ဃ မြို့တည်နန်းတည် အလောင်းမင်းတရားကြီးဘုရား လက်ထက် အသိန်းမကသော စစ်သည် ဗိုလ်ပါရဲမက် အပေါင်းတို့ဖြင့် ရာမညတိုင်းဖြစ်သော ပဲခူးနိုင်ငံအလုံးကို အသိမ်းအယူ ထွက်တော်မူရာ ဂူထွတ်မည်သော လွန်ဆေးမြို့ အရပ်တွင် တာခုနစ်ရာကျော် သစ်မြို့ တည်လုပ်တော်မူ၍ မြန်အောင်မြို့ သမုတ်စံနေတော်မူပြီးလျှင် ဘိုးခေါင်ဆယ်ထပ် ငေါကိုးရပ်နှင့်တကွသော မြစ်အနောက်ဘက်တစ်လျှောက် မြို့ကျေးရွာ, ဥက္ကံသုံးဆယ်, ဘောလယ်, လှိုင်မြို့ စသော မြစ်အရှေ့ဘက်တစ်လွှား မြို့ပြကျေးရွာသူကြီး ခေါင်းအကြီးတို့က ဆင်ကြီးမြင်းကြီး သားသမီး လက်နက်ဘဏ္ဍာ အဆက်အသ ခံတော်မူပြီးလျှင် ယင်းသည့်အတွင်း မြို့ပြ ကျေးရွာ ရဲမက်ဗိုလ်ပါတို့ကို မခန့်မထား၊ ဝင်းလေးမျက်နှာ အမှုထမ်းတို့နှင့် နောက်ပါကျွန်တော်ရင်း အတွင်းကိုယ်ရံတော်တို့ကိုသာ အုတ်လုပ် စေပြီးလျှင် ရွှေအုတ်ငွေအုတ် စီခင်းလျက် သက္ကရာဇ် (၁၁၁၆) တစ်ထောင့်တစ်ရာ့ တစ်ဆယ့်ခြောက်ခု တန်ခူးလာ အတွင်း ရွှေဆင်းတု-ငွေဆင်းတု၊ သတ္တဋ္ဌာန, အဋ္ဌဝီသဆင်းတုတော်၊ ဓမ္မစေတီတော်၊ သရီရဓာတ်တော်၊ မွေတော်၊ ရွှေစေတီ၊ ငွေစေတီ၊ တရုတ်စိန်၊ မဟာစိန်၊ မင်းဧကရာဇ် ရွှေရုပ်တော်နှင့် မိဖုရား သားတော်သမီးတော်၊ မှူးတော် မတ်တော်၊ ရတနာဆင်ဖြူတော်၊ နဂါးပတ်ချွန်း ရိုးတော်၊ နတ်ယာဉ်ကျော် မြင်းတော်၊ ရတနာရွှေဖောင်တော်ကြီး သဏ္ဌာန်တော်၊ ရွှေတံခွန်-ငွေတံခွန်၊ ရွှေထီး-ငွေထီး၊ ရွှေပန်းတောင်-ငွေပန်းတောင်နှင့် ရွှေပေါက်ပေါက်- ငွေပေါက်ပေါက်၊ ရတနာမျိုးတို့ဖြင့် ပြီးသော ရတနာနားချောင်းတော် ထည့်သွင်းပူဇော်တော်မူ၍ အရှည်နှစ်မိုက်, အနံခြောက်သစ်, အချိန် ခုနစ်ကျပ်တစ်မတ် ငွေပြားတွင် ကမ္ပည်းရေးသားပြီးလျှင် သာသနာတော် ငါးထောင်ပတ်လုံး တည်စိမ့်သောငှာ ဌာပနာတိုက် သွင်းတော်မူ၍ စေတီတော်ကိုလည်း “မြန်အောင်ဘုံသာ” ကမ္ပည်းတပ်တော်မူ၍ ရွှေပေကမ္ပည်းတွင်လည်း စေတီတော်ကို နောင်သောအခါ ရန်သူမျိုးငါးပါး ဖျက်ဆီးယိုယွင်းရှိလျှင် ငါကဲ့သို့ တန်ခိုး လက်ရုံး ဘုန်းအာဏာစက် ရှိကုန်သော သားတော်, မြေး, မြစ် မင်းဧကရာဇ်တို့သည် ဤရွှေပေကမ္ပည်းတွင် ကြည့်ရှုကြ၍ အသစ် ပြင်ဆင် တည်လုပ်ရစ်စေသတည်း- ဟု ပါရှိသည်။</t>
  </si>
  <si>
    <t xml:space="preserve">During the time of the Lord Alaungmintaya, who established the city and palace of Ratnasingha, when he went out to conquer the entire country of Pegu, which is the Ramanya region, with countless soldiers and troops, he built a wooden city of over seven hundred ta in a place called Lonse in the region known as Guthut, and after residing there and naming it Myanaung City, he received the submission of elephants, horses, children, and weapons from the village headmen and leaders along the west bank of the river, including the ten-layered Bo-khaung and nine-layered Nga, and along the east bank of the river, including the thirty villages of Ukkan, Bawle, and Hlaing City; during this time, he did not appoint the local village soldiers and troops, but instead had only the four-sided palace guards and his own personal inner bodyguards build the brickwork, and after laying gold and silver bricks, in the month of Tagu in the year 1116, he placed inside the relic chamber for worship gold and silver images, the seven-station and twenty-eight images, the Dhammazedi, the bodily relics, the hair relics, gold and silver pagodas, Chinese diamonds, great diamonds, a gold figure of the Emperor, and figures of the Queen, princes, princesses, ministers, the royal white elephant, the Naga-coiled hook, the celestial vehicle horse, the great royal golden raft, gold and silver banners, gold and silver umbrellas, gold and silver flower mounds, gold and silver popped rice, and various jewels, and after writing an inscription on a silver plate two spans long, six fingers wide, and weighing seven kyats and one mat, he placed it in the relic chamber so that the Sasana would last for five thousand years, named the pagoda 'Myanaung Bontha,' and it was written on the gold palm leaf inscription that if in the future the pagoda should be destroyed or damaged by the five kinds of enemies, the sons, grandsons, and great-grandsons who are emperors with power, strength, and royal authority like himself should look at this gold palm leaf inscription and have it repaired and rebuilt.</t>
  </si>
  <si>
    <t xml:space="preserve">vol2_s003217_t02_2444a31afd39</t>
  </si>
  <si>
    <t xml:space="preserve">ESTABLISHED_ADMINISTRATIVE_CENTER</t>
  </si>
  <si>
    <t xml:space="preserve">Myanaung City</t>
  </si>
  <si>
    <t xml:space="preserve">vol2_s003217_t03_e4aa2cbe664f</t>
  </si>
  <si>
    <t xml:space="preserve">local headmen</t>
  </si>
  <si>
    <t xml:space="preserve">vol2_s003217_t04_308ac4c5c947</t>
  </si>
  <si>
    <t xml:space="preserve">CENTRALIZED_MILITARY_CONTROL_BY</t>
  </si>
  <si>
    <t xml:space="preserve">utilizing palace guards</t>
  </si>
  <si>
    <t xml:space="preserve">The king really uses his palace guards, but for pagoda brickmaking. 'Centralized military control' misclassifies the action and its purpose.</t>
  </si>
  <si>
    <t xml:space="preserve">Alaungpaya → ASSIGNED_PAGODA_BRICKMAKING_TO → Palace service personnel and personal guards</t>
  </si>
  <si>
    <t xml:space="preserve">vol2_s003217_t05_a007a711d945</t>
  </si>
  <si>
    <t xml:space="preserve">EXCLUDED_FROM_MILITARY_SERVICE</t>
  </si>
  <si>
    <t xml:space="preserve">local village soldiers</t>
  </si>
  <si>
    <t xml:space="preserve">Local troops are excluded from this brickmaking assignment, not excluded from military service.</t>
  </si>
  <si>
    <t xml:space="preserve">Alaungpaya → EXEMPTED_FROM_PAGODA_BRICKMAKING → Local soldiers</t>
  </si>
  <si>
    <t xml:space="preserve">vol2_s003217_t06_8ef913f3f34f</t>
  </si>
  <si>
    <t xml:space="preserve">DEPOSITED_RELICS_AND_TREASURES_IN</t>
  </si>
  <si>
    <t xml:space="preserve">Myanaung Bontha Pagoda</t>
  </si>
  <si>
    <t xml:space="preserve">vol2_s003217_t07_328b0bc919ac</t>
  </si>
  <si>
    <t xml:space="preserve">ISSUED_ROYAL_DECREE_FOR</t>
  </si>
  <si>
    <t xml:space="preserve">pagoda maintenance</t>
  </si>
  <si>
    <t xml:space="preserve">vol2_s003217_t08_567b6e44a012</t>
  </si>
  <si>
    <t xml:space="preserve">LEGITIMIZED_RULE_THROUGH</t>
  </si>
  <si>
    <t xml:space="preserve">religious merit and pagoda construction</t>
  </si>
  <si>
    <t xml:space="preserve">vol2_s003258</t>
  </si>
  <si>
    <t xml:space="preserve">vol2_s003258_t01_547c1b77eb7d</t>
  </si>
  <si>
    <t xml:space="preserve">Yun_envoys</t>
  </si>
  <si>
    <t xml:space="preserve">Hanthawaddy_port</t>
  </si>
  <si>
    <t xml:space="preserve">ကျွန်တော်တို့ စီးသည့် သင်္ဘောတစ်စင်းသာ နိုင်ငံတော် ဟံသာဝတီမြို့ ဆိပ်ကမ်းသို့ ရောက်ပါသည် ပြောဆိုပြီးလျှင် မြန်မာအရှင် နေထွက်ဘုရင့်အလံတော်ကို ရိုသေစွာ နှုတ်ဆက် အမြောက်သံ တစ်ဆယ့်တစ်ချက် ပေးလိုပါသည်၊ ဟံသာဝတီဝန်ကြီးထံ လျှောက်ထား၍ ယွန်းကြီးသင်္ဘောက နှုတ်ဆက်အမြောက်သံ တစ်ဆယ့် တစ်ချက် ပေးစေ၏။</t>
  </si>
  <si>
    <t xml:space="preserve">After saying that only one of the ships we were traveling on had reached the port of the kingdom of Hanthawaddy, and that they wished to respectfully salute the flag of the Myanmar Lord, the Rising Sun King, with eleven cannon shots, they petitioned the Hanthawaddy Minister, and he caused the Yun-gyi ship to fire eleven salute cannon shots.</t>
  </si>
  <si>
    <t xml:space="preserve">vol2_s003258_t02_35cb19f7e635</t>
  </si>
  <si>
    <t xml:space="preserve">REQUESTED_RITUAL_SALUTE_FOR</t>
  </si>
  <si>
    <t xml:space="preserve">Myanmar_King</t>
  </si>
  <si>
    <t xml:space="preserve">vol2_s003258_t03_aba05931e36d</t>
  </si>
  <si>
    <t xml:space="preserve">Hanthawaddy_Minister</t>
  </si>
  <si>
    <t xml:space="preserve">AUTHORIZED_SALUTE_BY</t>
  </si>
  <si>
    <t xml:space="preserve">Yun_ship</t>
  </si>
  <si>
    <t xml:space="preserve">vol2_s003258_t04_ee22c446504e</t>
  </si>
  <si>
    <t xml:space="preserve">PERFORMED_RITUAL_SALUTE_FOR</t>
  </si>
  <si>
    <t xml:space="preserve">vol2_s003259</t>
  </si>
  <si>
    <t xml:space="preserve">vol2_s003259_t01_6d984c50d7e7</t>
  </si>
  <si>
    <t xml:space="preserve">Phaw_daw_bridge_authorities</t>
  </si>
  <si>
    <t xml:space="preserve">A shore gun salute is explicit, but its recipient is not. It may be the reciprocal salute to the Yun ship rather than another salute to the Myanmar king; the passage does not settle this conclusively.</t>
  </si>
  <si>
    <t xml:space="preserve">Yangon shore authorities → FIRED_RECIPROCAL_DIPLOMATIC_SALUTE → recipient unspecified (probably Yun visitors)</t>
  </si>
  <si>
    <t xml:space="preserve">ရန်ကုန်မြို့ ဖောင်တော်တံတားကလည်း နှုတ်ဆက်အမြောက်သံ တစ်ဆယ့်တစ်ချက် ပေးစေ၏။</t>
  </si>
  <si>
    <t xml:space="preserve">The Phaw-daw bridge in Yangon was also caused to fire eleven salute cannon shots.</t>
  </si>
  <si>
    <t xml:space="preserve">vol2_s003260</t>
  </si>
  <si>
    <t xml:space="preserve">vol2_s003260_t01_4dff687f357c</t>
  </si>
  <si>
    <t xml:space="preserve">Hanthawaddy_authorities</t>
  </si>
  <si>
    <t xml:space="preserve">PROVIDED_PROVISIONS_TO</t>
  </si>
  <si>
    <t xml:space="preserve">သင်္ဘောတွင် ပါသည့် ယွန်းကြီးသံတို့ကိုလည်း အစားအစာ ပေးကမ်းပြီးလျှင် ရှက်အဒူလာ တိုက်အိမ်တွင် ချထား နေထိုင်စေ၏။</t>
  </si>
  <si>
    <t xml:space="preserve">After providing food to the Yun-gyi envoys who were on the ship, they were placed and made to stay in the Sheik Abdullah brick house.</t>
  </si>
  <si>
    <t xml:space="preserve">vol2_s003260_t02_c055ff97758a</t>
  </si>
  <si>
    <t xml:space="preserve">HOUSED_AT</t>
  </si>
  <si>
    <t xml:space="preserve">Sheik_Abdullah_brick_house</t>
  </si>
  <si>
    <t xml:space="preserve">vol2_s003261</t>
  </si>
  <si>
    <t xml:space="preserve">vol2_s003261_t01_6510e22c0ffe</t>
  </si>
  <si>
    <t xml:space="preserve">Hanthawaddy_officials</t>
  </si>
  <si>
    <t xml:space="preserve">ယွန်းအကြီး ဝှေ့မြို့ဝန်ဟီတံ, ယွန်းသင်္ဘောစီး ဟွန်းပေါဝေ, စကားပြန် ပူတကေလူမျိုး အံတော်နီမံနွယ် တို့ကို အရာရှိ အစုံအညီနှင့် ရုံးတော်တွင် စစ်မေးပြီးလျှင် စစ်ချက်, ထွက်ချက်, တင်စာ, လျှောက်စာများနှင့် ရွှေဖဝါးတော်အောက်သို့ အခွန်ဝန် မင်းငယ်စည်သူကို စေလွှတ်၍ လျှောက်ထားလာ၏။</t>
  </si>
  <si>
    <t xml:space="preserve">After questioning the Yun-gyi senior official Whet-myo-wun Hitan, the Yun-gyi ship captain Hwon-paw-we, and the interpreter, a Puta-ke national named An-daw-ni-man-nwal, in the presence of all the officials at the court, [the authorities] sent the tax minister Min-nge-si-thu to the royal feet with the interrogation records, testimonies, submissions, and petitions to report.</t>
  </si>
  <si>
    <t xml:space="preserve">vol2_s003261_t02_9c572a2aded6</t>
  </si>
  <si>
    <t xml:space="preserve">SENT_RECORDS_TO</t>
  </si>
  <si>
    <t xml:space="preserve">vol2_s003261_t03_314a2cdefa5a</t>
  </si>
  <si>
    <t xml:space="preserve">Min_nge_si_thu</t>
  </si>
  <si>
    <t xml:space="preserve">DELIVERED_RECORDS_TO</t>
  </si>
  <si>
    <t xml:space="preserve">vol2_s003262</t>
  </si>
  <si>
    <t xml:space="preserve">vol2_s003262_t01_3fc4248f1d40</t>
  </si>
  <si>
    <t xml:space="preserve">ယင်းသည့် အကြောင်းအရာကို ရွှေနားတော် ကြားတော်မူသည်တွင် အထက်လာရင်း သံကာထွေလံ, ဒူဟတ် ဗြိန်တို့နှင့် သံ-ဖက်ခန့်သွားစေသည့် လူတို့ ပျက်လပ်ကြန့်ကြာ ရှိသည့်အကြောင်းနှင့် ယွန်းကြီးမင်း မှူးမတ်တို့ကို ပေးရန်စာ, လာလူတို့ကို ပေးရန် အထည်အလိပ်များကို စာရင်းရန်ထား၍ ဟံသာဝတီဝန်ကြီးက သင့်အောင် မှာထား ပြန်သွားစေ– အမိန့်တော်နှင့် ဟံသာဝတီဝန်ကြီးက ယွန်းကြီးမင်း မှူးမတ် စစ်သူကြီးမင်းများသို့ ပေးရန် စီကုံး ရေးသားသည့်စာကား... သုနာပရန္တ တိုင်း, တမ္ပဒီပတိုင်း အစရှိသော အရှေ့မျက်နှာ တိုင်းကြီး ပြည်ကြီး ထီးဆောင်းမင်းအပေါင်း တို့ကို အစိုးရတော်မူသော ဘုန်းတော်အလွန်ကြီးမြတ်တော်မူလှသော ရေမြေ့အရှင် ဆဒ္ဒန်ဆင်မင်းသခင် ဆင် ဖြူများရှင် အသျှင် ဘဝရှင်မင်းတရားကြီးဘုရား ပဒုမာကြာမုံနှင့်တူသော ရွှေစက်တော်စုံကို အမြဲဦးထိပ်ထက် ဆင်ရွက်၍ နိုင်ငံတော်တောင်မျက်နှာ အရံသုံးဆယ့်နှစ်မြို့နှင့်တကွ ဟံသာဝတီပြည်ကြီးကို အုပ်ချုပ်ရပ်နေ စီရင်ရ သော အရေးပိုင် အဂ္ဂမဟာသေနာပတိ ဝန့်ရှင်တော် စစ်သူကြီးမင်း မင်းကြီးမဟာမင်းလှရာဇာ ကြားလိုက်သည်- ယွန်းကြီးမင်း မှူးမတ် စစ်သူကြီးမင်းတို့၊ ယွန်းကြီးမင်းတိုင်းပြည်နှင့် မြန်မာနေထွက်ဘုရင် အရှင့်တိုင်းပြည်သည် အမရပူရမြို့တည် ဆဒ္ဒန်ဆင်မင်းသခင် ဘဝရှင်မင်းတရားကြီးဘုရား လက်ထက်တော်ကပင် မဟာမိတ်ဖြစ်လို၍ နိုင်ငံတော်အရှေ့မျက်နှာ ကျိုင်းရုံး, ကျိုင်းတုံလမ်းက မှူးမတ် အဆောင်တော်မြတို့ကို စေပါသည်။</t>
  </si>
  <si>
    <t xml:space="preserve">When the matter was heard by the royal ears, because the previously arrived envoys Ka-htwe-lan and Du-hat-brin, and the people sent as accompanying envoys, had been lost or delayed, and because the letter to be given to the Yun-gyi King and the textiles to be given to the arriving people had been listed, the Hanthawaddy Minister was ordered to make appropriate arrangements and send them back. By royal order, the letter composed and written by the Hanthawaddy Minister to be given to the Yun-gyi King, ministers, and generals is as follows: The Great Minister, Commander-in-Chief, and Governor who manages and governs the great kingdom of Hanthawaddy, along with the thirty-two surrounding towns in the southern part of the kingdom, while always placing upon his head the lotus-like golden feet of the Lord of the Earth, Lord of the Saddan Elephant, Lord of the White Elephants, the Great Lord of Life, the King of Kings, who is most glorious and rules over all the crowned kings of the great eastern countries and regions such as the Sunaparanta and Tampadipa regions, conveys this message: Yun-gyi King, ministers, and generals, the Yun-gyi kingdom and the kingdom of the Myanmar Rising Sun Lord have wished to be allies since the reign of the Lord of the Saddan Elephant, the Lord of Life, the King of Kings, who established the city of Amarapura, and [we] sent ministers and royal envoys via the Kengtung and Kengtung road in the eastern part of the kingdom. Because the journey was not favorable and they did not reach [their destination], during the royal reign, the Don-naing Minister of the Yun-gyi kingdom sent Ka-htwe-lan and Du-hat-brin to investigate, and when they arrived at the royal port in the year 1183, [we] had them proceed to the royal capital, and after inquiring about all the matters, in the year 1184, [we] sent Ne-myo-thiri-raza-gun-na-rat, Ne-myo-thi-wa-kyaw-zwa, Thiddi-naw-ra-hta, Thiri-sanda-naw-ra-hta, and Gun-na-thiri-naw-ra-hta as accompanying envoys with gifts to be given to the Yun-gyi King.</t>
  </si>
  <si>
    <t xml:space="preserve">vol2_s003262_t02_cd548143ac17</t>
  </si>
  <si>
    <t xml:space="preserve">PREPARED_DIPLOMATIC_CORRESPONDENCE_FOR</t>
  </si>
  <si>
    <t xml:space="preserve">Yun_gyi_King</t>
  </si>
  <si>
    <t xml:space="preserve">vol2_s003262_t03_80d621ecd0f4</t>
  </si>
  <si>
    <t xml:space="preserve">CLAIMS_TITLE</t>
  </si>
  <si>
    <t xml:space="preserve">Lord_of_the_Saddan_Elephant</t>
  </si>
  <si>
    <t xml:space="preserve">vol2_s003262_t04_4cc2b1a204ce</t>
  </si>
  <si>
    <t xml:space="preserve">Lord_of_the_White_Elephants</t>
  </si>
  <si>
    <t xml:space="preserve">vol2_s003262_t05_f3d7e235ca1c</t>
  </si>
  <si>
    <t xml:space="preserve">CLAIMS_AUTHORITY_OVER</t>
  </si>
  <si>
    <t xml:space="preserve">Sunaparanta_and_Tampadipa_regions</t>
  </si>
  <si>
    <t xml:space="preserve">vol2_s003262_t06_e7733eb6b383</t>
  </si>
  <si>
    <t xml:space="preserve">Hanthawaddy_kingdom</t>
  </si>
  <si>
    <t xml:space="preserve">vol2_s003262_t07_b007c956171f</t>
  </si>
  <si>
    <t xml:space="preserve">Thirty_two_surrounding_towns</t>
  </si>
  <si>
    <t xml:space="preserve">vol2_s003262_t08_edef0ee56517</t>
  </si>
  <si>
    <t xml:space="preserve">MAINTAINS_ALLIANCE_WITH</t>
  </si>
  <si>
    <t xml:space="preserve">vol2_s003263</t>
  </si>
  <si>
    <t xml:space="preserve">vol2_s003263_t01_94f621282768</t>
  </si>
  <si>
    <t xml:space="preserve">Don_naing_Minister</t>
  </si>
  <si>
    <t xml:space="preserve">SENT_ENVOYS_TO</t>
  </si>
  <si>
    <t xml:space="preserve">လမ်းခရီး အထောက်အလှမ်းမသင့် မပေါက်မရောက်ကြသည်နှင့် ရွှေလက်ထက်တော်တွင် ယွန်းကြီးပြည် ဒုံနိုင်ဝန်ကြီးက ကာထွေလံ, ဒူဟတ်ဗြိန်တို့ကို စေပါ ထောက်လှမ်း၍ သက္ကရာဇ် (၁၁၈၃) တစ်ထောင့်တစ်ရာ့ရှစ်ဆယ့်သုံးခု ဆိပ်ကမ်း တော်သို့ လာရောက်သည်ကို ရွှေပြည်တော်သို့ ဆန်တက်စေ၍ အကြောင်းအရာ အလုံးစုံမျိုးကို မေးမြန်းပြီးလျှင် သက္ကရာဇ်(၁၁၈၄)တစ်ထောင့်တစ်ရာရှစ်ဆယ့်လေးခု- ယွန်းကြီးမင်းသို့ ပေးရန် လက်ဆောင်များနှင့် အမှုထမ်း နေမျိုးသီရိရာဇဂုဏ္ဏရတ်, နေမျိုးသီဝကျော်စွာ, သိဒ္ဓိနော်ရထာ, သီရိစန္ဒနော်ရထာ, ဂုဏ္ဏသီရိနော်ရထာတို့ကို သံဖက်ခန့် စေလွှတ်သည်။</t>
  </si>
  <si>
    <t xml:space="preserve">Because the journey was not favorable and they did not reach [their destination], during the royal reign, the Don-naing Minister of the Yun-gyi kingdom sent Ka-htwe-lan and Du-hat-brin to investigate, and when they arrived at the royal port in the year 1183, [we] had them proceed to the royal capital, and after inquiring about all the matters, in the year 1184, [we] sent Ne-myo-thiri-raza-gun-na-rat, Ne-myo-thi-wa-kyaw-zwa, Thiddi-naw-ra-hta, Thiri-sanda-naw-ra-hta, and Gun-na-thiri-naw-ra-hta as accompanying envoys with gifts to be given to the Yun-gyi King.</t>
  </si>
  <si>
    <t xml:space="preserve">vol2_s003263_t02_d11576550ceb</t>
  </si>
  <si>
    <t xml:space="preserve">vol2_s003264</t>
  </si>
  <si>
    <t xml:space="preserve">vol2_s003264_t01_6bf733548b9d</t>
  </si>
  <si>
    <t xml:space="preserve">The clause about meeting Don Naing continues the Burmese envoys' outbound journey. The Yun king then sends a return mission toward Burma; he is not sending it to his own Don Naing minister.</t>
  </si>
  <si>
    <t xml:space="preserve">Yun King → SENT_RETURN_ENVOYS_TO → Myanmar King</t>
  </si>
  <si>
    <t xml:space="preserve">ဒုံနိုင်ဝန်ကြီးနှင့် တွေ့ ကြိမ်ကြ၍ ပြည်ကြီးနှစ်ပြည် မိတ်ဆွေအမြဲဖြစ်စေကြောင်းကို ယွန်းကြီးမင်းက ရဲလှေ ဝန်, ပင်လယ်ဗိုလ်မှူး ရွှေတိုက်စိုးစာရေးတို့နှင့် သံဖက်ခန့်စေလွှတ်လာရာ လမ်းခရီး အဖြောင့်အမတ် မရောက် ပျက်လပ်ရသည်။</t>
  </si>
  <si>
    <t xml:space="preserve">As the Yun-gyi King sent [envoys] with the Minister of War Boats, the Sea Commander, and the Royal Treasury Clerk as accompanying envoys to meet with the Don-naing Minister and ensure that the two great countries would always be friends, they did not arrive directly on the journey and were lost.</t>
  </si>
  <si>
    <t xml:space="preserve">vol2_s003264_t02_310684e76722</t>
  </si>
  <si>
    <t xml:space="preserve">SOUGHT_ALLIANCE_WITH</t>
  </si>
  <si>
    <t xml:space="preserve">vol2_s003546</t>
  </si>
  <si>
    <t xml:space="preserve">vol2_s003546_t01_030b40d79c12</t>
  </si>
  <si>
    <t xml:space="preserve">Failing health</t>
  </si>
  <si>
    <t xml:space="preserve">ဤသို့သော ကျေးဇူးဂုဏ်အပေါင်းတို့နှင့် ပြည့်စုံတော်မူသည်ဖြစ်လျက် ကျန်းခန့်သာယာတော်မမူသည် နှင့် ပြည်ရေး ရွာမှုများကို ကြည့်ရှုတော်မမူနိုင်သောကြောင့် ပြည်ရွာမငြိမ်မဝပ် ဖြစ်သဖြင့် တိုင်းနိုင်ငံ အလုံးကို ညီတော်အား နှင်းအပ်တော်မူ၍ ရွှေနန်းစည်းစိမ်တော်မှ လွှဲပြောင်းတော်မူရသည်။</t>
  </si>
  <si>
    <t xml:space="preserve">Although he was endowed with all such meritorious virtues, because he was not in good health and could not oversee the affairs of the state and villages, the country and villages became unstable, and therefore he bestowed the entire kingdom upon his younger brother and transferred the golden royal sovereignty.</t>
  </si>
  <si>
    <t xml:space="preserve">vol2_s003546_t02_63e9c41292b9</t>
  </si>
  <si>
    <t xml:space="preserve">TRANSFERRED_AUTHORITY_TO</t>
  </si>
  <si>
    <t xml:space="preserve">Younger brother</t>
  </si>
  <si>
    <t xml:space="preserve">vol2_s003546_t03_661a5c5e1695</t>
  </si>
  <si>
    <t xml:space="preserve">RECEIVED_SOVEREIGNTY_FROM</t>
  </si>
  <si>
    <t xml:space="preserve">vol2_s003546_t04_ee8ef4c261ed</t>
  </si>
  <si>
    <t xml:space="preserve">BECAME_UNSTABLE_DUE_TO</t>
  </si>
  <si>
    <t xml:space="preserve">Royal incapacity</t>
  </si>
  <si>
    <t xml:space="preserve">vol2_s003547</t>
  </si>
  <si>
    <t xml:space="preserve">vol2_s003547_t01_55687cec8c2e</t>
  </si>
  <si>
    <t xml:space="preserve">Maha Thihathura Dhamma Yaza</t>
  </si>
  <si>
    <t xml:space="preserve">Lord of Nyaungyan</t>
  </si>
  <si>
    <t xml:space="preserve">သားတော် သမီးတော်တို့ကား… အိမ်ရှေ့စံတော်မူစဉ် ဘထွေးတော် ပြည်မင်း သီရိမဟာဓမ္မရာဇာသမီး အိမ်ရှေ့မိဖုရား သီရိမဟာစန္ဒာဒေဝီတွင် မြင်သည့် သားတော် မဟာသီဟသူရ ဓမ္မရာဇာ-ညောင်ရမ်းမြို့စား တစ် ပါး၊ ဖွားမြင်တော်မူ၍ ရက်လည်လျှင် မယ်တော် လွန်သည်။</t>
  </si>
  <si>
    <t xml:space="preserve">As for his sons and daughters... one son, Maha Thihathura Dhamma Yaza, the Lord of Nyaungyan, was born to him during his time as Crown Prince by the Crown Princess Thiri Maha Sanda Dewi, daughter of his uncle the Prince of Pyi, Thiri Maha Dhamma Yaza; his mother passed away when he was a few days old.</t>
  </si>
  <si>
    <t xml:space="preserve">vol2_s003547_t02_a8b444da2b5d</t>
  </si>
  <si>
    <t xml:space="preserve">Crown Princess Thiri Maha Sanda Dewi</t>
  </si>
  <si>
    <t xml:space="preserve">vol2_s003547_t03_327dbef7b66b</t>
  </si>
  <si>
    <t xml:space="preserve">WAS_DAUGHTER_OF</t>
  </si>
  <si>
    <t xml:space="preserve">Prince of Pyi</t>
  </si>
  <si>
    <t xml:space="preserve">vol2_s003548</t>
  </si>
  <si>
    <t xml:space="preserve">vol2_s003548_t01_439d3fbd80e1</t>
  </si>
  <si>
    <t xml:space="preserve">Lord of Palaing</t>
  </si>
  <si>
    <t xml:space="preserve">WAS_SON_OF</t>
  </si>
  <si>
    <t xml:space="preserve">° သီရိပဝရ တိလောက မဟာရာဇိန္ဒာ ရတနာဒေဝီ- မိဖုရားခေါင်ကြီးတွင် အိမ်ရှေ့စံစဉ် ဖွားမြင်တော်မူသည့် သမီးတော်- ငယ်ကလွန် တစ်ပါး၊ မောင်တော် ပလိုင်းရွာစား ခြောက်နှစ်ရွယ် ကျောက်ပေါက်၍ လွန်သည် တစ်ပါး၊ နန်းတက်၍ သက္ကရာဇ် (၁၁၈၃) တစ်ထောင့်တစ်ရာ့ရှစ်ဆယ်သုံးခု ဖွားတော်မူသည့် နှမတော် ရတနာပုံ ပထမမြို့တည်နန်းတည် ဆဒ္ဒန်ဆင်မင်းသခင် ပဉ္စမသင်္ဂါယနာတင် ဘဝရှင်မင်းတရားကြီးဘုရား အလယ် နန်းတော်မိဖုရား သီရိပဝရတိလောက မဟာရတနာဒေဝီ တစ်ပါး၊ ပေါင်းသုံးပါးတည်း။</t>
  </si>
  <si>
    <t xml:space="preserve">One daughter born to him during his time as Crown Prince by the Chief Queen Thiri Pawara Tiloka Maha Rajinda Ratana Dewi, who passed away in childhood; one younger brother, the Lord of Palaing, who passed away at the age of six from smallpox; and one younger sister, the Middle Palace Queen Thiri Pawara Tiloka Maha Ratana Dewi, who was born in the year 1183 after he ascended the throne, and who is the consort of the Lord of the White Elephant, the founder of the first city and palace of Yadanabon, and the convener of the Fifth Buddhist Council, the Great Lord of Life; totaling three.</t>
  </si>
  <si>
    <t xml:space="preserve">vol2_s003548_t02_4178b6a2d440</t>
  </si>
  <si>
    <t xml:space="preserve">vol2_s003548_t03_1a5bc4ccef2f</t>
  </si>
  <si>
    <t xml:space="preserve">vol2_s003548_t04_3140714dca67</t>
  </si>
  <si>
    <t xml:space="preserve">Great Lord of Life</t>
  </si>
  <si>
    <t xml:space="preserve">vol2_s003549</t>
  </si>
  <si>
    <t xml:space="preserve">vol2_s003549_t01_5c8d364e7b4a</t>
  </si>
  <si>
    <t xml:space="preserve">Phwar Taw Phwar</t>
  </si>
  <si>
    <t xml:space="preserve">Lady of Chyi-pa</t>
  </si>
  <si>
    <t xml:space="preserve">ဝန်ကြီး သီရိမဟာဥဇနာ သမီး သီရိသင်္ခါမဟေတွင် မြင်သည့် သမီးတော်ဖွားတော်ဖွား-ချည်ပါရွာစား၊ ငယ်ကလွန် တစ်ပါး။</t>
  </si>
  <si>
    <t xml:space="preserve">One daughter, Phwar Taw Phwar, the Lady of Chyi-pa, born to him by Thiri Thinkha Mahe, daughter of the Minister Thiri Maha Uzana, who passed away in childhood.</t>
  </si>
  <si>
    <t xml:space="preserve">vol2_s003549_t02_8f15660ec94c</t>
  </si>
  <si>
    <t xml:space="preserve">vol2_s003549_t03_abfe7947c09f</t>
  </si>
  <si>
    <t xml:space="preserve">Daughter of Minister Thiri Maha Uzana</t>
  </si>
  <si>
    <t xml:space="preserve">vol2_s003550</t>
  </si>
  <si>
    <t xml:space="preserve">vol2_s003550_t01_26c743313131</t>
  </si>
  <si>
    <t xml:space="preserve">Khin Min Myit</t>
  </si>
  <si>
    <t xml:space="preserve">Lady of Khin-u</t>
  </si>
  <si>
    <t xml:space="preserve">စာရေးကြီး သီရိနန္ဒမိတ် သမီး သီရိ အာသာမဟေတွင် မြင်သည့် သမီးတော် ခင်မင်းမြစ်-ခင်ဦးရွာစား၊ မလွန်မြို့စား သတိုးမင်းရဲရာဇာသား သတိုးမင်းရဲသီဟသူနှင့် စုံဖက်တော်မူသည် တစ်ပါး။</t>
  </si>
  <si>
    <t xml:space="preserve">One daughter, Khin Min Myit, the Lady of Khin-u, born to him by Thiri Atha Mahe, daughter of the Chief Clerk Thiri Nanda Mit, who was united in marriage with Thado Minye Thihathu, son of the Lord of Malun, Thado Minye Yaza.</t>
  </si>
  <si>
    <t xml:space="preserve">vol2_s003550_t02_7d1893ec38f5</t>
  </si>
  <si>
    <t xml:space="preserve">vol2_s003550_t03_7f7f70bbc5ec</t>
  </si>
  <si>
    <t xml:space="preserve">Daughter of Chief Clerk Thiri Nanda Mit</t>
  </si>
  <si>
    <t xml:space="preserve">vol2_s003550_t04_2c3dd20b2efd</t>
  </si>
  <si>
    <t xml:space="preserve">Thado Minye Thihathu</t>
  </si>
  <si>
    <t xml:space="preserve">vol2_s003550_t05_cf87fc166bec</t>
  </si>
  <si>
    <t xml:space="preserve">Lord of Malun</t>
  </si>
  <si>
    <t xml:space="preserve">vol2_s003551</t>
  </si>
  <si>
    <t xml:space="preserve">vol2_s003551_t01_d4229269e5e1</t>
  </si>
  <si>
    <t xml:space="preserve">Khin Min Kauk</t>
  </si>
  <si>
    <t xml:space="preserve">Lady of Magway</t>
  </si>
  <si>
    <t xml:space="preserve">ပေါရွှေနန်းရိုးလမိုင်းဝန် မဟာသီရိဥဇနာသမီး မင်္ဂလာရတနာဒေဝီတွင် မြင်သည့် သမီးတော် ခင်မင်းကောက်- မကွေးမြို့စား၊ နန်းတက်၍ ငါးနှစ်ရှိမှ ဖွားမြင်သည် တစ်ပါး၊ သားတော်နှစ်, သမီးတော်ငါး၊ ပေါင်း ခုနစ်ပါးတည်း။</t>
  </si>
  <si>
    <t xml:space="preserve">One daughter, Khin Min Kauk, the Lady of Magway, born to him by Mingala Ratana Dewi, daughter of the Royal Palace Lamain Minister Maha Thiri Uzana, who was born five years after he ascended the throne; two sons and five daughters, totaling seven.</t>
  </si>
  <si>
    <t xml:space="preserve">vol2_s003551_t02_44032e9062cd</t>
  </si>
  <si>
    <t xml:space="preserve">vol2_s003551_t03_bff6e5099d29</t>
  </si>
  <si>
    <t xml:space="preserve">Daughter of Lamain Minister Maha Thiri Uzana</t>
  </si>
  <si>
    <t xml:space="preserve">vol2_s003856</t>
  </si>
  <si>
    <t xml:space="preserve">vol2_s003856_t01_834c1f343fd1</t>
  </si>
  <si>
    <t xml:space="preserve">Left Wungyi Mingyi Maha Minhla Minkhaung</t>
  </si>
  <si>
    <t xml:space="preserve">The named actor or force is identifiable and the action is supported, but win-hmu (palace-guard commander) is mislabeled Wungyi (minister).</t>
  </si>
  <si>
    <t xml:space="preserve">Use Front Palace-Guard Commander or Left Palace-Guard Commander as appropriate; retain the action and named person.</t>
  </si>
  <si>
    <t xml:space="preserve">နောက်ကိုလည်း လက်ဝဲဝင်းမှူး မင်းကြီး မဟာမင်းလှမင်းခေါင်ကို အမှုထမ်း လူတစ်ထောင်နှင့် တစ်ချုပ်၊ အဝမြို့ဝန် မင်းကြီးမင်းခေါင်သူရိန်ကို အမှုထမ်း လူငါးရာနှင့် တစ်ချုပ် ခန့်တော်မူပြီးလျှင် ယင်းသည့် လပြည့် ကျော် တစ်ဆယ့်သုံးရက်- နေ့ အလျင် ချီတက်သည့် ရှေ့ဝင်းမှူး မင်းကြီးမဟာမင်းခေါင်တပ်သို့ ထပ်ဖြည့်တော်မူ၏။</t>
  </si>
  <si>
    <t xml:space="preserve">Furthermore, [the King] appointed the Left Wungyi Mingyi Maha Minhla Minkhaung to lead one thousand service personnel, and the Ava Wun Mingyi Minkhaung Thurein to lead five hundred service personnel, and after appointing them, on the thirteenth day of the waning moon of that same month, [he] sent them to reinforce the army of the Shwe Wungyi Mingyi Maha Minkhaung, who had marched ahead.</t>
  </si>
  <si>
    <t xml:space="preserve">vol2_s003856_t02_23d6bd3b08b1</t>
  </si>
  <si>
    <t xml:space="preserve">Ava Wun Mingyi Minkhaung Thurein</t>
  </si>
  <si>
    <t xml:space="preserve">vol2_s003856_t03_fa6fab28005f</t>
  </si>
  <si>
    <t xml:space="preserve">1000 service personnel</t>
  </si>
  <si>
    <t xml:space="preserve">vol2_s003856_t04_7dfa5aa6558d</t>
  </si>
  <si>
    <t xml:space="preserve">vol2_s003856_t05_5232ee2692c3</t>
  </si>
  <si>
    <t xml:space="preserve">REINFORCED_MILITARY_CAMPAIGN</t>
  </si>
  <si>
    <t xml:space="preserve">Shwe Wungyi Mingyi Maha Minkhaung</t>
  </si>
  <si>
    <t xml:space="preserve">vol2_s003857</t>
  </si>
  <si>
    <t xml:space="preserve">vol2_s003857_t01_a17124418301</t>
  </si>
  <si>
    <t xml:space="preserve">Shwe Wungyi</t>
  </si>
  <si>
    <t xml:space="preserve">LED_MILITARY_CAMPAIGN</t>
  </si>
  <si>
    <t xml:space="preserve">Madaya region</t>
  </si>
  <si>
    <t xml:space="preserve">ဗိုလ်ချုပ် ရှေ့ဝင်းမှူးလည်း ပါသည့် ရဲမက်တော် ဗိုလ်မှူး တပ်မှူး အပေါင်းတို့နှင့် ချီတက်ရာ မတ္တရာမြို့ တောင် လွန်တောင်းအရပ်တွင် တပ်ဦးချီတက်သည့် ဗိုလ်ရဲမက်တော်တို့လည်း သူပုန်တို့တပ်နှင့် တွေ့၍ တိုက် ခိုက်ကြသည်တွင် သူပုန်တို့တပ် မရပ်မခံနိုင် ပရမ်းပတာ ပျက်ပြား ထွက်ပြေးကြလေ၏။</t>
  </si>
  <si>
    <t xml:space="preserve">As the Commander-in-Chief, the Shwe Wungyi, marched with all the accompanying royal soldiers, commanders, and troop leaders, the vanguard soldiers and troops encountered the rebels' army in the area south of Madaya town, and in the ensuing battle, the rebels' army could not stand or resist and fled in chaotic disarray.</t>
  </si>
  <si>
    <t xml:space="preserve">vol2_s003857_t02_7fcf1f9ca5c4</t>
  </si>
  <si>
    <t xml:space="preserve">Rebel army</t>
  </si>
  <si>
    <t xml:space="preserve">vol2_s003857_t03_70ffaeff16e8</t>
  </si>
  <si>
    <t xml:space="preserve">vol2_s003858</t>
  </si>
  <si>
    <t xml:space="preserve">vol2_s003858_t01_4ea0c56b59be</t>
  </si>
  <si>
    <t xml:space="preserve">Shan and Burmese rebels</t>
  </si>
  <si>
    <t xml:space="preserve">ယင်းတွင် သူပုန်တို့ ဘက်က ရှမ်းမြန်မာအများ သေလေ၏။</t>
  </si>
  <si>
    <t xml:space="preserve">In this, many Shan and Burmese on the rebels' side died.</t>
  </si>
  <si>
    <t xml:space="preserve">vol2_s003859</t>
  </si>
  <si>
    <t xml:space="preserve">vol2_s003859_t01_a9bb0fc3f73b</t>
  </si>
  <si>
    <t xml:space="preserve">CAPTURED_AS_PRISONERS</t>
  </si>
  <si>
    <t xml:space="preserve">သူပုန်တချို့ကိုလည်း သုံ့ပန်းဖမ်းယူရ၏။</t>
  </si>
  <si>
    <t xml:space="preserve">Some of the rebels were also captured as prisoners of war.</t>
  </si>
  <si>
    <t xml:space="preserve">vol2_s003860</t>
  </si>
  <si>
    <t xml:space="preserve">vol2_s003860_t01_879f46ceb0c5</t>
  </si>
  <si>
    <t xml:space="preserve">PROJECTED_AUTHORITY_OVER</t>
  </si>
  <si>
    <t xml:space="preserve">Madaya jurisdiction</t>
  </si>
  <si>
    <t xml:space="preserve">မတ္တရာ ကျော်စဉ်တိုက်စီရင်စု ကျေးရွာနေ အမှုထမ်း ကျွန်တော်မျိုး ဆင်းရဲသားတို့လည်း တပ်တော်များ ချီတက်လာကြောင်းကို ကြားသိကြလျှင် သူပုန်တို့ဘက်က အသီးအသီး ထွက်ခွာခဲ့ကြ၍ သားမယားရှိရာ ပြန်ရောက်နေကြ၏။</t>
  </si>
  <si>
    <t xml:space="preserve">When the service personnel, subjects, and commoners living in the villages of the Madaya jurisdiction heard that the royal armies were marching, they each departed from the rebels' side and returned to where their wives and children were.</t>
  </si>
  <si>
    <t xml:space="preserve">vol2_s003860_t02_39d4a8caecf1</t>
  </si>
  <si>
    <t xml:space="preserve">Villagers</t>
  </si>
  <si>
    <t xml:space="preserve">ABANDONED_REBELLION</t>
  </si>
  <si>
    <t xml:space="preserve">vol2_s003860_t03_2ec571e2db14</t>
  </si>
  <si>
    <t xml:space="preserve">RETURNED_TO_ALLEGIANCE</t>
  </si>
  <si>
    <t xml:space="preserve">Royal authority</t>
  </si>
  <si>
    <t xml:space="preserve">vol2_s003861</t>
  </si>
  <si>
    <t xml:space="preserve">vol2_s003861_t01_d49858cd1344</t>
  </si>
  <si>
    <t xml:space="preserve">Shwe Da Prince</t>
  </si>
  <si>
    <t xml:space="preserve">ရွှေဓားမင်းသားခေါ်ခံ-ငဝင်းငယ်နှင့် ဗိုလ်ငခန်းကျော်, ငရွှေမောင်တို့လည်း စစ်မျက်နှာ ဆိုင်ပြိုင် တိုက် ခိုက်ရာ အထွေးထွေး ရှိသည့်အတွင်း ကိုယ်ရုပ်ဖျောက် ထွက်ပြေးလေသောကြောင့် မမိမရလိုက်သည်နှင့် အသက်မသေ လွတ်လေ၏။</t>
  </si>
  <si>
    <t xml:space="preserve">Nga Win Nge, known as the Shwe Da Prince, along with Bo Nga Khan Kyaw and Nga Shwe Maung, also escaped with their lives because they hid themselves and fled during the chaotic fighting at the battlefront, making it impossible to capture them.</t>
  </si>
  <si>
    <t xml:space="preserve">vol2_s003861_t02_7005ab545a5e</t>
  </si>
  <si>
    <t xml:space="preserve">Bo Nga Khan Kyaw</t>
  </si>
  <si>
    <t xml:space="preserve">vol2_s003861_t03_1bf75773c38d</t>
  </si>
  <si>
    <t xml:space="preserve">vol2_s003862</t>
  </si>
  <si>
    <t xml:space="preserve">vol2_s003862_t01_7016f45070d0</t>
  </si>
  <si>
    <t xml:space="preserve">REPORTED_PACIFICATION_TO</t>
  </si>
  <si>
    <t xml:space="preserve">ဗိုလ်ချုပ်ရှေ့ဝင်းမှူး, လက်ဝဲဝင်းမှူးတို့လည်း ယင်းသည့်နေ့ အရေးပြီးငြိမ်းကြောင်းကို ရွှေဖဝါးတော် အောက်သို့ စေလွှတ် လျှောက်ထားလာ၏။</t>
  </si>
  <si>
    <t xml:space="preserve">The Commander-in-Chief Shwe Wungyi and the Left Wungyi also sent a report to the royal feet stating that the matter had been settled and pacified on that day.</t>
  </si>
  <si>
    <t xml:space="preserve">vol2_s003862_t02_601b60a1a3b9</t>
  </si>
  <si>
    <t xml:space="preserve">Left Wungyi</t>
  </si>
  <si>
    <t xml:space="preserve">vol2_s003863</t>
  </si>
  <si>
    <t xml:space="preserve">vol2_s003863_t01_898a76ad1ff4</t>
  </si>
  <si>
    <t xml:space="preserve">Mohnyin Bo-hmu Wungyi Mingyi Minhla Maha Thiha Thu</t>
  </si>
  <si>
    <t xml:space="preserve">The named minister is correctly removed, but his command is Mongnai, not Mohnyin.</t>
  </si>
  <si>
    <t xml:space="preserve">King removed Mingyi Minhla Maha Thiha Thu from the Mongnai military command.</t>
  </si>
  <si>
    <t xml:space="preserve">ထိုနှစ် တန်ခူးလဆန်း တစ်ရက်နေ့ မိုးနဲဗိုလ်မှူးဝန်ကြီး မင်ကြီးမင်းလှမဟာသီဟသူကို ဗိုလ်မှူး အရာက နုတ်တော်မူ၍ သားတော် ပုခန်းမင်း သတိုးမင်းစောကို မိုးနဲဗိုလ်မှူး ခန့်တော်မူ၏။</t>
  </si>
  <si>
    <t xml:space="preserve">On the first day of the waxing moon of Tagu of that year, [the King] removed the Mohnyin Bo-hmu Wungyi Mingyi Minhla Maha Thiha Thu from the position of Bo-hmu and appointed his son, the Pakhangyi Prince Thado Min Saw, as the Mohnyin Bo-hmu.</t>
  </si>
  <si>
    <t xml:space="preserve">vol2_s003863_t02_415b11b7cb6c</t>
  </si>
  <si>
    <t xml:space="preserve">APPOINTED_AS_MOHNYIN_BO_HMU</t>
  </si>
  <si>
    <t xml:space="preserve">Pakhangyi Prince Thado Min Saw</t>
  </si>
  <si>
    <t xml:space="preserve">The new command is Mongnai (Mone), not Mohnyin. The predicate changes the appointment's jurisdiction.</t>
  </si>
  <si>
    <t xml:space="preserve">King appointed Prince Thado Min Saw to the Mongnai military command.</t>
  </si>
  <si>
    <t xml:space="preserve">vol2_s003864</t>
  </si>
  <si>
    <t xml:space="preserve">vol2_s003864_t01_39791b4318f0</t>
  </si>
  <si>
    <t xml:space="preserve">SUMMONED_BACK</t>
  </si>
  <si>
    <t xml:space="preserve">ယင်းသည့်နေ့ မတ္တရာကြောင်းချီ လက်ဝဲဝင်းမှူး မင်းကြီး မဟာမင်းလှမင်းခေါင်ကိုလည်း တပ်မှာလိုက်၍ အမိန့်တော်နှင့် ခေါ်ရ၏။</t>
  </si>
  <si>
    <t xml:space="preserve">On that same day, the Left Wungyi Mingyi Maha Minhla Minkhaung, who had marched to the Madaya front, was also summoned back from the army by royal order.</t>
  </si>
  <si>
    <t xml:space="preserve">vol2_s003865</t>
  </si>
  <si>
    <t xml:space="preserve">vol2_s003865_t01_b719909a23b0</t>
  </si>
  <si>
    <t xml:space="preserve">APPOINTED_TO_ADMINISTER_MADAYA</t>
  </si>
  <si>
    <t xml:space="preserve">Thanak-wun Mingyi Maha Zeyathu</t>
  </si>
  <si>
    <t xml:space="preserve">မတ္တရာမြို့ စီရင်စု ကျေးရွာများတွင် သူပုန်တို့အရေး ပြီးငြိမ်း ရှိသည်ကိုလည်း သေနတ်ဝန် မင်းကြီး မဟာဇေယသူကို တန်ခူးလဆန်း သုံးရက် နေ့ မတ္တရာမြို့ သို့ သိမ်းသွင်းပြုစုရန် စေလွှတ်တော်မူ၏။</t>
  </si>
  <si>
    <t xml:space="preserve">On the third day of the waxing moon of Tagu, [the King] sent the Thanak-wun Mingyi Maha Zeyathu to Madaya town to pacify and organize the villages in the Madaya jurisdiction, as the rebel matter there had been settled and pacified.</t>
  </si>
  <si>
    <t xml:space="preserve">vol2_s003865_t02_9b2501625abb</t>
  </si>
  <si>
    <t xml:space="preserve">TASKED_WITH_PACIFICATION_OF</t>
  </si>
  <si>
    <t xml:space="preserve">vol2_s003866</t>
  </si>
  <si>
    <t xml:space="preserve">vol2_s003866_t01_27350dc947c2</t>
  </si>
  <si>
    <t xml:space="preserve">Shwe Wungyi's armed service personnel</t>
  </si>
  <si>
    <t xml:space="preserve">ရှေ့ဝင်းမှူးနှင့် ပါသည့် ရဲမက်လက်နက်ကိုင် အမှုထမ်းတို့ကိုလည်း သေနတ်ဝန် မင်းကြီးမဟာဇေယသူက ချုပ်အုပ်ဆင့်ဆိုရမည်- အမိန့်တော်နှင့် ၎င်းလဆန်း ခုနစ်ရက်နေ့ ရှေ့ဝင်းမှူးကို ခေါ်တော်မူ၍ ရွှေဖဝါးတော် အောက်သို့ ပြန်ရ၏။</t>
  </si>
  <si>
    <t xml:space="preserve">The Thanak-wun Mingyi Maha Zeyathu was also to oversee and command the armed service personnel who had accompanied the Shwe Wungyi; by royal order, the Shwe Wungyi was summoned on the seventh day of the waxing moon of that month and returned to the royal feet.</t>
  </si>
  <si>
    <t xml:space="preserve">vol2_s003866_t02_f7b150c6a230</t>
  </si>
  <si>
    <t xml:space="preserve">vol2_s003867</t>
  </si>
  <si>
    <t xml:space="preserve">vol2_s003867_t01_74026914f622</t>
  </si>
  <si>
    <t xml:space="preserve">Thiha-taw Buddha image</t>
  </si>
  <si>
    <t xml:space="preserve">UNDERWENT_REPAIR</t>
  </si>
  <si>
    <t xml:space="preserve">Royal state</t>
  </si>
  <si>
    <t xml:space="preserve">ယင်းသည့် သက္ကရာဇ် တန်ခူးလဆန်း ကိုးရက်နေ့ သီဟတောရုပ်ရှင်တော် ကျောက်တော် ကွဲအက်သော ကြောင့် နန်းချည်စည်း၍ သားရိုးထေးခံရသည်။</t>
  </si>
  <si>
    <t xml:space="preserve">On the ninth day of the waxing moon of Tagu of that same year, because the stone of the Thiha-taw Buddha image cracked, it was bound with silk and repaired with a wooden frame.</t>
  </si>
  <si>
    <t xml:space="preserve">vol2_s003868</t>
  </si>
  <si>
    <t xml:space="preserve">vol2_s003868_t01_4fc43678dddb</t>
  </si>
  <si>
    <t xml:space="preserve">PERFORMED_RITUAL_PATRONAGE</t>
  </si>
  <si>
    <t xml:space="preserve">Twelve monthly royal festivals</t>
  </si>
  <si>
    <t xml:space="preserve">နှစ်စဉ် လှူဒါန်းမြဲ အတာသဘင်မှ စ၍ တစ်ဆယ့်နှစ်ရာသီ သဘင်မင်းပွဲ အလှူတော်များကိုလည်း လစဉ်မပြတ် စီရင်ခင်းကျင်း လှူဒါန်းတော်မူသည်။</t>
  </si>
  <si>
    <t xml:space="preserve">Starting from the annual Atar festival, [the King] also regularly performed and offered the twelve monthly royal festivals and offerings without fail.</t>
  </si>
  <si>
    <t xml:space="preserve">vol2_s003871</t>
  </si>
  <si>
    <t xml:space="preserve">vol2_s003871_t01_f9391b4fb73a</t>
  </si>
  <si>
    <t xml:space="preserve">PERFORMED_RELIGIOUS_PATRONAGE</t>
  </si>
  <si>
    <t xml:space="preserve">600 monks</t>
  </si>
  <si>
    <t xml:space="preserve">သင်္ကြန်အခါတော်အတွင်း မိဖုရားခေါင်ကြီးက သံဃာတော်ခြောက်ရာ ပင့်ပြီးလျှင် သံဃဒါနဆွမ်း စားမဲ ဟင်းလျာစုံ သပိတ်ပါ ပဝါများနှင့် ဆွမ်းလောင်းလှူတော်မူသည်။</t>
  </si>
  <si>
    <t xml:space="preserve">During the Thingyan period, the Chief Queen invited six hundred monks and offered them Sanghadana alms, including full sets of meals, bowls, and cloths.</t>
  </si>
  <si>
    <t xml:space="preserve">vol2_s003871_t02_ce140f407bf7</t>
  </si>
  <si>
    <t xml:space="preserve">SUSTAINED_SASANA</t>
  </si>
  <si>
    <t xml:space="preserve">The queen's religious support is real, but Royal household is not the beneficiary or object of sustaining the Sasana; the monks and their sustenance are explicit.</t>
  </si>
  <si>
    <t xml:space="preserve">Chief Queen supported the Sasana by providing alms to 600 monks; omit or qualify Royal household.</t>
  </si>
  <si>
    <t xml:space="preserve">vol2_s003872</t>
  </si>
  <si>
    <t xml:space="preserve">vol2_s003872_t01_d0820eb30de6</t>
  </si>
  <si>
    <t xml:space="preserve">Former Pindale governor</t>
  </si>
  <si>
    <t xml:space="preserve">၂၉ သက္ကရာဇ် (၁၂ဝ၂) တစ်ထောင့်နှစ်ရာ့နှစ်ခု တန်ခူးလပြည့်ကျော် ခြောက်ရက် နေ့ အထက်သူပုန်တို့ အရေးအမှုအတွင်း ပင်းတလဲမြို့စားဟောင်း မင်းသား-သားအဖနှစ်ယောက်ကို ကြေးတိုက်တွင် ထားတော်မူသည် ကိုလည်း ချမ်းသာပေးတော်မူ၏။</t>
  </si>
  <si>
    <t xml:space="preserve">29. On the sixth day of the waning moon of Tagu, 1202, [the King] also granted clemency to the former Pindale governor, the prince and his son, who had been kept in the treasury prison during the previous rebel affair.</t>
  </si>
  <si>
    <t xml:space="preserve">vol2_s003872_t02_0953584cec34</t>
  </si>
  <si>
    <t xml:space="preserve">Son of former Pindale governor</t>
  </si>
  <si>
    <t xml:space="preserve">vol3_s000270</t>
  </si>
  <si>
    <t xml:space="preserve">vol3_s000270_t01_99a1c7e069f7</t>
  </si>
  <si>
    <t xml:space="preserve">Lady of Talok</t>
  </si>
  <si>
    <t xml:space="preserve">Southern Chamber</t>
  </si>
  <si>
    <t xml:space="preserve">မင်္ဂလာအိမ်တော်ပါ တလုပ်မြို့ စားကို တောင်ဆောင်ထားတော်မူပြီးလျှင် သီရိရတနာနန္ဒာမဟေ၊ မင်္ဂလာ အိမ်တော်ပါ ရမည်းသင်းမြို့ စားကို မြောက်ဆောင် ထားတော်မူပြီးလျှင် သီရိရတနာစန္ဒာမဟေ၊ မင်္ဂလာအိမ်တော်ပါ မိုးကောင်းမြို့စားကို တောင်ရွှေရေးဆောင် ထားတော်မူပြီးလျှင် သီရိသုစန္ဒာနန္ဒာမဟေ၊ မင်္ဂလာအိမ်တော်ပါ ကျပင်း မြို့စားကို မြောက်ရွှေရေးဆောင် ထားတော်မူပြီးလျှင် သီရိသုပဘာ စန္ဒာမဟေ-ဘွဲ့ အမည်ကို ပေးတော်မူ၏။</t>
  </si>
  <si>
    <t xml:space="preserve">He appointed the Lady of Talok from the royal household to the Southern Chamber and bestowed upon her the title Siri Ratana Nanda Mahe; he appointed the Lady of Yamethin from the royal household to the Northern Chamber and bestowed upon her the title Siri Ratana Canda Mahe; he appointed the Lady of Mogaung from the royal household to the Southern Golden Chamber and bestowed upon her the title Siri Thu Canda Nanda Mahe; and he appointed the Lady of Kyapin from the royal household to the Northern Golden Chamber and bestowed upon her the title Siri Thu Paba Canda Mahe.</t>
  </si>
  <si>
    <t xml:space="preserve">vol3_s000270_t02_473eec3912a1</t>
  </si>
  <si>
    <t xml:space="preserve">Siri Ratana Nanda Mahe</t>
  </si>
  <si>
    <t xml:space="preserve">vol3_s000270_t03_a048bae4a315</t>
  </si>
  <si>
    <t xml:space="preserve">Lady of Yamethin</t>
  </si>
  <si>
    <t xml:space="preserve">Northern Chamber</t>
  </si>
  <si>
    <t xml:space="preserve">vol3_s000270_t04_a4e77445584d</t>
  </si>
  <si>
    <t xml:space="preserve">Siri Ratana Canda Mahe</t>
  </si>
  <si>
    <t xml:space="preserve">vol3_s000270_t05_f483a3b29e8f</t>
  </si>
  <si>
    <t xml:space="preserve">Lady of Mogaung</t>
  </si>
  <si>
    <t xml:space="preserve">Southern Golden Chamber</t>
  </si>
  <si>
    <t xml:space="preserve">vol3_s000270_t06_c2847951e28c</t>
  </si>
  <si>
    <t xml:space="preserve">Siri Thu Canda Nanda Mahe</t>
  </si>
  <si>
    <t xml:space="preserve">vol3_s000270_t07_58b9e5a263e2</t>
  </si>
  <si>
    <t xml:space="preserve">Lady of Kyapin</t>
  </si>
  <si>
    <t xml:space="preserve">Northern Golden Chamber</t>
  </si>
  <si>
    <t xml:space="preserve">vol3_s000270_t08_b14b0d625904</t>
  </si>
  <si>
    <t xml:space="preserve">Siri Thu Paba Canda Mahe</t>
  </si>
  <si>
    <t xml:space="preserve">vol3_s000271</t>
  </si>
  <si>
    <t xml:space="preserve">vol3_s000271_t01_b15a443bbb8d</t>
  </si>
  <si>
    <t xml:space="preserve">Lady of Monglong</t>
  </si>
  <si>
    <t xml:space="preserve">Siri Kesa Malla Mahe</t>
  </si>
  <si>
    <t xml:space="preserve">မိုင်းလုံမြို့စားကို သီရိကေသာမလ္လာမဟေ၊ စကုမြို့ စားကို သီရိနန္ဒာ မလ္လာမဟေ၊ မြန်အောင်မြို့စားကို သီရိသုရတနာမဟေ၊ ကာမမြို့စားကို သီရိသုမြတ်စွာမဟေ၊ ရွှေဂူမြို့ စားကို သီရိသုရတနာဝတီ၊ ခဲပေါင်မြို့စားသမီး ကို သီရိသုရတနာမင်္ဂလာဝတီ-ဘွဲ့အမည်များကို ပေးတော်မူ၏။</t>
  </si>
  <si>
    <t xml:space="preserve">He bestowed the titles of Siri Kesa Malla Mahe upon the Lady of Monglong, Siri Nanda Malla Mahe upon the Lady of Sagu, Siri Thu Ratana Mahe upon the Lady of Myanaung, Siri Thu Myat Swa Mahe upon the Lady of Kama, Siri Thu Ratana Wati upon the Lady of Shwegu, and Siri Thu Ratana Mangala Wati upon the daughter of the Lady of Kha-paung.</t>
  </si>
  <si>
    <t xml:space="preserve">vol3_s000271_t02_103fb78cbffc</t>
  </si>
  <si>
    <t xml:space="preserve">Lady of Sagu</t>
  </si>
  <si>
    <t xml:space="preserve">Siri Nanda Malla Mahe</t>
  </si>
  <si>
    <t xml:space="preserve">vol3_s000271_t03_12db90f737b5</t>
  </si>
  <si>
    <t xml:space="preserve">Lady of Myanaung</t>
  </si>
  <si>
    <t xml:space="preserve">Siri Thu Ratana Mahe</t>
  </si>
  <si>
    <t xml:space="preserve">vol3_s000271_t04_f9cdcd10059f</t>
  </si>
  <si>
    <t xml:space="preserve">Lady of Kama</t>
  </si>
  <si>
    <t xml:space="preserve">Siri Thu Myat Swa Mahe</t>
  </si>
  <si>
    <t xml:space="preserve">vol3_s000271_t05_96c18cba43bd</t>
  </si>
  <si>
    <t xml:space="preserve">Lady of Shwegu</t>
  </si>
  <si>
    <t xml:space="preserve">Siri Thu Ratana Wati</t>
  </si>
  <si>
    <t xml:space="preserve">vol3_s000271_t06_a8d86c3b8859</t>
  </si>
  <si>
    <t xml:space="preserve">Lady of Kha-paung</t>
  </si>
  <si>
    <t xml:space="preserve">Siri Thu Ratana Mangala Wati</t>
  </si>
  <si>
    <t xml:space="preserve">The title is bestowed on the Kha-paung titleholder's daughter, not on the titleholder herself.</t>
  </si>
  <si>
    <t xml:space="preserve">Daughter of the Kha-paung titleholder received Siri Thu Ratana Mangala Wati.</t>
  </si>
  <si>
    <t xml:space="preserve">vol3_s000272</t>
  </si>
  <si>
    <t xml:space="preserve">vol3_s000272_t01_bc687b1d7dd6</t>
  </si>
  <si>
    <t xml:space="preserve">Prince Mindon</t>
  </si>
  <si>
    <t xml:space="preserve">Siri Maha Siha Thura Dhamma Raja</t>
  </si>
  <si>
    <t xml:space="preserve">ညီတော် မင်းတုန်းမင်း သီရိသုမဟာဓမ္မရာဇာကို သီရိမဟာသီဟသူရဓမ္မရာဇာ၊ ညီတော် ကနောင်မင်းသား သတိုးမင်းရဲကျော်ထင်ကို သီရိသုမဟာဓမ္မရာဇာ၊ ညီတော် လှိုင်မင်းသား သတိုးမင်းရဲကျော်စွာကို သီရိမဟာဓမ္မရာဇာ၊ ဘိုးတော် အိမ်ရှေ့မင်းသား-မိုးညှင်းမင်းသားကို သုသီရိမဟာဓမ္မရာဇာ၊ မက္ခရာမင်းသား-ထီးလင်းမင်းသား သတိုး မင်းလှကျော်စွာကို သီရိဓမ္မရာဇာ-ဘွဲ့အမည်များကို ပေးတော်မူ၍ မင်းသားကြီးတို့ နေရာတွင် ချထားခစားရ၏။</t>
  </si>
  <si>
    <t xml:space="preserve">He bestowed the title Siri Maha Siha Thura Dhamma Raja upon his younger brother Prince Mindon, Siri Thu Maha Dhamma Raja; the title Siri Thu Maha Dhamma Raja upon his younger brother Prince Kanaung, Thado Minye Kyaw Htin; the title Siri Maha Dhamma Raja upon his younger brother Prince Hlaing, Thado Minye Kyaw Swa; the title Thu Siri Maha Dhamma Raja upon his grandfather the Crown Prince, the Prince of Mohnyin; and the title Siri Dhamma Raja upon the Prince of Mekkhara, the Prince of Htilin, Thado Min Hla Kyaw Swa, and had them serve in the positions of the senior princes.</t>
  </si>
  <si>
    <t xml:space="preserve">vol3_s000272_t02_ecd6e319b92a</t>
  </si>
  <si>
    <t xml:space="preserve">Prince Kanaung</t>
  </si>
  <si>
    <t xml:space="preserve">Siri Thu Maha Dhamma Raja</t>
  </si>
  <si>
    <t xml:space="preserve">vol3_s000272_t03_83311b892d1a</t>
  </si>
  <si>
    <t xml:space="preserve">Prince Hlaing</t>
  </si>
  <si>
    <t xml:space="preserve">Siri Maha Dhamma Raja</t>
  </si>
  <si>
    <t xml:space="preserve">vol3_s000272_t04_59d98c22f2d6</t>
  </si>
  <si>
    <t xml:space="preserve">Prince of Mohnyin</t>
  </si>
  <si>
    <t xml:space="preserve">Thu Siri Maha Dhamma Raja</t>
  </si>
  <si>
    <t xml:space="preserve">vol3_s000272_t05_4225a7466320</t>
  </si>
  <si>
    <t xml:space="preserve">Prince of Mekkhara</t>
  </si>
  <si>
    <t xml:space="preserve">Siri Dhamma Raja</t>
  </si>
  <si>
    <t xml:space="preserve">vol3_s000272_t06_398f2797f6ef</t>
  </si>
  <si>
    <t xml:space="preserve">Senior Princes</t>
  </si>
  <si>
    <t xml:space="preserve">APPOINTED_BY_KING_TO_POSITION</t>
  </si>
  <si>
    <t xml:space="preserve">Senior Prince Council</t>
  </si>
  <si>
    <t xml:space="preserve">Senior-prince attendance positions/rank are supported, but an institution named Senior Prince Council is not specified.</t>
  </si>
  <si>
    <t xml:space="preserve">Senior princes were assigned senior-prince attendance positions by the king.</t>
  </si>
  <si>
    <t xml:space="preserve">vol3_s000273</t>
  </si>
  <si>
    <t xml:space="preserve">vol3_s000273_t01_3b7a3fe2cc69</t>
  </si>
  <si>
    <t xml:space="preserve">Prince of Kha-paung</t>
  </si>
  <si>
    <t xml:space="preserve">Thado Minye Min Htin</t>
  </si>
  <si>
    <t xml:space="preserve">ခဲပေါင်မင်းသား မင်းရဲမင်းထင်ကို သတိုးမင်းရဲမင်းထင်၊ မိုးညှင်းမင်းသား သုသီရိမဟာဓမ္မရာဇာ့သားကို သတိုးမင်းရဲကျော်ထင်-ဘွဲ့ အမည် ပေးတော်မူပြီးလျှင် မင်းသားလတ်တို့ နေရာတွင် ချထားခစားရ၏။</t>
  </si>
  <si>
    <t xml:space="preserve">He bestowed the title Thado Minye Min Htin upon the Prince of Kha-paung, Minye Min Htin, and the title Thado Minye Kyaw Htin upon the son of the Prince of Mohnyin, Thu Siri Maha Dhamma Raja, and had them serve in the positions of the middle princes.</t>
  </si>
  <si>
    <t xml:space="preserve">vol3_s000273_t02_b117172fab6b</t>
  </si>
  <si>
    <t xml:space="preserve">Son of Prince of Mohnyin</t>
  </si>
  <si>
    <t xml:space="preserve">Thado Minye Kyaw Htin</t>
  </si>
  <si>
    <t xml:space="preserve">vol3_s000273_t03_9d8f906eabfb</t>
  </si>
  <si>
    <t xml:space="preserve">Middle Princes</t>
  </si>
  <si>
    <t xml:space="preserve">Middle Prince Council</t>
  </si>
  <si>
    <t xml:space="preserve">Middle-prince attendance rank is supported; a separate Middle Prince Council is an unwarranted institutional label.</t>
  </si>
  <si>
    <t xml:space="preserve">The named princes were assigned middle-prince attendance positions.</t>
  </si>
  <si>
    <t xml:space="preserve">vol3_s000274</t>
  </si>
  <si>
    <t xml:space="preserve">vol3_s000274_t01_c0200fb64eeb</t>
  </si>
  <si>
    <t xml:space="preserve">Prince of Shweyinma</t>
  </si>
  <si>
    <t xml:space="preserve">Minye Min Khaung</t>
  </si>
  <si>
    <t xml:space="preserve">ရွှေယင်းမာရွာစား မင်းသား မောင်ရွှေမောင်ကို မင်းရဲမင်းခေါင်၊ အလ္လကပ္ပမြို့စား မင်းသားမောင်ကြီးကို မင်းရဲမင်းကျော်၊ မော်ဖီမြို့စား မင်းသားမောင်လတ်ကို မင်းရဲသီဟ-ဘွဲ့ အမည်ပေးတော်မူပြီးလျှင် မြင်းမှူး မင်းသား တို့ နေရာတွင် ချထား ခစားစေ၏။</t>
  </si>
  <si>
    <t xml:space="preserve">He bestowed the title Minye Min Khaung upon the Prince of Shweyinma village, Maung Shwe Maung; the title Minye Min Kyaw upon the Prince of Alakappa, Maung Gyi; and the title Minye Thiha upon the Prince of Mawbi, Maung Lat, and had them serve in the positions of the cavalry commander princes.</t>
  </si>
  <si>
    <t xml:space="preserve">vol3_s000274_t02_174446be70ce</t>
  </si>
  <si>
    <t xml:space="preserve">Prince of Alakappa</t>
  </si>
  <si>
    <t xml:space="preserve">Minye Min Kyaw</t>
  </si>
  <si>
    <t xml:space="preserve">vol3_s000274_t03_64924caef029</t>
  </si>
  <si>
    <t xml:space="preserve">Prince of Mawbi</t>
  </si>
  <si>
    <t xml:space="preserve">vol3_s000274_t04_a5c9ab5a7bff</t>
  </si>
  <si>
    <t xml:space="preserve">Cavalry Commander Princes</t>
  </si>
  <si>
    <t xml:space="preserve">Cavalry Commander</t>
  </si>
  <si>
    <t xml:space="preserve">vol3_s000275</t>
  </si>
  <si>
    <t xml:space="preserve">vol3_s000275_t01_a0a23cdb05d4</t>
  </si>
  <si>
    <t xml:space="preserve">Royal brothers, officials, and servants</t>
  </si>
  <si>
    <t xml:space="preserve">Appropriate Rank</t>
  </si>
  <si>
    <t xml:space="preserve">ကျန် မင်းညီမင်းသား မှူးတော် မတ်တော် ဗိုလ်မှူးတပ်မှူး ဝန်စုရ စုရေး-စုကိုင်တို့မှစ၍ အရာထမ်း အမှုထမ်း ကျွန်တော်မျိုးတို့ကိုလည်း ဘွဲ့ အမည်အရည် အထိုက်အလိုက် ပေးတော်မူ၏။</t>
  </si>
  <si>
    <t xml:space="preserve">He also bestowed titles appropriate to their ranks upon the remaining royal brothers and sons, ministers, officials, commanders, battalion commanders, and the various groups of clerks and record-keepers, as well as the servants and employees.</t>
  </si>
  <si>
    <t xml:space="preserve">vol3_s000276</t>
  </si>
  <si>
    <t xml:space="preserve">vol3_s000276_t01_e3c154da0689</t>
  </si>
  <si>
    <t xml:space="preserve">ANNOUNCED_SUCCESSION_VIA</t>
  </si>
  <si>
    <t xml:space="preserve">Town Criers</t>
  </si>
  <si>
    <t xml:space="preserve">ခမည်းတော် မင်းတရားကြီး နတ်ပြည်စံတော်မူ၍ မင်းအဖြစ်ကို ယူတော်မူသည့်နေ့ တရားသဖြင့် မင်းအဖြစ်သို့ ရောက်တော်မူကြောင်းကို နိုင်ငံတော်အတွင်း တိုင်းနေပြည်သူ ရှင်လူသတ္တဝါအပေါင်းတို့ ပျံ့နှံ့ကြားသိစေခြင်းငှာ ပြည်သူဆင်းရဲသား ကျွန်တော်မျိုးအပေါင်းတို့ကို ငြိမ်ဝပ်ချမ်းသာစွာ ရောင်းဝယ်ဖောက်ကား သွားလာနေထိုင်မြဲ နေထိုင်ကြရမည် အကြောင်းနှင့် ရွှေမြို့တော်အတွင်းပြင် စေ့နှံ့အောင် မောင်းကြေးနင်း လှည့်လည် တီးခတ်စေ၏။</t>
  </si>
  <si>
    <t xml:space="preserve">On the day he took the throne after his father, the Great King, passed away to the celestial realm, he had gongs beaten throughout the interior and exterior of the Golden City to ensure that all the people and living beings within the kingdom were widely informed that he had attained the throne righteously, and to instruct all the commoner subjects to live in peace and continue their trading, traveling, and residing as usual.</t>
  </si>
  <si>
    <t xml:space="preserve">vol3_s000276_t02_4280d6dd3493</t>
  </si>
  <si>
    <t xml:space="preserve">INSTRUCTED_POPULACE</t>
  </si>
  <si>
    <t xml:space="preserve">Maintain peace and trade</t>
  </si>
  <si>
    <t xml:space="preserve">vol3_s000277</t>
  </si>
  <si>
    <t xml:space="preserve">vol3_s000277_t01_9428184bc2e0</t>
  </si>
  <si>
    <t xml:space="preserve">ORDERED_SECURITY_PROTOCOL</t>
  </si>
  <si>
    <t xml:space="preserve">Palace and City Gate Guards</t>
  </si>
  <si>
    <t xml:space="preserve">ရှေးအစဉ်ထုံးစံနှင့်အညီ ဝင်းတော်လေးမျက်နှာ ကိုယ်ရံတော်၊ ရွှေမြို့တော်လေးမျက်နှာ တံခါးတစ်ဆယ့်နှစ်ရပ် အစောင့်အနေများကိုလည်း ရာဇဝတ်တော်ရေး ကင်းလွတ်မြဲမြဲလုံခြုံအောင် စီရင်ခန့်ထား စောင့်နေစေ၏။</t>
  </si>
  <si>
    <t xml:space="preserve">In accordance with ancient custom, he also arranged and ordered the guards of the four sides of the palace, the bodyguards, and the guards of the twelve gates of the four sides of the Golden City to remain on duty to ensure security and prevent any criminal incidents.</t>
  </si>
  <si>
    <t xml:space="preserve">vol3_s000278</t>
  </si>
  <si>
    <t xml:space="preserve">vol3_s000278_t01_0b5589bcc066</t>
  </si>
  <si>
    <t xml:space="preserve">ADMINISTERED_OATH_OF_ALLEGIANCE_BY</t>
  </si>
  <si>
    <t xml:space="preserve">မင်းညီ မင်းသား မှူးတော် မတ်တော် ဗိုလ်မှူးတပ်မှူး ဒိုင်းမှူးသင်းမှူး မှစ၍ အမှုထမ်း ကျွန်တော်မျိုး အပေါင်းတို့ကိုလည်း သစ္စာတော်ပေးရ၏။</t>
  </si>
  <si>
    <t xml:space="preserve">He also administered the oath of allegiance to all the royal brothers and sons, ministers, officials, commanders, battalion commanders, and the various groups of servants and employees.</t>
  </si>
  <si>
    <t xml:space="preserve">vol3_s000279</t>
  </si>
  <si>
    <t xml:space="preserve">vol3_s000279_t01_8f2b2417cd56</t>
  </si>
  <si>
    <t xml:space="preserve">Sawbwas, town governors, and battalion commanders</t>
  </si>
  <si>
    <t xml:space="preserve">APPOINTED_BY_KING_TO_POST</t>
  </si>
  <si>
    <t xml:space="preserve">Respective Posts</t>
  </si>
  <si>
    <t xml:space="preserve">နိုင်ငံတော်အတွင်း ထီးရံနန်းရံ, စော်ဘွားမြို့စား, တပ်ပေါင်းစား, မြို့ဝန်စစ်ကဲတို့ကိုလည်း အသီးအသီး ထုံးစံနှင့်အညီ သင့်ရာ ခန့်ထားစေလွှတ်၍ သစ္စာတော်ပေးမြဲ ပေးစေ၏။</t>
  </si>
  <si>
    <t xml:space="preserve">He also had the Sawbwas, town governors, battalion commanders, and city governors within the kingdom appointed and sent to their respective posts in accordance with custom, and had the oath of allegiance administered as usual.</t>
  </si>
  <si>
    <t xml:space="preserve">vol3_s000279_t02_09eea18eb4a9</t>
  </si>
  <si>
    <t xml:space="preserve">vol3_s000280</t>
  </si>
  <si>
    <t xml:space="preserve">vol3_s000280_t01_6e17e191bd0c</t>
  </si>
  <si>
    <t xml:space="preserve">DELEGATED_JUDICIAL_AUTHORITY_BY</t>
  </si>
  <si>
    <t xml:space="preserve">တိုင်းနိုင်ငံတော်အတွင်း ပြည်သူသတ္တဝါအပေါင်းတို့ ငြိမ်ဝပ်ချမ်းသာစေခြင်းအကျိုးငှာ တိုင်းရေးပြည်မှုမှစ၍ တရားစကား အယှက်အတင် ရှိသည်များကိုလည်း ညီတော်မင်းတုန်းမင်း သီရိမဟာသီဟသူရဓမ္မရာဇာ-ကို လွှတ်သို့ တက်၍ စီရင်မြဲ စီရင်ရ၏။</t>
  </si>
  <si>
    <t xml:space="preserve">For the sake of the peace and well-being of all the people and living beings within the kingdom, he had his younger brother, Prince Mindon, Siri Maha Siha Thura Dhamma Raja, attend the Hluttaw to adjudicate matters, including state affairs and legal disputes, as was customary.</t>
  </si>
  <si>
    <t xml:space="preserve">vol3_s000280_t02_dc5eb5e82e42</t>
  </si>
  <si>
    <t xml:space="preserve">PRESIDED_OVER</t>
  </si>
  <si>
    <t xml:space="preserve">vol3_s000281</t>
  </si>
  <si>
    <t xml:space="preserve">vol3_s000281_t01_83423500a7e3</t>
  </si>
  <si>
    <t xml:space="preserve">ဘေးတော်မင်းတရားသားတော်-မက္ခရာမင်း မဟာသီရိသုဓမ္မရာဇာကိုလည်း ညီတော် မင်းတုန်းမင်းနှင့် လွှတ်သို့တက်၍ စီရင်စေ၏။</t>
  </si>
  <si>
    <t xml:space="preserve">He also had the son of his grandfather the Great King, the Prince of Mekkhara, Maha Siri Thu Dhamma Raja, attend the Hluttaw with his younger brother, Prince Mindon, to adjudicate.</t>
  </si>
  <si>
    <t xml:space="preserve">vol3_s000281_t02_f42d8eb9d62e</t>
  </si>
  <si>
    <t xml:space="preserve">vol3_s000356</t>
  </si>
  <si>
    <t xml:space="preserve">vol3_s000356_t01_3b3c5747185c</t>
  </si>
  <si>
    <t xml:space="preserve">DEPLOYED_MILITARY_FORCE_TO</t>
  </si>
  <si>
    <t xml:space="preserve">Thibaw</t>
  </si>
  <si>
    <t xml:space="preserve">ယင်းသည့် သက္ကရာဇ် ကဆုန်လ သီပေါမြို့မှာ ရှမ်းသူပုန်တို့နှင့် ထမုံသူကြီးတို့ မငြိမ်မဝပ် တိုက်ခိုက်ဖျက်ဆီး၍ တောင်တွင်းကြီးမြို့ဝန် မင်းရဲမင်းခေါင်ကျော်ကို မြို့ ရွာအစုအမှုထမ်း လူသုံးထောင်ပေးအပ်၍ ချီတက်တိုက်ခိုက် သိမ်းယူစေ၏။</t>
  </si>
  <si>
    <t xml:space="preserve">In the month of Kason of that year, because the Shan rebels and the Htamun village headmen in Thibaw town were restless and were attacking and destroying, [the King] assigned three thousand town and village service personnel to the Taungdwingyi Myowun Minyemin-khaung-kyaw and ordered him to march, attack, and take control.</t>
  </si>
  <si>
    <t xml:space="preserve">vol3_s000356_t02_62636cb77fe5</t>
  </si>
  <si>
    <t xml:space="preserve">APPOINTED_OFFICIAL_TO_SUPPRESS_REBELLION</t>
  </si>
  <si>
    <t xml:space="preserve">Taungdwingyi Myowun</t>
  </si>
  <si>
    <t xml:space="preserve">vol3_s000356_t03_c90e7124e5c0</t>
  </si>
  <si>
    <t xml:space="preserve">COMMANDED_SERVICE_PERSONNEL</t>
  </si>
  <si>
    <t xml:space="preserve">3000 town and village service personnel</t>
  </si>
  <si>
    <t xml:space="preserve">vol3_s000357</t>
  </si>
  <si>
    <t xml:space="preserve">vol3_s000357_t01_8d2b7c49b7ed</t>
  </si>
  <si>
    <t xml:space="preserve">Mutta Myowun officials</t>
  </si>
  <si>
    <t xml:space="preserve">ယင်းသည့်လ မုတ္တမြို့ဝန်အရာရှိတို့က အတိုင်းငါးတောင်, အစွယ်ပြင်ပေါ် နှစ်မိုက်လေးသစ်, သဇင်ခိုင်ဆင်၊ အတိုင်း ငါးတောင့်တစ်မိုက်, အစွယ်ပြင်ပေါ် တစ်တောင့်တစ်မိုက်, ပန်းတန်ဆင်’နှစ်စီးကို ဆက်သည်။</t>
  </si>
  <si>
    <t xml:space="preserve">In that same month, the officials of the Mutta Myowun presented two elephants: the Thazin-khaing elephant, measuring five taung in height and four maik and four thit above the tusk base, and the Pan-tan elephant, measuring five taung and one maik in height and one taung and one maik above the tusk base.</t>
  </si>
  <si>
    <t xml:space="preserve">vol3_s000357_t02_a84d0f7ecec6</t>
  </si>
  <si>
    <t xml:space="preserve">PRESENTED_SYMBOLIC_RESOURCES</t>
  </si>
  <si>
    <t xml:space="preserve">two elephants</t>
  </si>
  <si>
    <t xml:space="preserve">vol3_s000358</t>
  </si>
  <si>
    <t xml:space="preserve">vol3_s000358_t01_824658ba777b</t>
  </si>
  <si>
    <t xml:space="preserve">Thazin-khaing elephant</t>
  </si>
  <si>
    <t xml:space="preserve">CLASSIFIED_AS</t>
  </si>
  <si>
    <t xml:space="preserve">Rway-yi elephant</t>
  </si>
  <si>
    <t xml:space="preserve">သဇင်ခိုင် ဆင်ကို ရွေးရည်, ပန်းတန်ဆင်ကို ဝင်းရည် လျှောက်သည်။</t>
  </si>
  <si>
    <t xml:space="preserve">They submitted the Thazin-khaing elephant as a 'Rway-yi' [choice] elephant and the Pan-tan elephant as a 'Win-yi' [royal court] elephant.</t>
  </si>
  <si>
    <t xml:space="preserve">vol3_s000358_t02_845cf90b8556</t>
  </si>
  <si>
    <t xml:space="preserve">Pan-tan elephant</t>
  </si>
  <si>
    <t xml:space="preserve">Win-yi elephant</t>
  </si>
  <si>
    <t xml:space="preserve">vol3_s000359</t>
  </si>
  <si>
    <t xml:space="preserve">vol3_s000359_t01_d6cb85a384e7</t>
  </si>
  <si>
    <t xml:space="preserve">Royal elephant keepers</t>
  </si>
  <si>
    <t xml:space="preserve">CAPTURED_RESOURCE_FOR_STATE</t>
  </si>
  <si>
    <t xml:space="preserve">extraordinary elephant</t>
  </si>
  <si>
    <t xml:space="preserve">ယင်းသည့်လအတွင်း ပြည်လေးသင်း အောက်မားတော် များနှင့် နံ့သာတောက အောက်ငင်ခဲ့သည့် ထူးမြတ်သည့်ဆင်တော် အတိုင်း လေးတောင့်နှစ်မိုက်, အစွယ်ပြင်ပေါ် တစ်မိုက်လေးသစ် ရောက်သည်ကိုလည်း ကျုံးသို့သွင်း၍ ကျော့ဖမ်းစေ၏။</t>
  </si>
  <si>
    <t xml:space="preserve">During that same month, an extraordinary elephant that had been driven down from the fragrant forest by the royal elephant keepers of the four Pyi companies, measuring four taung and two maik in height and one maik and four thit above the tusk base, was also driven into the moat and captured.</t>
  </si>
  <si>
    <t xml:space="preserve">vol3_s000359_t02_bb59c584793f</t>
  </si>
  <si>
    <t xml:space="preserve">Four Pyi companies</t>
  </si>
  <si>
    <t xml:space="preserve">SERVED_AS</t>
  </si>
  <si>
    <t xml:space="preserve">royal elephant keepers</t>
  </si>
  <si>
    <t xml:space="preserve">vol3_s000360</t>
  </si>
  <si>
    <t xml:space="preserve">vol3_s000360_t01_07f6cf6f4538</t>
  </si>
  <si>
    <t xml:space="preserve">MOBILIZED_SERVICE_PERSONNEL_FOR_RITUAL</t>
  </si>
  <si>
    <t xml:space="preserve">3000 boat service personnel</t>
  </si>
  <si>
    <t xml:space="preserve">၎င်းနှစ် နယုန်လဆန်း တစ်ဆယ့်လေးရက် နေ့က စ၍ ရတနာပူရအဝမြို့တွင် မဟာသကျရံသီ ကျောက်တော် ကြီးဘုရား ကိန်းဝပ်သည့် အုတ်ပြာသာဒ် ပြိုပျက်သည်ကို ကျောက်မော်မြို့စားဝန်ကြီး သတိုးမင်းကြီးမဟာမင်းလှ သီဟသူ, ပန်းပဲဝန် အတွင်းဝန် သတိုးမင်းကြီး မဟာမင်းလှကျော်သူတို့ကို လှေအမှုထမ်း လူသုံးထောင်ပေးအပ်၍ ပင့်ဆောင်စေရာ သုံးရက်နှင့် မုတ္တမ တံခါးပြင် ဘုရားပင့်ဆောင်ရန် ဖောင်ပေါ်သို့ ရောက်ကြောင်းကို လျှောက်ထား၍ ၎င်းနှစ် ဝါဆိုလပြည့်ကျော် ခြောက်ရက်ခံနေ့ ဆရာတော် သံဃာတော်တို့ကို သမ္ဗန်တော်များတွင် တင်ဆောင်၍ ရှေးဦးရှေးဖျား ကြွသွားနှင့်စေပြီးလျှင် ဘဝရှင်မင်းတရားကြီးဘုရား ဖောင်တော်, လှေတော်, သမ္ဗန်တော်များနှင့် မင်းညီမင်းသား မှူးတော်မတ်တော်တို့ ခြံရံ၍ ထွက်တော်မူကြီး ထွက်တော်မူပြီးလျှင် ဘုရားတင် ဖောင်ပြာသာဒ်ကို မီးသင်္ဘောတော်နှင့် ဆွဲစေ၍ ရွှေမြို့ တော် တောင်မျက်နှာ တောင်သမန်အနီး အထက် တည်ထားဆောက်လုပ်တော် မူသည့် အုတ်ပြာသာဒ်အတွင်း ပင့်ဆောင်ကိုးကွယ်တော်မူ၏။</t>
  </si>
  <si>
    <t xml:space="preserve">Beginning on the fourteenth day of the waxing moon of Nayon of that year, because the brick pavilion where the Mahasakyaransi Kyauktawgyi Buddha image was enshrined in Ratanapura-Ava city had collapsed, [the King] assigned three thousand boat service personnel to the Kyaukmaw Myosa Wungyi Thado Mingyi Maha Minla Thihathu and the Pan-pe-wun Internal Minister Thado Mingyi Maha Minla Kyawthu and ordered them to transport [the image]; when they reported that after three days they had reached the raft at the Mutta gate to transport the Buddha image, on the sixth day of the waning moon of Waso of that year, [the King] first had the Sayadaws and Sanghas transported on royal sampans to go ahead, and then, with the Lord of Life, the Great King, surrounded by his royal raft, royal boats, royal sampans, and royal princes and ministers, he departed in a grand procession, had the raft pavilion carrying the Buddha image towed by a royal steamship, and transported and enshrined it within the brick pavilion that had been built previously near Taungthaman on the southern side of the royal golden city.</t>
  </si>
  <si>
    <t xml:space="preserve">vol3_s000360_t02_6f7198f44fec</t>
  </si>
  <si>
    <t xml:space="preserve">APPOINTED_OFFICIALS_TO_MANAGE_RELIGIOUS_PROJECT</t>
  </si>
  <si>
    <t xml:space="preserve">Kyaukmaw Myosa Wungyi and Pan-pe-wun</t>
  </si>
  <si>
    <t xml:space="preserve">vol3_s000360_t03_7d7d7bf9642a</t>
  </si>
  <si>
    <t xml:space="preserve">CENTRALIZED_SACRED_OBJECT</t>
  </si>
  <si>
    <t xml:space="preserve">Mahasakyaransi Kyauktawgyi Buddha image</t>
  </si>
  <si>
    <t xml:space="preserve">vol3_s000360_t04_6fe53ecbb771</t>
  </si>
  <si>
    <t xml:space="preserve">UTILIZED_TECHNOLOGY_FOR_RITUAL</t>
  </si>
  <si>
    <t xml:space="preserve">royal steamship</t>
  </si>
  <si>
    <t xml:space="preserve">vol3_s000361</t>
  </si>
  <si>
    <t xml:space="preserve">vol3_s000361_t01_996db18f8600</t>
  </si>
  <si>
    <t xml:space="preserve">Mogaung Sawbwas</t>
  </si>
  <si>
    <t xml:space="preserve">SUBMITTED_TRIBUTE_TO</t>
  </si>
  <si>
    <t xml:space="preserve">ထိုနှစ် ဝါဆိုလ မိုးကောင်းမြို့နယ် ခန္တီး ခုနစ်စော်ဘွားအဝင် မန်လို တောင်စားစော်ဘွား မန်လိုဒိပ္ပရာဇာ, ညီ လန်းဆိုင်တို့က သမီး နန်းရေးဆိုင်၊ ကျန်စော်ဘွားတို့က ကတိုးကောင်ရှင် ဖို-မ၊ ကတိုးခွာ၊ လင်းကင်းဓား၊ ငွေကျောက်၊ ခန်းတောက်မြစ်၊ မြင်းသီလာကျောက်၊ စိုင်ဖြူဖို-မများကို ရွှေဖဝါးတော်အောက် လာရောက် ဆက်သ သည်ကို အဆက်အသ ခံတော်မူ၍ ၎င်းစော်ဘွား ရှစ်ယောက်ကို ပုဆိုး, ပဝါအုပ်, ခေါင်းပေါင်းအုပ်, သက္ကလတ်ခြုံထည် များကို ပေးတော်မူ၏။</t>
  </si>
  <si>
    <t xml:space="preserve">In the month of Waso of that year, the Manlo Taungsa Sawbwa Manlo Dipparaja and his younger brother Lansai, who were among the seven Hkamti Sawbwas of Mogaung township, came and presented to the royal golden feet their daughter Nan-ye-sai, and the other Sawbwas presented male and female Kato-kaung-shin, Kato-khwa, Lin-kin swords, silver stones, Khan-tauk roots, Myin-thila stones, and male and female white rhinoceroses; [the King] accepted the offerings and gave the eight Sawbwas sarongs, shawls, headcloths, and broadcloth wraps.</t>
  </si>
  <si>
    <t xml:space="preserve">vol3_s000361_t02_818540af7999</t>
  </si>
  <si>
    <t xml:space="preserve">GRANTED_RECIPROCAL_GIFTS_TO</t>
  </si>
  <si>
    <t xml:space="preserve">vol3_s000361_t03_9229c9220e58</t>
  </si>
  <si>
    <t xml:space="preserve">ACKNOWLEDGED_STATUS_OF</t>
  </si>
  <si>
    <t xml:space="preserve">vol3_s000362</t>
  </si>
  <si>
    <t xml:space="preserve">vol3_s000362_t01_c60e0399ef75</t>
  </si>
  <si>
    <t xml:space="preserve">STANDARDIZED_TRIBUTARY_PRACTICE</t>
  </si>
  <si>
    <t xml:space="preserve">presentation of Sawbwa daughters</t>
  </si>
  <si>
    <t xml:space="preserve">သမီးကညာကိုလည်း မိုင်းလင်း မိုင်းလျက် စော်ဘွားတို့ သမီးကို ဆက်သွင်းသည့်နည်း ကြိုယူဆက်သွင်းစေ၏။</t>
  </si>
  <si>
    <t xml:space="preserve">He also had the daughter [Nan-ye-sai] brought and presented in the same manner as the daughters of the Monglin and Monglet Sawbwas were presented.</t>
  </si>
  <si>
    <t xml:space="preserve">vol3_s000363</t>
  </si>
  <si>
    <t xml:space="preserve">vol3_s000363_t01_b8e959215312</t>
  </si>
  <si>
    <t xml:space="preserve">PERFORMED_ROYAL_PILGRIMAGE_TO</t>
  </si>
  <si>
    <t xml:space="preserve">Shinpin-seippauk pagoda</t>
  </si>
  <si>
    <t xml:space="preserve">ထိုနှစ် ဝါခေါင်လဆန်း တစ်ဆယ့်လေးရက်၃ နေ့ ဘဝရှင် မင်းတရားကြီးဘုရားလည်း ရွှေပြည်တော်မှ အညာမြစ်စဉ် စဉ့်ကိုင်ရွာ ရှင်ပင်ဆိပ်ပေါက်ဘုရားသို့ ဖောင်တော်, လှေတော်, သမ္ဗန်တော်, မီးသင်္ဘောတော်များနှင့် မင်းမိဖုရား မင်းညီမင်းသား မှူးတော်မတ်တော် အပေါင်း ခြံရံ၍ အဖူးအမြော် ထွက်တော်မူ၏။</t>
  </si>
  <si>
    <t xml:space="preserve">On the fourteenth day of the waxing moon of Wagaung of that year, the Lord of Life, the Great King, also departed from the royal golden capital to the Shinpin-seippauk Buddha image in Sin-kine village along the upper river, surrounded by his royal raft, royal boats, royal sampans, royal steamships, and all the royal queens, royal princes, and ministers, to pay homage.</t>
  </si>
  <si>
    <t xml:space="preserve">vol3_s000363_t02_6dba4eac2597</t>
  </si>
  <si>
    <t xml:space="preserve">DEMONSTRATED_ROYAL_STATUS_THROUGH</t>
  </si>
  <si>
    <t xml:space="preserve">court procession</t>
  </si>
  <si>
    <t xml:space="preserve">vol3_s000364</t>
  </si>
  <si>
    <t xml:space="preserve">vol3_s000364_t01_85745efc3dfb</t>
  </si>
  <si>
    <t xml:space="preserve">Aungmye-lawka and Ngathatgyi pagodas</t>
  </si>
  <si>
    <t xml:space="preserve">အောင်မြေလောကဘုရား၊ ငါးထပ်ကြီးဘုရားများသို့ အဖူးအမြော် ထွက်တော်မူ၍ အကျဉ်းသားတို့ကို လွှတ်ခြင်း စသည်များ ထိုနှစ် တော်သလင်းလ စစ်ကိုင်းမြို့ အောင်မြေလောကဘုရား, ငါးထပ်ကြီးဘုရားများသို့ အဖူးအမြော် ထွက်တော်မူ၏။</t>
  </si>
  <si>
    <t xml:space="preserve">He went out to pay homage to the Aungmye-lawka Buddha image and the Ngathatgyi Buddha images, and in the month of Tawthalin of that year, he went out to pay homage to the Aungmye-lawka Buddha image and the Ngathatgyi Buddha images in Sagaing city, including acts such as releasing prisoners.</t>
  </si>
  <si>
    <t xml:space="preserve">vol3_s000364_t02_13b96a888e5b</t>
  </si>
  <si>
    <t xml:space="preserve">EXERCISED_ROYAL_PREROGATIVE_OF</t>
  </si>
  <si>
    <t xml:space="preserve">amnesty</t>
  </si>
  <si>
    <t xml:space="preserve">vol3_s000365</t>
  </si>
  <si>
    <t xml:space="preserve">vol3_s000365_t01_517811fe1d58</t>
  </si>
  <si>
    <t xml:space="preserve">INTEGRATED_LOCAL_RELIGIOUS_PHENOMENA_INTO</t>
  </si>
  <si>
    <t xml:space="preserve">state religious framework</t>
  </si>
  <si>
    <t xml:space="preserve">ယင်းသည့်လ ငစဉ့်ကူးမြို့အဝင် ရေတော်ရွာတွင် မိမဲသူ-မိမင်းဘူးတို့ အိပ်မက်အရ စစ်ဆေးထွက်ဆိုချက်များနှင့် ဓာတ်တော်ပေါ်သည်ကို ပင့်ဆောင်၍ စွယ်တော်စင်တောင် တန်ဆောင်းနှင့် ထားပြီးလျှင် ရွှေပြည်တော်မှစ၍ နိုင်ငံတော်အတွင်းရှိ ရဟန်းရှင်လူ ပြည်သူသတ္တဝါ အပေါင်းတို့ကို ဖူးမြော်ပူဇော်စေ၏။</t>
  </si>
  <si>
    <t xml:space="preserve">In that same month, in Yetaw village, which is part of Ngazun town, based on the dreams and testimonies of Mi-mae-thu and Mi-min-bu, a relic appeared; [the King] had it transported, placed it in the pavilion on the Tooth Relic mountain, and had all the monks, laypeople, and living beings within the kingdom, starting from the royal golden capital, come to pay homage and worship.</t>
  </si>
  <si>
    <t xml:space="preserve">vol3_s000365_t02_0fc298e9fb91</t>
  </si>
  <si>
    <t xml:space="preserve">ORDERED_VENERATION_OF</t>
  </si>
  <si>
    <t xml:space="preserve">relic</t>
  </si>
  <si>
    <t xml:space="preserve">vol3_s000365_t03_e98fe86cda67</t>
  </si>
  <si>
    <t xml:space="preserve">Local relic</t>
  </si>
  <si>
    <t xml:space="preserve">LEGITIMATED_BY</t>
  </si>
  <si>
    <t xml:space="preserve">royal enshrinement</t>
  </si>
  <si>
    <t xml:space="preserve">vol3_s000546</t>
  </si>
  <si>
    <t xml:space="preserve">vol3_s000546_t01_437ba7fbaed2</t>
  </si>
  <si>
    <t xml:space="preserve">Nga Waing and Nga Thaing</t>
  </si>
  <si>
    <t xml:space="preserve">King and Prince Kanaung</t>
  </si>
  <si>
    <t xml:space="preserve">နောင်တော် ညီတော် တွေ့၍ ချီတော်မူရာ ငှက်စားရွာနေ အဝေးထမ်း ကျွန်တော်မျိုး ငဝိုင်း, ညီငသိုင်းတို့နှင့် ဆွေသားမျိုးသား လူတစ်ဆယ့်ငါး, သေနတ်တစ်ဆယ်နှင့် ထမ်းရွက်လာ၏။</t>
  </si>
  <si>
    <t xml:space="preserve">When the elder brother and younger brother met and marched, the distant-service subject Nga Waing from Nghet-sa village, along with his younger brother Nga Thaing and fifteen kinsmen, came to serve with ten muskets.</t>
  </si>
  <si>
    <t xml:space="preserve">vol3_s000546_t02_763198921a5c</t>
  </si>
  <si>
    <t xml:space="preserve">PROVIDED_MILITARY_RESOURCES</t>
  </si>
  <si>
    <t xml:space="preserve">ten muskets</t>
  </si>
  <si>
    <t xml:space="preserve">vol3_s000547</t>
  </si>
  <si>
    <t xml:space="preserve">vol3_s000547_t01_2c5dacda4be5</t>
  </si>
  <si>
    <t xml:space="preserve">Shwe-khon-taing village headmen and merchants</t>
  </si>
  <si>
    <t xml:space="preserve">ရွှေခုံတိုင်ရွာသို့ရောက်လျှင် ရှမ်းအိုးစားကြီး ငစိတ္တ, ငအေရာ, ငရွှေခါ, ငဝဏ္ဏ, ငပီတိတို့နှင့် လူတစ်ဆယ့်ငါး၊ ပွဲကြိုငရွှေရဲ့, ငစဲလုံ, ငအောဒိန္နတို့နှင့် ရှမ်းကုန်သည် ခြောက်ယောက်တို့က မြင်းတစ်, သေနတ်ခြောက်, ဓားလွယ် တစ်ဆယ်, ခဲယမ်းမီးကျောက်များနှင့် ဝင်ရောက်ဆက်သ ထမ်းရွက်လာ၏။</t>
  </si>
  <si>
    <t xml:space="preserve">Upon reaching Shwe-khon-taing village, the Shan headmen Nga Seit, Nga Ae-ra, Nga Shwe-kha, Nga Wa-nna, and Nga Pi-ti, along with fifteen men, and the market-preparers Nga Shwe-yae, Nga Sae-lon, and Nga Aw-din-na, along with six Shan merchants, came to enter and offer service with one horse, six muskets, ten shoulder-swords, and ammunition.</t>
  </si>
  <si>
    <t xml:space="preserve">vol3_s000547_t02_2cd9b5960875</t>
  </si>
  <si>
    <t xml:space="preserve">one horse, six muskets, ten shoulder-swords, and ammunition</t>
  </si>
  <si>
    <t xml:space="preserve">vol3_s000548</t>
  </si>
  <si>
    <t xml:space="preserve">vol3_s000548_t01_c04b1df3da43</t>
  </si>
  <si>
    <t xml:space="preserve">Shwe-ton village headmen and merchants</t>
  </si>
  <si>
    <t xml:space="preserve">ရွှေတုံးရွာသို့ ရောက်တော်မူပြန်လျှင် ပွဲကြိုငအူနှင့် ရှမ်းကုန်သည် အိုးစားကြီး ငရှင်ဆု, ငဇောတ, ငကာန တို့ကလည်း မြင်းတစ်, သေနတ်နှစ်, ခဲယမ်းမီးကျောက်များနှင့် ဝင်ရောက် ထမ်းရွက်လာ၏။</t>
  </si>
  <si>
    <t xml:space="preserve">Upon reaching Shwe-ton village again, the market-preparer Nga Au and the Shan merchant headmen Nga Shin-su, Nga Zaw-ta, and Nga Ka-na also came to enter and serve with one horse, two muskets, and ammunition.</t>
  </si>
  <si>
    <t xml:space="preserve">vol3_s000548_t02_132b91a72bc6</t>
  </si>
  <si>
    <t xml:space="preserve">one horse, two muskets, and ammunition</t>
  </si>
  <si>
    <t xml:space="preserve">vol3_s000549</t>
  </si>
  <si>
    <t xml:space="preserve">vol3_s000549_t01_01ae9e56bf74</t>
  </si>
  <si>
    <t xml:space="preserve">Sajin village headman and officials</t>
  </si>
  <si>
    <t xml:space="preserve">စကျင်ရွာသူကြီး ငတာနော, အကြီးစာရေး ငရှင်ကလေး, သားငရွဲတို့နှင့် လူနှစ်ဆယ့်သုံး, သေနတ်ငါး, ဓားလှံများနှင့် ဝင်ရောက် ထမ်းရွက်လာ၏။</t>
  </si>
  <si>
    <t xml:space="preserve">The Sajin village headman Nga Ta-naw, the senior clerk Nga Shin-gale, and his son Nga Ywe, along with twenty-three men, came to enter and serve with five muskets and swords and spears.</t>
  </si>
  <si>
    <t xml:space="preserve">vol3_s000549_t02_29bdd49b54cb</t>
  </si>
  <si>
    <t xml:space="preserve">twenty-three men, five muskets, swords, and spears</t>
  </si>
  <si>
    <t xml:space="preserve">vol3_s000550</t>
  </si>
  <si>
    <t xml:space="preserve">vol3_s000550_t01_f468ababd04b</t>
  </si>
  <si>
    <t xml:space="preserve">Nga Kyi</t>
  </si>
  <si>
    <t xml:space="preserve">ထုံးကြီးရေတော်သို့ ရောက်တော်မူပြန်လျှင် အဝေးထမ်း ကျွန်တော်မျိုး ငကျီ ဆွေသားမျိုးသား လူသုံးဆယ် ကျော်များနှင့် ထမ်းရွက်လာ၏။</t>
  </si>
  <si>
    <t xml:space="preserve">Upon reaching Hton-gyi water-station again, the distant-service subject Nga Kyi came to serve with over thirty kinsmen.</t>
  </si>
  <si>
    <t xml:space="preserve">vol3_s000550_t02_4047fccc71d2</t>
  </si>
  <si>
    <t xml:space="preserve">over thirty kinsmen</t>
  </si>
  <si>
    <t xml:space="preserve">vol3_s000551</t>
  </si>
  <si>
    <t xml:space="preserve">vol3_s000551_t01_6b7517c93aeb</t>
  </si>
  <si>
    <t xml:space="preserve">Nga Shwe-aye</t>
  </si>
  <si>
    <t xml:space="preserve">ငစဉ့်ကူးမြို့ စီရင်စု ရွာရှည်ရွာသူကြီး ငရွှေအေးလည်း လက်ဆောင်တော်များနှင့် သပြေပန်းစည်းကို ယူပြီးလျှင် ရန်အပေါင်းကို အောင်တော်မူမည့်ပန်း ဖြစ်ကြောင်းနှင့် ဆက်သလာ၏။</t>
  </si>
  <si>
    <t xml:space="preserve">The Singu town jurisdiction Ywa-shay village headman Nga Shwe-aye also took gifts and a bouquet of thabye flowers and offered them, stating that they were flowers for victory over all enemies.</t>
  </si>
  <si>
    <t xml:space="preserve">vol3_s000551_t02_670b82c5cfd7</t>
  </si>
  <si>
    <t xml:space="preserve">PERFORMED_RITUAL_ACT_FOR</t>
  </si>
  <si>
    <t xml:space="preserve">King's military victory</t>
  </si>
  <si>
    <t xml:space="preserve">vol3_s000552</t>
  </si>
  <si>
    <t xml:space="preserve">vol3_s000552_t01_197deb7d71cc</t>
  </si>
  <si>
    <t xml:space="preserve">ASSIGNED_MILITARY_TASK_TO</t>
  </si>
  <si>
    <t xml:space="preserve">Nga Kyi and Nga Waing</t>
  </si>
  <si>
    <t xml:space="preserve">ငစဉ့်ကူးမြို့သို့ရောက်လျှင် ညီတော်ကနောင်မင်းသားက နောင်တော်ဘုရားမှာ သားတော်သမီးတော် ကိုယ်လုပ် မောင်းမ ကျေးကျွန်တို့နှင့် အလျင် ကူးတော်မူနှင့်ပါ၊ ကျွန်တော်မှာ ငစဉ့်ကူးဘက်တွင် လှေငယ်တစ်စင်းမျှ မရှိရအောင် ငကျီ, ငဝိုင်းတို့ကို လူခြောက်ဆယ်ကျော်ပေးအပ်၍ တပ်ခံထားခဲ့ပြီးမှ ကူးပါမည် လျှောက်ထား၍ ကူးတော်မူနှင့်သည်။</t>
  </si>
  <si>
    <t xml:space="preserve">Upon reaching Singu town, the younger brother Prince Kanaung submitted, 'My elder brother, please cross over first with the princes, princesses, concubines, and servants; as for me, so that there is not even a single small boat left on the Singu side, I will assign Nga Kyi and Nga Waing with over sixty men to hold the position before I cross,' and he crossed over first.</t>
  </si>
  <si>
    <t xml:space="preserve">vol3_s000552_t02_215f6ee58f5b</t>
  </si>
  <si>
    <t xml:space="preserve">EXERCISED_ADMINISTRATIVE_CONTROL_OVER</t>
  </si>
  <si>
    <t xml:space="preserve">Singu town</t>
  </si>
  <si>
    <t xml:space="preserve">vol3_s000553</t>
  </si>
  <si>
    <t xml:space="preserve">vol3_s000553_t01_a588bd2e9b07</t>
  </si>
  <si>
    <t xml:space="preserve">ARRESTED_OFFICIAL</t>
  </si>
  <si>
    <t xml:space="preserve">Singu town governor Nga Bo</t>
  </si>
  <si>
    <t xml:space="preserve">ညီတော် ကနောင်မင်းသားလည်း များမကြာမီ ကျွန်တော်မျိုးတို့နှင့် ငစဉ့်ကူးဘက်က ရှိသည့် လှေများကို ငကျီ, ငဝိုင်းတို့ ကူးလောက်အောင် ချန်ထား၍ ငစဉ့်ကူးမြို့အုပ် ငဘိုးကို ချည်နှောင်ယူခဲ့ပြီးလျှင် အဝေးထမ်း ကျွန်တော်မျိုး ကျောက်မြောင်းမြို့ အုပ် ငရေးအိမ်မှာ စံတော်မူ၏။</t>
  </si>
  <si>
    <t xml:space="preserve">The younger brother Prince Kanaung, not long after, left enough boats on the Singu side for Nga Kyi and Nga Waing to cross, and after binding and taking the Singu town governor Nga Bo, he stayed at the house of the distant-service subject, the Kyaukmyaung town governor Nga Yay.</t>
  </si>
  <si>
    <t xml:space="preserve">vol3_s000553_t02_ca2818141149</t>
  </si>
  <si>
    <t xml:space="preserve">UTILIZED_LOCAL_INFRASTRUCTURE_OF</t>
  </si>
  <si>
    <t xml:space="preserve">Kyaukmyaung town governor Nga Yay</t>
  </si>
  <si>
    <t xml:space="preserve">vol3_s000554</t>
  </si>
  <si>
    <t xml:space="preserve">vol3_s000554_t01_ff9c7df6e162</t>
  </si>
  <si>
    <t xml:space="preserve">Amarapura city troops</t>
  </si>
  <si>
    <t xml:space="preserve">ယင်းသည့်နေ့ညဉ့် အမရပူရမြို့ က ချီတက်လာရောက်သည့် တောင်ဒဝယ်ဗိုလ်တို့တပ် ညဉ့်အခါ အနောက် ဘက်သို့ မကူးဝံ့အောင် ကျောက်မြောင်းက အောက်သို့လျှောက်၍ မြစ်ကမ်းတစ်လျှောက် မီးပုံအများ ထည့်စေပြီးလျှင် တပ်ရှိဟန် မောင်းတီး၍ နှိုးဆော်ရ၏။</t>
  </si>
  <si>
    <t xml:space="preserve">On the night of that day, to prevent the Taung-dway commander's troops that had marched from Amarapura city from daring to cross to the west side at night, he had them go down from Kyaukmyaung and set many fires along the riverbank, and had them beat drums to signal as if troops were present.</t>
  </si>
  <si>
    <t xml:space="preserve">vol3_s000554_t02_ed16b3da6934</t>
  </si>
  <si>
    <t xml:space="preserve">DEPLOYED_MILITARY_DECEPTION</t>
  </si>
  <si>
    <t xml:space="preserve">fires and drum signals</t>
  </si>
  <si>
    <t xml:space="preserve">vol3_s000555</t>
  </si>
  <si>
    <t xml:space="preserve">vol3_s000555_t01_5fa6495bcb24</t>
  </si>
  <si>
    <t xml:space="preserve">EVADED_MILITARY_BLOCKADE_OF</t>
  </si>
  <si>
    <t xml:space="preserve">ထိုအခါ အမရပူရမြို့ တပ်စုလည်း ညဉ့်အခါ တပ်နှင့်ဆီတည့် မကူးဝံ့၍ အောက်သို့ ချီသွားပြီးလျှင် ဆယ်ပင်ကျွန်းက မခေါက်မလားဘက်သို့ အလျင် ကူးရောက်လာ၏။</t>
  </si>
  <si>
    <t xml:space="preserve">At that time, the Amarapura city troop contingent also did not dare to cross directly to the troops at night, so they marched downstream and crossed over quickly from Saubin island to the Ma-khauk-ma-la side.</t>
  </si>
  <si>
    <t xml:space="preserve">vol3_s000556</t>
  </si>
  <si>
    <t xml:space="preserve">vol3_s000556_t01_e36783749b3e</t>
  </si>
  <si>
    <t xml:space="preserve">INTERPRETED_DREAM_AS_DIVINE_SIGN_FOR</t>
  </si>
  <si>
    <t xml:space="preserve">military success</t>
  </si>
  <si>
    <t xml:space="preserve">၎င်းလဆန်းကိုးရက် နေ့ ညဉ့်သုံးချက်တီးကျော်အချိန် နောင်တော်ဘုရား မျောက်မျဉ်းစက်တော်ခေါ်စဉ် အတွင်း ယခုအရေးသည် ကျွန်တော်မျိုးတို့ကို ရဲစည်းကြပ်လုပ်ကြံမှ အလျင်အောင်မြင်လွယ်မည် အကြောင်းနှင့် အိပ်မက်မြင်တော်မူသည်။</t>
  </si>
  <si>
    <t xml:space="preserve">On the ninth day of the waxing moon, at a time past three strokes of the night, while the elder brother was sleeping, he had a dream that this current affair would be easily and quickly successful only if he strictly organized and managed us, his subjects.</t>
  </si>
  <si>
    <t xml:space="preserve">vol3_s000556_t02_421af0580703</t>
  </si>
  <si>
    <t xml:space="preserve">IDENTIFIED_STRATEGY_AS</t>
  </si>
  <si>
    <t xml:space="preserve">strict organization of subjects</t>
  </si>
  <si>
    <t xml:space="preserve">vol3_s000557</t>
  </si>
  <si>
    <t xml:space="preserve">vol3_s000557_t01_dd736da238c7</t>
  </si>
  <si>
    <t xml:space="preserve">INVOKED_PRECEDENT_OF</t>
  </si>
  <si>
    <t xml:space="preserve">နံနက်သောက်လင်းအချိန် မျက်လဲသန့်စင်တော်မူလျှင် ငါသည် ကိုယ်တော်မှစ၍ ကျွန်တော် မျိုး အမှုထမ်းတို့ဝယ် ဘေးဘယကြီးစွာ ရောက်လတ္တံ့ သည်ကို သိမြင်တော်မူသဖြင့် ဘေးအန္တ ရာယ်မှ လွတ်ရာ လွတ်ကြောင်း ထွက်ခွာခဲ့သည်၊ ယခု ဆိုက်ရောက်တော်မူသည့် စခန်းတွင် စက်တော်ခေါ်ရာ ညဉ့်သန်ယိမ်းအချိန် ကျွန်တော်မျိုး အမှုထမ်းတို့ကို ရဲစည်းကြပ်လုပ်ကြံမှ အလျင် အောင်မြင်လွယ်မည့်အကြောင်းနှင့် တပ်တပ်ထင်ထင် မြင်မက်တော်မူသည့် အလိုသော် ငါ၌ မကောင်းကြံသမျှ ရန်အပေါင်းကို အောင်မြင်သဖြင့် ရည်ကြံတော်မူသမျှ အလိုတော်အတိုင်း ပြီးပြေကုံတွင်လွယ်မည့်အကြောင်းကို သမ္မာဒေဝ နတ်ကောင်းနတ်မြတ်တို့ ကူညီစောင်မပြသ သည့် အိပ်မက်မချွတ်ဖြစ်သည်ဟု အကျိုးကို ဖတ်ယူဆင်ခြင်တော်မူပြီးလျှင် ရတနာသိင်္ဃ ပထမ မြို့တည် ဘေးတော် ရင်း အလောင်းမင်းတရားကြီးဘုရားသည် ရာမညတိုင်း မွန်သုံးရပ်နှင့်တကွ အပြည်ပြည်ထောင်ကို လက်နက်နိုင်ငံ သိမ်းသွင်းတော်မူရာ မြင်းရည်တက် ရဲဘော်ကျွန်တော်မျိုး ခြောက်ကျိပ်ရှစ်ရောက် ရွေးကောက်ဖွဲ့စည်း ထမ်းရွက်စေ သကဲ့သို့ အမှုထမ်း ကျွန်တော်မျိုး နှစ်ထောင်ကျော်အနက် ရွေးကောက်၍ နာခံ ငစို၊ ငမိုး၊ ငကံ၊ ငရန်ဝေး၊ ငဆိုင်း၊ ငရွှေသား၊ ငကြာနု၊ ငတောင်း၊ ငထူး၊ ငရွှေမောင်၊ ငရွှေကြည်၊ ငလိန်၊ ငရွှေအုံ၊ ငထူး၊ ငရန်ကင်း၊ ငမြစ်၊ ငရွှေမောင်၊ ငချိပ်၊ ငရွှေမောင်၊ ငမှတ်ကြီး၊ ငထွေး၊ ငအပ်၊ ငဝိုင်း၊ ငရွှေအို၊ ငရွှေခ၊ ငချင်း၊ ငကြွက်၊ ငကွန်း၊ ငမှော်၊ ငအုံ၊ ငပြေ၊ ငရွှေဘား၊ ငရွှေချိန်၊ ငဖြူ၊ ငတာ၊ ငသာရင်း၊ ငထောင်ဗိုလ်၊ ငသိုင်းကြီး၊ ငမိုး၊ ငမှေး၊ ငရွှေသင်း၊ ငထင်၊ ငဝိုက်၊ ငထွန်းသာ၊ ငချစ်၊ ငရွှေထွေး၊ ငစံဘော်၊ ငကြာဘူး၊ ငစောင်ရှုပ်၊ ငပါစို၊ ငခဲ၊ ငသိုင်း၊ ငရွှေကံ၊ ငတာတေ၊ ငရွှေမိတ်၊ ငရွှေယုန်၊ ငရွှေရိတ်၊ ငဆေး၊ ငထေး၊ ငချို၊ ငပေါက်၊ ငပေါ်စော၊ ငချမ်းမြ၊ ငခို၊ ငရွှေတောင်၊ ငမှုံ၊ ငပိုးရောက်၊ ငရန်ရှင်း၊ ငရွှေပင်၊ ငပန်းငုံ၊ ငရွှေဘော်၊ ငရွှေသား၊ ငရာကြီး၊ ငကွန်း၊ ငအောင်တိုး၊ ငမှော်၊ ငမှတ်၊ ငရွှေသား၊ ငဘိုး၊ နတ်မီးသွေး၊ ငဘီး၊ ငမှန်း၊ ငရွှေအုံ၊ ငပိုက်ဆောင်း၊ ငကွယ်၊ ငစို၊ ငနု၊ ငရွဲ၊ ငရန်၊ ငသင်း၊ ငသိုင်း၊ ငရောက်၊ ငရွက်၊ ငရွှေကြီး၊ ငရွက်၊ ငပိုက်ဘူး၊ ငရွှေတူး၊ ငမာ၊ ငရွှေသား၊ ငရွှေမောင်၊ ငရှမ်း၊ ငကံတော်၊ ငညှင်း၊ ငရေညို၊ ငခါ၊ ငသက်၊ ငတောက်တဲ့၊ ငမြှား၊ ငခွန်ပု၊ ငဆန်း၊ ငရွှေဥ၊ ငမြို့၊ ငရွှေလှိုင်၊ ငရွှေကျေး၊ ငအောင်ပန်း၊ ငနန်း၊ ငတိုး၊ ငမှတ်ကလေး၊ ငရွှေအပ်၊ ငတာ၊ ငပုံ၊ ငကာတူးတို့နှင့် လူပေါင်း တစ်ရာ့သုံးဆယ်ကို ရွှေခွက်ကိုယ်စေ့ဆွဲ၍ ဓားကိုယ်စေ့ စွဲကိုင်စေပြီးလျှင် ထီးခေါင်းငရွှေလုံးနှင့် တစ်ခေါင်း၊ ရမည်းသင်းဗိုလ်ဟောင်း ငရွှေစိုနှင့် တစ်ခေါင်း၊ ခန့်ထား စည်းကြပ်တော်မူပြီးလျှင် မခေါက်မလား အထက် သောင်ပြင်လယ်တွင် ဝှက်ထားစောင့်နေစေ၏။</t>
  </si>
  <si>
    <t xml:space="preserve">When he cleansed his face at dawn, he realized that great danger was about to befall himself and us, his serving subjects, and thus he departed to a place of safety; at the station where he arrived, while he was sleeping in the deep of the night, he had a clear and distinct dream that it would be easily and quickly successful only if he strictly organized and managed us, his serving subjects, and that the good and noble Samma-deva nats would help, support, and show that by succeeding over all enemies who plotted evil against him, everything he intended would be easily accomplished according to his will; after reading and reflecting on the result that this was an unerring dream, the great-grandfather, the first founder of Ratanasingha, Alaungmintaya-gyi-bhu-ra, just as he had selected and organized sixty-eight brave subjects of high-quality cavalry to serve when he brought the three Mon regions of Ramanya and all the countries under his sovereign rule, selected from among over two thousand serving subjects and appointed and organized one hundred and thirty men, including Nakan Nga So, Nga Mo, Nga Kan, Nga Yan-way, Nga Saing, Nga Shwe-tha, Nga Kyanu, Nga Taung, Nga Htu, Nga Shwe-maung, Nga Shwe-gyi, Nga Lein, Nga Shwe-on, Nga Htu, Nga Yan-kin, Nga Myit, Nga Shwe-maung, Nga Cheik, Nga Shwe-maung, Nga Hmat-gyi, Nga Htwe, Nga At, Nga Waing, Nga Shwe-o, Nga Shwe-kha, Nga Chin, Nga Kywet, Nga Kun, Nga Hmaw, Nga On, Nga Pye, Nga Shwe-ba, Nga Shwe-chein, Nga Phyu, Nga Ta, Nga Tha-yin, Nga Htaung-bo, Nga Thaing-gyi, Nga Mo, Nga Hme, Nga Shwe-thin, Nga Htin, Nga Waik, Nga Htun-tha, Nga Chit, Nga Shwe-htwe, Nga San-baw, Nga Kyan-bu, Nga Saung-shup, Nga Pa-so, Nga Khe, Nga Thaing, Nga Shwe-kan, Nga Ta-te, Nga Shwe-meik, Nga Shwe-yon, Nga Shwe-yeit, Nga Hsay, Nga Hte, Nga Cho, Nga Pauk, Nga Paw-saw, Nga Chan-mya, Nga Kho, Nga Shwe-taung, Nga Hmon, Nga Po-yauk, Nga Yan-shin, Nga Shwe-pin, Nga Pan-gon, Nga Shwe-baw, Nga Shwe-tha, Nga Ya-gyi, Nga Kun, Nga Aung-to, Nga Hmaw, Nga Hmat, Nga Shwe-tha, Nga Bo, Nat-mi-thway, Nga Bhi, Nga Hman, Nga Shwe-on, Nga Paik-saung, Nga Kway, Nga So, Nga Nu, Nga Ywe, Nga Yan, Nga Thin, Nga Thaing, Nga Yauk, Nga Ywet, Nga Shwe-gyi, Nga Ywet, Nga Paik-bu, Nga Shwe-tu, Nga Ma, Nga Shwe-tha, Nga Shwe-maung, Nga Shan, Nga Kan-daw, Nga Nhyin, Nga Yay-nyo, Nga Kha, Nga Thet, Nga Tauk-te, Nga Mywa, Nga Khun-pu, Nga San, Nga Shwe-u, Nga Myo, Nga Shwe-hlaing, Nga Shwe-kye, Nga Aung-pan, Nga Nan, Nga To, Nga Hmat-gale, Nga Shwe-at, Nga Ta, Nga Pon, and Nga Ka-tu, and had them each carry a gold cup and each hold a sword, and placed them under the command of the headman Nga Shwe-lon and the former Ramanya commander Nga Shwe-so, and had them hidden and waiting in the middle of the sandbank above Ma-khauk-ma-la.</t>
  </si>
  <si>
    <t xml:space="preserve">vol3_s000557_t02_c4a0b23fba27</t>
  </si>
  <si>
    <t xml:space="preserve">SELECTED_MILITARY_FORCE</t>
  </si>
  <si>
    <t xml:space="preserve">130 men</t>
  </si>
  <si>
    <t xml:space="preserve">vol3_s000557_t03_0c8f10cef27a</t>
  </si>
  <si>
    <t xml:space="preserve">EQUIPPED_MILITARY_FORCE</t>
  </si>
  <si>
    <t xml:space="preserve">swords and gold cups</t>
  </si>
  <si>
    <t xml:space="preserve">vol3_s000557_t04_7564438d268a</t>
  </si>
  <si>
    <t xml:space="preserve">APPOINTED_COMMANDERS</t>
  </si>
  <si>
    <t xml:space="preserve">Nga Shwe Lone and Nga Shwe So</t>
  </si>
  <si>
    <t xml:space="preserve">vol3_s000557_t05_d5234ae6aae3</t>
  </si>
  <si>
    <t xml:space="preserve">DEPLOYED_FOR_AMBUSH</t>
  </si>
  <si>
    <t xml:space="preserve">vol3_s000826</t>
  </si>
  <si>
    <t xml:space="preserve">vol3_s000826_t01_e7510e206c92</t>
  </si>
  <si>
    <t xml:space="preserve">ORDERED_PRODUCTION_OF</t>
  </si>
  <si>
    <t xml:space="preserve">Iron seal stamp</t>
  </si>
  <si>
    <t xml:space="preserve">ဘဝရှင် မင်းတရားကြီးဘုရား သံတံဆိပ်နာမံတော်ကိုလည်း တံဆိပ်ဝန် မင်းလှရာဇကျော်ထင် ရေးပေးသည့်အတိုင်း သံတံဆိပ် တုံးတော်ကို အက္ခရာဝလိ မှန်ကန်သေချာစွာ အတွင်းပန်းပဲခေါင်းကို ထုလုပ်စေရ၏။</t>
  </si>
  <si>
    <t xml:space="preserve">As for the iron seal name of the Lord of Life, the Great King, [the King] had the Seal Minister Min Hla Raza Kyaw Htin have the iron seal stamp made by the head of the inner blacksmiths, with the letters correctly and accurately inscribed as [the Minister] had written it.</t>
  </si>
  <si>
    <t xml:space="preserve">vol3_s000826_t02_90a1632afaa4</t>
  </si>
  <si>
    <t xml:space="preserve">Head of inner blacksmiths</t>
  </si>
  <si>
    <t xml:space="preserve">CRAFTED_FOR_KING</t>
  </si>
  <si>
    <t xml:space="preserve">vol3_s000829</t>
  </si>
  <si>
    <t xml:space="preserve">vol3_s000829_t01_096c74a28115</t>
  </si>
  <si>
    <t xml:space="preserve">Möng Nai regiment commanders</t>
  </si>
  <si>
    <t xml:space="preserve">REPORTED_INCURSIONS_TO</t>
  </si>
  <si>
    <t xml:space="preserve">နိုင်ငံတော် ရှေ့မျက်နှာ ကျိုင်းရုံးကြီး ကျိုင်းတုံမြို့ များမှာလည်း အစွန်အနား ကျေးရွာများသို့ ဘန်ကောက်စား ညီနှင့် ဇင်းမယ်, လဖုံး, လကွန်း, ဗြဲ, အနန်း, မိုင်းလားစားတို့ ထိပါးနှောင့်ယှက်လာကြောင်းနှင့် မိုးနဲတပ် စစ်ကဲကြီးတို့က လျှောက်ထားကြားသိတော်မူ၍ ချွန်းတောင်မြို့စားမင်းသား သီရိမဟာဓမ္မရာဇာကို မိုးနဲဗိုလ်မှူးခန့်၍ မြို့ကျေးရွာအမှုထမ်းလူ, မြင်းတပ်ဗိုလ် စစ်ကဲတို့ နှင့် မြင်းစီးအမှုထမ်းပါ လူသုံးထောင်ကျော်၊ ဆေး ခဲယမ်းမီးကျောက် စစ်ကိရိယာ အစုံခန့်ထားပေးအပ်၍ ထိုသက္ကရာဇ် နယုန်လဆန်း တစ်ဆယ့်တစ်ရက်၃ စနေနေ့ အခါတော်နှင့်ထွက်၍ အမရပူရမြို့ အရှေ့ တောင် နရကန်ရွာရှေ့ ဥယျာဉ်ကို ရန်လုံးအောင်တပ် သမုတ်ပြီးလျှင် အောင်တပ်တော်ချရ၏။</t>
  </si>
  <si>
    <t xml:space="preserve">Regarding the state's front-facing Kengtung city areas, because the great military commanders of the Möng Nai regiment reported and made it known that the younger brother of the Bangkok Prince and the rulers of Chiang Mai, Lapong, Lampang, Phrae, Nan, and Möng La were encroaching and harassing the outlying villages, [the King] appointed the Chuntaung Prince, Thiri Maha Dhamma Raja, as the Möng Nai commander-in-chief, and assigned him over three thousand men including city and village service personnel, cavalry commanders, military commanders, and mounted service personnel, along with a full set of medicine, ammunition, and military equipment, and [the King] had him depart on the auspicious time of Saturday, the eleventh day of the waxing moon of Nayon of that year, and after naming the garden in front of Narakyan village, southeast of Amarapura city, the 'Ran Lon Aung' (Victory Over All Enemies) camp, he had him establish the victorious camp.</t>
  </si>
  <si>
    <t xml:space="preserve">vol3_s000829_t02_cef244e9206d</t>
  </si>
  <si>
    <t xml:space="preserve">Chuntaung Prince Thiri Maha Dhamma Raja</t>
  </si>
  <si>
    <t xml:space="preserve">vol3_s000829_t03_608f404435c9</t>
  </si>
  <si>
    <t xml:space="preserve">vol3_s000829_t04_9d5cb6de30e0</t>
  </si>
  <si>
    <t xml:space="preserve">ESTABLISHED_STRATEGIC_CAMP</t>
  </si>
  <si>
    <t xml:space="preserve">Ran Lon Aung camp</t>
  </si>
  <si>
    <t xml:space="preserve">vol3_s000830</t>
  </si>
  <si>
    <t xml:space="preserve">vol3_s000830_t01_3668eef00567</t>
  </si>
  <si>
    <t xml:space="preserve">PERFORMED_RITUAL_CEREMONY</t>
  </si>
  <si>
    <t xml:space="preserve">Thingyan calling</t>
  </si>
  <si>
    <t xml:space="preserve">အရှင်နှစ်ပါး သင်္ကြန်ခေါ်ခြင်း၊ ဥကင်တော်ဖွင့်ခြင်း စသည်နှင့် ဆရာတော်အများကို တံဆိပ်လှူခြင်း ထိုနှစ် ဥကင်တော်ဖွင့် သင်္ကြန်တော်ခေါ် အခမ်းအနားမှာ အခါတော်မရောက်မီ အရှေ့သင်္ကြန်တော်မှာ ရွှေနန်းတော် အနောက်မြောက်ထောင့် ဥယျာဉ်တော်အတွင်း, အနောက်သင်္ကြန်တော်မှာ မြေနန်းတော် အရှေ့တောင်နန်း မြို့ရိုး အနီးတွင် သင်္ကြန်တန်ဆောင်း, ဝတ်လဲတန်ဆောင်း, ပရိတ်နာတန်ဆောင်း ဆောက်လုပ်ပြီးလျှင် သင်္ကြန်တော်မခေါ်မီ တစ်ရက်က အရှေ့သင်္ကြန် ပရိတ်နာတန်ဆောင်းတွင် မကိုဋ်တော်, တုယင်တော်, ဝတ်လဲတော်, မိဖုရားခေါင်ကြီး ဥဂ္ဂတ်တော် အဆင်တန်ဆာတော်များကို သင်္ဃာတော်ရှစ်ပါး ပင့်၍ ပရိတ်တော်ရေခံပြီးလျှင် ဥကင်တော်ဖွင့် သင်္ကြန်တော်ခေါ် စာတမ်း စာရင်းထွက်အတိုင်း ယင်းသည့်သက္ကရာဇ် နယုန်လပြည့်ကျော်တစ်ရက် သောကြာနေ့ အခါတော်နှင့် သင်္ကြန်ခေါ်တော်မူ၏။</t>
  </si>
  <si>
    <t xml:space="preserve">Regarding the two Lords' Thingyan calling ceremony, the opening of the royal pavilion, and the bestowing of titles upon many senior monks, for the opening of the royal pavilion and the Thingyan calling ceremony of that year, before the auspicious time arrived, [the King] had a Thingyan pavilion, a changing pavilion, and a paritta pavilion built in the garden inside the northwest corner of the Golden Palace for the Eastern Thingyan, and near the southeast palace wall of the Earthen Palace for the Western Thingyan, and one day before the Thingyan calling, [the King] invited eight monks to the Eastern Thingyan paritta pavilion to receive paritta water over the crown, the royal headgear, the royal garments, and the Chief Queen's ornaments, and then, according to the document and list issued for the opening of the royal pavilion and the Thingyan calling, [the King] performed the Thingyan calling at the auspicious time on Friday, the first day of the waning moon of Nayon of that year.</t>
  </si>
  <si>
    <t xml:space="preserve">vol3_s000830_t02_cfccef1dff9f</t>
  </si>
  <si>
    <t xml:space="preserve">INVITED_TO_RITUAL</t>
  </si>
  <si>
    <t xml:space="preserve">Eight monks</t>
  </si>
  <si>
    <t xml:space="preserve">vol3_s000830_t03_c90c50bda90f</t>
  </si>
  <si>
    <t xml:space="preserve">CONSECRATED_REGALIA_WITH</t>
  </si>
  <si>
    <t xml:space="preserve">Paritta water</t>
  </si>
  <si>
    <t xml:space="preserve">vol3_s000831</t>
  </si>
  <si>
    <t xml:space="preserve">vol3_s000831_t01_10620769bbbf</t>
  </si>
  <si>
    <t xml:space="preserve">BESTOWED_GARMENTS_AND_ORNAMENTS_UPON</t>
  </si>
  <si>
    <t xml:space="preserve">Crown Prince and ministers</t>
  </si>
  <si>
    <t xml:space="preserve">အိမ်ရှေ့မင်း မင်းညီမင်းသား မှူးတော်မတ်တော်တို့လည်း စာရင်းရန်ထား ပါသည့်အတိုင်း သနားတော်မြတ်ခံရသည့် အဝတ်အဆင်ကို ဆင်ယင်၍ အရှေ့သင်္ကြန်တော်တွင် လိုက်ကြရ၏။</t>
  </si>
  <si>
    <t xml:space="preserve">The Crown Prince, the princes, and the ministers also wore the garments and ornaments bestowed upon them by royal grace and followed [the King] to the Eastern Thingyan.</t>
  </si>
  <si>
    <t xml:space="preserve">vol3_s000831_t02_37403954d3cd</t>
  </si>
  <si>
    <t xml:space="preserve">PARTICIPATED_IN_RITUAL_HIERARCHY_WITH</t>
  </si>
  <si>
    <t xml:space="preserve">vol3_s000832</t>
  </si>
  <si>
    <t xml:space="preserve">vol3_s000832_t01_a9d458c4a8e3</t>
  </si>
  <si>
    <t xml:space="preserve">Royal queens and officials</t>
  </si>
  <si>
    <t xml:space="preserve">အနောက်သင်္ကြန်တော်သို့ စာရင်း ရန်ထားရာပါသည့် မင်းမိဖုရား ကတော်မယား ဝန်ကြီး အတွင်းဝန် အရာရှိ တို့လည်း သနားတော်မြတ်ခံရသည့် အဝတ်အဆင်ကို ဆင်ယင်၍ လိုက်ကြရ၏။</t>
  </si>
  <si>
    <t xml:space="preserve">The royal queens, consorts, wives, ministers, interior ministers, and officials who were included in the list also wore the garments and ornaments bestowed upon them by royal grace and followed [the King] to the Western Thingyan.</t>
  </si>
  <si>
    <t xml:space="preserve">vol3_s000833</t>
  </si>
  <si>
    <t xml:space="preserve">vol3_s000833_t01_535861faa6d7</t>
  </si>
  <si>
    <t xml:space="preserve">Animals and male thieves</t>
  </si>
  <si>
    <t xml:space="preserve">ဘေးမဲ့ပေးတော်မူသည့် တိရစ္ဆာန်, ခိုးသားယောက်ျားများကို အနောက်တံခါးတော်က မြို့ စာရေးတို့ ကြည့်ကြပ်ဆောင်ယူစေ၍ ဘေးမဲ့ပေးတော်မူ၏။</t>
  </si>
  <si>
    <t xml:space="preserve">The city clerks were made to supervise and bring the animals and male thieves who were granted amnesty through the western royal gate, and [the King] granted them amnesty.</t>
  </si>
  <si>
    <t xml:space="preserve">vol3_s000834</t>
  </si>
  <si>
    <t xml:space="preserve">vol3_s000834_t01_1e849db2f434</t>
  </si>
  <si>
    <t xml:space="preserve">Inle village silver tax collector</t>
  </si>
  <si>
    <t xml:space="preserve">ထိုနေ့ အင်းလေးရွာ ငွေခွန်မှူးက ထူးမြတ်သောမြင်းတစ် ဆက်သည်ကို ကြိုယူဆက်သွင်းစေ၍ နတ်သယာဉ်ပျံ’ အမည်ပေးတော်မူ၏။</t>
  </si>
  <si>
    <t xml:space="preserve">On that day, the Inle village silver tax collector brought and presented an excellent horse, and [the King] gave it the name 'Nat Thayar Yan Pyan' (Celestial Vehicle Flying).</t>
  </si>
  <si>
    <t xml:space="preserve">vol3_s000834_t02_d76102dc7136</t>
  </si>
  <si>
    <t xml:space="preserve">BESTOWED_ROYAL_NAME_ON</t>
  </si>
  <si>
    <t xml:space="preserve">Horse</t>
  </si>
  <si>
    <t xml:space="preserve">vol3_s000835</t>
  </si>
  <si>
    <t xml:space="preserve">vol3_s000835_t01_c9c8b6417e94</t>
  </si>
  <si>
    <t xml:space="preserve">Sovereign King and Chief Queen</t>
  </si>
  <si>
    <t xml:space="preserve">APPEARED_ON</t>
  </si>
  <si>
    <t xml:space="preserve">Sihasana Royal Throne</t>
  </si>
  <si>
    <t xml:space="preserve">မဟာဥကင်္သဖွင့်တော်မူမည့်နေ့ ထွက်တော်မမူမီ အိမ်ရှေ့မင်းမှစ၍ မင်းညီမင်းသား မှူးကြီး မတ်ကြီးတို့ သနားတော်မြတ် ခံရသည့် အဝတ်အဆင် အဆောင်အရွက်များကို ဝတ်ဆင်ခင်းကျင်း ကန်တော့ပွဲ တက်ဝင်ကြရာ အရောက်စုံညီလျှင် ထိုသက္ကရာဇ် နယုန်လပြည့်ကျော် ခြောက်ရက်နေ့ နံနက် တစ်ချက်တီးကျော် သုံးပါဒ်အချိန် အခါတော်နှင့် ဆဒ္ဒန်ဆင်မင်းသခင် ဘဝရှင် မင်းတရားကြီးဘုရား မကိုဋ်တော်, တုယင်တော်, ခြေနင်း, သားမြီးယပ်၊ နန်းမတော်မိဖုရားကြီးမှာလည်း ဥဂ္ဂတ်တော်, မဟလ္လတာ တန်ဆာတော်များကို ဆင်ယင်တော် မူ၍ သီဟာသန ရာဇပလ္လင်တော်သို့ ထွက်တော်မူရာ ရတနာသုံးပါး, မင်းရုပ်တုတော် ပူဇော်တော်ပွဲများကို ဆက်သမြဲ ဆက်သရ၏။</t>
  </si>
  <si>
    <t xml:space="preserve">On the day of the Great Royal Pavilion opening, before [the King] emerged, the Crown Prince, the princes, and the high ministers wore the garments, ornaments, and regalia bestowed upon them by royal grace and entered to pay homage, and when all had arrived, at the auspicious time of three parts past the first hour of the morning on the sixth day of the waning moon of Nayon of that year, the Lord of Life, the Great King, master of the Saddan elephant, wearing the crown, royal headgear, sandals, and yak-tail fan, and the Chief Queen, also wearing the ornaments and Mahallata jewelry, emerged to the Sihasana Royal Throne, and [the King] had the offerings for the Three Gems and the royal statues presented as was customary.</t>
  </si>
  <si>
    <t xml:space="preserve">vol3_s000835_t02_4ff55e8fbe1d</t>
  </si>
  <si>
    <t xml:space="preserve">RECEIVED_OFFERINGS_FOR</t>
  </si>
  <si>
    <t xml:space="preserve">Three Gems and royal statues</t>
  </si>
  <si>
    <t xml:space="preserve">vol3_s000848</t>
  </si>
  <si>
    <t xml:space="preserve">vol3_s000848_t01_abe0e0e50217</t>
  </si>
  <si>
    <t xml:space="preserve">Minister for Queen Mother as Mingyi Maha Min Kyaw Min Htin</t>
  </si>
  <si>
    <t xml:space="preserve">မယ်တော်ဘုရားဝန်ကို မင်းကြီးမဟာမင်းကျော်မင်းထင်၊ နန်းမတော်ဝန်ကို မင်းကြီးမဟာမင်းခေါင်ရာဇာ၊ မြင်းစုကြီးဝန်ကို မဟာမင်းထင်၊ မြို့ ဝန် လမိုင်းဝန်ကို မင်းကြီးမဟာမင်းလှသီရိ၊ ကျီဝန်ကို မဟာသီရိစည်သူ၊ အသည်ဝန်ကို မံဟာသီဟသူရ၊ ရွှေနန်းရိုး လမိုင်းဝန်ကို မဟာမင်းထင်ရာဇာ၊ ကင်းဝန်ကို မဟာမင်းလှမင်းခေါင်’ဘွဲ့အမည် ပေးတော်မူ၏။</t>
  </si>
  <si>
    <t xml:space="preserve">He bestowed the titles of: Minister for the Queen Mother to Mingyi Maha Min Kyaw Min Htin, Minister for the Chief Queen to Mingyi Maha Min Khaung Raza, Minister for the Great Cavalry Corps to Maha Min Htin, Minister for the City and Minister for Lamain to Mingyi Maha Min Hla Thiri, Minister for the Granary to Maha Thiri Zeya Thu, Minister for the Asay to Maha Thiha Thura, Minister for the Shwenanyo Lamain to Maha Min Htin Raza, and Minister for the Kin to Maha Min Hla Min Khaung.</t>
  </si>
  <si>
    <t xml:space="preserve">vol3_s000848_t02_c0ca2d67877b</t>
  </si>
  <si>
    <t xml:space="preserve">Minister for Chief Queen as Mingyi Maha Min Khaung Raza</t>
  </si>
  <si>
    <t xml:space="preserve">vol3_s000848_t03_950162ee2ca8</t>
  </si>
  <si>
    <t xml:space="preserve">Minister for Great Cavalry Corps as Maha Min Htin</t>
  </si>
  <si>
    <t xml:space="preserve">vol3_s000848_t04_e104f928bdba</t>
  </si>
  <si>
    <t xml:space="preserve">Minister for City and Lamain as Mingyi Maha Min Hla Thiri</t>
  </si>
  <si>
    <t xml:space="preserve">vol3_s000848_t05_ff42e8ab429b</t>
  </si>
  <si>
    <t xml:space="preserve">Minister for Granary as Maha Thiri Zeya Thu</t>
  </si>
  <si>
    <t xml:space="preserve">The granary minister receives a title, but its last component is Sithu, not Zeya Thu.</t>
  </si>
  <si>
    <t xml:space="preserve">King bestowed Maha Thiri Sithu on the granary minister.</t>
  </si>
  <si>
    <t xml:space="preserve">vol3_s000848_t06_58e0a455b121</t>
  </si>
  <si>
    <t xml:space="preserve">Minister for Asay as Maha Thiha Thura</t>
  </si>
  <si>
    <t xml:space="preserve">vol3_s000848_t07_3f7de1caf9da</t>
  </si>
  <si>
    <t xml:space="preserve">Minister for Shwenanyo Lamain as Maha Min Htin Raza</t>
  </si>
  <si>
    <t xml:space="preserve">vol3_s000848_t08_964fba92f669</t>
  </si>
  <si>
    <t xml:space="preserve">Minister for Kin as Maha Min Hla Min Khaung</t>
  </si>
  <si>
    <t xml:space="preserve">vol3_s000849</t>
  </si>
  <si>
    <t xml:space="preserve">vol3_s000849_t01_64ec60b1f8dc</t>
  </si>
  <si>
    <t xml:space="preserve">BESTOWED_TITLES_AND_RANKS_UPON</t>
  </si>
  <si>
    <t xml:space="preserve">Court officials and service groups</t>
  </si>
  <si>
    <t xml:space="preserve">ကျန်အရာရှိ မှူးတော် မတ်တော်, ဗိုလ်, သေနတ်စာရေး, စုရေးစုကိုင်တို့ကိုလည်း အထိုက်အလိုက် ဘွဲ့ အမည်အရည် ပေးတော်မူ၏။</t>
  </si>
  <si>
    <t xml:space="preserve">He also bestowed titles and ranks accordingly upon the remaining officials, ministers, commanders, firearm clerks, and the various groups of clerks and handlers.</t>
  </si>
  <si>
    <t xml:space="preserve">vol3_s000850</t>
  </si>
  <si>
    <t xml:space="preserve">vol3_s000850_t01_403d227681f5</t>
  </si>
  <si>
    <t xml:space="preserve">BESTOWED_AUSPICIOUS_NAME_UPON</t>
  </si>
  <si>
    <t xml:space="preserve">Karen white elephant as U-paw-ma-tin</t>
  </si>
  <si>
    <t xml:space="preserve">ကရင်ဆင်ဖြူတော်ကို ဥပေါ်မာတင်, ကျောက်မော်ဆင်တော်ကို မာတင်ပြောင်မွန်, တောင်ထိပ်ပန်း ဆင်တော် ကို လေးကျွန်းရန်အောင်, တောင်ဝင်ဆင်တော်ကို ဇမ္ဗူတန်ဆောင်, ဆင်ဖြူငယ်စကားမကို ဘဒ္ဒါဝတီ, ဘိုးခေါင် ဆင်တော်ကို ဇမ္ဗူတံဆိပ် ရှမ်းကလေးဆင်တော်ကို ဇမ္ဗူကျက်သရေ နတ်မောက်ဆင်တော်ကို ဘုန်းရောင်ရွှန်းပွင့်, ပွေးတုတ်မဆင်မတော်ကို ဘိုးခေါင်ရင့်မာ, သပြေရိပ်ဆင်တော်ကို ဘုန်းရောင်ရွှန်း, မြိုင်သာဆင်တော်ကို ဘုန်း တောက်ပ, မောင်ကလေး ဆင်တော်ကို ဘုန်းရောင်ဝင်း-ဘွဲ့ တပ်တော်မူ၏။</t>
  </si>
  <si>
    <t xml:space="preserve">He bestowed the titles of: U-paw-ma-tin for the Karen white elephant, Ma-tin-pyaung-mun for the Kyauk-maw elephant, Lay-kyun-yan-aung for the Taung-hteik-pan elephant, Zambu-tan-saung for the Taung-win elephant, Badda-wati for the young white elephant Sagara-ma, Zambu-taseik for the Bo-khaung elephant, Zambu-kyet-thaye for the small Shan elephant, Bhon-yaung-shun-pwin for the Nat-mauk elephant, Bo-khaung-yin-ma for the Pway-tut-ma elephant, Bhon-yaung-shun for the Thapyay-yeik elephant, Bhon-taw-pa for the Myaing-tha elephant, and Bhon-yaung-win for the Maung-kalay elephant.</t>
  </si>
  <si>
    <t xml:space="preserve">vol3_s000850_t02_400069a2a558</t>
  </si>
  <si>
    <t xml:space="preserve">Kyauk-maw elephant as Ma-tin-pyaung-mun</t>
  </si>
  <si>
    <t xml:space="preserve">vol3_s000850_t03_1113ec5ebc31</t>
  </si>
  <si>
    <t xml:space="preserve">Taung-hteik-pan elephant as Lay-kyun-yan-aung</t>
  </si>
  <si>
    <t xml:space="preserve">vol3_s000850_t04_38c77169853a</t>
  </si>
  <si>
    <t xml:space="preserve">Taung-win elephant as Zambu-tan-saung</t>
  </si>
  <si>
    <t xml:space="preserve">vol3_s000850_t05_f9b4ab9a2822</t>
  </si>
  <si>
    <t xml:space="preserve">Young white elephant Sagara-ma as Badda-wati</t>
  </si>
  <si>
    <t xml:space="preserve">vol3_s000850_t06_72c3f81f108c</t>
  </si>
  <si>
    <t xml:space="preserve">Bo-khaung elephant as Zambu-taseik</t>
  </si>
  <si>
    <t xml:space="preserve">vol3_s000850_t07_ccc3e905fac4</t>
  </si>
  <si>
    <t xml:space="preserve">Small Shan elephant as Zambu-kyet-thaye</t>
  </si>
  <si>
    <t xml:space="preserve">vol3_s000850_t08_dd104f3bed7d</t>
  </si>
  <si>
    <t xml:space="preserve">Nat-mauk elephant as Bhon-yaung-shun-pwin</t>
  </si>
  <si>
    <t xml:space="preserve">vol3_s000850_t09_fc0f70aaf56a</t>
  </si>
  <si>
    <t xml:space="preserve">Pway-tut-ma elephant as Bo-khaung-yin-ma</t>
  </si>
  <si>
    <t xml:space="preserve">vol3_s000850_t10_c386c9e16880</t>
  </si>
  <si>
    <t xml:space="preserve">Thapyay-yeik elephant as Bhon-yaung-shun</t>
  </si>
  <si>
    <t xml:space="preserve">vol3_s000850_t11_5afdbd1a0e54</t>
  </si>
  <si>
    <t xml:space="preserve">Myaing-tha elephant as Bhon-taw-pa</t>
  </si>
  <si>
    <t xml:space="preserve">vol3_s000850_t12_6f461c552e51</t>
  </si>
  <si>
    <t xml:space="preserve">Maung-kalay elephant as Bhon-yaung-win</t>
  </si>
  <si>
    <t xml:space="preserve">vol3_s000851</t>
  </si>
  <si>
    <t xml:space="preserve">vol3_s000851_t01_1790741e557c</t>
  </si>
  <si>
    <t xml:space="preserve">Red riding horse as Nat-tha-yin-pyan</t>
  </si>
  <si>
    <t xml:space="preserve">စီးတော်မြင်းနီကို နတ်သယာဉ်ပျံ၊ ဘောင်းဝတ်ကို နတ်သယာဉ်ကျော်၊ သင်းခွေကို ယာဉ်ကျော်စံထား၊ မြင်းနီကို ဇာနည်ရွှေရောင်၊ မြင်းနီကို မနောမယ၊ မြင်းနီကို ဇာနည်သိန္ဓဝ၊ ဖောင်းဝတ်ကွက်ကို ဇာနည်ယာဉ် ကျော်၊ စိုင်လျော်ကို ယာဉ်ကျော်သိန္ဓဝ၊ သင်းခွေကို နတ်သမဉ္ဇူ၊ ဖောင်းဝတ်စိမ်းကို ပုလဲပွင့်ရည်၊ မြင်းနီကို ဇောတိရသ၊ ဖောင်းဝတ်ကို ရွှေစက်ကွန့်မြူး၊ တစ်စီး ဖောင်းဝတ်ကို တိမ်တိုက်ကွန့်ရောင်’ဘွဲ့ တပ်တော်မူ၏။</t>
  </si>
  <si>
    <t xml:space="preserve">He bestowed the titles of: Nat-tha-yin-pyan for the red riding horse, Nat-tha-yin-kyaw for the Phaung-wat, Yin-kyaw-san-htar for the Thin-kwe, Zani-shwe-yaung for the red horse, Manaw-maya for the red horse, Zani-thindawa for the red horse, Zani-yin-kyaw for the Phaung-wat-kwet, Yin-kyaw-thindawa for the Saing-lyaw, Nat-tha-min-zu for the Thin-kwe, Pa-le-pwin-yi for the green Phaung-wat, Zoti-ratha for the red horse, Shwe-set-kun-myu for the Phaung-wat, and Tein-taik-kun-yaung for one Phaung-wat.</t>
  </si>
  <si>
    <t xml:space="preserve">vol3_s000851_t02_27de2440af09</t>
  </si>
  <si>
    <t xml:space="preserve">Phaung-wat horse as Nat-tha-yin-kyaw</t>
  </si>
  <si>
    <t xml:space="preserve">vol3_s000851_t03_5fba21d4df15</t>
  </si>
  <si>
    <t xml:space="preserve">Thin-kwe horse as Yin-kyaw-san-htar</t>
  </si>
  <si>
    <t xml:space="preserve">vol3_s000851_t04_353838cd0699</t>
  </si>
  <si>
    <t xml:space="preserve">Red horse as Zani-shwe-yaung</t>
  </si>
  <si>
    <t xml:space="preserve">vol3_s000851_t05_42864df2768c</t>
  </si>
  <si>
    <t xml:space="preserve">Red horse as Manaw-maya</t>
  </si>
  <si>
    <t xml:space="preserve">vol3_s000851_t06_f34c62f10848</t>
  </si>
  <si>
    <t xml:space="preserve">Red horse as Zani-thindawa</t>
  </si>
  <si>
    <t xml:space="preserve">vol3_s000851_t07_bb194012627c</t>
  </si>
  <si>
    <t xml:space="preserve">Phaung-wat-kwet horse as Zani-yin-kyaw</t>
  </si>
  <si>
    <t xml:space="preserve">vol3_s000851_t08_0b42695b911a</t>
  </si>
  <si>
    <t xml:space="preserve">Saing-lyaw horse as Yin-kyaw-thindawa</t>
  </si>
  <si>
    <t xml:space="preserve">vol3_s000851_t09_c693201b5a1a</t>
  </si>
  <si>
    <t xml:space="preserve">Thin-kwe horse as Nat-tha-min-zu</t>
  </si>
  <si>
    <t xml:space="preserve">vol3_s000851_t10_4f3097b693bc</t>
  </si>
  <si>
    <t xml:space="preserve">Green Phaung-wat horse as Pa-le-pwin-yi</t>
  </si>
  <si>
    <t xml:space="preserve">vol3_s000851_t11_c9fbed23f608</t>
  </si>
  <si>
    <t xml:space="preserve">Red horse as Zoti-ratha</t>
  </si>
  <si>
    <t xml:space="preserve">vol3_s000851_t12_a534ae7065ba</t>
  </si>
  <si>
    <t xml:space="preserve">Phaung-wat horse as Shwe-set-kun-myu</t>
  </si>
  <si>
    <t xml:space="preserve">vol3_s000851_t13_de5498e02505</t>
  </si>
  <si>
    <t xml:space="preserve">Phaung-wat horse as Tein-taik-kun-yaung</t>
  </si>
  <si>
    <t xml:space="preserve">vol3_s000852</t>
  </si>
  <si>
    <t xml:space="preserve">vol3_s000852_t01_39110817d404</t>
  </si>
  <si>
    <t xml:space="preserve">GRANTED_ACCESS_TO_INNER_PALACE_TO</t>
  </si>
  <si>
    <t xml:space="preserve">Sinhalese prince Maha Thiri Saddhatissa</t>
  </si>
  <si>
    <t xml:space="preserve">ထိုနှစ် နယုန်လာ သီဟိုဠ်က ရောက်သည့် သီဟိုဠ်မင်းသား မဟာသီရိ သဒ္ဓါတိဿကို အတွင်းတော်သို့ ဝင်ထွက်ခစားရ၏။</t>
  </si>
  <si>
    <t xml:space="preserve">In the month of Nayon of that year, the Sinhalese prince Maha Thiri Saddhatissa, who arrived from Ceylon, was permitted to enter and exit the inner palace to serve.</t>
  </si>
  <si>
    <t xml:space="preserve">vol3_s000853</t>
  </si>
  <si>
    <t xml:space="preserve">vol3_s000853_t01_be623dd40660</t>
  </si>
  <si>
    <t xml:space="preserve">GRANTED_MAINTENANCE_AND_SALARY_TO</t>
  </si>
  <si>
    <t xml:space="preserve">Sinhalese prince Maha Thiri Saddhatissa and his retinue</t>
  </si>
  <si>
    <t xml:space="preserve">နောက်ပါ ကျေးကျွန်နှင့်တကွ အဝတ်အစား ငွေတော်လစာ သနားတော်မူ၏။</t>
  </si>
  <si>
    <t xml:space="preserve">He was granted clothing and a royal salary, along with his retinue of servants.</t>
  </si>
  <si>
    <t xml:space="preserve">vol3_s000854</t>
  </si>
  <si>
    <t xml:space="preserve">vol3_s000854_t01_2fd58c88c90b</t>
  </si>
  <si>
    <t xml:space="preserve">Yun and Kala rebels</t>
  </si>
  <si>
    <t xml:space="preserve">ENCROACHED_UPON</t>
  </si>
  <si>
    <t xml:space="preserve">Kengtung city outskirts</t>
  </si>
  <si>
    <t xml:space="preserve">The hostile force is correctly connected to its raid, but the source's Kalon label is rendered Kala, which can misleadingly suggest a different named group.</t>
  </si>
  <si>
    <t xml:space="preserve">Retain Yun/Kalon rebels (the coalition identified by its named rulers) rather than Yun and Kala.</t>
  </si>
  <si>
    <t xml:space="preserve">ဘန်ကောက်စား ညီ ကမ္မလုံးပုံသာဓိရသနှစ်နှင့် ဇင်းမယ်, လဖုံး, လကွန်း, ဗြဲ, အနန်း, မိုင်းလားစားတို့ အထက်တစ်ကြိမ် (၁၂၁၄) တစ်ထောင့်နှစ်ရာ့တစ်ဆယ့်လေးခုနစ်- ထိပါးနှောင့်ယှက်၍ ခုခံတိုက်ခိုက် ပျက်ပြား ထွက်ပြေးပြီး နောက်တစ်ကြိမ် လူတစ်သောင်းကျော်, ဆင်အများနှင့် ကျိုင်းတုံမြို့ အစွန်းအနား မြို့ကျေးရွာများကို ထိပါးနှောင့်ယှက်လာပြန်၍ ကျိုင်းတုံစော်ဘွား, ရှမ်းပြည်နယ် မြေလတ်မြို့ ကျေးရွာ မြို့စားစော်ဘွားတို့နှင့် မိုင်းပု မြို့စား မိုးနဲတပ်စစ်ကဲ မင်းကြီးမဟာနော်ရထာတို့ အုပ်ကွပ် ချီတက် တိုက်ခိုက်ရာ ထိုသက္ကရာဇ် နယုန်လပြည့်ကျော် ကိုးရက်နေ့ ယွန်း ကလောင်သူပုန် လူတစ်ထောင်ကျော် သေကျေပျက်ပြား, ဗုံးအမြောက်, ဆင်, လူအများနှင့် နန်းမြို့ အမတ်, မိုင်ထိုင်မြို့ အမတ်တို့ကို အရှင်ရမိ၍ အောင်တော်မူကြောင်းများနှင့် မိုးနဲဗိုလ်မှူး မင်းသား သီရိ သုမဟာဓမ္မရာဇာ, မိုးနဲတပ်ရုံး အရာရှိတို့က ခြေရင်းတော်သို့ လျှောက်ထားလာ၏။</t>
  </si>
  <si>
    <t xml:space="preserve">The younger brother of the Bangkok ruler, Kam-lon-pon-tha-di-ra-tha-nit, along with the rulers of Chiang Mai, Lafong, Lakon, Vrae, Anan, and Mongla, had previously (in the year 1214) encroached and harassed, but were repelled, fought, and fled in defeat; then, they encroached and harassed the outskirts and villages of Kengtung city again with over ten thousand men and many elephants, so the Kengtung Sawbwa, the rulers and Sawbwas of the Shan State middle-land cities and villages, and the Mongpu ruler and the Mone military commander Mingyi Maha Nawrahta led an army to attack them, and on the ninth day after the full moon of Nayon of that year, over a thousand Yun and Kala rebels were killed or defeated, and the palace minister and the Maing-htine city minister were captured alive along with many bombs, cannons, elephants, and men, and the Mone commander Prince Thiri Thu Maha Dhamma Raza and the officers of the Mone military headquarters reported to the royal feet that they had been victorious.</t>
  </si>
  <si>
    <t xml:space="preserve">vol3_s000854_t02_94f37043ead7</t>
  </si>
  <si>
    <t xml:space="preserve">Kengtung Sawbwa and Shan Sawbwas and Mone commander</t>
  </si>
  <si>
    <t xml:space="preserve">LED_MILITARY_CAMPAIGN_AGAINST</t>
  </si>
  <si>
    <t xml:space="preserve">The counterattack is supported, but its target repeats the imprecise Kala rendering of the source's Kalon.</t>
  </si>
  <si>
    <t xml:space="preserve">Use Yun/Kalon coalition as the target; retain the military relationship.</t>
  </si>
  <si>
    <t xml:space="preserve">vol3_s000854_t03_db67ed74afea</t>
  </si>
  <si>
    <t xml:space="preserve">Mone commander Prince Thiri Thu Maha Dhamma Raza</t>
  </si>
  <si>
    <t xml:space="preserve">vol3_s000854_t04_a0316a52ebde</t>
  </si>
  <si>
    <t xml:space="preserve">rebel leaders</t>
  </si>
  <si>
    <t xml:space="preserve">vol3_s000854_t05_0039049a238f</t>
  </si>
  <si>
    <t xml:space="preserve">rebel resources</t>
  </si>
  <si>
    <t xml:space="preserve">vol3_s000932</t>
  </si>
  <si>
    <t xml:space="preserve">vol3_s000932_t01_fd67dcccb372</t>
  </si>
  <si>
    <t xml:space="preserve">REWARDED_RELIGIOUS_OBSERVANCE</t>
  </si>
  <si>
    <t xml:space="preserve">Uposatha observers</t>
  </si>
  <si>
    <t xml:space="preserve">ထိုနှစ် ဝါတွင်းသုံးလပတ်လုံး ဥပုသ်ယူတော်မူ၍ ရွှေမြို့ တော် မြို့တွင်းမြို့ပြင် ဥပုသ်စောင့်လူ, အဝမြို့ က ဥပုသ်စောင့် လူပေါင်း ရှစ်ရာ့နှစ်ဆယ့် ခုနစ်တို့ကို ပုဆိုး, ခေါင်းပေါင်း, အင်္ကျီ ဆုပေးတော်မူ၏။</t>
  </si>
  <si>
    <t xml:space="preserve">Throughout the three months of the Vassa that year, [the King] observed the Uposatha, and bestowed rewards of sarongs, headscarves, and jackets upon the eight hundred and twenty-seven people who observed the Uposatha within and outside the Golden City and in the city of Ava.</t>
  </si>
  <si>
    <t xml:space="preserve">vol3_s000933</t>
  </si>
  <si>
    <t xml:space="preserve">vol3_s000933_t01_773357889523</t>
  </si>
  <si>
    <t xml:space="preserve">Religious merit-making</t>
  </si>
  <si>
    <t xml:space="preserve">ထိုနှစ် ပထမဝါဆိုလ သုဓမ္မာ ပထမစာမေးစာပြန် စည်းဝေးသည့် သာသနာပြုဆရာတော်နှင့် တံဆိပ်ရ ဆရာတော်, နောက်ပါ သံဃာတော်များကို နှစ်စဉ်လှူဒါန်းသည်ထက် တိုး၍ ဆွမ်းစမဲပွဲစုံ, အချိုပွဲစုံ, ထောပတ်ပွဲစုံ, နွားနို့များကို မှူးမတ် အရာရှိတို့ကို ကြပ်မစေ၍ စာမေးစာပြန် မပြီးမခြင်း လှူဒါန်းတော်မူ၏။</t>
  </si>
  <si>
    <t xml:space="preserve">That year, during the first Waso month, [the King] had the ministers and officials supervise the offering of full sets of alms food, full sets of desserts, full sets of butter dishes, and cow's milk—more than was offered annually—to the missionary Sayadaws, the titled Sayadaws, and the accompanying Sangha who gathered for the first Sudhamma scriptural examination, and he continued these offerings until the examinations were completed.</t>
  </si>
  <si>
    <t xml:space="preserve">vol3_s000933_t02_21aecafb239a</t>
  </si>
  <si>
    <t xml:space="preserve">Ministers and Officials</t>
  </si>
  <si>
    <t xml:space="preserve">Alms and provisions</t>
  </si>
  <si>
    <t xml:space="preserve">vol3_s000934</t>
  </si>
  <si>
    <t xml:space="preserve">vol3_s000934_t01_b30d8d3d73bf</t>
  </si>
  <si>
    <t xml:space="preserve">Crown Prince and Princes</t>
  </si>
  <si>
    <t xml:space="preserve">PARTICIPATED_IN_RITUAL_ECONOMY</t>
  </si>
  <si>
    <t xml:space="preserve">Offering to Sangha</t>
  </si>
  <si>
    <t xml:space="preserve">အိမ်ရှေ့မင်း, မင်းညီမင်းသား, မှူးတော်မတ်တော်တို့ကလည်း ပိုးသင်္ကန်း, ချည်သင်္ကန်း, ဆွမ်းစမဲပွဲစုံ လှူဒါန်းရ၏။</t>
  </si>
  <si>
    <t xml:space="preserve">The Crown Prince, the princes, and the ministers also offered silk robes, cotton robes, and full sets of alms food.</t>
  </si>
  <si>
    <t xml:space="preserve">vol3_s000934_t02_63e7d763d9f5</t>
  </si>
  <si>
    <t xml:space="preserve">vol3_s000935</t>
  </si>
  <si>
    <t xml:space="preserve">vol3_s000935_t01_44671043f2d5</t>
  </si>
  <si>
    <t xml:space="preserve">Foreign traders</t>
  </si>
  <si>
    <t xml:space="preserve">Offering to Buddha and Sangha</t>
  </si>
  <si>
    <t xml:space="preserve">The donation by Chinese and other foreign residents is supported, but this sentence does not identify all of them as traders.</t>
  </si>
  <si>
    <t xml:space="preserve">Chinese and other foreign residents offered gifts to the Buddha and Sangha.</t>
  </si>
  <si>
    <t xml:space="preserve">ရွှေမြို့တော်, အဝ, စစ်ကိုင်း, တရုတ်ကုလား လူမျိုးခြားတို့ကလည်း မြတ်စွာဘုရားအား လှူဒါန်းရန် ရွှေသင်္ကန်း, ရွှေသပိတ်၊ ဆွမ်းစမဲပွဲစုံ၊ သံဃာတော်တို့ကို လှူဒါန်းရန် သင်္ကန်း, ပန်းကန်ပါ ဆွမ်းစမဲပွဲစုံ, ထောပတ်ဆွမ်း, ရေတကောင်း, ရေခွက်နှင့်တကွ ကမ္ပလာ ကော်ဇောများကို ရေစက်သွန်းချ လှူဒါန်းကြ၏။</t>
  </si>
  <si>
    <t xml:space="preserve">People of other nationalities—Chinese and Kala—from the Golden City, Ava, and Sagaing also poured water of dedication and offered gold robes and gold alms bowls to be offered to the Lord Buddha, and robes, full sets of alms food including plates, buttered rice, water jars, water cups, and blankets and carpets to be offered to the Sangha.</t>
  </si>
  <si>
    <t xml:space="preserve">vol3_s000936</t>
  </si>
  <si>
    <t xml:space="preserve">vol3_s000936_t01_e6f2d4bf491e</t>
  </si>
  <si>
    <t xml:space="preserve">MANAGED_TRANSPORT_OF</t>
  </si>
  <si>
    <t xml:space="preserve">Royal elephants</t>
  </si>
  <si>
    <t xml:space="preserve">ထိုနှစ် ပထမဝါဆိုလဆန်း တစ်ဆယ့်လေးရက်နေ့ တကောင်းမြို့ ဆပ်သွား ပန်းမြိုင်တောတွင် တောင်ငူ ဓနက်ပလာ စိန်တုပ်ဆင်တော်နှင့် ကျော့ဖမ်းရမိသည့် သရက်ရွက်နုအဆင်း ထူးမြတ်သည့် ဆင်တော်၊ ပေါက္ခရာ ဆင်တော်နှင့် ကျော့ဖမ်းရမိသည့် ဆင်မတော်နှစ်စီး၊ ပုံစံ ရေးသားလျှောက်ထားသည်ကို အိမ်ရှေ့မင်း မင်းကွန်းရောက် ကြိုယူ၍ မြစ်ဆိပ်သို့ ရောက်ကာလ တစ်ညဉ့်ရပ်ဆိုင်း၍ ဝင်းကိုယ်ရံ ပွဲသဘင်စုံ အခင်းအကျင်းများနှင့် ဆက်သွင်းရာ မြေနန်းတော်မြောက် တင်းကုပ်စံနန်းတော်သို့ ဆဒ္ဒန်ဆင်မင်းသခင် ဘဝရှင်မင်းတရားကြီးဘုရား, မိဖုရားခေါင် ကြီးနှင့် ထွက်တော်မူ၍ ကြည့်ရှုတော်မူသည်။</t>
  </si>
  <si>
    <t xml:space="preserve">On the fourteenth day of the waxing moon of the first Waso month of that year, in the Sappathwar forest of Tagaung, the Taungngu Dhanetpala Seintok royal elephant and a royal elephant with a complexion as excellent as a young mango leaf that had been caught in a trap, as well as a Pokkhara royal elephant and two female elephants that had been caught in traps, were reported in writing; the Crown Prince went to Mingun to meet them, and upon arriving at the river landing, he stayed for one night and then presented them with full ceremonial arrangements and guards, and the Lord of Life, the King, the Master of the White Elephant, along with the Chief Queen, came out to the northern pavilion of the earthen palace to view them.</t>
  </si>
  <si>
    <t xml:space="preserve">vol3_s000936_t02_757128faaf8b</t>
  </si>
  <si>
    <t xml:space="preserve">PERFORMED_RITUAL_INSPECTION_OF</t>
  </si>
  <si>
    <t xml:space="preserve">vol3_s000937</t>
  </si>
  <si>
    <t xml:space="preserve">vol3_s000937_t01_4bccc8fdd0ae</t>
  </si>
  <si>
    <t xml:space="preserve">REWARDED_SERVICE_OF</t>
  </si>
  <si>
    <t xml:space="preserve">Elephant catchers and officials</t>
  </si>
  <si>
    <t xml:space="preserve">ထိုတွင် မင်္ဂလာရတုလျှောက်ပြီးလျှင် ဆင်တော်ကျော့ဖမ်းရမိသူတို့နှင့် ဆင်အရာရှိတို့ကို ရွှေဖလား, ငွေသပြာ, ထည်မျိုးအုပ်မျိုးတို့ကို အထိုက်အလိုက် ဆုပေးတော်မူသည်။</t>
  </si>
  <si>
    <t xml:space="preserve">There, after the auspicious verses were recited, [the King] bestowed gold bowls, silver coins, and various types of fabrics and containers as appropriate upon those who had caught the royal elephants and the elephant officials.</t>
  </si>
  <si>
    <t xml:space="preserve">vol3_s000938</t>
  </si>
  <si>
    <t xml:space="preserve">vol3_s000938_t01_463ed385c81f</t>
  </si>
  <si>
    <t xml:space="preserve">Royal family</t>
  </si>
  <si>
    <t xml:space="preserve">PERFORMED_RITUAL_VISIT_TO</t>
  </si>
  <si>
    <t xml:space="preserve">ထိုနေ့ မယ်တော်ဘုရားနှင့် ဆဒ္ဒန်ဆင်မင်းသခင် ဘဝရှင်မင်းတရားကြီးဘုရား, မိဖုရားခေါင်ကြီးဘုရား သုဓမ္မာဇရပ်သို့ ထွက်တော်မူ၏။</t>
  </si>
  <si>
    <t xml:space="preserve">That day, the Queen Mother, the Lord of Life, the King, the Master of the White Elephant, and the Chief Queen went out to the Sudhamma Zayat.</t>
  </si>
  <si>
    <t xml:space="preserve">vol3_s000939</t>
  </si>
  <si>
    <t xml:space="preserve">vol3_s000939_t01_8acaadbd890b</t>
  </si>
  <si>
    <t xml:space="preserve">Queen of Western Palace</t>
  </si>
  <si>
    <t xml:space="preserve">PRODUCED_DYNASTIC_HEIR</t>
  </si>
  <si>
    <t xml:space="preserve">Son</t>
  </si>
  <si>
    <t xml:space="preserve">သက္ကရာဇ် (၁၂၁၇) တစ်ထောင့်နှစ်ရာ့တစ်ဆယ့်ခုနစ်ခု ပထမဝါဆိုလဆန်း တစ်ဆယ့်လေးရက်၃ ဗုဒ္ဓဟူးနေ့ ညဉ့်လေးချက်တီးကျော် ငါးနာရီ ပါဒ်ပြည့် နှစ်ဗီဇနာ သုံးပြန်အချိန်တွင် အနောက်နန်းတော် မိဖုရား သီရိမဟာ ရတနာသုစန္ဒာဒေဝီ သားတော်ဖွားမြင်တော်မူသည်။</t>
  </si>
  <si>
    <t xml:space="preserve">In the year 1217, on the fourteenth day of the waxing moon of the first Waso month, a Wednesday, at the time of five hours and two bijana three pyan past the fourth watch of the night, the Queen of the Western Palace, Siri Maha Ratana Thusanda Dewi, gave birth to a son.</t>
  </si>
  <si>
    <t xml:space="preserve">vol3_s000940</t>
  </si>
  <si>
    <t xml:space="preserve">vol3_s000940_t01_4f98a01ee438</t>
  </si>
  <si>
    <t xml:space="preserve">PRODUCED_DYNASTIC_OFFSPRING</t>
  </si>
  <si>
    <t xml:space="preserve">Daughter</t>
  </si>
  <si>
    <t xml:space="preserve">၎င်းညဉ့် တစ်ချက်တီးကျော် ခြောက်နာရီ ပါဒ်ပြည့်အချိန်တွင် လည်း သမီးတော်ကို ဖွားမြင်တော်မူသည်။</t>
  </si>
  <si>
    <t xml:space="preserve">At the time of six hours past the first watch of that same night, she also gave birth to a daughter.</t>
  </si>
  <si>
    <t xml:space="preserve">vol3_s000941</t>
  </si>
  <si>
    <t xml:space="preserve">vol3_s000941_t01_f511e03b7b46</t>
  </si>
  <si>
    <t xml:space="preserve">Royal daughter</t>
  </si>
  <si>
    <t xml:space="preserve">DIED_AND_WAS_BURIED_BY</t>
  </si>
  <si>
    <t xml:space="preserve">Tapauk-tha people</t>
  </si>
  <si>
    <t xml:space="preserve">၎င်းညဉ့် သုံးချက်တီးကျော် လေးနာရီခန့်အချိန်တွင် နောက်ဖွားမြင်သည့် သမီးတော် ကံကုန်၍ သပေါက်သားတို့ နောက်ဝန်းကျင် မြို့ရိုးအတွင်း မြေတွင် နှံထားသင်္ဂြိုဟ်ရသည်။</t>
  </si>
  <si>
    <t xml:space="preserve">At about four hours past the third watch of that same night, the daughter who was born later passed away, and the Tapauk-tha people had to bury her in the ground inside the rear perimeter wall.</t>
  </si>
  <si>
    <t xml:space="preserve">vol3_s000942</t>
  </si>
  <si>
    <t xml:space="preserve">vol3_s000942_t01_5aaa0dfb9fc1</t>
  </si>
  <si>
    <t xml:space="preserve">BURIED_BY</t>
  </si>
  <si>
    <t xml:space="preserve">၎င်းလပြည့် ကျော် တစ်ရက် နေ့ နေ့သုံးချက်တီးကျော် တစ်နာရီခန့် အချိန်တွင် သားတော် ကံကုန်သည်ကိုလည်း သပေါက်သားတို့ ပိုက်ပွေ့ စေပြီးလျှင် အနောက်ဝန်အရာရှိ, အနောက်ဝန်စာရေးတို့ ကြပ်မ၍ နောက်ဝန်းကျင် မြို့ရိုးအတွင်း မြေတွင် နှံထားသင်္ဂြိုဟ်ရသည်။</t>
  </si>
  <si>
    <t xml:space="preserve">On the first day of the waning moon of that same month, at about one hour past the third watch of the day, the son also passed away, and the Tapauk-tha people were made to carry him, and the Western Wun official and the Western Wun clerks supervised his burial in the ground inside the rear perimeter wall.</t>
  </si>
  <si>
    <t xml:space="preserve">vol3_s000942_t02_2cf5458ae7ec</t>
  </si>
  <si>
    <t xml:space="preserve">Western Wun official</t>
  </si>
  <si>
    <t xml:space="preserve">SUPERVISED_BURIAL_OF</t>
  </si>
  <si>
    <t xml:space="preserve">vol3_s000942_t03_4f4879bf160d</t>
  </si>
  <si>
    <t xml:space="preserve">Western Wun clerks</t>
  </si>
  <si>
    <t xml:space="preserve">vol3_s000942_t04_652b3c467985</t>
  </si>
  <si>
    <t xml:space="preserve">BURIED_AT</t>
  </si>
  <si>
    <t xml:space="preserve">rear perimeter wall</t>
  </si>
  <si>
    <t xml:space="preserve">vol3_s001024</t>
  </si>
  <si>
    <t xml:space="preserve">vol3_s001024_t01_1f8c862eb7e5</t>
  </si>
  <si>
    <t xml:space="preserve">MAINTAINED_COSMIC_AND_SOCIAL_ORDER</t>
  </si>
  <si>
    <t xml:space="preserve">twelve-seasonal festivals</t>
  </si>
  <si>
    <t xml:space="preserve">နှစ်စဉ်လှူဒါန်းမြဲ အတာသဘင်မှစ၍ တစ်ဆယ့်နှစ်ရာသီ သဘင် မင်းပွဲ အလှူတော်များကိုလည်း လစဉ်မပြတ် စီရင်ခင်းကျင်း လှူဒါန်းတော်မူ၏။</t>
  </si>
  <si>
    <t xml:space="preserve">Beginning with the annual customary Ata festival, [the King] also continuously arranged and performed the twelve-seasonal festivals, royal ceremonies, and offerings every month.</t>
  </si>
  <si>
    <t xml:space="preserve">vol3_s001024_t02_709c83d5ee67</t>
  </si>
  <si>
    <t xml:space="preserve">PERFORMED_RITUAL_DUTIES</t>
  </si>
  <si>
    <t xml:space="preserve">monthly royal ceremonies</t>
  </si>
  <si>
    <t xml:space="preserve">vol3_s001027</t>
  </si>
  <si>
    <t xml:space="preserve">vol3_s001027_t01_156828483160</t>
  </si>
  <si>
    <t xml:space="preserve">SOUGHT_RELIGIOUS_LEGITIMACY_THROUGH</t>
  </si>
  <si>
    <t xml:space="preserve">purification of Tripitaka</t>
  </si>
  <si>
    <t xml:space="preserve">၁၂၁၈-ခု ပိဋကတ်တော်များ ကူးရေးခြင်း၊ သာသနာသန့်ရှင်းရေး လျှောက်ထားခြင်း စသည်နှင့် မိတ္ထိလာကန်နှင့် ကန်အများ ပြင်ဆင်ခြင်း သက္ကရာဇ် (၁၂၁၈) တစ်ထောင့်နှစ်ရာ့တစ်ဆယ့်ရှစ်ခု တန်ခူးလ အတွင်း မြတ်စွာဘုရား ဟောကြားတော်မူသော သုတ္တန်, ဝိနည်း, အဘိဓမ္မာ ဟူသော ပိဋကတ်သုံးပုံကို မင်းအဆက်ဆက် ရေးကူးပြုစုကြသည်များမှာ ကာလမြင့်ရှည် အဆင့်ဆင့် ကူးဖန်များ၍ ပုဒ်ပါဌ်အက္ခရာ ချွတ်ယွင်းတိမ်းယိမ်းသည်များကို မတိမ်းမယိမ်းစေရ၊ မှန်ကန်သေချာအောင် ရှေးသာသနာပြုမင်းတို့ သင်္ဂါယနာသုံးတန် တင်ပြီးနောက် ပေါဋ္ဌကာရဠ ပေထက်အက္ခရာတင်သည်များနှင့် သင်္ဂါယနာ လေးတန်ဖြစ်သကဲ့သို့ ရွှေနန်းတော်အတွင်း ကိုယ်တိုင်တော်ကြည့်ရှု၍ ပြင်ဆင်ရေးသားလိုကြောင်းများနှင့် ဆရာတော် သံဃာတော်တို့ထံ လျှောက်ထားရာ သင့်မြတ်ကြောင်းနှင့် ဆရာတော်တို့ မိန့်ဆိုချက်အရ ထိုသက္ကရာဇ် တန်ခူးလဆန်း ဆယ်ရက် တနင်္လာနေ့ နံနက်လေးချက်တီးကျော် ငါးမောင်း နှစ်ပါဒ်အချိန် မြေနန်းတော်မြောက် သုံးထပ်တန်ဆောင်း သုံးဆောင် မဏ္ဍပ်ကနား ကြီးစွာနှင့် ရပ်နေတော်မူရန် စံနန်းတော်ပါ ဆောက်လုပ်ပြီးလျှင် ပိတ်, ရွှေဖျင်, ဖဲ, ကတ္တီပါ, ခါသာ, မျက်နှာကြက် ကြာယပ်လှဇရွဲ မွမ်းမံခြယ်လှယ်၍ ပွဲသဘင် စည်ပင်သာယာအောင် ခံရ၏။</t>
  </si>
  <si>
    <t xml:space="preserve">In the year 1218, regarding the copying of the Pitaka scriptures, the petitioning for the purification of the Sasana, and the repairing of the Meiktila Lake and many other lakes, [the King] petitioned the Sayadaws and the Sangha that, because the three Pitaka scriptures—the Sutta, Vinaya, and Abhidhamma—preached by the Lord Buddha, which have been copied and compiled by successive kings, have had their words, texts, and letters become distorted and shifted due to being copied repeatedly over a long period of time, he wished to personally oversee and have them corrected and rewritten within the Golden Palace, just as the four Buddhist Councils were held and as the previous missionary kings had them inscribed on palm leaves after holding the three Buddhist Councils, so that they would not be distorted or shifted and would be accurate and certain; upon the Sayadaws' reply that it was appropriate, on Monday, the 10th day of the waxing moon of Tagu of that year, at the time of five maungs and two pads past the fourth gong of the morning, [the King] had a royal residence built to stay in, along with a large pavilion with three-tiered halls north of the earthen palace, and had it decorated and adorned with cloth, gold-embroidered fabric, silk, velvet, muslin, ceilings, lotus fans, and hanging ornaments, and held a festival to make it prosperous.</t>
  </si>
  <si>
    <t xml:space="preserve">vol3_s001027_t02_05b8ddc29525</t>
  </si>
  <si>
    <t xml:space="preserve">The explicit interaction is the king petitioning the monks and proceeding after their approval, not exercising authority over them. Royal sponsorship alone does not license reversing this interaction.</t>
  </si>
  <si>
    <t xml:space="preserve">King sought approval from the Sangha; the Sangha approved the proposed scripture project.</t>
  </si>
  <si>
    <t xml:space="preserve">vol3_s001027_t03_eb35307cfd4c</t>
  </si>
  <si>
    <t xml:space="preserve">MOBILIZED_STATE_RESOURCES</t>
  </si>
  <si>
    <t xml:space="preserve">construction of royal pavilion</t>
  </si>
  <si>
    <t xml:space="preserve">vol3_s001027_t04_1d97c7403129</t>
  </si>
  <si>
    <t xml:space="preserve">REGULATED_RELIGIOUS_ORTHODOXY</t>
  </si>
  <si>
    <t xml:space="preserve">correction of Buddhist scriptures</t>
  </si>
  <si>
    <t xml:space="preserve">vol3_s001028</t>
  </si>
  <si>
    <t xml:space="preserve">vol3_s001028_t01_8a6a5c9aafbe</t>
  </si>
  <si>
    <t xml:space="preserve">PROVIDED_MATERIAL_RESOURCES_FOR</t>
  </si>
  <si>
    <t xml:space="preserve">religious scholarship project</t>
  </si>
  <si>
    <t xml:space="preserve">ပထမတန်ဆောင်းတွင် မြတ်စွာဘုရားရုပ်ပွားတော်နှင့် ပိဋကတ်သုံးပုံရေးရန်, ပေတင်ရန် ပိတ်ဖြူရွှေဇာ ငွေဇာကွပ်ပြီး လျှင် စာထောက်များကို အသင့်ရှိစေရ၏။</t>
  </si>
  <si>
    <t xml:space="preserve">In the first hall, [the King] had white cloth with gold and silver lace borders prepared and ready for the Lord Buddha's image and for writing and inscribing the three Pitaka scriptures on palm leaves.</t>
  </si>
  <si>
    <t xml:space="preserve">vol3_s001028_t02_ed00c05aee31</t>
  </si>
  <si>
    <t xml:space="preserve">ESTABLISHED_RITUAL_SPACE</t>
  </si>
  <si>
    <t xml:space="preserve">Pitaka writing hall</t>
  </si>
  <si>
    <t xml:space="preserve">vol3_s001029</t>
  </si>
  <si>
    <t xml:space="preserve">vol3_s001029_t01_22f080d19b2f</t>
  </si>
  <si>
    <t xml:space="preserve">ORGANIZED_BUREAUCRATIC_LABOR</t>
  </si>
  <si>
    <t xml:space="preserve">Pitaka writing staff</t>
  </si>
  <si>
    <t xml:space="preserve">ရေးမည့်သူ ပိဋကတ်တိုက်စိုး, သွေးသောက်ကြီး, တိုက်ခေါင်း, အကြပ်, အစုရေး, ပိဋကတ်ရေး အမှုထမ်းတို့မှာ ဖဲဗောင်းသနထော် သုံးပွင့်၊ ဒူးဝတ်လုံ, ရွှေရေး, မင်ရေး, ကညစ်ရေး လူတစ်ရာကျော်တို့မှာ ပြစ်ခြမ်း ဗောင်း, ဇာဖျင်ဝတ်လုံ ဝတ်ဆင်စေ၍ စာပေဗဟုသုတ တတ်ကျွမ်းသည့် မှူးမတ် လူပညာရှိတို့ အသင့် စောင့်နေရ၏။</t>
  </si>
  <si>
    <t xml:space="preserve">For the writers—the Pitaka library officials, the Thwe-thauk-gyi, the library heads, the supervisors, the group writers, and the Pitaka writing staff—[the King] had them wear three-pointed silk turbans and knee-length robes, and for the more than one hundred people who were gold-writers, ink-writers, and stylus-writers, he had them wear plain turbans and lace-fabric robes, and had learned ministers and scholars who were knowledgeable in literature wait in readiness.</t>
  </si>
  <si>
    <t xml:space="preserve">vol3_s001029_t02_16694817bad9</t>
  </si>
  <si>
    <t xml:space="preserve">DIFFERENTIATED_STATUS_THROUGH</t>
  </si>
  <si>
    <t xml:space="preserve">sumptuary regulations</t>
  </si>
  <si>
    <t xml:space="preserve">vol3_s001029_t03_d1bf3838d077</t>
  </si>
  <si>
    <t xml:space="preserve">UTILIZED_INTELLECTUAL_ELITE</t>
  </si>
  <si>
    <t xml:space="preserve">ministers and scholars</t>
  </si>
  <si>
    <t xml:space="preserve">vol3_s001030</t>
  </si>
  <si>
    <t xml:space="preserve">vol3_s001030_t01_d9deca86b9ad</t>
  </si>
  <si>
    <t xml:space="preserve">COORDINATED_RELIGIOUS_AUTHORITIES</t>
  </si>
  <si>
    <t xml:space="preserve">via Mahadan scribes</t>
  </si>
  <si>
    <t xml:space="preserve">Coordination through Mahadan scribes is real, but the object is a means ('via Mahadan scribes') rather than the religious authorities being coordinated.</t>
  </si>
  <si>
    <t xml:space="preserve">King commissioned Mahadan scribes to invite the specified monks.</t>
  </si>
  <si>
    <t xml:space="preserve">သာသနာပြုဆရာတော်ကြီးနှင့် တံဆိပ်ရ ပိဋကတ်မဆရာတော် လေးပါး၊ စာကြည့်ဆရာတော် သုံးဆယ်၊ စာတည်းဆရာတော် ငါးဆယ်၊ ပရိယတ်တတ်ကျွမ်းသည့် သံဃာအပါး ငါးဆယ်တို့ကိုလည်း ပိဋကတ်တန်ဆောင်း တော်သို့ မဟာဒါန်စာရေးတို့ကို လျှောက်ထားပင့်စေ၏။</t>
  </si>
  <si>
    <t xml:space="preserve">[The King] also had the Mahadan scribes petition and invite the great missionary Sayadaw, four titled Pitaka Sayadaws, thirty scripture-reading Sayadaws, fifty scripture-editing Sayadaws, and fifty monks who were knowledgeable in the Pariyatti to the Pitaka hall.</t>
  </si>
  <si>
    <t xml:space="preserve">vol3_s001030_t02_5f88511f5fef</t>
  </si>
  <si>
    <t xml:space="preserve">Mahadan scribes</t>
  </si>
  <si>
    <t xml:space="preserve">ACTED_AS_INTERMEDIARIES_BETWEEN</t>
  </si>
  <si>
    <t xml:space="preserve">King and Sangha</t>
  </si>
  <si>
    <t xml:space="preserve">vol3_s001391</t>
  </si>
  <si>
    <t xml:space="preserve">vol3_s001391_t01_8f83de1118ac</t>
  </si>
  <si>
    <t xml:space="preserve">Foundation_Laying</t>
  </si>
  <si>
    <t xml:space="preserve">ယင်းသည့် သီတင်းကျွတ်လဆန်းဆယ်ရက်နေ့ ရွှေမြို့တော်ကြီး အရှေ့မြောက်ယွန်း မြို့တော် ခုနစ်ဌာနအဝင် တည်လုပ်တော်မူသည့် စေတီတော်ကြီးကို ပထမဌပနာသွင်းရန် ဓာတ်တော်, မွေးတော်, ရုပ်ပွားဆင်းတုတော်, ကျောက်အက္ခရာရေး ဓမ္မစေတီတော်, ရဟန္တာရုပ်တုတော်, သတ္တဋ္ဌာနမှစ၍ မင်းရုပ်တုတော် အခမ်းအနား ပါသည် များကို မင်းညီမင်းသား ဝန်ကြီး အတွင်းဝန် မှူးတော်မတ်တော် သူဌေးသူကြွယ်တို့ ဗောင်းဝတ်လုံ စလွယ်ဘွဲ့ဖြူ ဆင်ယင်၍ ပွဲသဘင်စုံများနှင့် မြောက်စမုတ်တော်သို့ သွင်းပြရာ ဘဝရှင်မင်းတရားကြီးဘုရား, မိဖုရားခေါင်ကြီး ဘုရား နှစ်ပါး ကြည့်ရှုတော်မူပြီးလျှင် ဘကြီးတော်မင်းတရား, ခမည်းတော်မင်းတရားတို့လက်ထက် မဟာဝိဇယရံသီ စေတီတော်, လောကမဏိစူဠာစေတီတော်များမှာ ဌပနာသွင်းသည့် အခမ်းအနားနည်း သက္ကရာဇ် (၁၂၂၃) တစ်ထောင့် နှစ်ရာ့နှစ်ဆယ့်သုံးခု သီတင်းကျွတ်လဆန်း တစ်ဆယ့်လေးရက် ကြာသပတေးနေ့ နေနှစ်ချက်တီးကျော်အချိန် အမြောက်သံကြား အခါတော်နှင့် ပထမဌပနာ သွင်းတော်မူသည်။</t>
  </si>
  <si>
    <t xml:space="preserve">On the tenth day of the waxing moon of Thadingyut, for the first foundation-laying ceremony of the great pagoda being built in the northeast of the great golden city, within the seven city precincts, the royal princes, ministers, secretaries, high-ranking officials, and wealthy merchants, dressed in ceremonial hats, robes, and white-tasseled scarves, presented the relics, hair relics, Buddha images, stone-inscribed Dhamma pagodas, Arahant statues, and items including the seven stations and royal statues, along with various festive processions, to the northern gate; after the Lord of Life, the Great King, and the Chief Queen had viewed them, the first foundation was laid at the time just past two o'clock in the afternoon on Thursday, the fourteenth day of the waxing moon of Thadingyut, in the year 1223, amidst the sound of cannons, following the ceremonial method used for the foundation-laying of the Maha Vijaya Ransi Pagoda and the Loka Mani Cula Pagoda during the reigns of the Great Uncle King and the Royal Father King.</t>
  </si>
  <si>
    <t xml:space="preserve">vol3_s001391_t02_11ad4c16bc2c</t>
  </si>
  <si>
    <t xml:space="preserve">Royal_Princes_Ministers_Officials</t>
  </si>
  <si>
    <t xml:space="preserve">Foundation_Laying_Ceremony</t>
  </si>
  <si>
    <t xml:space="preserve">vol3_s001391_t03_6b45bf466183</t>
  </si>
  <si>
    <t xml:space="preserve">Previous_Kings</t>
  </si>
  <si>
    <t xml:space="preserve">vol3_s001391_t04_3dfcf28ab5a3</t>
  </si>
  <si>
    <t xml:space="preserve">King_And_Queen</t>
  </si>
  <si>
    <t xml:space="preserve">VIEWED_CEREMONY</t>
  </si>
  <si>
    <t xml:space="preserve">vol3_s001392</t>
  </si>
  <si>
    <t xml:space="preserve">vol3_s001392_t01_63bc712e399c</t>
  </si>
  <si>
    <t xml:space="preserve">Kale_Sawbwa</t>
  </si>
  <si>
    <t xml:space="preserve">SENT_TRIBUTE_OF</t>
  </si>
  <si>
    <t xml:space="preserve">Noble_Elephant</t>
  </si>
  <si>
    <t xml:space="preserve">ယင်းသည့်လဆန်း တစ်ဆယ့်နှစ်ရက် နေ့ ကလေးစော်ဘွား မောရိယမဟာဝံသရာဇာက ထူးမြတ်သည့် ဆင်တော် အဆက်အသ ရောက်သည်ကို ကြိုယူမြဲ ကြိုယူဆက်သွင်းရသည်။</t>
  </si>
  <si>
    <t xml:space="preserve">On the twelfth day of the waxing moon of that same month, the Sawbwa of Kale, Moriya Maha Vamsa Raja, sent a noble elephant that had been received as a succession, and it was received and presented as was customary.</t>
  </si>
  <si>
    <t xml:space="preserve">vol3_s001392_t02_c8f236ed8bff</t>
  </si>
  <si>
    <t xml:space="preserve">vol3_s001393</t>
  </si>
  <si>
    <t xml:space="preserve">vol3_s001393_t01_cf29e082c740</t>
  </si>
  <si>
    <t xml:space="preserve">Nyaungkan_Sayadaw</t>
  </si>
  <si>
    <t xml:space="preserve">Naninda_Abhipandita_Parama_Maha_Dhammarajadhirajaguru</t>
  </si>
  <si>
    <t xml:space="preserve">ထိုနှစ် တန်ဆောင်မုန်းလ ဉာဏိန္ဒာဘိပဏ္ဍိတပရမ မဟာဓမ္မရာဇာဓိရာဇဂုရု-တံဆိပ်တော်ရ ညောင်ကန် ဆရာတော် ဘဝပြောင်းရာ တံဆိပ်ရ ဆရာတော်ကြီးတို့ကို သင်္ဂြိုဟ်သည့်နည်း သင်္ဂြိုဟ်တော်မူ၏။</t>
  </si>
  <si>
    <t xml:space="preserve">In the month of Tazaungmon of that year, when the Nyaungkan Sayadaw, who held the title of Naninda Abhipandita Parama Maha Dhammarajadhirajaguru, passed away, he was cremated according to the method used for cremating high-ranking titled Sayadaws.</t>
  </si>
  <si>
    <t xml:space="preserve">vol3_s001393_t02_bd9de9f084fa</t>
  </si>
  <si>
    <t xml:space="preserve">Titled_Sayadaw</t>
  </si>
  <si>
    <t xml:space="preserve">vol3_s001394</t>
  </si>
  <si>
    <t xml:space="preserve">vol3_s001394_t01_d244be409216</t>
  </si>
  <si>
    <t xml:space="preserve">Tawngpeng_Sawbwa_Nga_Khun_Tha</t>
  </si>
  <si>
    <t xml:space="preserve">REBELLED_AGAINST</t>
  </si>
  <si>
    <t xml:space="preserve">Crown</t>
  </si>
  <si>
    <t xml:space="preserve">တောင်ပိုင်စော်ဘွား ထကြွခြင်း၊ မိုးကောင်းမင်းသား ကံကုန်ခြင်း စသည်နှင့် သုံးဆယ်မင်းသား လက်ထပ်ခြင်း ထိုသက္ကရာဇ် တန်ဆောင်မုန်းလ တောင်ပိုင်မြို့ စော်ဘွားငခွန်သာ ရိုင်းပျံ့ ဆိုးသွမ်း၍ တောင်ပိုင်မြို့ အနီးအပါး မြို့ကျေးရွာများကို တိုက်ဖျက်မီးရှို့ပြီးလျှင် တောင်ပိုင် တောင်ထိပ် တောင်အောက် ကျေးရွာများက အခိုင်အလုံ စွဲရပ်ရှိနေကြောင်းများနှင့် တောင်ပိုင်မြို့ အမတ် သီပေါစော်ဘွားတို့က လျှောက်ထား၍ ရွေးလက်ဝဲဗိုလ် မဟာမင်းခေါင် ကျော်ထင် တစ်တပ်၊ အက္ကပတ်မြင်းဝန် တစ်တပ်၊ သီပေါစော်ဘွား တစ်တပ်၊ တပ်ပါ အစုအမှုထမ်း လူငါးရာ၊ သီပေါစော်ဘွားနှင့် သီပေါမြို့, မိုင်းလုံမြို့, သုံးဆယ်မြို့ လက်နက်ကိုင် လူနှစ်ထောင်ကျော်တို့ကို ချီတက်တိုက်ခိုက်စေရာ သင်းတို့ မရပ်မခံနိုင် ထွက်ပြေး၍ ငခွန်သာကို လက်နက်တော် ထိခိုက်သေဆုံးသည်။</t>
  </si>
  <si>
    <t xml:space="preserve">Regarding the uprising of the Tawngpeng Sawbwa, the death of the Mohnyin Prince, and the marriage of the Thonze Prince: in the month of Tazaungmon of that year, the Tawngpeng Sawbwa, Nga Khun Tha, being unruly and wicked, attacked and burned the towns and villages in the vicinity of Tawngpeng, and after the Tawngpeng Sawbwa and the Hsipaw Sawbwa reported that he was firmly entrenched in the villages on the peaks and at the base of the Tawngpeng mountains, a force consisting of one battalion under the Royal Left-Wing Commander Maha Minhkaung Kyawhtin, one battalion under the Akkaphat Horse Minister, one battalion under the Hsipaw Sawbwa, five hundred attached service personnel, and over two thousand armed men from Hsipaw, Monglong, and Thonze were sent to march and attack; they [the rebels] could not withstand the resistance and fled, and Nga Khun Tha was struck by royal weapons and died.</t>
  </si>
  <si>
    <t xml:space="preserve">vol3_s001394_t02_85b152fac55a</t>
  </si>
  <si>
    <t xml:space="preserve">DISPATCHED_MILITARY_FORCE_TO</t>
  </si>
  <si>
    <t xml:space="preserve">Suppress_Rebellion</t>
  </si>
  <si>
    <t xml:space="preserve">vol3_s001394_t03_9cdcd6484a8b</t>
  </si>
  <si>
    <t xml:space="preserve">Military_Force</t>
  </si>
  <si>
    <t xml:space="preserve">Royal_Left_Wing_Commander_Akkaphat_Horse_Minister_Hsipaw_Sawbwa</t>
  </si>
  <si>
    <t xml:space="preserve">vol3_s001394_t04_7e4338bd1de6</t>
  </si>
  <si>
    <t xml:space="preserve">Service_Personnel_And_Levies</t>
  </si>
  <si>
    <t xml:space="preserve">vol3_s001394_t05_8063fd044069</t>
  </si>
  <si>
    <t xml:space="preserve">Tawngpeng_Rebels</t>
  </si>
  <si>
    <t xml:space="preserve">vol3_s001394_t06_411035bbd3dd</t>
  </si>
  <si>
    <t xml:space="preserve">Nga_Khun_Tha</t>
  </si>
  <si>
    <t xml:space="preserve">KILLED_BY</t>
  </si>
  <si>
    <t xml:space="preserve">Royal_Weapons</t>
  </si>
  <si>
    <t xml:space="preserve">vol3_s001395</t>
  </si>
  <si>
    <t xml:space="preserve">vol3_s001395_t01_331d4a43358c</t>
  </si>
  <si>
    <t xml:space="preserve">PROVIDED_REWARDS_TO</t>
  </si>
  <si>
    <t xml:space="preserve">Kachins</t>
  </si>
  <si>
    <t xml:space="preserve">အလောင်းကို ကချင်တို့ မြှုပ်ထားရာ ဆုလာဘ်များစွာ ပေး၍ ဆောင်ယူစေပြီးလျှင် ငခွန်သာကိုသိသူ လူအများ ကြည့်ရှုစေရာ ငခွန်သာ ဟုတ်ကြောင်းကို အတပ်အရာသိ၍ တောင်ပိုင် အရေးတော်ငြိမ်းကြောင်းကို ရွှေဖဝါးတော်အောက် လျှောက်ထား လာသည်။</t>
  </si>
  <si>
    <t xml:space="preserve">The Kachins buried the corpse, but after being given many rewards, they were made to retrieve it, and when it was shown to many people who knew Nga Khun Tha, they confirmed it was indeed him, and upon learning this, it was reported to the golden feet that the Tawngpeng affair had been pacified.</t>
  </si>
  <si>
    <t xml:space="preserve">vol3_s001395_t02_13966d928798</t>
  </si>
  <si>
    <t xml:space="preserve">RETRIEVED_CORPSE_OF</t>
  </si>
  <si>
    <t xml:space="preserve">vol3_s001395_t03_ac7a3396c961</t>
  </si>
  <si>
    <t xml:space="preserve">CONFIRMED_IDENTITY_OF</t>
  </si>
  <si>
    <t xml:space="preserve">vol3_s001395_t04_55d1d83cef2b</t>
  </si>
  <si>
    <t xml:space="preserve">vol3_s001396</t>
  </si>
  <si>
    <t xml:space="preserve">vol3_s001396_t01_fe513a8eb09c</t>
  </si>
  <si>
    <t xml:space="preserve">SUMMONED</t>
  </si>
  <si>
    <t xml:space="preserve">Military_Personnel</t>
  </si>
  <si>
    <t xml:space="preserve">ချီတက်စေသည့် အမှုထမ်း ရဲမက်တော်များကိုလည်း ရွှေဖဝါးတော်အောက် ခေါ်တော်မူသည်။</t>
  </si>
  <si>
    <t xml:space="preserve">The service personnel and royal soldiers who were sent to march were also summoned to the golden feet.</t>
  </si>
  <si>
    <t xml:space="preserve">vol3_s001397</t>
  </si>
  <si>
    <t xml:space="preserve">vol3_s001397_t01_28a952aa2930</t>
  </si>
  <si>
    <t xml:space="preserve">Mohnyin_Prince</t>
  </si>
  <si>
    <t xml:space="preserve">RECEIVED_FUNERAL_RITES_FROM</t>
  </si>
  <si>
    <t xml:space="preserve">Royal_Household</t>
  </si>
  <si>
    <t xml:space="preserve">The deceased is the Mogaung prince, not the Mohnyin prince.</t>
  </si>
  <si>
    <t xml:space="preserve">Mogaung Prince received funeral rites from the royal household.</t>
  </si>
  <si>
    <t xml:space="preserve">၎င်းလ အလယ်နန်းတော်မိဖုရားတွင်မြင်သည့် သားတော် ခြောက်နှစ်ရွယ် မိုးကောင်းမင်းသား ကံကုန်ရာ ပျဉ်ရွှေပုစွန်ခွံမွှမ်း ကျောက်စီ, အတွင်း ရွှေပိန်းချ ထီးဖြူရှစ်ချက်မိုးပြီးလျှင် မြောက်ဥယျာဉ်တော်အတွင်း နန်းမြို့ ရိုးနားတွင် အုတ်ဂူပြာသာဒ် တည်လုပ်သင်္ဂြိုဟ်တော်မူသည်။</t>
  </si>
  <si>
    <t xml:space="preserve">In the same month, the six-year-old Mohnyin Prince, born to the Middle Palace Queen, passed away, and he was cremated in a brick tomb-pavilion built near the palace wall within the northern royal garden, after being covered by eight white umbrellas and placed in a coffin decorated with gold-leaf, inlaid with jewels, and adorned with mother-of-pearl.</t>
  </si>
  <si>
    <t xml:space="preserve">vol3_s001397_t02_137c26d11eed</t>
  </si>
  <si>
    <t xml:space="preserve">PERFORMED_FUNERAL_FOR</t>
  </si>
  <si>
    <t xml:space="preserve">The funeral's recipient repeats the substitution of Mohnyin for Mogaung.</t>
  </si>
  <si>
    <t xml:space="preserve">Royal household performed the funeral for the Mogaung prince.</t>
  </si>
  <si>
    <t xml:space="preserve">vol3_s001397_t03_04ce6b4e3027</t>
  </si>
  <si>
    <t xml:space="preserve">Funeral_Rites</t>
  </si>
  <si>
    <t xml:space="preserve">White_Umbrellas_And_Jeweled_Coffin</t>
  </si>
  <si>
    <t xml:space="preserve">vol3_s001398</t>
  </si>
  <si>
    <t xml:space="preserve">vol3_s001398_t01_83b3d6e2380d</t>
  </si>
  <si>
    <t xml:space="preserve">Patu_Sayadaw</t>
  </si>
  <si>
    <t xml:space="preserve">Uttamabhisilalankara_Kavidhaja_Maha_Dhammarajadhirajaguru</t>
  </si>
  <si>
    <t xml:space="preserve">ထိုနှစ် နတ်တော်လ ဥတ္တမာဘိသီလာလင်္ကာရ ကဝိဓဇ မဟာဓမ္မရာဇာဓိရာဇဂုရု-ပတူးဆရာတော်သည် ပုခန်းကြီးမြို့ကျေး ပတူးရွာတွင် ဘဝပြောင်းသည်ကို သာသနာပြု စလင်းဆရာတော်နည်း ပုခန်းကြီးမြို့စား ဝန်ကြီး သတိုးမင်းကြီး မဟာမင်းလှစည်သူ သွား၍ ကောင်းမွန်အောင် လုပ်ဆောင်သင်္ဂြိုဟ်ရသည်။</t>
  </si>
  <si>
    <t xml:space="preserve">In the month of Nadaw of that year, when the Patu Sayadaw, Uttamabhisilalankara Kavidhaja Maha Dhammarajadhirajaguru, passed away in Patu village, a dependency of Pakokku, the Pakokku Governor and Minister Thado Mingyi Maha Minhla Sithu went to perform the funeral rites properly, following the method used for the Salin Sayadaw who promoted the Sasana.</t>
  </si>
  <si>
    <t xml:space="preserve">vol3_s001398_t02_0c93a6d58ab1</t>
  </si>
  <si>
    <t xml:space="preserve">Pakokku_Governor_And_Minister</t>
  </si>
  <si>
    <t xml:space="preserve">The responsible titleholder is the Pakhan-gyi minister, not the Pakokku governor.</t>
  </si>
  <si>
    <t xml:space="preserve">Pakhan-gyi minister Thado Mingyi Maha Minhla Sithu performed the Patu Sayadaw's funeral.</t>
  </si>
  <si>
    <t xml:space="preserve">vol3_s001398_t03_71ecf958aac7</t>
  </si>
  <si>
    <t xml:space="preserve">Salin_Sayadaw_Funeral</t>
  </si>
  <si>
    <t xml:space="preserve">vol3_s001436</t>
  </si>
  <si>
    <t xml:space="preserve">vol3_s001436_t01_8b2d27e03450</t>
  </si>
  <si>
    <t xml:space="preserve">Pyinzi Prince</t>
  </si>
  <si>
    <t xml:space="preserve">COMPOSED</t>
  </si>
  <si>
    <t xml:space="preserve">great songs</t>
  </si>
  <si>
    <t xml:space="preserve">ဟူသော ယိုးဒယားသံရှစ်မျိုးနှင့် သီကုံးဖွဲ့ဆိုသော သီချင်းကြီးများသည်လည်း ပြင်စည်မင်းသား ရေးသားခဲ့သော အရာပင် ဖြစ်သည်။</t>
  </si>
  <si>
    <t xml:space="preserve">The great songs composed with these eight types of Yodaya sounds were also things written by the Prince of Pyinzi.</t>
  </si>
  <si>
    <t xml:space="preserve">vol3_s001439</t>
  </si>
  <si>
    <t xml:space="preserve">vol3_s001439_t01_f255710fa661</t>
  </si>
  <si>
    <t xml:space="preserve">monks</t>
  </si>
  <si>
    <t xml:space="preserve">ထိုနှစ် သီတင်းကျွတ်လကစ၍ မြေနန်းတော်တွင် စာပြန်သည့် ဆရာတော်တို့ကျောင်းတိုက်ရှိ သံဃာတော်တို့ကို တစ်တိုက်စီ အလှည့်ကျပင့်၍ မြေနန်းတော်သို့ ထွက်တော်မူပြီးလျှင် ဆွမ်းလုပ်ကျွေးတော်မူ၏။</t>
  </si>
  <si>
    <t xml:space="preserve">Beginning in the month of Thadingyut of that year, he went out to the earthen palace and invited the monks from the monasteries of the Sayadaws who recited scriptures at the earthen palace, one monastery at a time in rotation, and offered them meals.</t>
  </si>
  <si>
    <t xml:space="preserve">vol3_s001440</t>
  </si>
  <si>
    <t xml:space="preserve">vol3_s001440_t01_7cfc3cc70983</t>
  </si>
  <si>
    <t xml:space="preserve">SPONSORED_FUNERAL_FOR</t>
  </si>
  <si>
    <t xml:space="preserve">Taungtha Sayadaw</t>
  </si>
  <si>
    <t xml:space="preserve">The funeral recipient is supported, but the source calls him the Taungtha ascetic/scholar (သူတော်), not explicitly a monastic Sayadaw.</t>
  </si>
  <si>
    <t xml:space="preserve">King sponsored the funeral of the Taungtha ascetic/scholar Disapamauk Abhayapandita.</t>
  </si>
  <si>
    <t xml:space="preserve">၎င်းလ တောင်သာသူတော်-ဒိသာပါမောက္ခ အဘယပဏ္ဍိတ မဟာဓမ္မရာဇာဓိရာဇဂုရု ရွှေနန်းတော် တောင်ဥယျာဉ်တော်အတွင်း သေလွန်သည်ကို ပြာသာဒ်ဦးပြည်း လုပ်ဆောင်၍ သင်္ချိုင်းတော်တွင် သင်္ဂြိုဟ်ရသည်။</t>
  </si>
  <si>
    <t xml:space="preserve">In that same month, when the Taungtha scholar-Disapamauk Abhayapandita Mahadhammarajadhirajaguru passed away within the royal garden of the golden palace, a pyatthat-style funeral structure was built and he was buried in the royal cemetery.</t>
  </si>
  <si>
    <t xml:space="preserve">vol3_s001441</t>
  </si>
  <si>
    <t xml:space="preserve">vol3_s001441_t01_f9862a999c88</t>
  </si>
  <si>
    <t xml:space="preserve">Religious communities</t>
  </si>
  <si>
    <t xml:space="preserve">royal funeral</t>
  </si>
  <si>
    <t xml:space="preserve">ရွှေမြို့တော်, အမရပူရ, အဝ, စစ်ကိုင်းမြို့ရှိ သူတော်တို့နှင့် ရွှေမြို့ တော်လေးပြင်ရှိ ဥပုသ်တော်စောင့် ဥပုသ်တော်တို့ လိုက်ပို့သင်္ဂြိုဟ်ကြရသည်။</t>
  </si>
  <si>
    <t xml:space="preserve">Scholars from the golden city, Amarapura, Ava, and Sagaing, as well as the Sabbath-keepers from the four quarters of the golden city, followed to bury him.</t>
  </si>
  <si>
    <t xml:space="preserve">vol3_s001442</t>
  </si>
  <si>
    <t xml:space="preserve">vol3_s001442_t01_6aebe844aaf5</t>
  </si>
  <si>
    <t xml:space="preserve">RECEIVED</t>
  </si>
  <si>
    <t xml:space="preserve">British Commissioner Phayre</t>
  </si>
  <si>
    <t xml:space="preserve">ယင်းသည့် သီတင်းကျွတ်လ အင်္ဂလိပ်အရေးပိုင် ဖယ်ရာနှင့် ဝန်ထောက်, ကုမ္ပဏီ, ကပ္ပီတန်, အကောက်ဝန်, ဓာတ်ပုံကူးဆရာတို့ ရွှေမျက်နှာတော်ကို အဖူးအမြော် အထူးအဆန်း ထည်မျိုးအုပ်မျိုး လက်ဆောင်တော်များနှင့် အဆက်အသ လာရောက်သည်ကို ဇေတဝန်ဆောင်တော်တွင် မင်းညီမင်းသား ဝန်ကြီး အတွင်းဝန်တို့နှင့် အဖူးအမြော် ခံတော်မူပြီးလျှင် အရေးပိုင်ဖယ်ရာကို ရွှေစလွယ်တစ်ဆယ့်နှစ်သွယ်၊ အကောက်ဝန် ဧတွယ်ကို ရွှေစလွယ်ကိုးသွယ်၊ ကျန်အရာရှိတို့ကို ကျူငွေထည့် အိတ်လုံးရေ တစ်စီ၊ လွန်များပုဆိုး တစ်စီ ပေးတော်မူသည်။</t>
  </si>
  <si>
    <t xml:space="preserve">In that same month of Thadingyut, the English Commissioner Phayre, along with the Wundauk, the Company [officials], the Captain, the Customs Officer, and the photographer, came to pay respects to the royal face with special gifts of various fabrics and goods; after receiving them in the Zetawun Hall with the princes, ministers, and secretaries, he bestowed upon Commissioner Phayre twelve golden chains, upon the Customs Officer Edward nine golden chains, and upon the remaining officials one set each of silver-inlaid betel boxes and one set of fine cotton garments.</t>
  </si>
  <si>
    <t xml:space="preserve">vol3_s001442_t02_4c75f5ceb031</t>
  </si>
  <si>
    <t xml:space="preserve">British officials</t>
  </si>
  <si>
    <t xml:space="preserve">The status conferrals are gold salwe insignia, not an explicit bestowal of named titles.</t>
  </si>
  <si>
    <t xml:space="preserve">King bestowed ranked gold salwe insignia on the British officials.</t>
  </si>
  <si>
    <t xml:space="preserve">vol3_s001442_t03_3aa1b7c36489</t>
  </si>
  <si>
    <t xml:space="preserve">EXCHANGED_GIFTS_WITH</t>
  </si>
  <si>
    <t xml:space="preserve">vol3_s001443</t>
  </si>
  <si>
    <t xml:space="preserve">vol3_s001443_t01_36a0e62a356d</t>
  </si>
  <si>
    <t xml:space="preserve">Thathanabaing</t>
  </si>
  <si>
    <t xml:space="preserve">FACILITATED_DIPLOMACY_BETWEEN</t>
  </si>
  <si>
    <t xml:space="preserve">King and British officials</t>
  </si>
  <si>
    <t xml:space="preserve">နောက် သာသနာပြုဆရာတော်ကြီးထံ ဖယ်ရာနှင့် အင်္ဂလိပ်အရာရှိတို့ အဖူးအမြော်သွားကြပြီးလျှင် နှစ်တိုင်း နှစ်ပြည် ဆင်းရဲသားကုန်သည်တို့ အကျိုးဖြစ်အောင် မေတ္တာစာ ဆက်သွင်းပါမည့် အကြောင်းနှင့် လျှောက်ထား သည်တွင် သာသနာပိုင်ဆရာတော်ဘုရားက စာဆက်သွင်းသောကြောင့် နှစ်တိုင်းနှစ်ပြည် ဆင်းရဲသားကုန်သည်တို့ အကျိုးစီးပွား ဖြစ်ထွန်းအောင် အမိန့်တော်နှင့် စာချုပ်ထားစေ၏။</t>
  </si>
  <si>
    <t xml:space="preserve">Later, Phayre and the English officials went to pay respects to the great missionary Sayadaw and requested that a letter of goodwill be submitted for the benefit of the poor merchants of both countries; because the Thathanapaing Sayadaw submitted the letter, he ordered that a contract be made for the prosperity of the poor merchants of both countries.</t>
  </si>
  <si>
    <t xml:space="preserve">vol3_s001443_t02_544f3913eb3e</t>
  </si>
  <si>
    <t xml:space="preserve">ORDERED_CONTRACT_FOR</t>
  </si>
  <si>
    <t xml:space="preserve">trade prosperity</t>
  </si>
  <si>
    <t xml:space="preserve">vol3_s001444</t>
  </si>
  <si>
    <t xml:space="preserve">vol3_s001444_t01_548a4231adb4</t>
  </si>
  <si>
    <t xml:space="preserve">Treaty</t>
  </si>
  <si>
    <t xml:space="preserve">MANDATED_REDUCTION_OF</t>
  </si>
  <si>
    <t xml:space="preserve">border customs duties</t>
  </si>
  <si>
    <t xml:space="preserve">စာချုပ်ပါ အကြောင်းကား... (၁) တစ်နှစ်လွန်ပြီးသည်နောက် နယ်ခြားအကောက်များကို အင်္ဂလိပ်အစိုးရမင်းတို့က လျှော့ရမည်အကြောင်း။</t>
  </si>
  <si>
    <t xml:space="preserve">The contents of the contract are... (1) That after one year has passed, the English government shall reduce the border customs duties.</t>
  </si>
  <si>
    <t xml:space="preserve">vol3_s001445</t>
  </si>
  <si>
    <t xml:space="preserve">vol3_s001445_t01_b8e61da779be</t>
  </si>
  <si>
    <t xml:space="preserve">Burmese government</t>
  </si>
  <si>
    <t xml:space="preserve">customs duties</t>
  </si>
  <si>
    <t xml:space="preserve">(၂) မြန်မာအစိုးရမင်းတို့ကလည်း တစ်နှစ်ခန့် လွန်ပြီးနောက် ၎င်း အကောက်မျိုးများကို လျှော့ရမည် အကြောင်း။</t>
  </si>
  <si>
    <t xml:space="preserve">(2) That the Burmese government shall also reduce such customs duties after about one year has passed.</t>
  </si>
  <si>
    <t xml:space="preserve">vol3_s001446</t>
  </si>
  <si>
    <t xml:space="preserve">vol3_s001446_t01_a1cf1c36e2d6</t>
  </si>
  <si>
    <t xml:space="preserve">PERMITTED</t>
  </si>
  <si>
    <t xml:space="preserve">British trade</t>
  </si>
  <si>
    <t xml:space="preserve">(၃) မည်သည့် အရပ်ဒေသမဆို အင်္ဂလိပ်ကျွန်တော်မျိုးတို့ ရောင်းဝယ်ဖောက်ကားခြင်းကို မြန်မာအစိုးရမင်းက အခွင့်ပြုကြောင်း။</t>
  </si>
  <si>
    <t xml:space="preserve">(3) That the Burmese government permits the English subjects to trade in any region.</t>
  </si>
  <si>
    <t xml:space="preserve">vol3_s001447</t>
  </si>
  <si>
    <t xml:space="preserve">vol3_s001447_t01_ba8bc07e6cd1</t>
  </si>
  <si>
    <t xml:space="preserve">PERMITTED_STATIONING_OF</t>
  </si>
  <si>
    <t xml:space="preserve">British representative</t>
  </si>
  <si>
    <t xml:space="preserve">(၄) မြန်မာဘုရင် ဧကရာဇ်မင်းမြတ် စံနေတော်မူသည့် ရတနာပုံ နေပြည်တော်မှာ အင်္ဂလိပ်အစိုးရမင်းတို့ ကိုယ်စားလှယ်တော် ထားရန် မြန်မာအစိုးရမင်းက အခွင့်ပြုတော်မူကြောင်းများ ဖြစ်သည်။</t>
  </si>
  <si>
    <t xml:space="preserve">(4) That the Burmese government permits the English government to station a representative in the Yadanabon capital city where the great Burmese Emperor resides.</t>
  </si>
  <si>
    <t xml:space="preserve">vol3_s001628</t>
  </si>
  <si>
    <t xml:space="preserve">vol3_s001628_t01_3dbf996d6ae1</t>
  </si>
  <si>
    <t xml:space="preserve">ISSUED_ROYAL_ORDER_TO</t>
  </si>
  <si>
    <t xml:space="preserve">Myingun Prince and Myinkhontine Prince</t>
  </si>
  <si>
    <t xml:space="preserve">ဘဝရှင်မင်းတရားကြီးဘုရားလည်း ငါ့ကို ရန်မပြုနှင့်-ဟူသော အမိန့်တော်ကို ပုရပိုက်တွင်ရေး၍ ပဝါနီ ရစ်ပတ်ပြီးလျှင် မြင်ကွန်းစား, မြင်းခုံတိုင်စားတို့ မယ်တော်-တောင်ရွှေရေးမိဖုရားကိုယ်တိုင် သားတော်များရှိရာ သွားရောက်ပေးစေသည်။</t>
  </si>
  <si>
    <t xml:space="preserve">The King also wrote the royal order, 'Do not commit hostility against me,' on a parabaik, wrapped it in a red cloth, and had the mother of the Myingun Prince and the Myinkhontine Prince, the Taungshwewei Queen herself, go and deliver it to where the princes were.</t>
  </si>
  <si>
    <t xml:space="preserve">vol3_s001628_t02_fb2ddf5f10ff</t>
  </si>
  <si>
    <t xml:space="preserve">Taungshwewei Queen</t>
  </si>
  <si>
    <t xml:space="preserve">ACTED_AS_MEDIATOR_FOR</t>
  </si>
  <si>
    <t xml:space="preserve">vol3_s001628_t03_d26b27143db9</t>
  </si>
  <si>
    <t xml:space="preserve">ATTEMPTED_PACIFICATION_OF</t>
  </si>
  <si>
    <t xml:space="preserve">vol3_s001629</t>
  </si>
  <si>
    <t xml:space="preserve">vol3_s001629_t01_daf5881a3a1b</t>
  </si>
  <si>
    <t xml:space="preserve">Crown Prince's attendants</t>
  </si>
  <si>
    <t xml:space="preserve">DEFENDED_PALACE_AGAINST</t>
  </si>
  <si>
    <t xml:space="preserve">တောင်းသောအရေးလည်း မရ၊ တံခါးနီပွင့်အောင်လည်း မတတ်နိုင်ကြသောကြောင့် နောက်ကိုဆုတ်ပြီးလျှင် မြင်ကွန်းစား-မြင်းခုံတိုင်စားတို့ လွှတ်တော်ထက်က သူပုန်တို့နှင့် စည်းကြပ် လုပ်ကြံသည်အတွင်း အိမ်ရှေ့တော်ထမ်း မြောက်ဒဝယ်ဗိုလ်ငမာ, လက်စွဲခေါင်း ငသာရောက်, ငသက်ပြင်း, ငတောသား, ငရောက်, သံဆင့်ငမြှေား, ငဘိုးအို, ငကလေးတို့နှင့် အိမ်ရှေ့တော်ထမ်း လူတစ်ရာ၊ ဘုန်းတော်ဖြစ်သေနတ်ဗိုလ် မဟာမင်းလှမင်းခေါင်နှင့် လူသုံးဆယ်တို့ ၎င်းနေ့ နေသုံးချက်တီးကျော် ငါးမောင်းအချိန် လက်ဝဲတံခါးကဝင်၍ မြင်ကွန်းစားက အစောင့်ထားသည့် ဇော်ဂျီ ဗိုလ်နှင့် လူတစ်ဆယ်တို့ကို သတ်ဖြတ်ပြီးလျှင် လွှတ်တော်ထက် စီးဝင်ခုခံနေသည့် မြင့်ကွန်းစား ညီအစ်ကိုနှင့် သူပုန်တို့တပ်ကို တိုက်ခိုက်ကြရာ မြင်ကွန်းစားတွင် ဗိုလ်ပြုလုပ်သူ သူပုန်တို့ သေကျေပျက်စီးသည်နှင့် မြင်ကွန်းစား ညီအစ်ကိုလည်း မရပ်မနေနိုင်၍ လွှတ်တော်တောင်လှေကားက ဆင်းပြီးလျှင် လက်ယာဝင်းတံခါးပြင်သို့ ထွက်ပြေး မမိမရ ရှိသည်။</t>
  </si>
  <si>
    <t xml:space="preserve">Because the requested matter was not obtained and they could not manage to open the red gate, they retreated; while the Myingun Prince and Myinkhontine Prince were conspiring and attacking with the rebels from the Hluttaw, the Crown Prince's attendants—North Dawei Bo Nga Ma, the personal guard leader Nga Thar Yauk, Nga Thet Pyin, Nga Taw Thar, Nga Yauk, the royal messenger Nga Hmwa, Nga Bo O, and Nga Kalay—along with one hundred Crown Prince's attendants, and the Royal Musketeer Bo Maha Min Hla Min Khaung with thirty men, entered through the left gate at the time of five bells past three bells of the day, killed the Zawgyi Bo and ten men whom the Myingun Prince had set as guards, and attacked the Myingun Prince's brothers and the rebel troops who were entrenched and resisting from the Hluttaw; as the rebels who were acting as commanders for the Myingun Prince were killed or wounded, the Myingun Prince's brothers could not stand their ground, descended the southern staircase of the Hluttaw, fled to the outside of the right palace gate, and were not caught.</t>
  </si>
  <si>
    <t xml:space="preserve">vol3_s001629_t02_7eb84a6a89a6</t>
  </si>
  <si>
    <t xml:space="preserve">Royal Musketeer Bo Maha Min Hla Min Khaung</t>
  </si>
  <si>
    <t xml:space="preserve">vol3_s001629_t03_31b92baebcfe</t>
  </si>
  <si>
    <t xml:space="preserve">Myingun Prince</t>
  </si>
  <si>
    <t xml:space="preserve">APPOINTED_GUARDS_AT</t>
  </si>
  <si>
    <t xml:space="preserve">vol3_s001629_t04_cd60b12e3ce3</t>
  </si>
  <si>
    <t xml:space="preserve">Myingun Prince's guards</t>
  </si>
  <si>
    <t xml:space="preserve">vol3_s001629_t05_cd0bd004f354</t>
  </si>
  <si>
    <t xml:space="preserve">Palace</t>
  </si>
  <si>
    <t xml:space="preserve">vol3_s001631</t>
  </si>
  <si>
    <t xml:space="preserve">vol3_s001631_t01_555c4c510d38</t>
  </si>
  <si>
    <t xml:space="preserve">Myingun Prince's brothers</t>
  </si>
  <si>
    <t xml:space="preserve">GATHERED_RESOURCES_FROM</t>
  </si>
  <si>
    <t xml:space="preserve">City population</t>
  </si>
  <si>
    <t xml:space="preserve">မြင်ကွန်းစား ညီအစ်ကိုတို့လည်း နန်းတော် သစ်တပ်ပြင်မြို့တွင်းရှိ ရရာရမိ လူတို့ကို သိမ်းရုံးပြီးလျှင် ၎င်းနေ့ ညဉ့် နန်းတော်အနောက်ရုံးကနေ၍ အနောက်တံခါးကို တိုက်ခိုက်ပြန်လာသည်ကို ရွှေနန်းတော်အတွင်းက ဝန်ကြီး, အတွင်းဝန်, မှူးတော်မတ်တော်, ဗိုလ်မှူးတပ်မှူးတို့ အုပ်ကွပ်၍ အမိန့်တော်နှင့် ရွှေနန်းတော်ကြီးတွင် စောင့်နေရသည့် သံတော်ဆင့် မိုင်းကိုင်းမြို့စား မင်းလှသီရိဇေယသူ, တောင်ဒဝယ်ဗိုလ် မဟာမင်းခေါင်နော်ရထာ တို့ကို အမှုထမ်း လူတစ်ရာ့ငါးဆယ်ကျော် ပေးအပ်၍ ခုခံတိုက်ခိုက်ကြရသည်။</t>
  </si>
  <si>
    <t xml:space="preserve">The Myingun Prince's brothers also gathered whatever people they could find within the city outside the new palace stockade, and that night, while they were attacking the western gate from the palace's western office, the ministers, interior ministers, high-ranking officials, and commanders from within the Golden Palace, under the command of the royal messenger, the Myingyi of Myingyan, Min Hla Thiri Zeya Thu, and the North Dawei Bo Maha Min Khaung Nawrahta, who were waiting in the Golden Palace by royal order, were assigned over one hundred and fifty service personnel to resist and attack them.</t>
  </si>
  <si>
    <t xml:space="preserve">vol3_s001631_t02_4be374fe7760</t>
  </si>
  <si>
    <t xml:space="preserve">Palace western gate</t>
  </si>
  <si>
    <t xml:space="preserve">vol3_s001631_t03_94bf3bcd9502</t>
  </si>
  <si>
    <t xml:space="preserve">Golden Palace</t>
  </si>
  <si>
    <t xml:space="preserve">vol3_s001631_t04_2996ae197292</t>
  </si>
  <si>
    <t xml:space="preserve">Min Hla Thiri Zeya Thu</t>
  </si>
  <si>
    <t xml:space="preserve">APPOINTED_BY_ROYAL_ORDER_TO_DEFEND</t>
  </si>
  <si>
    <t xml:space="preserve">vol3_s001631_t05_b28e9ab01049</t>
  </si>
  <si>
    <t xml:space="preserve">Maha Min Khaung Nawrahta</t>
  </si>
  <si>
    <t xml:space="preserve">vol3_s001632</t>
  </si>
  <si>
    <t xml:space="preserve">vol3_s001632_t01_21f556ba8477</t>
  </si>
  <si>
    <t xml:space="preserve">Pakhangyi Myosa</t>
  </si>
  <si>
    <t xml:space="preserve">The appanage is Pakhan-nge, not Pakhan-gyi. The same correct person is separately named in T2.</t>
  </si>
  <si>
    <t xml:space="preserve">Pakhan-nge titleholder/cavalry commander attacked the rebels.</t>
  </si>
  <si>
    <t xml:space="preserve">အိမ်ရှေ့တော်ထမ်းလူတို့နှင့် ပုခန်းငယ် မြို့စား ရဲဘက်မြင်းဝန် မင်းကြီးမဟာမင်းလှမင်းခေါင်, ဘုန်းတော်ဖြစ်သေနတ်ဗိုလ် မဟာမင်းလှမင်းခေါင်တို့လည်း နန်းမြို့သစ်တပ်ပြင်ကလှည့်၍ တိုက်ခိုက်ကြသည်။</t>
  </si>
  <si>
    <t xml:space="preserve">The Crown Prince's attendants, along with the Pakhangyi Myosa, the cavalry commander Mingyi Maha Min Hla Min Khaung, and the Royal Musketeer Bo Maha Min Hla Min Khaung, also circled around from outside the new palace stockade and attacked.</t>
  </si>
  <si>
    <t xml:space="preserve">vol3_s001632_t02_74617bc2fc09</t>
  </si>
  <si>
    <t xml:space="preserve">Mingyi Maha Min Hla Min Khaung</t>
  </si>
  <si>
    <t xml:space="preserve">vol3_s001632_t03_7f9ca3717346</t>
  </si>
  <si>
    <t xml:space="preserve">vol3_s001633</t>
  </si>
  <si>
    <t xml:space="preserve">vol3_s001633_t01_54e3a129a50c</t>
  </si>
  <si>
    <t xml:space="preserve">Royal steamship Ye Nan Sekkya</t>
  </si>
  <si>
    <t xml:space="preserve">နောက် သူပုန်တို့ ထိခိုက် သေကျေပျက်စီးများလျှင် မြင်ကွန်းစား ညီအစ်ကိုလည်း ကျေးကျွန်အမှုထမ်း လူလေးဆယ်ကျော် ငါးဆယ်ခန့်နှင့် ရွှေမြို့ တော် တောင်မျက်နှာ ရန်နည်း တံခါးက ထွက်သွား၍ ဧရာဝတီမြစ်ဆိပ်ကမ်းမှာ ဆိုက်ထားရှိသည့် ရေနန်းစကြာ မီးသင်္ဘောတော်တွင် သင်္ဘောစီး ကပ္ပီတန် ခလာသီလူတို့ကို အပြင်းအပြဓားကွပ်၍ အုပ်ချုပ်တင်ဆောင်လျက် အကြေသို့ စုန်ပြေးပြီးလျှင် ဧရာဝတီ မြစ်စဉ်တစ်လျှောက် မြို့ကျေးရွာများမှာလည်း ရရာရမိ ရွှေ, ငွေ, သေနတ်, လူသူ, သိမ်းယူစည်းကြပ်၍ မလွန်မြို့သို့ ရောက်ကာလ မီးသင်္ဘောနှင့် ဆန်တက်ပြီးလျှင် တရုပ်မြို့ စီရင်စု မြင်းခြံဆိပ်က အရပ်အနေပြု၍ စည်းကြပ်ရလူတို့ကို ဗိုလ် တပ်မှူး စစ်ကဲ အအုပ်အချုပ် ခန့်ထားပြီးလျှင် ရွှေမြို့ တော်သို့ ဆန်တက်တိုက်ခိုက်ရမည် စေလွှတ်သည်။</t>
  </si>
  <si>
    <t xml:space="preserve">Later, when the rebels suffered many casualties and deaths, the Myingun Prince's brothers, with about forty to fifty servants and attendants, went out through the Yan-Nge gate on the southern side of the royal city, went to the Irrawaddy river port, boarded the royal steamship 'Ye Nan Sekkya' anchored there, forced the ship's captain and crew at sword point to take control and transport them, fled downstream, and along the Irrawaddy river, they seized and conscripted whatever gold, silver, muskets, and people they could find in the towns and villages; upon reaching Malun, they went upstream by steamship, established a base at the Myingyan port in the Taungdwingyi jurisdiction, appointed commanders, troop leaders, and military officers to govern the people they had conscripted, and sent them to go upstream and attack the royal city.</t>
  </si>
  <si>
    <t xml:space="preserve">vol3_s001633_t02_2cdec2e671b6</t>
  </si>
  <si>
    <t xml:space="preserve">Irrawaddy river towns</t>
  </si>
  <si>
    <t xml:space="preserve">vol3_s001633_t03_ef543d4a5099</t>
  </si>
  <si>
    <t xml:space="preserve">ESTABLISHED_BASE_AT</t>
  </si>
  <si>
    <t xml:space="preserve">vol3_s001633_t04_2619c433da44</t>
  </si>
  <si>
    <t xml:space="preserve">APPOINTED_COMMANDERS_AT</t>
  </si>
  <si>
    <t xml:space="preserve">vol3_s001633_t05_adb70ed342c4</t>
  </si>
  <si>
    <t xml:space="preserve">CONSCRIPTED_MANPOWER_FROM</t>
  </si>
  <si>
    <t xml:space="preserve">vol3_s001634</t>
  </si>
  <si>
    <t xml:space="preserve">vol3_s001634_t01_aacd7d5a7bd4</t>
  </si>
  <si>
    <t xml:space="preserve">Yenangyaung Myosa Mingyi Maha Min Htin Min Kyaw</t>
  </si>
  <si>
    <t xml:space="preserve">ရွှေဖဝါးတော်အောက်ကလည်း သက္ကရာဇ် (၁၂၂၈) တစ်ထောင့်နှစ်ရာ့နှစ်ဆယ့်ရှစ်ခု ဒုတိယဝါဆိုလပြည့်ကျော် ကိုးရက် နေ့ အတွင်းဝန် ရေနံချောင်းမြို့စား မင်းကြီးမဟာမင်းထင်မင်းကျော်ကို ပုဂံမြို့ က အရပ်အနေပြု၍ အောက် မြစ်စဉ် မြို့ကျေးရွာများကို အုပ်ထိန်းဆင့်ဆို စီရင်ရမည်၊ ရွေးလက်ယာ သေနတ်ဗိုလ်ကို တောင်ဘက်ကိုးခရိုင်အုပ် ခန့်တော်မူပြီးလျှင် တောင်ဘက်ကိုးခရိုင်စီရင်စု မြို့ ကျေးရွာနေ လူတို့ကို ခွဲခန့်စည်းကြပ်ရမည် အမိန့်တော်နှင့် ထွက်သွားကြရ၏။</t>
  </si>
  <si>
    <t xml:space="preserve">From under the royal feet, on the ninth day after the full moon of the second Waso, 1228, the interior minister, the Yenangyaung Myosa Mingyi Maha Min Htin Min Kyaw, was ordered to establish a base at Bagan and govern, instruct, and manage the towns and villages along the lower river, and the Royal Musketeer Bo was appointed as the governor of the nine southern districts and ordered to depart to divide and conscript the people living in the towns and villages of the nine southern districts jurisdiction.</t>
  </si>
  <si>
    <t xml:space="preserve">vol3_s001634_t02_e24584724984</t>
  </si>
  <si>
    <t xml:space="preserve">ASSIGNED_TO_GOVERN</t>
  </si>
  <si>
    <t xml:space="preserve">Bagan and lower river towns</t>
  </si>
  <si>
    <t xml:space="preserve">vol3_s001634_t03_a51891de2ed6</t>
  </si>
  <si>
    <t xml:space="preserve">Royal Musketeer Bo</t>
  </si>
  <si>
    <t xml:space="preserve">vol3_s001634_t04_328e620df20a</t>
  </si>
  <si>
    <t xml:space="preserve">Nine southern districts</t>
  </si>
  <si>
    <t xml:space="preserve">vol3_s001635</t>
  </si>
  <si>
    <t xml:space="preserve">vol3_s001635_t01_da85561e70c3</t>
  </si>
  <si>
    <t xml:space="preserve">Natmauk Myosa Mingyi Maha Kyaw Htin</t>
  </si>
  <si>
    <t xml:space="preserve">၎င်းလပြည့်ကျော်ကိုးရက် နေ့ အိမ်ရှေ့ဝန် နတ်မောက်မြို့စား မင်းကြီးမဟာကျော်ထင်ကိုလည်း တောင်တွင်း ကြီးမြို့ ကျေးရွာနေ လူတို့ကို အုပ်ထိန်းဆင့်ဆိုစည်းကြပ်ပြီးလျှင် တောင်တွင်းကြီးမြို့က ရပ်နေရမည် အမိန့်တော်နှင့် ထွက်သွားရ၏။</t>
  </si>
  <si>
    <t xml:space="preserve">On the same ninth day after the full moon, the Crown Prince's minister, the Natmauk Myosa Mingyi Maha Kyaw Htin, was also ordered to depart to govern, instruct, and conscript the people living in the towns and villages of Taungdwingyi and to remain stationed at Taungdwingyi.</t>
  </si>
  <si>
    <t xml:space="preserve">vol3_s001635_t02_c842800d9a71</t>
  </si>
  <si>
    <t xml:space="preserve">Taungdwingyi</t>
  </si>
  <si>
    <t xml:space="preserve">vol3_s001735</t>
  </si>
  <si>
    <t xml:space="preserve">vol3_s001735_t01_876e7af6143b</t>
  </si>
  <si>
    <t xml:space="preserve">This continues the obituary and meritorious deeds of Crown Prince Kanaung, not King Mindon. The controlling biography is explicit on page 270.</t>
  </si>
  <si>
    <t xml:space="preserve">Crown Prince Kanaung patronized the Sangha.</t>
  </si>
  <si>
    <t xml:space="preserve">ထိုမှတစ်ပါးလည်း အရိယာသံဃာတော်တို့အား ရဟန်းတို့ အသုံးအဆောင် များစွာ လှူတော်မူ၏။</t>
  </si>
  <si>
    <t xml:space="preserve">Furthermore, [he] donated many items of use to the noble Sangha and monks.</t>
  </si>
  <si>
    <t xml:space="preserve">vol3_s001736</t>
  </si>
  <si>
    <t xml:space="preserve">vol3_s001736_t01_c0723c0d616c</t>
  </si>
  <si>
    <t xml:space="preserve">DISTRIBUTED_RESOURCES_TO</t>
  </si>
  <si>
    <t xml:space="preserve">ministers and servants</t>
  </si>
  <si>
    <t xml:space="preserve">The donor remains Crown Prince Kanaung in the continuous obituary, not Mindon.</t>
  </si>
  <si>
    <t xml:space="preserve">Crown Prince Kanaung distributed gifts to ministers and servants.</t>
  </si>
  <si>
    <t xml:space="preserve">မှူးမတ် ကျွန်တော်မျိုးတို့ကိုလည်း အထိုက်အလိုက် ပေးကမ်းတော်မူ၏။</t>
  </si>
  <si>
    <t xml:space="preserve">[He] also gave gifts to the ministers and servants according to their rank.</t>
  </si>
  <si>
    <t xml:space="preserve">vol3_s001737</t>
  </si>
  <si>
    <t xml:space="preserve">vol3_s001737_t01_e810bc68f760</t>
  </si>
  <si>
    <t xml:space="preserve">PROVIDED_WELFARE_TO</t>
  </si>
  <si>
    <t xml:space="preserve">impoverished subjects</t>
  </si>
  <si>
    <t xml:space="preserve">The charitable donor is Crown Prince Kanaung, established by the preceding biography.</t>
  </si>
  <si>
    <t xml:space="preserve">Crown Prince Kanaung provided necessities to the poor and elderly.</t>
  </si>
  <si>
    <t xml:space="preserve">သက်ကြီးရွယ်ရင့် အိုမင်းသူ မဝတ်ရတတ် မစားရ တတ် သူတို့ကိုလည်း အဝတ်အစား အသုံးအဆောင် ပေးကမ်းစွန့်ကြဲတော်မူ၏။</t>
  </si>
  <si>
    <t xml:space="preserve">[He] also gave and distributed clothing and items of use to the elderly, the aged, and those who were unable to clothe or feed themselves.</t>
  </si>
  <si>
    <t xml:space="preserve">vol3_s001738</t>
  </si>
  <si>
    <t xml:space="preserve">vol3_s001738_t01_258a8baf3d38</t>
  </si>
  <si>
    <t xml:space="preserve">Prince (son of Chief Queen)</t>
  </si>
  <si>
    <t xml:space="preserve">HELD_APPANAGE</t>
  </si>
  <si>
    <t xml:space="preserve">Htantabin</t>
  </si>
  <si>
    <t xml:space="preserve">သားတော် သမီးတော်ကား.... နှမတော်အိမ်ရှေ့မိဖုရား သီရိသုမြတ်စွာရတနာဒေဝီတွင်မြင်သည့် သားတော်- ထန်းတပင်မြို့စား တစ်ပါး၊ ညီတော်-ငယ်ကလွန် တစ်ပါး။</t>
  </si>
  <si>
    <t xml:space="preserve">As for the sons and daughters... the son born to the younger sister, the Chief Queen [of the] Front Palace, Siri Thu Myat Swa Ratana Devi, is the Lord of Htantabin; the younger brother died young.</t>
  </si>
  <si>
    <t xml:space="preserve">vol3_s001739</t>
  </si>
  <si>
    <t xml:space="preserve">vol3_s001739_t01_284397e7943b</t>
  </si>
  <si>
    <t xml:space="preserve">Prince (Lord of Panhteim)</t>
  </si>
  <si>
    <t xml:space="preserve">Panhteim</t>
  </si>
  <si>
    <t xml:space="preserve">ကိုယ်လုပ်တော်တို့တွင် မြင်သည့် သားတော် သမီးတော်တို့ကား... မြောက်ဆောင်ရှင်ကျေးတွင်မြင်သည့် သားတော် ပန်းထိမ်းမြို့စား မဟာသီရိဓမ္မရာဇာခံ တစ်ထောင့်နှစ်ရာ့နှစ်ဆယ့်ကိုးခုနှစ် အပြစ်နှင့်လျော်စွာ ရေချ သည် တစ်ပါး၊ နှမတော် တောင်ညိုမြို့စား သီရိဘဒ္ဒါဝတီ-ဘဝရှင်မင်းတရားကြီးဘုရားသားတော် မြင်ကွန်းမင်းသား သီရိဓမ္မရာဇာနှင့် စုံဖက်တော်မူသည် တစ်ပါး၊ ညီမတော် ရန်အောင်မြင်မြို့စား သီရိစိတ္တာဝတီ-ဘဝရှင် မင်းတရားကြီး ဘုရား သားတော်သုံးဆယ်မင်းသား မဟာသုသီရိဓမ္မရာဇာနှင့် စုံဖက်တော်မူသည် တစ်ပါး၊ ညီမတော် စမ္ပယ်နဂိုရ်မြို့စား သီရိအာသာဒေဝီ တစ်ပါး၊ မောင်တော် တိုင်တားမြို့ စား မောင်သန့် တစ်ပါး။</t>
  </si>
  <si>
    <t xml:space="preserve">As for the sons and daughters born to the concubines... the son born to Myauk Saung Shin Kye, the Lord of Panhteim, Maha Siri Dhamma Raja, was executed by drowning in the year 1229 in accordance with his offense; the younger sister, the Lady of Taungnyo, Siri Bhaddavati, was married to the son of the Lord of Life, the Great King, Prince Myingun Siri Dhamma Raja; the younger sister, the Lady of Yan Aung Myin, Siri Cittavati, was married to the son of the Lord of Life, the Great King, Prince Thonze Maha Thu Siri Dhamma Raja; the younger sister, the Lady of Sampanagol, Siri Asadevi; the elder brother, the Lord of Taingta, Maung Than.</t>
  </si>
  <si>
    <t xml:space="preserve">vol3_s001739_t02_5e37ea461fc9</t>
  </si>
  <si>
    <t xml:space="preserve">Page 269 explicitly attributes the decision to the Hluttaw without obtaining royal authorization; Mindon says he did not know and orders clemency, too late for this prince. Assigning the execution to Mindon reverses that distinction.</t>
  </si>
  <si>
    <t xml:space="preserve">The Hluttaw ordered the Panhteim prince's execution; Mindon attempted to pardon him.</t>
  </si>
  <si>
    <t xml:space="preserve">vol3_s001739_t03_1cf9042e99c4</t>
  </si>
  <si>
    <t xml:space="preserve">Princess (Lady of Taungnyo)</t>
  </si>
  <si>
    <t xml:space="preserve">Prince Myingun</t>
  </si>
  <si>
    <t xml:space="preserve">vol3_s001739_t04_79da0adb1b85</t>
  </si>
  <si>
    <t xml:space="preserve">Princess (Lady of Yan Aung Myin)</t>
  </si>
  <si>
    <t xml:space="preserve">Prince Thonze</t>
  </si>
  <si>
    <t xml:space="preserve">vol3_s001739_t05_4495639f2603</t>
  </si>
  <si>
    <t xml:space="preserve">Prince (Lord of Taingta)</t>
  </si>
  <si>
    <t xml:space="preserve">Taingta</t>
  </si>
  <si>
    <t xml:space="preserve">vol3_s001740</t>
  </si>
  <si>
    <t xml:space="preserve">vol3_s001740_t01_eec7f09cfc21</t>
  </si>
  <si>
    <t xml:space="preserve">Princess (Lady of Salin)</t>
  </si>
  <si>
    <t xml:space="preserve">The appanage is Salingyi, not Salin.</t>
  </si>
  <si>
    <t xml:space="preserve">The princess held the Salingyi appanage.</t>
  </si>
  <si>
    <t xml:space="preserve">ရှင်ဖော့တွင် မြင်သည့် သမီးတော် ဆားလင်းကြီးမြို့စား သီရိအာသာဝတီ-ဘဝရှင် မင်းတရားကြီးဘုရား သားတော် မလွန်မြို့စားမင်းသား သီရိမဟာဓမ္မရာဇာနှင့် စုံဖက်တော်မူသည် တစ်ပါး၊ မောင်တော်-ငယ်ကလွန် တစ်ပါး၊ ညီတော်-ငယ်ကလွန် တစ်ပါး၊ ညီတော်-ငယ်ကလွန် တစ်ပါး။</t>
  </si>
  <si>
    <t xml:space="preserve">The daughter born to Shin Hpo, the Lady of Salin, Siri Asavati, was married to the son of the Lord of Life, the Great King, Prince Malun Siri Maha Dhamma Raja; the elder brother died young; the younger brother died young; the younger brother died young.</t>
  </si>
  <si>
    <t xml:space="preserve">vol3_s001740_t02_150fb79f0baa</t>
  </si>
  <si>
    <t xml:space="preserve">Prince Malun</t>
  </si>
  <si>
    <t xml:space="preserve">The bride is the Salingyi princess; Salin is a different appanage.</t>
  </si>
  <si>
    <t xml:space="preserve">Salingyi princess Thiri Asavati married Prince Malun.</t>
  </si>
  <si>
    <t xml:space="preserve">vol3_s001742</t>
  </si>
  <si>
    <t xml:space="preserve">vol3_s001742_t01_125d23da3247</t>
  </si>
  <si>
    <t xml:space="preserve">Princess (Lady of Elazeyathein)</t>
  </si>
  <si>
    <t xml:space="preserve">Elazeyathein</t>
  </si>
  <si>
    <t xml:space="preserve">ရှင်စာတွင် မြင်သည့် သမီးတော် ဧလာဇေယသိန်မြို့စား သီရိမလ္လာဝတီ တစ်ပါး၊ ညီမတော်-ငယ်ကလွန် အတွင်းဝန် ဇလံမြို့စား မင်းကြီးမဟာမင်းလှနော်ရထာ သမီးကြီး ရှင်ဖူးတွင်မြင်သည့် သားတော် မောင်မြင့် တစ်ပါး၊ ညီတော် မောင်စစ်အောင် တစ်ပါး၊ နှမတော် မယ်ဆွေစစ် တစ်ပါး၊ မောင်တော်-ငယ်ကလွန် တစ်ပါး၊ နှမတော်-ငယ်ကလွန် တစ်ပါး။</t>
  </si>
  <si>
    <t xml:space="preserve">The daughter born to Shin Sar, the Lady of Elazeyathein, Siri Mallavati; the younger sister died young; the son born to the eldest daughter of the Minister of the Interior, the Lord of Zalan, Min Gyi Maha Min Hla Nawrahta, Shin Hpu, is Maung Myint; the younger brother is Maung Sit Aung; the younger sister is Maung Swe Sit; the elder brother died young; the younger sister died young.</t>
  </si>
  <si>
    <t xml:space="preserve">vol3_s001743</t>
  </si>
  <si>
    <t xml:space="preserve">vol3_s001743_t01_37a082324f80</t>
  </si>
  <si>
    <t xml:space="preserve">Minister of the Interior</t>
  </si>
  <si>
    <t xml:space="preserve">LINKED_TO_ROYAL_LINEAGE_VIA</t>
  </si>
  <si>
    <t xml:space="preserve">marriage of daughter</t>
  </si>
  <si>
    <t xml:space="preserve">၎င်းအတွင်းဝန် သမီးအငယ် ရှင်ပတွင်မြင်သည့် သားတော် မောင်စစ်နိုင် တစ်ပါး၊ ညီတော်-ငယ်ကလွန် တစ်ပါး။</t>
  </si>
  <si>
    <t xml:space="preserve">The son born to the younger daughter of the said Minister of the Interior, Shin Pa, is Maung Sit Naing; the younger brother died young.</t>
  </si>
  <si>
    <t xml:space="preserve">vol3_s001744</t>
  </si>
  <si>
    <t xml:space="preserve">vol3_s001744_t01_d76c42682c87</t>
  </si>
  <si>
    <t xml:space="preserve">Shin Thaik</t>
  </si>
  <si>
    <t xml:space="preserve">The clause refers to the father king and a royal servant woman; it does not say Mindon bestowed a title on Shin Thaik. The purported donor is unsupported even before resolving the precise Pancala-bwe phrase.</t>
  </si>
  <si>
    <t xml:space="preserve">Remove Mindon BESTOWED_TITLE Shin Thaik. Preserve the explicit genealogy; resolve the Pancala-bwe reference before encoding a separate title grant.</t>
  </si>
  <si>
    <t xml:space="preserve">ခမည်းတော်မင်းတရားကြီးဘုရား ပဉ္စာလဘွဲ့ ပါ ကျွန်တော်မျိုးသမီး ရှင်သိုက်တွင် မြင်သည့်သားတော် မောင်ဖြူ တစ်ပါး၊ နှမတော် မယ်ဆွေကြွေ တစ်ပါး၊ မောင်တော် မောင်လှောက်ကြီး တစ်ပါး၊ ညီတော်မောင်ဘိုး တစ်ပါး။</t>
  </si>
  <si>
    <t xml:space="preserve">The son born to the servant Shin Thaik, who held the title of Panchala from the Father, the Lord of Life, the Great King, is Maung Phyu; the younger sister is Maung Swe Kwe; the elder brother is Maung Hlyauk Gyi; the younger brother is Maung Bo.</t>
  </si>
  <si>
    <t xml:space="preserve">vol3_s001745</t>
  </si>
  <si>
    <t xml:space="preserve">vol3_s001745_t01_a137e72ce2ba</t>
  </si>
  <si>
    <t xml:space="preserve">Prince of Kyemyint</t>
  </si>
  <si>
    <t xml:space="preserve">ရှင်ညှာတွင် မြင်သည့်သားတော်- ငယ်ကလွန် တစ်ပါး၊ ညီတော်ကြေးမြင့်မင်းသား မောင်သက်၊ ပန်းထိမ်းစား နှင့် ပုန်ကန်ထွက်ပြေးသည့်နောက် ပုသိန်ကျောင်းတိုက်တွင် သေလွန်သည် တစ်ပါး၊ နှမတော် မယ်ဆွေကြည် တစ်ပါး၊ ညီမတော်-ငယ်ကလွန် တစ်ပါး။</t>
  </si>
  <si>
    <t xml:space="preserve">The son born to Shin Nya died young; the younger brother, the Prince of Kyemyint, Maung Thet, died in the Puthin monastery after rebelling and fleeing with the Lord of Panhteim; the younger sister is Maung Swe Kyi; the younger sister died young.</t>
  </si>
  <si>
    <t xml:space="preserve">vol3_s001745_t02_35519734c7dd</t>
  </si>
  <si>
    <t xml:space="preserve">FLED_WITH</t>
  </si>
  <si>
    <t xml:space="preserve">Lord of Panhteim</t>
  </si>
  <si>
    <t xml:space="preserve">vol3_s001746</t>
  </si>
  <si>
    <t xml:space="preserve">vol3_s001746_t01_2ce3fc6faec0</t>
  </si>
  <si>
    <t xml:space="preserve">Royal children</t>
  </si>
  <si>
    <t xml:space="preserve">DIED_YOUNG</t>
  </si>
  <si>
    <t xml:space="preserve">Konbaung dynasty</t>
  </si>
  <si>
    <t xml:space="preserve">The early deaths are true, but Konbaung dynasty is background classification rather than an object of DIED_YOUNG.</t>
  </si>
  <si>
    <t xml:space="preserve">Represent the children's early death as an event/property, with dynasty as context.</t>
  </si>
  <si>
    <t xml:space="preserve">ရှင်အိတွင်မြင်သည့် သားတော်-ငယ်ကလွန် တစ်ပါး၊ ညီတော်-ငယ်ကလွန် တစ်ပါး၊ ညီတော်-ငယ်ကလွန် တစ်ပါး၊ နှမတော်-ငယ်ကလွန် တစ်ပါး၊ ညီမတော်-ငယ်ကလွန် တစ်ပါး၊ မောင်တော် မောင်ဘုန်း တစ်ပါး။</t>
  </si>
  <si>
    <t xml:space="preserve">The son born to Shin Ei died young; the younger brother died young; the younger brother died young; the younger sister died young; the younger sister died young; the elder brother is Maung Bhone.</t>
  </si>
  <si>
    <t xml:space="preserve">vol3_s001747</t>
  </si>
  <si>
    <t xml:space="preserve">vol3_s001747_t01_1ceb445ede08</t>
  </si>
  <si>
    <t xml:space="preserve">Royal child</t>
  </si>
  <si>
    <t xml:space="preserve">The early death is supported; the dynasty is not a participant/object in that death.</t>
  </si>
  <si>
    <t xml:space="preserve">Represent the royal child's early death with dynasty as context, not its object.</t>
  </si>
  <si>
    <t xml:space="preserve">ရှင်မှီတွင် မြင်သည့် သားတော်-ငယ်ကလွန် တစ်ပါး။</t>
  </si>
  <si>
    <t xml:space="preserve">The son born to Shin Hmi died young.</t>
  </si>
  <si>
    <t xml:space="preserve">vol3_s001749</t>
  </si>
  <si>
    <t xml:space="preserve">vol3_s001749_t01_63688e1d774b</t>
  </si>
  <si>
    <t xml:space="preserve">Minister (Lord of Kwetywa)</t>
  </si>
  <si>
    <t xml:space="preserve">ကွပ်ရွာမြို့စားဝန်ကြီးသမီး ရှင်ဘွားတွင် မြင်သည့် သမီးတော် မယ်ဆွေချစ် တစ်ပါး။</t>
  </si>
  <si>
    <t xml:space="preserve">The daughter born to Shin Bhwa, the daughter of the Minister, the Lord of Kwetywa, is Maung Swe Chit.</t>
  </si>
  <si>
    <t xml:space="preserve">vol3_s001750</t>
  </si>
  <si>
    <t xml:space="preserve">vol3_s001750_t01_92eadffea9d0</t>
  </si>
  <si>
    <t xml:space="preserve">City Warden Maung Kho</t>
  </si>
  <si>
    <t xml:space="preserve">မြို့ဝန်လမိုင်းဝန် မောင်ခိုသမီး ရှင်ကေတွင်မြင်သည့် သားတော် မောင်မှတ်ကြီး တစ်ပါး၊ ညီတော်’ငယ်ကလွန် နှမတော် စာရေးကြီး မင်းလှမင်းထင်ကျော်သမီး ရှစ်အစ်တွင် မြင်သည့် သားတော် မောင်မြကြိုင် တစ်ပါး၊ ညီတော်-ငယ်ကလွန် တစ်ပါး၊ နှမတော် မယ်ဆွေသက် တစ်ပါး။</t>
  </si>
  <si>
    <t xml:space="preserve">The son born to Shin Ke, the daughter of the City Warden and Lamain Warden Maung Kho, is Maung Hmat Gyi; the younger brother died young; the son born to the daughter of the Chief Clerk Min Hla Min Htin Kyaw, Shin Ait, is Maung Mya Kyaing; the younger brother died young; the younger sister is Maung Swe Thet.</t>
  </si>
  <si>
    <t xml:space="preserve">vol3_s001750_t02_a8fd6fd4fa6b</t>
  </si>
  <si>
    <t xml:space="preserve">Chief Clerk Min Hla Min Htin Kyaw</t>
  </si>
  <si>
    <t xml:space="preserve">vol3_s002273</t>
  </si>
  <si>
    <t xml:space="preserve">vol3_s002273_t01_511d00bb7a1e</t>
  </si>
  <si>
    <t xml:space="preserve">Thibaw Prince</t>
  </si>
  <si>
    <t xml:space="preserve">OBLIGATED_TO_OBSERVE</t>
  </si>
  <si>
    <t xml:space="preserve">Rajadhamma</t>
  </si>
  <si>
    <t xml:space="preserve">ငါ့သားတော် သုသီရိ မဟာဓမ္မရာဇာသည် ရှေးမင်းကောင်းမင်းမြတ်တို့ ကျင့်ရိုးကျင့်စဉ်ဖြစ်သော ရာဇဓမ္မအပရိဟာနီယသင်္ဂဟစသော မင်းကျင့်တရားအပေါင်းတို့ကို အမြဲစောင့်ထိန်း၍ သာသနာတော်မြတ် အကျိုး၊ တိုင်းနေပြည်သူ ရှင်လူသတ္တဝါ အပေါင်းတို့အကျိုး၊ သားတော်အစဉ် မြေးတော်အဆက် မြစ်တော်အညွန့်တို့၏ အကျိုးပွားစီး ဖြစ်ထွန်းသဖြင့် တိုင်းပြည်နိုင်ငံ စည်ပင်သာယာခြင်း၏ အကြောင်းကို အမြဲနှလုံးထားပြီးလျှင် မပြတ်ထိန်းသိမ်း အုပ်ချုပ်စိုးစံရမည်။</t>
  </si>
  <si>
    <t xml:space="preserve">My son, the Prince of Thibaw, Thusiri Maha Dhamma Raja, must always keep in mind the causes for the prosperity and well-being of the country and the nation, by always observing all the royal duties such as the Rajadhamma and the Aparihaniya-sangaha, which are the customs and practices of the good and noble kings of old, and by constantly maintaining, governing, and ruling, so that the benefits of the noble Sasana, the benefits of all the people living in the country, and the benefits of the succession of sons, grandsons, and great-grandsons may flourish.</t>
  </si>
  <si>
    <t xml:space="preserve">vol3_s002273_t02_d44af96be4aa</t>
  </si>
  <si>
    <t xml:space="preserve">Aparihaniya-sangaha</t>
  </si>
  <si>
    <t xml:space="preserve">vol3_s002273_t03_58226e11fe47</t>
  </si>
  <si>
    <t xml:space="preserve">RESPONSIBLE_FOR_PROSPERITY_OF</t>
  </si>
  <si>
    <t xml:space="preserve">vol3_s002273_t04_1ce7eb6e5acc</t>
  </si>
  <si>
    <t xml:space="preserve">Country and Nation</t>
  </si>
  <si>
    <t xml:space="preserve">vol3_s002274</t>
  </si>
  <si>
    <t xml:space="preserve">vol3_s002274_t01_fd1fb9a0eb10</t>
  </si>
  <si>
    <t xml:space="preserve">OBLIGATED_TO_LOVE</t>
  </si>
  <si>
    <t xml:space="preserve">People</t>
  </si>
  <si>
    <t xml:space="preserve">တစ်ကြောင်းလည်း ငါ့သားတော်သည် ငါ့ကိုချစ်လျှင် တိုင်းနေပြည်သူ အပေါင်းတို့ကို ချစ်ရလိမ့်မည်၊ ငါ့အကျိုးကို လိုလျှင် တိုင်းပြည်နိုင်ငံ အကျိုးစီးပွားကို အလိုရှိရလိမ့်မည်၊ ယခု ငါမှာတော်မူသည့် အမိန့်တော် အတိုင်း တည်သော် မင်းဘုန်းကြီးသက်ရှည်ရှိမည်၊ ငါ့သားတော်အား ငါ မှာတော်မူသည်ကို ဝန်ကြီး, အတွင်းဝန်, မှူးတော်မတ်တော်တို့လည်း အမြဲအမြဲ မှတ်ရမည်- အမိန့်တော်မြတ်ရှိသည်တွင် အိမ်ရှေ့နှင်း ပြန်တမ်းအမိန့်တော်ကို ရှေ့တော်တွင် ဝန်ကြီး, အတွင်းဝန်တို့ စီကုံးရေးသား၍ လွှတ်တော်သို့ ပြန်ရ၏။</t>
  </si>
  <si>
    <t xml:space="preserve">Furthermore, if my son loves me, he must love all the people living in the country; if he desires my benefit, he must desire the benefit and prosperity of the country and the nation; if he abides by the order I have now commanded, he will have great royal glory and a long life; the ministers, the secretaries, and the high officials must also always remember what I have commanded to my son—when the royal order is given, the ministers and secretaries shall draft the royal edict of the appointment of the Heir Apparent in the royal presence and return it to the Hluttaw.</t>
  </si>
  <si>
    <t xml:space="preserve">vol3_s002274_t02_ddcc0644ab22</t>
  </si>
  <si>
    <t xml:space="preserve">OBLIGATED_TO_DESIRE_PROSPERITY_OF</t>
  </si>
  <si>
    <t xml:space="preserve">vol3_s002274_t03_7f6d82ce685b</t>
  </si>
  <si>
    <t xml:space="preserve">Ministers and Secretaries</t>
  </si>
  <si>
    <t xml:space="preserve">OBLIGATED_TO_RECORD</t>
  </si>
  <si>
    <t xml:space="preserve">vol3_s002274_t04_bba3bda4ffdb</t>
  </si>
  <si>
    <t xml:space="preserve">DRAFTED_EDICT_IN</t>
  </si>
  <si>
    <t xml:space="preserve">Royal Presence</t>
  </si>
  <si>
    <t xml:space="preserve">vol3_s002275</t>
  </si>
  <si>
    <t xml:space="preserve">vol3_s002275_t01_a5b24171e497</t>
  </si>
  <si>
    <t xml:space="preserve">Patron of the Fifth Buddhist Council</t>
  </si>
  <si>
    <t xml:space="preserve">အမိန့်တော်ကား…“ဘုန်းတော် အလွန်ကြီးမြတ်တော်မူလှသော ရေမြေ့အသျှင် ဆဒ္ဒန်ဆင်မင်းသခင် ဆင်ဖြူများရှင် လက်နက်စကြာသခင် ပဉ္စမသင်္ဂါယနာတင် အသျှင် ဘဝရှင်မင်းတရားကြီးဘုရား အမိန့်တော် ရှိသည်… ရှေးရှေးသော မင်းကောင်းမင်းမြတ်တို့သည် သာသနာတော်သုံးပါး စည်ပင်ပြန့်ပွား ထွန်းလင်းစေကြောင်း၊ တိုင်းပြည်နိုင်ငံ အစီးအပွား များပြား တိုးတက်စေကြောင်းများကို ညီညာ ဆောင်ရွက်စေခြင်းငှာ ရိုက်ရာတော်ခံ နန်းရန်အစစ်ဖြစ်သော သားတော်မြတ်ကို အိမ်ရှေ့နှင်းတော်မူမြဲ ဖြစ်သည်နှင့်အညီ ငါအသျှင် ဧကရာဇ် မင်းမြတ် သည်လည်း အပရိဟာနီယ စသော ရာဇဓမ္မ ကျင့်ဝတ်တရားအပေါင်းကို မြဲမြံစွာ ကျင့်ဆောင်တော်မူလျက် ရတနာပုံ မဟာရာဇဌာနီ ရွှေပြည်တော်ကြီးကို လက်မွန်အစ တည်ထောင်ဖန်ဆင်းတော်မူ၍ မြတ်စွာဘုရားသာသနာတော် အထူးသဖြင့် စည်ပင်ပွင့်လင်းစေခြင်းငှာ ငါးကြိမ်မြောက်ဖြစ်သော ပဉ္စမသင်္ဂါယနာ မင်္ဂလာသဘင် ယင်တော်မူပြီးလျှင် သာသနာတော်မြတ် အကျိုးစီးပွား၊ ကိုယ်တော်မြတ် အကျိုးစီးပွား၊ သားတော်အစဉ် မြေးတော်အဆက် မြစ်တော်အညွန့် စီးပွား၊ ရဟန်းရှင်လူ ပြည်သူသတ္တဝါအပေါင်းတို့ အကျိုးစီးပွား များစေကြောင်းများကို တရားနှင့်အညီ ထိန်းသိမ်း စောင့်ရှောက်တော်မူသည်။</t>
  </si>
  <si>
    <t xml:space="preserve">The royal order is: 'The Lord of the Land, the Master of the Saddan Elephant King, the Possessor of White Elephants, the Master of the Discus Weapon, the Patron of the Fifth Buddhist Council, the Great King of Life, who is of supreme glory, commands: Just as it has been the custom for the good and noble kings of old to appoint their noble sons, who are the true heirs to the throne and the royal palace, as Heir Apparent in order to work in unison for the flourishing and shining of the three Sasana and for the increase and progress of the benefits of the country and the nation, I, the Great Emperor, also, while firmly practicing all the royal duties such as the Aparihaniya, having founded and created the great royal capital of Yadanabon from the very beginning, and having held the auspicious Fifth Buddhist Council, which is the fifth of its kind, for the sake of the special flourishing and opening of the Buddha's Sasana, am protecting and guarding in accordance with the Dhamma the causes for the increase of the benefits of the noble Sasana, the benefits of my own person, the benefits of the succession of sons, grandsons, and great-grandsons, and the benefits of all the monks, laypeople, and living beings.'</t>
  </si>
  <si>
    <t xml:space="preserve">vol3_s002275_t02_072088f690de</t>
  </si>
  <si>
    <t xml:space="preserve">Yadanabon Capital</t>
  </si>
  <si>
    <t xml:space="preserve">vol3_s002275_t03_8ed108e5f07c</t>
  </si>
  <si>
    <t xml:space="preserve">Fifth Buddhist Council</t>
  </si>
  <si>
    <t xml:space="preserve">vol3_s002275_t04_bbf77e3581de</t>
  </si>
  <si>
    <t xml:space="preserve">PROTECTS_ACCORDING_TO_DHAMMA</t>
  </si>
  <si>
    <t xml:space="preserve">vol3_s002275_t05_cb82951a38b1</t>
  </si>
  <si>
    <t xml:space="preserve">vol3_s002276</t>
  </si>
  <si>
    <t xml:space="preserve">vol3_s002276_t01_65660abca671</t>
  </si>
  <si>
    <t xml:space="preserve">POSSESSES_LINEAGE</t>
  </si>
  <si>
    <t xml:space="preserve">ငါ့သားတော် သီပေါမြို့စား မင်းသား သုသီရိမဟာဓမ္မရာဇာသည်လည်း ကပ်ဦး မဟာ သမ္မတ ဥက္ကာမုခ သကျသာကီဝင်မင်းတို့မှ အစဉ်မပျက် ဆင်းသက်ခဲ့သော ကုန်းဘောင်နန်းရိုး နေမျိုးနွယ်စစ်ဖြစ်ခြင်း၊ ပိဋကတ်သုံးပုံကို ချောက်ချားစေလျက် သုံးကြိမ်မြောက် ပထမပြန်ဆို၍ သုံးကြိမ်တိုင်တိုင် မြတ်စွာဘုရား သာသနာ တော်ကို ထမ်းဆောင်နိုင်ခြင်း၊ လောက-ဓမ္မ လိမ္မာကျေပွန်သဖြင့် နောင် ငါနှင့်ထပ်တူ တိုင်းပြည်နိုင်ငံကို စိုးအုပ်နိုင်မည့် နှလုံး, လက်ရုံး, ဘုန်းပညာ လက္ခဏာနှင့် ဂုဏ်ထူးဝိသေသ ရှိသော သားတော်မြတ် ဖြစ်သည်နှင့်အညီ သာသနာ တော်ရေး တိုင်းရေးပြည်မှုများကို ညီညာဆောင်ရွက်စေခြင်းငှာ အိမ်ရှေ့မင်းတို့ တင့်တယ်စံပယ်ခြင်း၊ အလုံးအရင်း, ဆင်မြင်းဗိုလ်ပါ အပေါင်းတို့ဖြင့် ခြံရံလျက် အိမ်ရှေ့ဥပရာဇာအဖြစ်ကို ဆောက်နှင်းတော်မူမည်။</t>
  </si>
  <si>
    <t xml:space="preserve">My son, the Prince of Thibaw, Thusiri Maha Dhamma Raja, is a noble son who possesses the true Konbaung royal lineage and solar dynasty that has descended without interruption from the kings of the Sakya clan, such as Maha Sammata and Okkamukha of the beginning of the aeon; he is able to serve the Buddha's Sasana three times by reciting the three Pitakas; and because he is well-versed in worldly and religious matters, and possesses the heart, the strength, the glory, the wisdom, the characteristics, and the special virtues to be able to rule the country and the nation in the future just like me, I shall appoint him as the Heir Apparent, with the splendor and dignity befitting an Heir Apparent, surrounded by all the forces, elephants, horses, and troops, in order that he may work in unison on the affairs of the Sasana and the affairs of the country and the nation.</t>
  </si>
  <si>
    <t xml:space="preserve">vol3_s002276_t02_339ca02e8b4a</t>
  </si>
  <si>
    <t xml:space="preserve">Sakya Clan</t>
  </si>
  <si>
    <t xml:space="preserve">vol3_s002276_t03_9efac0a404e3</t>
  </si>
  <si>
    <t xml:space="preserve">DEMONSTRATED_MERIT_THROUGH</t>
  </si>
  <si>
    <t xml:space="preserve">Reciting Tipitaka</t>
  </si>
  <si>
    <t xml:space="preserve">vol3_s002276_t04_04e9cf787b90</t>
  </si>
  <si>
    <t xml:space="preserve">BESTOWED_STATUS_OF</t>
  </si>
  <si>
    <t xml:space="preserve">Heir Apparent</t>
  </si>
  <si>
    <t xml:space="preserve">vol3_s002276_t05_19557e95e53e</t>
  </si>
  <si>
    <t xml:space="preserve">SURROUNDED_BY</t>
  </si>
  <si>
    <t xml:space="preserve">Forces, elephants, horses, and troops</t>
  </si>
  <si>
    <t xml:space="preserve">vol3_s002287</t>
  </si>
  <si>
    <t xml:space="preserve">vol3_s002287_t01_148a99626f79</t>
  </si>
  <si>
    <t xml:space="preserve">Queen Mother Sinphyumashin</t>
  </si>
  <si>
    <t xml:space="preserve">ထိုနှစ် တော်သလင်းလ အတွင်း ဆဒ္ဒန်ဆင်မင်းသခင် ဘဝရှင်မင်းတရားကြီးဘုရား ရောဂါဝေဒနာတော် ဆုတ်ယုတ် သက်သာရာ မရရှိသည်နှင့် ရွှေမြို့တော်ပတ်လည် နံတော်သင့် စေတီပုထိုး ရုပ်တုဆင်းတု ဗောဓိညောင် တော် စသည်များမှာ ဆွမ်းသင်ပုတ်, ရေချမ်း, ပန်း, ဆီမီး, အဖွယ်အရာတို့ကို မပြတ် တင်လှူပူဇော်ခြင်း၊ ရာဇဝတ် အပြစ်အလျောက် ထောင်တန်း အကျဉ်းအမြောင်း ခံနေရသူများကို အပြစ်လေးပေါ့ မရွေးမချယ် ဘေးမဲ့ပေးတော်မူခြင်း၊ သားငှက်တိရစ္ဆာန် စသည်တို့ကို အဖိုး ကြေးငွေ ပေးကမ်းဝယ်ခြမ်းတော်မူ၍ အသက်ဘေးအန္တ ရာယ်မှ လွတ်ကင်း ချမ်းသာစေခြင်း စသော ဒီဃာယုကသုခ သံဝတ္တနိက ဖြစ်ရာဖြစ်ကြောင်းတို့ကို မယ်တော် ဆင်ဖြူမရှင်မိဖုရား, ဥပရာဇာ အိမ်ရှေ့မင်းနှင့်တကွ ဝန်ကြီး, အတွင်းဝန်, မှူးတော်မတ်တော် အပေါင်းတို့ ဗုဒ္ဓယတြာ, လောကီယတြာ အမျိုးမျိုးတို့ဖြင့် ကြိုးပမ်းအားထုတ် ကုမထမ်းရွက်ကြသော်လည်း လေဝေဒနာတော်မှ လွတ်မြောက် တော်မမူ၊ ဓမ္မတာသဘောကို မလွန်နိုင်သည်ဖြစ်၍ သက္ကရာဇ် (၁၂၄၀) တစ်ထောင့်နှစ်ရာ့လေးဆယ် သီတင်း ကျွတ် လဆန်းခြောက်ရက်- အင်္ဂါနေ့ နေ နှစ်ချက်တီးကျော် ခြောက်မောင်းခန့်အချိန် လူ့ပြည်ငြီး၍ နတ်ပြည်စံတော် မူသည်။</t>
  </si>
  <si>
    <t xml:space="preserve">During the month of Tawthalin that year, as the Lord of the White Elephant, the Sovereign King, did not obtain relief or improvement from his illness, the Queen Mother Sinphyumashin, the Crown Prince, along with the ministers, secretaries, and all the officials, exerted efforts and performed various Buddhist and worldly rituals—such as the constant offering of alms food, clear water, flowers, oil lamps, and various items to the auspicious pagodas, stupas, statues, and Bodhi trees around the royal city; the granting of amnesty to those suffering in prisons for criminal offenses without selecting based on the severity of the crime; and the purchasing of animals and birds with money to release them from the danger of death—all of which are causes for long life and happiness; yet, despite these efforts, he did not recover from his wind illness, and as he could not overcome the nature of mortality, he grew weary of the human realm and passed away to the celestial realm on Tuesday, the 6th day of the waxing moon of Thadingyut, in the year 1240, at approximately 10:00 AM.</t>
  </si>
  <si>
    <t xml:space="preserve">vol3_s002287_t02_70776fb422a6</t>
  </si>
  <si>
    <t xml:space="preserve">vol3_s002287_t03_dbe381fe2865</t>
  </si>
  <si>
    <t xml:space="preserve">Ministers and officials</t>
  </si>
  <si>
    <t xml:space="preserve">vol3_s002287_t04_6145371e8fa1</t>
  </si>
  <si>
    <t xml:space="preserve">vol3_s002287_t05_3ddd5828ba85</t>
  </si>
  <si>
    <t xml:space="preserve">PURCHASED_AND_RELEASED</t>
  </si>
  <si>
    <t xml:space="preserve">vol3_s002287_t06_03ae9607b95f</t>
  </si>
  <si>
    <t xml:space="preserve">HELD_STATUS_OF</t>
  </si>
  <si>
    <t xml:space="preserve">vol3_s002287_t07_910c27feecde</t>
  </si>
  <si>
    <t xml:space="preserve">DIED_ON</t>
  </si>
  <si>
    <t xml:space="preserve">Tuesday, 6th waxing moon of Thadingyut, 1240</t>
  </si>
  <si>
    <t xml:space="preserve">vol3_s002288</t>
  </si>
  <si>
    <t xml:space="preserve">vol3_s002288_t01_c834e63d3bfd</t>
  </si>
  <si>
    <t xml:space="preserve">INSTRUCTED</t>
  </si>
  <si>
    <t xml:space="preserve">Queens and officials</t>
  </si>
  <si>
    <t xml:space="preserve">သားတော် နတ်ပြည် စံတော်မမူမီ အတွင်းလည်း လေဝေဒနာတော်ကို သိမ်းဆည်း သည်းခံ သက်သာရာ ရစေ၍ လက္ခဏာရေးသုံးပါး၊ အနုဿတိတရား ဆယ်ပါး၊ အသုဘကမ္မဋ္ဌာန်း စသည်များကို အမြဲ နှလုံးသွင်းတော်မူလျက် အပါးတော်တွင် စောင့်ကြပ်ကုမသည့် မင်းမိဖုရား မှူးတော်မတ်တော်တို့ကို ပြောဆိုဆုံးမတော်မူပြီးလျှင် ရွှေနန်း စည်းစိမ်ကို စံတော်မူဦး ကာလကစ၍ ဧကသံဝစ္ဆရ အပိုင်းအခြား ထားပြီးကာလ နှစ်, လ, ရက်စဉ် အလျဉ်မပြတ် ဆည်းပူးပြုစု လှူဒါန်းတော်မူသော အဖိုးငွေတော်သပြာ နှစ်ဆယ့်နှစ်ကုဋေ ခြောက်သန်း အတိုင်းအရှည်ရှိသော နှစ်စဉ် အလှူတော်စာရင်းကို လျှောက်ကြားနာခံတော်မူပြီးလျှင် ဖြည်းညင်းသက်သာစွာ နတ်ပြည်စံတော်မူ၏။</t>
  </si>
  <si>
    <t xml:space="preserve">Before the Royal Son passed away to the celestial realm, he controlled and endured his wind illness to find relief, constantly keeping in mind the three characteristics of existence, the ten recollections, and the meditation on impurity, and after instructing and admonishing the kings, queens, and officials who were guarding and tending to him at his side, and after listening to the annual list of merit—which amounted to twenty-two hundred and six million silver coins, continuously collected, prepared, and donated without interruption from the time he began to enjoy the royal palace's prosperity, set by a one-year interval—he passed away to the celestial realm gently and peacefully.</t>
  </si>
  <si>
    <t xml:space="preserve">vol3_s002288_t02_c3dd081f61fb</t>
  </si>
  <si>
    <t xml:space="preserve">REVIEWED_RECORD_OF</t>
  </si>
  <si>
    <t xml:space="preserve">Accumulated merit</t>
  </si>
  <si>
    <t xml:space="preserve">vol3_s002288_t03_c43c5d2fe7ac</t>
  </si>
  <si>
    <t xml:space="preserve">MEASURED_BY</t>
  </si>
  <si>
    <t xml:space="preserve">2206 million silver coins</t>
  </si>
  <si>
    <t xml:space="preserve">The Burmese total is 22 koti plus 6 million, or 226 million, not 2,206 million. This is a numerical conversion error in the extracted object.</t>
  </si>
  <si>
    <t xml:space="preserve">Accumulated donations valued at 226 million silver monetary units.</t>
  </si>
  <si>
    <t xml:space="preserve">vol3_s002288_t04_e5f8204a6a02</t>
  </si>
  <si>
    <t xml:space="preserve">DIED_PEACEFULLY_AFTER</t>
  </si>
  <si>
    <t xml:space="preserve">Reviewing merit records</t>
  </si>
  <si>
    <t xml:space="preserve">vol3_s002289</t>
  </si>
  <si>
    <t xml:space="preserve">vol3_s002289_t01_0c0709a122af</t>
  </si>
  <si>
    <t xml:space="preserve">North Dawei gun commander</t>
  </si>
  <si>
    <t xml:space="preserve">PERFORMED_RITUAL_SERVICE_FOR</t>
  </si>
  <si>
    <t xml:space="preserve">Royal corpse</t>
  </si>
  <si>
    <t xml:space="preserve">အလောင်းတော်ကိုလည်း မြောက်ဒဝယ်သေနတ်ဗိုလ်၊ စို့လေးဆယ် ဒိုင်းဝန်-သံတော်ဆင့်တို့ ရေကြည်တော် ထမ်းဆောင်ဆက်သွင်း၍ ခန်းမတော်တွင် စောင့်ကြပ်ရင်း မင်းမိဖုရားတို့ ချိုးရေတော် သန့်ရှင်းစင်ကြယ်ရသည်။</t>
  </si>
  <si>
    <t xml:space="preserve">As for the royal corpse, the North Dawei gun commander, the forty-man unit, and the royal heralds performed the duty of offering clear water, and while they kept guard in the hall, the queens performed the cleansing of the royal body.</t>
  </si>
  <si>
    <t xml:space="preserve">vol3_s002289_t02_5f4754c9b224</t>
  </si>
  <si>
    <t xml:space="preserve">Forty-man unit</t>
  </si>
  <si>
    <t xml:space="preserve">The royal service designation 'forty groups' is rendered as a forty-man unit; this adds an unwarranted headcount and obscures the associated service office.</t>
  </si>
  <si>
    <t xml:space="preserve">Use the official/service establishment of the forty groups (with the shield-service office), not a forty-man unit.</t>
  </si>
  <si>
    <t xml:space="preserve">vol3_s002289_t03_05eb00aeffb7</t>
  </si>
  <si>
    <t xml:space="preserve">Royal heralds</t>
  </si>
  <si>
    <t xml:space="preserve">vol3_s002289_t04_5ff41b281809</t>
  </si>
  <si>
    <t xml:space="preserve">Queens</t>
  </si>
  <si>
    <t xml:space="preserve">PERFORMED_RITUAL_CLEANSING_OF</t>
  </si>
  <si>
    <t xml:space="preserve">vol3_s002290</t>
  </si>
  <si>
    <t xml:space="preserve">vol3_s002290_t01_55e560b3cf14</t>
  </si>
  <si>
    <t xml:space="preserve">PREPARED</t>
  </si>
  <si>
    <t xml:space="preserve">ပြီးလျှင် အလောင်းတော်ကို ပြကတေ့ ဆင်တော်မူမြဲဖြစ်သော အင်္ကျီရှည်တော် ဦးပေါင်းတော်များ ဆင်ယင်လျက် စက်တော်မူရင်း ရွှေချ မှန်စီ သလွန်တော်မှာ မင်းမိဖုရားတို့ ချီမပြင်ဆင် တင်ထားပြီးလျှင် ခေါင်းရင်းတော်က အကာရွှေ့မွှမ်း တရုတ်ကပ်နံရံကို ဖောက်ဖြတ်၍ ၎င်းအပေါက်နှင့် အရှေ့ကိုတည့်တည့် လက်ဖက်ရည်ဆောင်တော် အဆင်း မင်းတက်လှေကားတော်သို့ ဝန်ကြီး၊ အတွင်းဝန်၊ ဝန်ထောက်၊ မှူးတော်၊ မတ်တော်တို့ သလွန်တော်ကို ဝဲယာချီပင့်ပြီးလျှင် လှေကားတော်အောက်သို့ ခြေရင်းတော် လှည့်၍ ယူဆောင်၊ ထီးဖြူတော် ရှစ်ချက်အုပ်မိုးလျက် လက်ဖက်ရည်ဆောင်တော်က မှန်နန်းတော် မင်းတက်သက္ကဒါန်လှေကားတော်သို့ တက်သွား၊ အလယ် ဘမရာသန ရာဇပလ္လင်တော်ရှေ့ နှစ်နန်းကွာတွင် ချထားပြီးလျှင် ရွှေသားကျောက်စီ သလွန်တော်သို့ လဲပြောင်း၊ သမီးတော်တို့ အလောင်းတော်ဝဲယာ ရွှေချယပ်ရိုးရှည်, အရိုးဖဲကွပ် ဒေါင်းမြီးယပ်တော်ကြီးများနှင့် မပြတ် လွှဲခတ်ရသည်။</t>
  </si>
  <si>
    <t xml:space="preserve">Afterward, the royal corpse was dressed in the long royal coat and headgear that he was accustomed to wearing, and while he lay in state, the queens lifted and prepared him on the gold-plated, glass-inlaid royal bed; then, they broke through the movable Chinese-style partition wall at the head of the bed, and through that opening, directly to the east, the ministers, secretaries, assistant ministers, and officials lifted and carried the bed to the royal staircase descending from the tea pavilion, turning the feet of the bed toward the staircase, and while eight white royal umbrellas were held over him, they ascended to the royal staircase of the Glass Palace, placed him two royal lengths in front of the central Bhramarathana royal throne, transferred him to a solid gold, gem-inlaid royal bed, and the royal daughters continuously fanned him from the left and right of the royal corpse with long-handled gold-plated fans and large peacock-feather fans with silk-bordered edges.</t>
  </si>
  <si>
    <t xml:space="preserve">vol3_s002290_t02_4687989b3714</t>
  </si>
  <si>
    <t xml:space="preserve">vol3_s002290_t03_c3e5629b8e21</t>
  </si>
  <si>
    <t xml:space="preserve">ACCOMPANIED_BY</t>
  </si>
  <si>
    <t xml:space="preserve">Eight white royal umbrellas</t>
  </si>
  <si>
    <t xml:space="preserve">vol3_s002290_t04_7c30614ceedb</t>
  </si>
  <si>
    <t xml:space="preserve">PLACED_IN_FRONT_OF</t>
  </si>
  <si>
    <t xml:space="preserve">Bhramarathana royal throne</t>
  </si>
  <si>
    <t xml:space="preserve">vol3_s002290_t05_86f2a31eff3f</t>
  </si>
  <si>
    <t xml:space="preserve">Royal daughters</t>
  </si>
  <si>
    <t xml:space="preserve">PERFORMED_RITUAL_FANNING_OF</t>
  </si>
  <si>
    <t xml:space="preserve">vol3_s002291</t>
  </si>
  <si>
    <t xml:space="preserve">vol3_s002291_t01_5b9c16cdcd36</t>
  </si>
  <si>
    <t xml:space="preserve">Siri Pavara Vijayananta Yasa Pandita Tribhavanadityadhipati Maha Dhammarajadhiraja</t>
  </si>
  <si>
    <t xml:space="preserve">သီရိပဝရဝိဇယာနန္တ ယသ ပဏ္ဍိတ တြိဘ၀နာဒိတျာဓိပတိ မဟာဓမ္မရာဇာဓိရာဇာ-တံဆိပ်နာမံ ခံတော်မူသော ဆင်ဖြူများရှင် ပဉ္စမသင်္ဂါယနာတင် အသျှင် ဘဝရှင်မင်းတရားကြီးဘုရားကား... သက္ကရာဇ် (၁၁၇၆) တစ်ထောင့် တစ်ရာ့ခုနစ်ဆယ့်ခြောက်ခု ဝါဆိုလပြည့်ကျော် လေးရက် အင်္ဂါနေ့ နေနှစ်ချက်တီးကျော် သုံးနာရီနှစ်ပါဒ် ခုနစ်ဗီဇနာ အချိန် တူတွင်လက်၊ မကာရတွင်စန်း၊ ပြိဿတွင် သောကြာ၊ မေထုန်တွင် တနင်္ဂနွေ၊ ကြကဋ်တွင် အင်္ဂါ, ဗုဒ္ဓဟူး, ရာဟု၊ သိမ်တွင် ကြာသပတေး၊ မကာရတွင် စနေ၊ နက္ခတ်စဉ် နှစ်ဆယ့်တစ်လုံး သုံးပါဒ် တစ်ဆယ့်တဃဋီ၊ ဝရစုတ်ကြိုက်လျက် ဖွားမြင်တော်မူသည်။</t>
  </si>
  <si>
    <t xml:space="preserve">The Lord of the White Elephant, the convener of the Fifth Buddhist Council, the Sovereign King who bore the title Siri Pavara Vijayananta Yasa Pandita Tribhavanadityadhipati Maha Dhammarajadhiraja, was born on Tuesday, the 4th day of the waning moon of Waso, in the year 1176, at 10:45 AM, with the ascendant in Libra, the moon in Capricorn, Venus in Taurus, the sun in Gemini, Mars, Mercury, and Rahu in Cancer, Jupiter in Virgo, and Saturn in Capricorn, with twenty-one constellations, three parts, and eleven ghatis, under the Varacut star.</t>
  </si>
  <si>
    <t xml:space="preserve">vol3_s002291_t02_8dc67c63114a</t>
  </si>
  <si>
    <t xml:space="preserve">HELD_ROLE</t>
  </si>
  <si>
    <t xml:space="preserve">Convener of the Fifth Buddhist Council</t>
  </si>
  <si>
    <t xml:space="preserve">vol3_s002291_t03_dd3b97ef75bd</t>
  </si>
  <si>
    <t xml:space="preserve">BORN_ON</t>
  </si>
  <si>
    <t xml:space="preserve">Tuesday, 4th waning moon of Waso, 1176</t>
  </si>
  <si>
    <t xml:space="preserve">vol3_s002291_t04_65dfe591f3ff</t>
  </si>
  <si>
    <t xml:space="preserve">BORN_UNDER_ASTROLOGICAL_CONFIGURATION</t>
  </si>
  <si>
    <t xml:space="preserve">Libra ascendant, Capricorn moon, and specific planetary alignments</t>
  </si>
  <si>
    <t xml:space="preserve">vol3_s002357</t>
  </si>
  <si>
    <t xml:space="preserve">vol3_s002357_t01_4250c99a1044</t>
  </si>
  <si>
    <t xml:space="preserve">Tripitaka</t>
  </si>
  <si>
    <t xml:space="preserve">ရတနာသိင်္ဃမြို့ တွင် မြတ်စွာဘုရား ဟောကြားတော်မူသော ပိဋကတ်သုံးပုံတို့ကို ရေးသားပြုစုတော်မူ၍ ပိဋကတ်တိုက် တည်လုပ်သွင်းထားတော်မူသည်။</t>
  </si>
  <si>
    <t xml:space="preserve">In Ratanasingha City, [he] had the Tripitaka, which the Buddha preached, written and compiled, and had a Pitaka library built and established.</t>
  </si>
  <si>
    <t xml:space="preserve">vol3_s002357_t02_8b31bc0a26e7</t>
  </si>
  <si>
    <t xml:space="preserve">Pitaka_library</t>
  </si>
  <si>
    <t xml:space="preserve">vol3_s002357_t03_6fd6bb1c0cf8</t>
  </si>
  <si>
    <t xml:space="preserve">LOCATED_IN</t>
  </si>
  <si>
    <t xml:space="preserve">Ratanasingha_City</t>
  </si>
  <si>
    <t xml:space="preserve">vol3_s002358</t>
  </si>
  <si>
    <t xml:space="preserve">vol3_s002358_t01_1d716dd915ca</t>
  </si>
  <si>
    <t xml:space="preserve">အမရပူရမြို့ တွင် စံနေတော်မူကြိုက် မြတ်စွာဘုရား ဟောကြားတော်မူသော ပိဋကတ်သုံးပုံတို့ကို ရွှေရေး၊ မင်ရေး၊ ကညစ်ရေး သုံးရပ်တို့ဖြင့် ရေးသားပြုစုတော်မူပြီးလျှင် ပိဋကတ်တိုက် တည်လုပ်သွင်းထားတော်မူသည်။</t>
  </si>
  <si>
    <t xml:space="preserve">In Amarapura City, where [he] resided, [he] had the Tripitaka, which the Buddha preached, written and compiled using the three methods of gold writing, ink writing, and stylus writing, and had a Pitaka library built and established.</t>
  </si>
  <si>
    <t xml:space="preserve">vol3_s002358_t02_c1ad536d6d70</t>
  </si>
  <si>
    <t xml:space="preserve">vol3_s002358_t03_57f19f43284c</t>
  </si>
  <si>
    <t xml:space="preserve">Amarapura_City</t>
  </si>
  <si>
    <t xml:space="preserve">vol3_s002359</t>
  </si>
  <si>
    <t xml:space="preserve">vol3_s002359_t01_2386aa8a089a</t>
  </si>
  <si>
    <t xml:space="preserve">Dhammakkhandha_Pali_texts</t>
  </si>
  <si>
    <t xml:space="preserve">မြတ်စွာဘုရား ဟောကြားတော်မူသော ရှစ်သောင်းလေးထောင် အရေအတွက်ရှိသော ဓမ္မက္ခန္ဓာပါဠိတော် တို့နှင့်တကွ အဋ္ဌကထာ၊ ဋီကာများပါ ရွှေရေး, မင်ရေး, ကညစ်ရေး သုံးရပ်တို့ဖြင့် ရေးသားပြုစုတော်မူသည်။</t>
  </si>
  <si>
    <t xml:space="preserve">[He] had the 84,000 Dhammakkhandha Pali texts preached by the Buddha, along with the Atthakatha and Tika, written and compiled using the three methods of gold writing, ink writing, and stylus writing.</t>
  </si>
  <si>
    <t xml:space="preserve">vol3_s002359_t02_087bdc991dc6</t>
  </si>
  <si>
    <t xml:space="preserve">Atthakatha_and_Tika</t>
  </si>
  <si>
    <t xml:space="preserve">vol3_s002360</t>
  </si>
  <si>
    <t xml:space="preserve">vol3_s002360_t01_ec55c987705e</t>
  </si>
  <si>
    <t xml:space="preserve">INSCRIBED_ON_MARBLE</t>
  </si>
  <si>
    <t xml:space="preserve">ပိဋကတ်သုံးပုံ ဓမ္မက္ခန္ဓာ ပါဠိတော်တို့ကို ရတနာ ကျောက်သလင်း အပြင်၌ ရေးတင်ထုလုပ်တော်မူ၍ မဟာလောကမာရဇိန်စေတီတော် မဟာရံတံတိုင်း သုံးထပ်အတွင်း အုတ်ဂူပြာသာဒ်ဆူရေ ခုနစ်ရာ့နှစ်ဆယ့်ကိုး တည်လုပ်သွင်းထား ကိုးကွယ်တော်မူပြီးလျှင် ငါးကြိမ်မြောက် ပဉ္စမသင်္ဂါယနာ တင်တော်မူသည်။</t>
  </si>
  <si>
    <t xml:space="preserve">[He] had the Tripitaka Dhammakkhandha Pali texts inscribed on marble slabs, had 729 stone stupa-pavilions built and established within the three-layered outer wall of the Mahalokamarajin Pagoda for worship, and then held the fifth Buddhist Council.</t>
  </si>
  <si>
    <t xml:space="preserve">vol3_s002360_t02_5ef4238f8c85</t>
  </si>
  <si>
    <t xml:space="preserve">729_stupa_pavilions</t>
  </si>
  <si>
    <t xml:space="preserve">vol3_s002360_t03_48e372a3cb55</t>
  </si>
  <si>
    <t xml:space="preserve">Mahalokamarajin_Pagoda_complex</t>
  </si>
  <si>
    <t xml:space="preserve">vol3_s002360_t04_cbc31a9033be</t>
  </si>
  <si>
    <t xml:space="preserve">vol3_s002361</t>
  </si>
  <si>
    <t xml:space="preserve">vol3_s002361_t01_9dd066af82f4</t>
  </si>
  <si>
    <t xml:space="preserve">Four_ordination_halls</t>
  </si>
  <si>
    <t xml:space="preserve">ရတနာသိင်္ဃမြို့ တော် လေးမျက်နှာတွင် သမုတ်တော်မူသော သိမ်တော်လေး၊ ရတနာပုံ ရွှေမြို့ တော်ကြီး ခုနစ်ဌာနအဝင် ပဋ္ဌာန်းဟောရွှေသိမ်တော်၊ ခုနစ်ဌာနအဝင် သုဓမ္မာရွှေဇရပ်တော်၊ ခုနစ်ဌာနအဝင် မန္တလေးတောင်ခြေ၌ တည်လုပ်တော်မူသည့် ပိဋကတ်တိုက်တော်၊ ခုနစ်ဌာနအဝင် မဟာရံနှစ်ထပ်နှင့်တကွ မဟာအတုလ ဝိဇယာရာမ တိုက်တော်အတွင်း ဆောက်လုပ်တော်မူသည့် မဟာအတုလဝေယန် ကျောင်းတော်ကြီး။</t>
  </si>
  <si>
    <t xml:space="preserve">The four ordination halls (thein) consecrated at the four cardinal points of Ratanasingha City; the Patthana-preaching golden ordination hall within the seven locations of the great golden city of Ratanapon; the Sudhamma golden pavilion within the seven locations; the Pitaka library built at the foot of Mandalay Hill within the seven locations; and the great Maha Atula Weyan monastery building constructed within the Maha Atula Wijayarama monastery complex, which includes two-layered outer walls, within the seven locations.</t>
  </si>
  <si>
    <t xml:space="preserve">vol3_s002361_t02_c70f243798ab</t>
  </si>
  <si>
    <t xml:space="preserve">Patthana_preaching_golden_ordination_hall</t>
  </si>
  <si>
    <t xml:space="preserve">vol3_s002361_t03_ef7e9e3012f8</t>
  </si>
  <si>
    <t xml:space="preserve">Sudhamma_golden_pavilion</t>
  </si>
  <si>
    <t xml:space="preserve">vol3_s002361_t04_36d518221277</t>
  </si>
  <si>
    <t xml:space="preserve">vol3_s002361_t05_eb66f43af9b5</t>
  </si>
  <si>
    <t xml:space="preserve">Maha_Atula_Weyan_monastery</t>
  </si>
  <si>
    <t xml:space="preserve">vol3_s002362</t>
  </si>
  <si>
    <t xml:space="preserve">vol3_s002362_t01_87ac5b3c8513</t>
  </si>
  <si>
    <t xml:space="preserve">Maha_Tulot_Bon_San_monastery</t>
  </si>
  <si>
    <t xml:space="preserve">ရွှေမြို့တော်ရှေ့ မျက်နှာတွင် ကျောင်းစံနှစ်ဆယ်ကျော်နှင့်တကွသော ဉေယျဓမ္မာဘိ မုနိဝရဉာဏကိတ္တိသီရိဓဇ ဓမ္မသေနာပတိ မဟာဓမ္မရာဇာဓိရာဇဂုရုတံဆိပ်တော်ရ သာသနာပြုဆရာတော် သီတင်းသုံးနေသည့် မဟာ ဝိသုတာရာမ တိုက်တော်တွင် ဆောက်လုပ်တော်မူသည့် မဟာတုလွတ်ဘုံစံ ရွှေကျောင်းတော်။</t>
  </si>
  <si>
    <t xml:space="preserve">The Maha Tulot Bon San golden monastery building constructed within the Maha Wisutarama monastery complex, where the missionary Sayadaw, who holds the title of Neyyadhammabhi Munivarayanakittisiridhaja Dhammasenapati Mahadhammarajadhirajaguru and has over twenty monastery residences, resides, located in front of the golden city.</t>
  </si>
  <si>
    <t xml:space="preserve">vol3_s002362_t02_76a9e82e50ff</t>
  </si>
  <si>
    <t xml:space="preserve">Missionary_Sayadaw</t>
  </si>
  <si>
    <t xml:space="preserve">vol3_s002362_t03_96bcddfbd984</t>
  </si>
  <si>
    <t xml:space="preserve">Neyyadhammabhi_Munivarayanakittisiridhaja_Dhammasenapati_Mahadhammarajadhirajaguru</t>
  </si>
  <si>
    <t xml:space="preserve">vol3_s002363</t>
  </si>
  <si>
    <t xml:space="preserve">vol3_s002363_t01_f80ddda01beb</t>
  </si>
  <si>
    <t xml:space="preserve">EXCAVATED_INFRASTRUCTURE</t>
  </si>
  <si>
    <t xml:space="preserve">Ratananadi_River</t>
  </si>
  <si>
    <t xml:space="preserve">မတ္တရာမြစ်က တူးဖောက်သည့် ရွှေလောင်း မြောင်းဟောင်းရာတွင် ရေလာရေသွား မပေါက်မရောက်သည်ကို ထပ်မံ တူးဖောက်တော်မူသည့် ရတနာနဒီမြစ်တော်။</t>
  </si>
  <si>
    <t xml:space="preserve">The Ratananadi River, which [he] had re-excavated because water flow was not reaching the old Shwelaung canal route that had been excavated from the Mattara River.</t>
  </si>
  <si>
    <t xml:space="preserve">vol3_s002363_t02_62b2420bd24d</t>
  </si>
  <si>
    <t xml:space="preserve">IMPROVED_WATER_FLOW_TO</t>
  </si>
  <si>
    <t xml:space="preserve">Shwelaung_canal</t>
  </si>
  <si>
    <t xml:space="preserve">vol3_s002364</t>
  </si>
  <si>
    <t xml:space="preserve">vol3_s002364_t01_08548aa1ee07</t>
  </si>
  <si>
    <t xml:space="preserve">Maha_Adhikara_lake</t>
  </si>
  <si>
    <t xml:space="preserve">တောင်ပြုံးကြီး မြို့နယ်အတွင်းတွင် ဆည်ဖို့ လုပ်ဆောင်တော်မူသည့် မဟာအဓိကရ ကန်တော်။</t>
  </si>
  <si>
    <t xml:space="preserve">The Maha Adhikara lake, which [he] had constructed as a dam within Taungbyon-gyi township.</t>
  </si>
  <si>
    <t xml:space="preserve">vol3_s002364_t02_30f2efb28265</t>
  </si>
  <si>
    <t xml:space="preserve">Taungbyon_gyi_township</t>
  </si>
  <si>
    <t xml:space="preserve">vol3_s002365</t>
  </si>
  <si>
    <t xml:space="preserve">vol3_s002365_t01_59c0dc19d9e5</t>
  </si>
  <si>
    <t xml:space="preserve">REPAIRED_INFRASTRUCTURE</t>
  </si>
  <si>
    <t xml:space="preserve">Meiktila_lake</t>
  </si>
  <si>
    <t xml:space="preserve">မိတ္ထီလာမြို့ရှိ နတ်မောက်ဆည်၊ မထောင်းတာဆည်၊ လင်းဇင်းဆည်နှင့်တကွ ပျက်ပြားရှိသည့် မိတ္ထိလာ ကန်တော်ကို အသစ်ထမ်မံ ပြင်ဆင် ဆည်ဖို့ လုပ်ဆောင်တော်မူသည်။</t>
  </si>
  <si>
    <t xml:space="preserve">[He] had the Meiktila lake, which was in a state of disrepair, along with the Natmauk dam, Mathaungta dam, and Linzin dam in Meiktila city, newly repaired and dammed.</t>
  </si>
  <si>
    <t xml:space="preserve">vol3_s002365_t02_e889e10c5a9b</t>
  </si>
  <si>
    <t xml:space="preserve">Natmauk_dam</t>
  </si>
  <si>
    <t xml:space="preserve">vol3_s002365_t03_4530296e42c5</t>
  </si>
  <si>
    <t xml:space="preserve">Mathaungta_dam</t>
  </si>
  <si>
    <t xml:space="preserve">vol3_s002365_t04_323ed82f89c3</t>
  </si>
  <si>
    <t xml:space="preserve">Linzin_dam</t>
  </si>
  <si>
    <t xml:space="preserve">vol3_s002366</t>
  </si>
  <si>
    <t xml:space="preserve">vol3_s002366_t01_361f01e84a8b</t>
  </si>
  <si>
    <t xml:space="preserve">Mu_River</t>
  </si>
  <si>
    <t xml:space="preserve">မြေဒူးမြို့ နယ် မြင်းခွာတောင်အောက်ကသည် ရတနာသိင်္ဃမြို့ မဟာနန္ဒာကန်တော်ရောက် မူးမြစ် တိမ်ကော ကျိုးပေါက် ပျက်စီးယိုယွင်း ရှိသည်များကို အသစ်ထပ်မံ တူးဖောက်လုပ်ဆောင်တော်မူသည်။</t>
  </si>
  <si>
    <t xml:space="preserve">[He] had the Mu River, which flows from below Myinkwa Mountain in Myedu township to the Maha Nanda lake in Ratanasingha City, newly re-excavated and worked upon where it had become shallow, breached, damaged, and deteriorated.</t>
  </si>
  <si>
    <t xml:space="preserve">vol3_s002367</t>
  </si>
  <si>
    <t xml:space="preserve">vol3_s002367_t01_d367457003b6</t>
  </si>
  <si>
    <t xml:space="preserve">GRANTED_LAND_STATUS</t>
  </si>
  <si>
    <t xml:space="preserve">Visungama_land</t>
  </si>
  <si>
    <t xml:space="preserve">ရတနာပုံရွှေမြို့ တော် လေးပြင်ရှိ ကျောင်းတိုက်များတွင် ရဟန်း သံဃာတော်တို့ ဥပုသ်ပဝါရဏာ ကံကြီး ကံငယ် ဆောင်ရွက်ရန် စတုရန်း ခုနစ်တာစီ မြေကို ဝိသုံဂါမမြေစား သနားတော်မြတ်ခံစေ၍ ကုသိုလ်တော်ပွား ခဏ္ဍသိမ် သမုတ်လှူဒါန်းသည့် များစွာသော သိမ်တော်။</t>
  </si>
  <si>
    <t xml:space="preserve">Many ordination halls (thein) in the monastery complexes around the four sides of the golden city of Ratanapon, for which [he] granted seven square ta of land each as Visungama land for the monks to perform Uposatha, Pavarana, and major and minor ecclesiastical duties, and which [he] consecrated as Khandha-thein and donated to increase merit.</t>
  </si>
  <si>
    <t xml:space="preserve">vol3_s002367_t02_5ca54de434d3</t>
  </si>
  <si>
    <t xml:space="preserve">DONATED_INFRASTRUCTURE</t>
  </si>
  <si>
    <t xml:space="preserve">Ordination_halls</t>
  </si>
  <si>
    <t xml:space="preserve">vol3_s002368</t>
  </si>
  <si>
    <t xml:space="preserve">vol3_s002368_t01_43e64f7beb08</t>
  </si>
  <si>
    <t xml:space="preserve">DONATED_RITUAL_OBJECTS_TO</t>
  </si>
  <si>
    <t xml:space="preserve">Tooth_Relic_Sri_Lanka</t>
  </si>
  <si>
    <t xml:space="preserve">လင်္ကာဒီပ သီဟိုဠ်ကျွန်းရှိ စွယ်တော်နှင့် အနုရာဓမြို့ရှိ ဒုဋ္ဌဂါမဏိမင်း ကောင်းမှု မဟာစေတီတော်များမှာ လှူဒါန်းပူဇော်တော်မူသည့် စိန်မြပတ္တမြား စီခြယ်သော ရွှေသားဆီမီးခွက်တော်၊ ရွှေသား ပန်းခိုင်တော်၊ ငွေသား ပန်းခိုင်တော်။</t>
  </si>
  <si>
    <t xml:space="preserve">Gold oil lamps, gold flower clusters, and silver flower clusters, all inlaid with diamonds, emeralds, and rubies, which [he] donated and offered to the Tooth Relic on the island of Lankadipa (Sri Lanka) and to the great pagodas built by King Dutthagamani in Anuradhapura.</t>
  </si>
  <si>
    <t xml:space="preserve">vol3_s002368_t02_f3e551868550</t>
  </si>
  <si>
    <t xml:space="preserve">Great_pagodas_Anuradhapura</t>
  </si>
  <si>
    <t xml:space="preserve">vol3_s002369</t>
  </si>
  <si>
    <t xml:space="preserve">vol3_s002369_t01_b3469d6147f8</t>
  </si>
  <si>
    <t xml:space="preserve">Mahajotikarama_monastery</t>
  </si>
  <si>
    <t xml:space="preserve">ရွှေမြို့ တော်ကြီး မြောက်ပြင်တွင် ကျောင်းရံ နှစ်ဆယ်ကျော်နှင့်တကွ မဟာရံနှစ်ထပ်တို့ဖြင့် ဆန်းကြယ် တင့်တယ်စွာ ဆောက်လုပ်၍ သီလုံးရွာ တောရ စန္ဒိမာဘိသီရိကဝိဓဇ မဟာဓမ္မရာဇာဓိရာဇဂုရု တံဆိပ်တော်ရ ဆရာတော်ကို တင်လှူတော်မူသည့် မဟာဇောတိကာရာမတိုက် ရတနာဘုံစံ-စံကျောင်းတော်။</t>
  </si>
  <si>
    <t xml:space="preserve">The Ratanabon San-San monastery building of the Mahajotikarama complex, which [he] had built wonderfully and beautifully with over twenty surrounding monastery residences and two-layered outer walls in the northern area of the great golden city, and which [he] offered to the Sayadaw of Thilon village forest monastery, who holds the title of Candimabhisirikawidhaja Mahadhammarajadhirajaguru.</t>
  </si>
  <si>
    <t xml:space="preserve">vol3_s002369_t02_b8d4fecbbfc9</t>
  </si>
  <si>
    <t xml:space="preserve">Thilon_village_Sayadaw</t>
  </si>
  <si>
    <t xml:space="preserve">vol3_s002369_t03_4df6eba3b8f9</t>
  </si>
  <si>
    <t xml:space="preserve">Candimabhisirikawidhaja_Mahadhammarajadhirajaguru</t>
  </si>
  <si>
    <t xml:space="preserve">vol3_s002370</t>
  </si>
  <si>
    <t xml:space="preserve">vol3_s002370_t01_2919f0e333c7</t>
  </si>
  <si>
    <t xml:space="preserve">Monastery_Shankale_Island</t>
  </si>
  <si>
    <t xml:space="preserve">ရှမ်းကလေးကျွန်းတွင် ဆောက်လုပ်၍ ခေါ်တောဆရာတော်ကို တင်လှူသည့် ကျောင်းတော်။</t>
  </si>
  <si>
    <t xml:space="preserve">A monastery building constructed on Shankale Island and offered to the Khawtaw Sayadaw.</t>
  </si>
  <si>
    <t xml:space="preserve">vol3_s002370_t02_2e1baa30882c</t>
  </si>
  <si>
    <t xml:space="preserve">Khawtaw_Sayadaw</t>
  </si>
  <si>
    <t xml:space="preserve">vol3_s002386</t>
  </si>
  <si>
    <t xml:space="preserve">vol3_s002386_t01_f3d1b4d4099d</t>
  </si>
  <si>
    <t xml:space="preserve">DONATED_MONASTERY_COMPLEX_TO</t>
  </si>
  <si>
    <t xml:space="preserve">Ratanathutkhaung Sayadaw</t>
  </si>
  <si>
    <t xml:space="preserve">စစ်ကိုင်းမြို့ ဓမ္မိကချောင်တွင် ရတနာထွဋ်ခေါင်ဆရာတော်အား တင်လှူသည့် ကျောင်းဦးပြာသာဒ်, ဘောဂ, စနုဆောင်များနှင့်တကွ မှန်စီရွှေချကျောင်းတော်။</t>
  </si>
  <si>
    <t xml:space="preserve">A glass-mosaic and gold-gilded monastery, together with a monastery-front spire, a bhoga, and a sanu hall, offered to the Ratanathutkhaung Sayadaw in the Dhammika monastery compound in Sagaing City.</t>
  </si>
  <si>
    <t xml:space="preserve">vol3_s002387</t>
  </si>
  <si>
    <t xml:space="preserve">vol3_s002387_t01_848c347ac193</t>
  </si>
  <si>
    <t xml:space="preserve">REPAIRED_RELIGIOUS_SITE_BUILT_BY</t>
  </si>
  <si>
    <t xml:space="preserve">Previous King</t>
  </si>
  <si>
    <t xml:space="preserve">စစ်ကိုင်းမြို့ မင်းကွန်းရွာတွင် ခမည်းတော် မင်းတရားကြီးကောင်းမှု ပျက်စီးယိုယွင်းသည်ကို ပြင်ဆင် လုပ်ဆောင်တော်မူသည့် ရှင်ဖြူဘုရားစေတီတော်။</t>
  </si>
  <si>
    <t xml:space="preserve">The Shinbyu Pagoda, which was repaired and restored after the meritorious work of the royal father, the great king, had fallen into ruin and decay in Mingun Village, Sagaing City.</t>
  </si>
  <si>
    <t xml:space="preserve">vol3_s002387_t02_604e9c07259e</t>
  </si>
  <si>
    <t xml:space="preserve">REPAIRED_RELIGIOUS_SITE</t>
  </si>
  <si>
    <t xml:space="preserve">Shinbyu Pagoda</t>
  </si>
  <si>
    <t xml:space="preserve">vol3_s002388</t>
  </si>
  <si>
    <t xml:space="preserve">vol3_s002388_t01_1b168afce9fc</t>
  </si>
  <si>
    <t xml:space="preserve">Princess of Bagan and Mong Nai</t>
  </si>
  <si>
    <t xml:space="preserve">BUILT_AND_DONATED_MONASTERY_TO</t>
  </si>
  <si>
    <t xml:space="preserve">Shin Tiloka</t>
  </si>
  <si>
    <t xml:space="preserve">The Bagan princess is correctly identified, but her second appanage is Mongnawng, not Mong Nai.</t>
  </si>
  <si>
    <t xml:space="preserve">Princess of Bagan and Mongnawng donated the monastery to Shin Tiloka.</t>
  </si>
  <si>
    <t xml:space="preserve">သမီးတော် ပုဂံ-မိုင်းနောင်နှစ်မြို့စား စုဘုရားကြီးက ရွှေမြို့တော် ရှေ့ပြင် ဝိစိတ္တာရာမမာရ်အောင်တိုက်တွင် ကျောင်းဦးပြာသာဒ် ဘောဂစနုနှင့်တကွ ဆောက်လုပ်၍ ဝိစိတ္တာရာမဆရာတော် ရှင်တိလောကအား တင်လှူသည့် ဘုံငါးဆင့် စမြင်ခံ ကျောင်းတော်ကြီး။</t>
  </si>
  <si>
    <t xml:space="preserve">A five-story, raised-platform great monastery, built by the daughter, the Princess of Bagan and Mong Nai, in the Wicitthayama Mar-Aung monastery compound in the eastern area of the royal city, together with a monastery-front spire and a bhoga-sanu, and offered to the Wicitthayama Sayadaw Shin Tiloka.</t>
  </si>
  <si>
    <t xml:space="preserve">vol3_s002389</t>
  </si>
  <si>
    <t xml:space="preserve">vol3_s002389_t01_6c602a5c625c</t>
  </si>
  <si>
    <t xml:space="preserve">North Palace Queen</t>
  </si>
  <si>
    <t xml:space="preserve">Pyi Sayadaw</t>
  </si>
  <si>
    <t xml:space="preserve">မြောက်နန်းမိဖုရားက ရွှေမြို့တော်မြောက်ပြင် မန္တလေးတောင်ခြေ မဏ္ဍလာရာမပြည်တိုက်အတွင်း ဆောက် လုပ်၍ မေဓာဘိဝံသ သီရိသဒ္ဓမ္မဓဇ ပရမ မဟာဓမ္မရာဇာဓိရာဇဂုရု-တံဆိပ်တော်ရ ပြည်ဆရာတော်အား တင်လှူ တော်မူသည့် ကျောင်းရံနှစ်ဆယ်နှင့်တကွ လေးထပ်စမြင်ခံကျောင်းတော်ကြီး၊ သိမ်ပြာသာဒ်တော်ကြီး။</t>
  </si>
  <si>
    <t xml:space="preserve">A four-story, raised-platform great monastery, together with twenty auxiliary monasteries and a great ordination hall spire, built by the Northern Palace Queen within the Mandalarama monastery compound at the foot of Mandalay Hill in the northern area of the royal city, and offered to the Pyi Sayadaw, who holds the title Medhabhivamsa Sirisaddhammadhaja Parama Mahadhammarajadhirajaguru.</t>
  </si>
  <si>
    <t xml:space="preserve">vol3_s002389_t02_0d35168a9127</t>
  </si>
  <si>
    <t xml:space="preserve">HOLDS_ROYAL_TITLE</t>
  </si>
  <si>
    <t xml:space="preserve">Medhabhivamsa Sirisaddhammadhaja Parama Mahadhammarajadhirajaguru</t>
  </si>
  <si>
    <t xml:space="preserve">vol3_s002390</t>
  </si>
  <si>
    <t xml:space="preserve">vol3_s002390_t01_c271891de912</t>
  </si>
  <si>
    <t xml:space="preserve">Princess of Salin</t>
  </si>
  <si>
    <t xml:space="preserve">Northern Salin Sayadaw</t>
  </si>
  <si>
    <t xml:space="preserve">သမီးတော်စလင်းမြို့စား စုဘုရား သုသီရိမြတ်စွာရတနာဒေဝီက ဆောက်လုပ်၍ မြောက်စလင်းဆရာတော် တံဆိပ်တော်ရ ငယ်မည် ဦးမှော်အား တင်လှူတော်မူသည့် ရွှေမြို ့တော် မြောက်ပြင် စံကျောင်းတိုက်မြောက်ရှိ စံကျောင်းတော်နှင့် စံနစ်ပုံစံ ထပ်တူ တည်လုပ်တော်မူသည့် ကျောင်းတော်။</t>
  </si>
  <si>
    <t xml:space="preserve">A monastery built by the daughter, the Princess of Salin, Susirimyatswaratanadevi, and offered to the Northern Salin Sayadaw, who holds a title and whose childhood name is U Hmaw, which was constructed in the same design and pattern as the royal monastery located north of the royal monastery compound in the northern area of the royal city.</t>
  </si>
  <si>
    <t xml:space="preserve">vol3_s002391</t>
  </si>
  <si>
    <t xml:space="preserve">vol3_s002391_t01_74b203899c25</t>
  </si>
  <si>
    <t xml:space="preserve">King and Chief Queen</t>
  </si>
  <si>
    <t xml:space="preserve">Hlahtwe Sayadaw</t>
  </si>
  <si>
    <t xml:space="preserve">The construction can be read as the former Amarapura founder king's Chief Queen, rather than King and Chief Queen as two active donors. The queen and recipient are clear, but the compound donor requires adjudication.</t>
  </si>
  <si>
    <t xml:space="preserve">Review the genitive/coordination reading; provisionally retain the former king's Chief Queen as donor rather than assuming a joint royal act.</t>
  </si>
  <si>
    <t xml:space="preserve">အမရပူရ ဒုတိယ မြို့တည်နန်းတည် မင်းတရားကြီးဘုရား, မိဖုရားခေါင်ကြီးက ကုသိုလ်တော်ပွား ရွှေမြို့တော် တောင်ပြင် သီရိမဟာမနော်ရမ္မံ ဥယျာဉ်တော် မြောက်ဘက်တွင် ဆောက်လုပ်တော်မူ၍ ဝီရိယာရတ္တဓဇ သာသနပါလ မဟာဓမ္မရာဇာဓိရာဇဂုရု’တံဆိပ်တော်ရ လှထွေဆရာတော်အား တင်လှူတော်မူသည့် ပြာသာဒ် ဘောဂစနုနှင့်တကွ ဘုံငါးဆင့် စမြင်ခံ မဟာဟုလွတ်ဘုံကျော် ကျောင်းတော်ကြီး။</t>
  </si>
  <si>
    <t xml:space="preserve">A five-story, raised-platform great Mahahulutbonkyaw monastery, together with a spire and a bhoga-sanu, built by the second Amarapura city-founding and palace-founding great king and the Chief Queen to increase their merit, located north of the Sirimahamannawramma royal garden in the southern area of the royal city, and offered to the Hlahtwe Sayadaw, who holds the title Viriyaratadhaja Sasanapala Mahadhammarajadhirajaguru.</t>
  </si>
  <si>
    <t xml:space="preserve">vol3_s002391_t02_829976ad1d4f</t>
  </si>
  <si>
    <t xml:space="preserve">Viriyaratadhaja Sasanapala Mahadhammarajadhirajaguru</t>
  </si>
  <si>
    <t xml:space="preserve">vol3_s002392</t>
  </si>
  <si>
    <t xml:space="preserve">vol3_s002392_t01_b8bde314c9c5</t>
  </si>
  <si>
    <t xml:space="preserve">Western Palace Queen</t>
  </si>
  <si>
    <t xml:space="preserve">Thitsint Sayadaw</t>
  </si>
  <si>
    <t xml:space="preserve">The Thitsint monastery clause continues the previous donor's list. The Western Palace Queen is newly introduced only for the following Khinkankan monastery clause.</t>
  </si>
  <si>
    <t xml:space="preserve">Attribute the Thitsint donation to the preceding Chief Queen's entry; keep the Khinkankan donation with the Western Palace Queen.</t>
  </si>
  <si>
    <t xml:space="preserve">ရွှေမြို့တော် မြောက်ပြင် မန္တ လေးတောင် အနောက်ဘက် မဟာခေမိကာရာမ သစ်ဆိမ့်ကျောင်းတိုက်အတွင်း ဆောက်လုပ်တော်မူ၍ သစ်ဆိမ့်ဆရာတော် ပညာသီဟ သာသနာဓဇ မဟာဓမ္မရာဇဂုရု-တံဆိပ်တော်ရ ဆရာတော် အား တင်လှူတော်မူသည့် လေထပ် စမြင်ခံ အုတ်ကျောင်းတော်ကြီး အနောက်နန်းတော် မိဖုရားက ရွှေမြို့ တော်အရှေ့မျက်နှာ မဟာဝိဇယာရာမ ခင်မကန်ကျောင်းတိုက်အတွင်း ဆောက်လုပ်တော်မူသည့် လေးထပ်စမြင်ခံ ကျောင်းတော်ကြီး၊ ထိုကျောင်းတိုက်အတွင်း သိမ်ပြာသာဒ်တော်ကြီး၊ ဇရပ်တော်ကြီး နှစ်နှင့် ရေတွင်း နှစ်၊ ပြင်ဆင်သည့် ကျောင်းရံ တစ်ဆယ်။</t>
  </si>
  <si>
    <t xml:space="preserve">A four-story, raised-platform great brick monastery built by the Western Palace Queen within the Mahakhemikarama Thitsint monastery compound, located west of Mandalay Hill in the northern area of the royal city, and offered to the Thitsint Sayadaw, who holds the title Pannyathiha Sasanadhaja Mahadhammarajaguru; a four-story, raised-platform great monastery built by the Western Palace Queen within the Mahawijayarama Khinkankan monastery compound in the eastern area of the royal city; a great ordination hall spire within that monastery compound; two great rest houses; two wells; and ten auxiliary monasteries that were repaired.</t>
  </si>
  <si>
    <t xml:space="preserve">vol3_s002392_t02_f1481d2041bd</t>
  </si>
  <si>
    <t xml:space="preserve">Pannyathiha Sasanadhaja Mahadhammarajaguru</t>
  </si>
  <si>
    <t xml:space="preserve">vol3_s002392_t03_3dbbace3f6a3</t>
  </si>
  <si>
    <t xml:space="preserve">BUILT_AND_DONATED_MONASTERY_COMPLEX_IN</t>
  </si>
  <si>
    <t xml:space="preserve">Mahawijayarama Khinkankan monastery compound</t>
  </si>
  <si>
    <t xml:space="preserve">vol3_s002394</t>
  </si>
  <si>
    <t xml:space="preserve">vol3_s002394_t01_b3b4299ca4df</t>
  </si>
  <si>
    <t xml:space="preserve">BUILT_RELIGIOUS_STRUCTURES_IN</t>
  </si>
  <si>
    <t xml:space="preserve">Khinkankan monastery compound</t>
  </si>
  <si>
    <t xml:space="preserve">ရွှေမြို့တော် နောက်ပြင် ခင်မကန်ကျောင်းတိုက်အတွင်း ဆောက်လုပ်တော်မူသည့် ကျောင်းသုံး၊ သိမ်ပြာသာဒ် ရွှေမြို့တော် မြောက်ပြင် မဟာဇောတိကာရာမ စံကျောင်းတိုက်အတွင်း ဆောက်လုပ်တော်မူသည့် ကျောင်းတစ်။</t>
  </si>
  <si>
    <t xml:space="preserve">Three monasteries and an ordination hall spire built within the Khinkankan monastery compound in the western area of the royal city; one monastery built within the Mahajotikarama royal monastery compound in the northern area of the royal city.</t>
  </si>
  <si>
    <t xml:space="preserve">vol3_s002394_t02_546ed2c3ddf5</t>
  </si>
  <si>
    <t xml:space="preserve">Mahajotikarama royal monastery compound</t>
  </si>
  <si>
    <t xml:space="preserve">vol3_s002395</t>
  </si>
  <si>
    <t xml:space="preserve">vol3_s002395_t01_0aa014c876f6</t>
  </si>
  <si>
    <t xml:space="preserve">BUILT_RELIGIOUS_STRUCTURE_AT</t>
  </si>
  <si>
    <t xml:space="preserve">Sinkyo Shwegu Pagoda</t>
  </si>
  <si>
    <t xml:space="preserve">အမရပူရမြို့ ဆင်ကြိုးရွှေဂူဘုရားတွင် ဆောက်လုပ်တော်မူသည့် အာရုံခံ အုတ်ပြာသာဒ်တော်။</t>
  </si>
  <si>
    <t xml:space="preserve">A brick reception-hall spire built at the Sinkyo Shwegu Pagoda in Amarapura City.</t>
  </si>
  <si>
    <t xml:space="preserve">vol3_s002396</t>
  </si>
  <si>
    <t xml:space="preserve">vol3_s002396_t01_81da72953766</t>
  </si>
  <si>
    <t xml:space="preserve">BUILT_RELIGIOUS_COMPLEX_IN</t>
  </si>
  <si>
    <t xml:space="preserve">Ratanathutkhaung forest retreat</t>
  </si>
  <si>
    <t xml:space="preserve">စစ်ကိုင်းဘက် ရတနာထွဋ်ခေါင်တောရအရပ်တွင် တည်လုပ်သည့် စေတီတော် တစ်၊ ရတနာမောဠိစူဠာ စေတီတော် တစ်၊ စောင်းတန်းတော် တစ်၊ အာရုံခံပြာသာဒ် တစ်၊ သိမ်အုတ်ပြာသာဒ် တစ်၊ အုတ်ကျောင်းတော် တစ်၊ ပျဉ်ကျောင်းတော် နှစ်၊ စင်္ကြံတော် နှစ်၊ ဇရပ်တော် နှစ်၊ ရေကန် နှစ်၊ စတုမဓူကန်တော် လေး။</t>
  </si>
  <si>
    <t xml:space="preserve">One pagoda, one Ratanamoli Cula pagoda, one covered walkway, one reception-hall spire, one brick ordination-hall spire, one brick monastery, two wooden-plank monasteries, two cloisters, two rest houses, two water tanks, and four Catumadhu tanks, all built in the Ratanathutkhaung forest retreat area on the Sagaing side.</t>
  </si>
  <si>
    <t xml:space="preserve">vol3_s002397</t>
  </si>
  <si>
    <t xml:space="preserve">vol3_s002397_t01_81bad50499ad</t>
  </si>
  <si>
    <t xml:space="preserve">Dakkhinabuddha compound</t>
  </si>
  <si>
    <t xml:space="preserve">ဒက္ခိဏဗုဒ္ဓချောင်တွင် ဆောက်လုပ်သည့် ကျောင်း နှစ်၊ ဇရပ် နှစ်၊ စောင်းတန်းတော် တစ်၊ ကျောက်ရေကန် တစ်။</t>
  </si>
  <si>
    <t xml:space="preserve">Two monasteries, two rest houses, one covered walkway, and one stone water tank built in the Dakkhinabuddha compound.</t>
  </si>
  <si>
    <t xml:space="preserve">vol3_s002523</t>
  </si>
  <si>
    <t xml:space="preserve">vol3_s002523_t01_07bbd91374e6</t>
  </si>
  <si>
    <t xml:space="preserve">ADMINISTERED_OATH_OF_ALLEGIANCE_TO</t>
  </si>
  <si>
    <t xml:space="preserve">Royal_family</t>
  </si>
  <si>
    <t xml:space="preserve">သားတော် မဟာဥပရာဇာ အိမ်ရှေ့မင်း-မင်းအဖြစ်သို့ ရောက်တော်မူသည်ရှိသော် မင်းညီမင်းသား မှူးတော် မတ်တော် ဗိုလ်မှူးမြို့ဝန် စစ်ကဲ စုရေးစုကိုင် သူဌေးသူကြွယ်တို့ကို ရှေးအစဉ်ထုံးစံရှိသည့်အတိုင်း မြေနန်းတော်ဦးတွင် အမိန့်တော်နှင့် သစ္စာပေးရသည်။</t>
  </si>
  <si>
    <t xml:space="preserve">When the royal son, the Maha Uparaja, reached the position of Heir Apparent, he had the royal princes, ministers, high-ranking officials, city governors, military commanders, clerks, record keepers, and wealthy merchants take an oath of allegiance by royal order at the front of the earthen palace, as was the custom from ancient times.</t>
  </si>
  <si>
    <t xml:space="preserve">vol3_s002523_t02_bd1bfcdf48f6</t>
  </si>
  <si>
    <t xml:space="preserve">vol3_s002523_t03_4c99455ec203</t>
  </si>
  <si>
    <t xml:space="preserve">Local_elites</t>
  </si>
  <si>
    <t xml:space="preserve">vol3_s002523_t04_151159f5e4fe</t>
  </si>
  <si>
    <t xml:space="preserve">Royal_family_and_officials</t>
  </si>
  <si>
    <t xml:space="preserve">PERFORMED_OATH_OF_ALLEGIANCE_TO</t>
  </si>
  <si>
    <t xml:space="preserve">vol3_s002524</t>
  </si>
  <si>
    <t xml:space="preserve">vol3_s002524_t01_9810b1632915</t>
  </si>
  <si>
    <t xml:space="preserve">APPOINTED_AND_DISPATCHED</t>
  </si>
  <si>
    <t xml:space="preserve">အဝေးအလံ စော်ဘွားမြို့စား မြို့ ဝန် စစ်ကဲတို့ကိုလည်း အမိန့်တော်, အမှာတော် စာများနှင့် အမှူးအကြီး ခန့်ထားစေလွှတ် သစ္စာတော်ပေးရသည်။</t>
  </si>
  <si>
    <t xml:space="preserve">He also had to appoint and send high-ranking officials to the distant Sawbwas, town governors, city governors, and military commanders with royal orders and letters of instruction to take the oath of allegiance.</t>
  </si>
  <si>
    <t xml:space="preserve">vol3_s002524_t02_c256d516bf03</t>
  </si>
  <si>
    <t xml:space="preserve">EXTENDED_AUTHORITY_TO</t>
  </si>
  <si>
    <t xml:space="preserve">Provincial_rulers</t>
  </si>
  <si>
    <t xml:space="preserve">vol3_s002524_t03_8218b0179220</t>
  </si>
  <si>
    <t xml:space="preserve">REQUIRED_TO_TAKE_OATH_OF_ALLEGIANCE_TO</t>
  </si>
  <si>
    <t xml:space="preserve">vol3_s002525</t>
  </si>
  <si>
    <t xml:space="preserve">vol3_s002525_t01_27f735013f7b</t>
  </si>
  <si>
    <t xml:space="preserve">APPOINTED_ADMINISTRATORS_TO</t>
  </si>
  <si>
    <t xml:space="preserve">Palace_and_city_gates</t>
  </si>
  <si>
    <t xml:space="preserve">ဝင်းတော်လေးမျက်နှာ, ရွှေမြို့တော်တံခါး တစ်ဆယ့်နှစ်ရပ်, ပြင်မြို့ကြီးတံခါး ငါးဆယ့်ခုနစ်ရပ်, မြို့တွင်းမြို့ပြင် ရပ်စု ကွက်စုများမှာလည်း ရာဇဝတ်တော်ရေး ကင်းလွတ်လုံခြုံအောင် အသီးအသီး အအုပ်အထိန်း ခန့်ထား၍ မြဲမြံစွာ စောင့်ထိန်းစေသည်။</t>
  </si>
  <si>
    <t xml:space="preserve">He also had administrators appointed to the four sides of the palace, the twelve gates of the royal city, the fifty-seven gates of the outer city, and the wards and quarters inside and outside the city, to ensure they were free from crime and secure, and to have them guarded firmly.</t>
  </si>
  <si>
    <t xml:space="preserve">vol3_s002525_t02_32abb660e9f9</t>
  </si>
  <si>
    <t xml:space="preserve">Administrators</t>
  </si>
  <si>
    <t xml:space="preserve">ENFORCED_SECURITY_IN</t>
  </si>
  <si>
    <t xml:space="preserve">Royal_city</t>
  </si>
  <si>
    <t xml:space="preserve">vol3_s002526</t>
  </si>
  <si>
    <t xml:space="preserve">vol3_s002526_t01_ea57be678e31</t>
  </si>
  <si>
    <t xml:space="preserve">ISSUED_PROCLAMATION_TO</t>
  </si>
  <si>
    <t xml:space="preserve">Populace</t>
  </si>
  <si>
    <t xml:space="preserve">ပြည်သူ ဆင်းရဲသားအပေါင်းတို့ ထိတ်လန့်ကြောက်ရွံ့ မရှိစေရ၊ ငြိမ်ဝပ်ချမ်းသာစွာ ရွှေဘုန်းတော်ရိပ်ကို ခိုလှုံ နေထိုင်စေရန်များကိုလည်း အမိန့်တော်နှင့် ရွှေပြည်တော် မြို့ တွင်းမြို့ ပြင် ရပ်စုကွက်စုများတွင် စေ့နှံ့အောင် ရှေ့ရုံးက မောင်းကြောင်း ခတ်ရသည်။</t>
  </si>
  <si>
    <t xml:space="preserve">He also had the front office beat the gong to thoroughly announce throughout the wards and quarters inside and outside the royal city, by royal order, that all citizens and poor people should not be alarmed or afraid, and should live peacefully and securely under the shade of the royal glory.</t>
  </si>
  <si>
    <t xml:space="preserve">vol3_s002526_t02_781a35ba553e</t>
  </si>
  <si>
    <t xml:space="preserve">Royal_proclamation</t>
  </si>
  <si>
    <t xml:space="preserve">PROMISED_PROTECTION_TO</t>
  </si>
  <si>
    <t xml:space="preserve">vol3_s002526_t03_d44386ff03cf</t>
  </si>
  <si>
    <t xml:space="preserve">LIVED_UNDER_AUTHORITY_OF</t>
  </si>
  <si>
    <t xml:space="preserve">vol3_s002527</t>
  </si>
  <si>
    <t xml:space="preserve">vol3_s002527_t01_845ec1faeec0</t>
  </si>
  <si>
    <t xml:space="preserve">REGULATED_RITUAL_SOUNDS_DURING_TRANSITION</t>
  </si>
  <si>
    <t xml:space="preserve">Palace_drums</t>
  </si>
  <si>
    <t xml:space="preserve">ယင်းသည့်နေ့က စ၍ တီးမြဲ ပဟိုရ်စည် ဓာတ်စည်များကို မတီးရ၊ အတွင်းတော်၌ နရည်းဆရာကိုသာ တီးရ၏။</t>
  </si>
  <si>
    <t xml:space="preserve">From that day on, the regular palace drums and ceremonial drums were not to be beaten; only the musician in the inner palace was to play.</t>
  </si>
  <si>
    <t xml:space="preserve">vol3_s002528</t>
  </si>
  <si>
    <t xml:space="preserve">vol3_s002528_t01_7145427ab83d</t>
  </si>
  <si>
    <t xml:space="preserve">NOTIFIED_DEATH_OF_PREDECESSOR_TO</t>
  </si>
  <si>
    <t xml:space="preserve">Pagan_King</t>
  </si>
  <si>
    <t xml:space="preserve">ခမည်းတော်မင်းတရားကြီး နတ်ပြည်စံကြောင်းကိုလည်း အမိန့်တော် နှင့် ဘကြီးတော် ပုဂံမင်းကို လျှောက်ထားရ၏။</t>
  </si>
  <si>
    <t xml:space="preserve">He also had to report by royal order to his elder brother, the King of Pagan, that the great father, the King, had passed away to the celestial realm.</t>
  </si>
  <si>
    <t xml:space="preserve">vol3_s002529</t>
  </si>
  <si>
    <t xml:space="preserve">vol3_s002529_t01_33e6d08ea950</t>
  </si>
  <si>
    <t xml:space="preserve">Late_King</t>
  </si>
  <si>
    <t xml:space="preserve">ယင်းသည့်နေ့ သားတော်မင်းတရားလည်း ခမည်းတော် မင်းတရားကြီးဘုရား အလောင်းတော်ကို သင်္ဂြိုဟ် တော်မူရန် အခမ်းအနား ရှိသည်များမှာ- ရှေးဘုရားအလောင်းတော် မဟာသုဒဿနစကြာမင်း, မန္ဓာတ်မင်းတို့သည် စကြာရတနာ အမှူးရှိသော ရတနာခုနစ်ပါးနှင့်တကွ လေးကျွန်းလုံးကို အစိုးရတော်မူခြင်း၊ စကြာရတနာ တန်ခိုး အားဖြင့် သုံးကျွန်းလုံးကို လှည့်လည် သိမ်းပိုက်တော်မူ၍ ကျွန်းသူကျွန်းသားတို့အား တရားပြသ သြဝါဒပေးပြီးမှ နောက်တော် လိုက်ပါကုန်သော ဗိုလ်ပါပရိသတ်တို့အား ဇမ္ဗူဒီပါကျွန်း အပြင်၌ အကွက်အကန့် ပေးကမ်းချထား နေထိုင်စေခြင်း၊ လက်ပမ်းဖောက်ခတ်သဖြင့် ရတနာမိုးကို ရွာစေခြင်း၊ စတုမဟာရာဇ်, တာဝတိံသာနတ်ပြည်တို့၌ ထက်ဝက်သော နတ်တို့၏ စည်းစိမ်ကို ခံစားရခြင်း စသော အတုမရှိသော ပုညိဒ္ဓိ, ကမ္မဇိဒ္ဓိတန်ခိုးနှင့် ပြည့်စုံသော မင်းကောင်းမင်းမြတ်တို့လက်ထက် ဒါန, သီလ စသော ကုသိုလ်ကောင်းမှုများကို မပြတ်အားထုတ် ဖြည့်ကျင့် ရွက်ဆောင်တော်မူရငြားသော်လည်း သာသနာပအခါ ကြိမ်ကြိုက်ရသည်ဖြစ်၍ တရားတော်ကို လက်သုံး မပြုရချေ။</t>
  </si>
  <si>
    <t xml:space="preserve">On that day, the royal son, the King, also had ceremonies to perform for the funeral of the great father, the King's royal remains; the matters were: in the time of the great kings of old, such as the Universal Monarch Mahasudassana and King Mandhat, who ruled over the four continents with the seven treasures, including the Wheel Treasure, and who, by the power of the Wheel Treasure, traveled and conquered the three continents and, after teaching and instructing the inhabitants of the continents, had the following crowds of troops and followers settle in designated areas outside the Jambudipa continent, and who caused a rain of treasures by clapping their hands, and who enjoyed the pleasures of half the deities in the Catumaharajika and Tavatimsa heavens—despite these good kings, who were endowed with incomparable merit and karmic power, constantly striving to perform meritorious deeds such as charity and morality, they could not use the Dhamma as their guide because they were born in a time when the Sasana did not exist.</t>
  </si>
  <si>
    <t xml:space="preserve">vol3_s002529_t02_d6bc9e1096f8</t>
  </si>
  <si>
    <t xml:space="preserve">COMPARED_TO</t>
  </si>
  <si>
    <t xml:space="preserve">Universal_Monarchs</t>
  </si>
  <si>
    <t xml:space="preserve">vol3_s002529_t03_8bb37de97da7</t>
  </si>
  <si>
    <t xml:space="preserve">EXERCISED_POWER_THROUGH</t>
  </si>
  <si>
    <t xml:space="preserve">Merit_and_Dhamma</t>
  </si>
  <si>
    <t xml:space="preserve">The source explicitly contrasts the ancient rulers' merit and karmic power with their inability to use the Buddha's Dhamma because they lived outside the Sasana. 'Merit and Dhamma' collapses the distinction it expressly makes.</t>
  </si>
  <si>
    <t xml:space="preserve">Ancient universal monarchs wielded merit/karmic power but lacked access to the Buddha's Dhamma.</t>
  </si>
  <si>
    <t xml:space="preserve">vol3_s002530</t>
  </si>
  <si>
    <t xml:space="preserve">vol3_s002530_t01_26d4e6a6b02e</t>
  </si>
  <si>
    <t xml:space="preserve">Late King</t>
  </si>
  <si>
    <t xml:space="preserve">Royal Consecration</t>
  </si>
  <si>
    <t xml:space="preserve">ခမည်းတော်မင်းတရားကြီးမှာမူကား သာမန်မင်းတို့အား မဆက်ဆံသော ရဇ္ဇာဘိသေက မုဒ္ဓါဘိသိက်ကို နှစ်ကြိမ်မြောက် သွန်းခံတော်မူပြီးလျှင် မင်းကျင့်တရား ဆယ်ပါး၊ စကြာမင်းတို့ ကျင့်ဝတ်တရား ဆယ်ပါး၊ တစ်ဆယ့်နှစ်ပါး၊ အပရိဟာနီယတရား ခုနစ်ပါး၊ သင်္ဂဟတရား လေးပါး စသော တရားအပေါင်းတို့ကို မပြတ် ဖြည့်ကျင့် ရွက်ဆောင်တော်မူလျက် စေတီ, ဂူ, ကျောင်း, တန်ဆောင်း, ဇရပ် စသည်တို့ကို တည်ထားပြုစုတော်မူ ခြင်း၊ မြတ်စွာဘုရား ဟောတော်မူသည့် ပိဋကတ်သုံးပုံ ဓမ္မက္ခန္ဓာပါဠိတော်တို့ကို ကပ္ပဋ္ဌိတိ တည်စေရန် အလွန် ချောမောကောင်းမွန်သော ခရုသင်း ပွတ်သစ်အဆင်းနှင့် တူသော ရတနာ ကျောက်သလင်းအပြင်၌ ရေးသား ထုလုပ်တော်မူခြင်း၊ ပိဋကတ်သုံးပုံတို့ကို အလုံးစုံ တတ်ကျွမ်း သိမြင်တော်မူသော တံဆိပ်တော်ရ ဆရာတော် သံဃာတော် နှစ်ထောင်ကျော်တို့ကို ရွှေနန်းပြာသာဒ်တော် သီဟာသန ရာဇပလ္လင်တော်ဦးသို့ ပင့်၍ ပဉ္စမသင်္ဂါ ယနာ တင်တော်မူခြင်း၊ ရွှေမြို့တော် လေးပြင် လေးမျက်နှာ တံဆိပ်တော် ရ-မရ ဆရာတော် သံဃာတော် အပေါင်းတို့အား လစဉ်မပြတ် ထိုက်သက် ရာရာသော ပစ္စည်းဝတ္ထုတို့ဖြင့် လှူဒါန်းတော်မူခြင်း၊ ကိုယ်တော်မှစ၍ မင်း မိဖုရား မင်းညီမင်းသား မှူးတော်မတ်တော် သူဌေးသူကြွယ် တိုင်းနေပြည်သူ သတ္တဝါအပေါင်းတို့အား အလွန်နက်နဲသိမ်မွေ့ သော အနတ္တလက္ခဏာ ဝိပဿနာတရားကို မပြတ် လေ့လာပွားများ သင်ကြားဆုံးမ သြဝါဒ ပေးတော်မူ၍ ကျင့်ဆောင်စေခြင်း စသော ကုသိုလ်ကောင်းမှုတရားများကို မပြတ်အားထုတ် ရွက်ဆောင်တော်မူသော မြဲမြံသော ဒဠထာမ အားအစွမ်းနှင့် ပြည့်စုံတော်မူသော ဗုဒ္ဓပ္ပါဒနဝမအခါ သာသနာတော်အတွင်း ကြိမ်ကြိုက်ရ သော မြင့်မြတ်သော ဘုန်းကံသမ္ဘာ ရရှိတော်မူသော ပါရမီတော်ရှင် ဖြစ်သည်။</t>
  </si>
  <si>
    <t xml:space="preserve">As for the great father, the King, he had the royal consecration and the supreme anointing, which are not performed for ordinary kings, poured over him twice, and he constantly practiced and performed all the duties such as the ten royal virtues, the ten and twelve duties of a Universal Monarch, the seven principles of non-decline, and the four principles of sympathy, while also building and maintaining pagodas, caves, monasteries, pavilions, and rest houses; he had the Tripitaka and the Dhammakkhandha Pali texts, which were preached by the Buddha, inscribed and carved on crystal slabs that were as smooth and beautiful as the color of a polished conch shell, so that they would last for the duration of the Sasana; he invited over two thousand learned monks who held titles and were fully versed in the Tripitaka to the Lion Throne of the royal palace to hold the Fifth Buddhist Council; he donated monthly and without fail with appropriate items to all the titled and non-titled monks in the four directions of the royal city; and he constantly studied, practiced, taught, and instructed himself, the Queen, the royal princes, the ministers, the wealthy merchants, and all the living beings residing in the country in the profound and subtle Anatta-lakkhana Vipassana meditation, and had them practice it; he was a possessor of paramis who was endowed with the firm strength of determination, who constantly strove to perform such meritorious deeds, and who possessed the noble glory and merit of being born in the time of the Buddha's Sasana.</t>
  </si>
  <si>
    <t xml:space="preserve">vol3_s002530_t02_a1233cd4df9d</t>
  </si>
  <si>
    <t xml:space="preserve">PRACTICED_VIRTUES</t>
  </si>
  <si>
    <t xml:space="preserve">Ten Royal Virtues</t>
  </si>
  <si>
    <t xml:space="preserve">vol3_s002530_t03_62c4d6a4ad58</t>
  </si>
  <si>
    <t xml:space="preserve">SPONSORED_RELIGIOUS_INFRASTRUCTURE</t>
  </si>
  <si>
    <t xml:space="preserve">Pagodas and Monasteries</t>
  </si>
  <si>
    <t xml:space="preserve">vol3_s002530_t04_2f6997d1eacd</t>
  </si>
  <si>
    <t xml:space="preserve">COMMISSIONED_RELIGIOUS_TEXTS</t>
  </si>
  <si>
    <t xml:space="preserve">Tripitaka on Crystal Slabs</t>
  </si>
  <si>
    <t xml:space="preserve">vol3_s002530_t05_4a065c74ecd8</t>
  </si>
  <si>
    <t xml:space="preserve">CONVENED_RELIGIOUS_COUNCIL</t>
  </si>
  <si>
    <t xml:space="preserve">vol3_s002530_t06_c3428e1271c9</t>
  </si>
  <si>
    <t xml:space="preserve">PATRONIZED_SANGHA</t>
  </si>
  <si>
    <t xml:space="preserve">Titled Monks</t>
  </si>
  <si>
    <t xml:space="preserve">vol3_s002530_t07_3890f643465f</t>
  </si>
  <si>
    <t xml:space="preserve">DISSEMINATED_DOCTRINE</t>
  </si>
  <si>
    <t xml:space="preserve">Anatta-lakkhana Vipassana</t>
  </si>
  <si>
    <t xml:space="preserve">vol3_s002530_t08_d3b1ab586ff0</t>
  </si>
  <si>
    <t xml:space="preserve">INSTRUCTED_SUBJECTS</t>
  </si>
  <si>
    <t xml:space="preserve">Queen, Princes, Ministers, Merchants, and Subjects</t>
  </si>
  <si>
    <t xml:space="preserve">vol3_s002694</t>
  </si>
  <si>
    <t xml:space="preserve">vol3_s002694_t01_f8ec46ca5da0</t>
  </si>
  <si>
    <t xml:space="preserve">APPOINTED_AS_GOVERNOR_OF_KYAUK_YE</t>
  </si>
  <si>
    <t xml:space="preserve">Phaung-wun Min-gyi Maha Min-htin</t>
  </si>
  <si>
    <t xml:space="preserve">ယင်းသည့်လဆန်း ခုနစ်ရက်-နေ့ ဖောင်ဝန် မင်းကြီးမဟာမင်းထင်ကို ကျောက်ရဲမြို့ကို မြို့စားသနားတော် မူသည်။</t>
  </si>
  <si>
    <t xml:space="preserve">On the seventh day of the waxing moon of that same month, [the King] graciously bestowed the governorship of Kyauk-ye town upon the Phaung-wun, Min-gyi Maha Min-htin.</t>
  </si>
  <si>
    <t xml:space="preserve">vol3_s002695</t>
  </si>
  <si>
    <t xml:space="preserve">vol3_s002695_t01_bf2389bbc5e2</t>
  </si>
  <si>
    <t xml:space="preserve">OBSERVED_MILITARY_EXERCISES_OF</t>
  </si>
  <si>
    <t xml:space="preserve">cavalry and battalion commanders</t>
  </si>
  <si>
    <t xml:space="preserve">ယင်းသည့် လဆန်းကိုးရက်နေ့ မြင်းခင်းသဘင်တော် မတိုင်မီ ရွှေနန်းတော်အတွင်း မြေနန်းတော်ရှေ့ ရှောက်သီး, ငှက်ပျောပင်များကို ကြဲပစ်စိုက်ထားစေ၍ တပ်ဗိုလ်စစ်ကဲ အရာရှိစုံနှင့် ကသည်းမြင်း, အက္ကပတ်မြင်း အမှုထမ်း လူတစ်ရာ့နှစ်ဆယ့်ခုနစ်တို့ သုံးကြိမ်သုံးခေါက်စီ စီးနည်းအထွေထွေ စီးပြစိုင်းနှင်၍ ဘယ်ပြောင်းညာပြန် ဓားရေးလှံရေး ထိုးခုတ် ကစားကြသည်ကို ဘဝရှင်မင်းတရားကြီးဘုရား ထွက်စံကြည့်ရှုတော်မူပြီးလျှင် အထိုးအခုတ် ကျင်လျင် ပွဲလမ်းရသသူတို့ကို ပိုးပုဆိုး, ဖဲပဝါ, ပိုးပန်း ပဝါ, ပုစွန်ထုပ်ခေါင်းပေါင်း, ဂွမ်းခံအင်္ကျီ ဆုသနားတော် မူသည်။</t>
  </si>
  <si>
    <t xml:space="preserve">On the ninth day of the waxing moon of that same month, before the royal horse-riding festival, [the King] ordered citron and banana trees to be scattered and planted in front of the earthen palace within the royal palace; after the Lord of Life, the Great King, came out to observe the various maneuvers of riding, turning left and right, and the sword and spear fighting games performed three times each by the full complement of battalion commanders, cavalry officers, and one hundred and twenty-seven Manipuri and Akkapat cavalry servicemen, he graciously bestowed rewards of silk waistcloths, silk scarves, flowered silk scarves, prawn-head-style turbans, and cotton-lined jackets upon those who were skilled in the fighting and games.</t>
  </si>
  <si>
    <t xml:space="preserve">vol3_s002695_t02_771524538e8f</t>
  </si>
  <si>
    <t xml:space="preserve">REWARDED_LOYAL_SERVICE_OF</t>
  </si>
  <si>
    <t xml:space="preserve">cavalry servicemen</t>
  </si>
  <si>
    <t xml:space="preserve">vol3_s002696</t>
  </si>
  <si>
    <t xml:space="preserve">vol3_s002696_t01_581babf5b4b1</t>
  </si>
  <si>
    <t xml:space="preserve">BESTOWED_POSITION_OF_MIDDLE_PRINCE_UPON</t>
  </si>
  <si>
    <t xml:space="preserve">Min-ye Min-hla Min-khaung</t>
  </si>
  <si>
    <t xml:space="preserve">ယင်းသည့် လဆန်းဆယ်ရက်၊ နေ့ ပြင်စည်မင်းသား-သား မင်းရဲမင်းလှမင်းခေါင်ကို နေရာတော်နေ မင်းသားလတ် နေရာနှင့် မင်္ဂလာဈေးကို အစား သနားတော်မူသည်။</t>
  </si>
  <si>
    <t xml:space="preserve">On the tenth day of the waxing moon of that same month, [the King] graciously bestowed upon Min-ye Min-hla Min-khaung, son of the Pyin-zi Prince, the position of middle prince residing in the royal residence, along with the Mingala market in exchange.</t>
  </si>
  <si>
    <t xml:space="preserve">vol3_s002696_t02_560f2cf0f2d0</t>
  </si>
  <si>
    <t xml:space="preserve">GRANTED_REVENUE_RIGHTS_OF_MINGALA_MARKET_TO</t>
  </si>
  <si>
    <t xml:space="preserve">vol3_s002697</t>
  </si>
  <si>
    <t xml:space="preserve">vol3_s002697_t01_3dee927e5a0f</t>
  </si>
  <si>
    <t xml:space="preserve">PROHIBITED_COLLECTION_OF_JUDICIAL_FEES_BY</t>
  </si>
  <si>
    <t xml:space="preserve">local headmen and administrators</t>
  </si>
  <si>
    <t xml:space="preserve">The order stops the headmen's customary remittance of judicial fees to the crown and grants them the proceeds. It does not prohibit local collection of those fees.</t>
  </si>
  <si>
    <t xml:space="preserve">King remitted the obligation to forward judicial-fee revenue and granted it to local headmen.</t>
  </si>
  <si>
    <t xml:space="preserve">ယင်းသည့်လဆန်း တစ်ဆယ့်တစ်ရက်ခံနေ့ နိုင်ငံတော်အတွင်း အရပ်ရပ် မြို့ကျေးရွာသူကြီး အထိန်းအအုပ် တို့ကို မြို့ရွာနယ်မြေအတွင်း ဖြစ်ပွားကြသည့် တရားရာဇဝတ်မှုများက အစဉ်ဆက်သွင်းမြဲ ခိုင်ကွမ်းဖိုးငွေတော်များကို အဆက်အသွင်း မရှိစေရ၊ မြို့ရေးရွာမှုမှစ၍ အမှုတော်ရှိရာ ကြိုးစားအားထုတ် ထမ်းအားရွက်အား တိုးတက်အောင် မြို့ရွာသူကြီး အထိန်းအအုပ်တို့ကို အမိန့်တော်နှင့် အစား သနားတော်မူသည်။</t>
  </si>
  <si>
    <t xml:space="preserve">On the eleventh day of the waxing moon of that same month, [the King] issued an order to the headmen and administrators of various towns and villages throughout the kingdom that they were no longer to collect the customary 'khine-kun-pho' silver fees for civil and criminal cases occurring within their town and village territories, and he graciously bestowed upon the headmen and administrators [the authority] to strive and exert effort in all official duties, starting from town and village affairs, to ensure progress.</t>
  </si>
  <si>
    <t xml:space="preserve">vol3_s002697_t02_8bee1afe0b73</t>
  </si>
  <si>
    <t xml:space="preserve">MANDATED_ADMINISTRATIVE_DUTIES_TO</t>
  </si>
  <si>
    <t xml:space="preserve">vol3_s002698</t>
  </si>
  <si>
    <t xml:space="preserve">vol3_s002698_t01_657fa8a88379</t>
  </si>
  <si>
    <t xml:space="preserve">Governor of Ye-nan-tha</t>
  </si>
  <si>
    <t xml:space="preserve">လက်သုံးတော်ကြီးကိုင် ရေနံ့သာမြို့စားကို စီးတော်မြင်းဝန်၊ လက်ဖက်ရည်တော် တပယ်မြို့စားကို လက်နက် တိုက်ဝန်၊ ဗြဲတိုက်သံဆင့် မင်းထင်သီရိစည်သူကျော်ကို သံတော်ဆင့် ဆောမြို့စား၊ ဗြဲတိုက်သံဆင့် မဟာမင်းလှ မင်းခေါင်ကျော်ကို သံတော်ဆင့် ပန်းတဉ်းဝန်၊ တံခါးနီမှူး မင်းထင်ကျော်ခေါင်ကို တခါးနီဗိုလ်၊ လက်သုံးတော်ကိုင် မဟာမင်းလှမင်းထင်သီရိကို မြောက်မာရဘင်ဗိုလ် မြို့ကြီးမြို့ စား၊ လက်သုံးတော်ကိုင် ရွှေတိုက်ကြပ် မင်းလှမင်းထင် ကျော်ခေါင်ကို အချုပ်ဝန်၊ လက်သုံးတော်ကိုင် နေမျိုးမင်းထင်သီလဝကို ယွန်းစုဝန် ခန့်တော်မူသည်။</t>
  </si>
  <si>
    <t xml:space="preserve">[The King] appointed the following: the holder of the Great Royal Personal Items, the Governor of Ye-nan-tha, as Minister of Royal Horses; the tea-server, the Governor of Ta-pal, as Minister of the Arsenal; the royal secretary of the Byè-taik, Min-htin Thiri Sithu Kyaw, as Royal Herald and Governor of Saw; the royal secretary of the Byè-taik, Maha Min-hla Min-khaung Kyaw, as Royal Herald and Minister of Metalwork; the Red Gate Chief, Min-htin Kyaw Khaung, as Commander of the Red Gate; the holder of the Royal Personal Items, Maha Min-hla Min-htin Thiri, as Commander of the Northern Marabin and Governor of the Great City; the holder of the Royal Personal Items and Royal Treasury Supervisor, Min-hla Min-htin Kyaw Khaung, as Minister of Prisons; and the holder of the Royal Personal Items, Ne-myo Min-htin Thila-wa, as Minister of the Yun-su.</t>
  </si>
  <si>
    <t xml:space="preserve">vol3_s002698_t02_e6327a712a79</t>
  </si>
  <si>
    <t xml:space="preserve">APPOINTED_AS_MINISTER_OF_ARSENAL</t>
  </si>
  <si>
    <t xml:space="preserve">Governor of Ta-pal</t>
  </si>
  <si>
    <t xml:space="preserve">vol3_s002698_t03_0d5eccac7ebc</t>
  </si>
  <si>
    <t xml:space="preserve">APPOINTED_AS_ROYAL_HERALD_AND_GOVERNOR_OF_SAW</t>
  </si>
  <si>
    <t xml:space="preserve">Min-htin Thiri Sithu Kyaw</t>
  </si>
  <si>
    <t xml:space="preserve">vol3_s002698_t04_041c87c92317</t>
  </si>
  <si>
    <t xml:space="preserve">APPOINTED_AS_ROYAL_HERALD_AND_MINISTER_OF_METALWORK</t>
  </si>
  <si>
    <t xml:space="preserve">Maha Min-hla Min-khaung Kyaw</t>
  </si>
  <si>
    <t xml:space="preserve">vol3_s002698_t05_e8bd56d041d4</t>
  </si>
  <si>
    <t xml:space="preserve">APPOINTED_AS_COMMANDER_OF_RED_GATE</t>
  </si>
  <si>
    <t xml:space="preserve">Min-htin Kyaw Khaung</t>
  </si>
  <si>
    <t xml:space="preserve">vol3_s002698_t06_4d84d5f6be51</t>
  </si>
  <si>
    <t xml:space="preserve">APPOINTED_AS_COMMANDER_OF_NORTHERN_MARABIN_AND_GOVERNOR_OF_GREAT_CITY</t>
  </si>
  <si>
    <t xml:space="preserve">Maha Min-hla Min-htin Thiri</t>
  </si>
  <si>
    <t xml:space="preserve">The military appointment is supported, but Myo-gyi is an appanage name rather than an unspecified 'Great City'.</t>
  </si>
  <si>
    <t xml:space="preserve">Commander of Northern Marabin and titleholder of Myo-gyi.</t>
  </si>
  <si>
    <t xml:space="preserve">vol3_s002698_t07_4b697c52b261</t>
  </si>
  <si>
    <t xml:space="preserve">APPOINTED_AS_MINISTER_OF_PRISONS</t>
  </si>
  <si>
    <t xml:space="preserve">Min-hla Min-htin Kyaw Khaung</t>
  </si>
  <si>
    <t xml:space="preserve">vol3_s002698_t08_7b283f765972</t>
  </si>
  <si>
    <t xml:space="preserve">APPOINTED_AS_MINISTER_OF_YUN_SU</t>
  </si>
  <si>
    <t xml:space="preserve">Ne-myo Min-htin Thila-wa</t>
  </si>
  <si>
    <t xml:space="preserve">vol3_s002699</t>
  </si>
  <si>
    <t xml:space="preserve">vol3_s002699_t01_736d8e262086</t>
  </si>
  <si>
    <t xml:space="preserve">Sawbwa of Mong Mit</t>
  </si>
  <si>
    <t xml:space="preserve">ယင်းသည့် လဆန်းတစ်ဆယ့်နှစ်ရက်၆ နေ့ မိုးမြိတ်စော်ဘွားက မြင်းရံဆယ်စီးနှင့်တကွ ထူးမြတ်သည့် မြင်းတော် တစ်၊ မိုင်းကိုင်းမြို့စားက မြင်းရံရှစ်စီးနှင့်တကွ ထူးမြတ်သည့် မြင်းတော်တစ်များကို ဆက်သည်။</t>
  </si>
  <si>
    <t xml:space="preserve">On the twelfth day of the waxing moon of that same month, the Sawbwa of Möng Mit presented one excellent royal horse along with ten escort horses, and the Governor of Möng Nai presented one excellent royal horse along with eight escort horses.</t>
  </si>
  <si>
    <t xml:space="preserve">vol3_s002699_t02_9458863c6238</t>
  </si>
  <si>
    <t xml:space="preserve">Governor of Mong Nai</t>
  </si>
  <si>
    <t xml:space="preserve">The second horse donor is the Mongkaing titleholder, not the Mong Nai governor.</t>
  </si>
  <si>
    <t xml:space="preserve">Mongkaing titleholder presented tribute to the king.</t>
  </si>
  <si>
    <t xml:space="preserve">vol3_s002700</t>
  </si>
  <si>
    <t xml:space="preserve">vol3_s002700_t01_89aefc0f1f62</t>
  </si>
  <si>
    <t xml:space="preserve">ORDERED_CONSTRUCTION_OF_RESIDENCE_FOR</t>
  </si>
  <si>
    <t xml:space="preserve">Queen Mother</t>
  </si>
  <si>
    <t xml:space="preserve">ယင်းသည့် နတ်တော်လဆန်း သုံးရက် နေ့ ရွှေနန်းတော် မြောက်ဥယျာဉ်တော်အတွင်း မယ်တော်ဘုရား စံနေတော်မူရန် အိမ်ဖြူတော် ဆောက်လုပ်တော်မူမည်ကို အခါတော်အတိုင်း ရွှေပန္နက်- ငွေပန္နက် ချမှတ်ရသည်။</t>
  </si>
  <si>
    <t xml:space="preserve">On the third day of the waxing moon of the month of Natdaw, the gold and silver foundation stakes were set according to the auspicious time for the construction of a white house for the Queen Mother to reside in within the northern royal garden.</t>
  </si>
  <si>
    <t xml:space="preserve">vol3_s002701</t>
  </si>
  <si>
    <t xml:space="preserve">vol3_s002701_t01_8891ed42d909</t>
  </si>
  <si>
    <t xml:space="preserve">Mar-htin Raza Pakkha</t>
  </si>
  <si>
    <t xml:space="preserve">PETITIONED_KING_FOR</t>
  </si>
  <si>
    <t xml:space="preserve">လင်္ကာဒီပမည်သော သီဟိုဠ်ကျွန်းရှေ့ သီဟိုဠ်အမတ် မာရ်ထိန်ရာဇပက္ခက မြတ်စွာဘုရား သာသနာတော် အထူးသဖြင့် စည်ပင်ထွန်းလင်းအောင် စောင်မချီးမြှင့် ကြည့်ရှုတော်မူပါမည်အကြောင်းနှင့် လျှောက်ထားချက်အရ သီဟိုဠ်ကျွန်းတွင် သာသနာတော်မြတ် အစီးအပွားကို ချီးမြှင့်ရွက်ဆောင်တော်မူမည် အကြံတော်ရှိသည်အတိုင်း သီဟိုဠ်ကျွန်း သက္ကန္တ မြို့ရှိ မြတ်စွာဘုရား လက်ယာစွယ်တော်မြတ်ကို လှူဒါန်းရန် အထူးထူးသော လှူဖွယ်ဝတ္ထု၊ ထေရ်ကြီးဝါကြီး ရဟန်းသံဃာတော်တို့ကို လှူဒါန်းရန် ပရိက္ခရာရှစ်ပါး၊ ကြေးကမ္မဝါစာ၊ သီဟိုဠ်အမတ်နှင့် လူကြီး သူကြီးများကို ပေးကမ်းရန် ထည်မျိုးအုပ်မျိုးစုံများကို ထုတ်ပေးသနားတော်မူ၍ ပိဋကတ်တော် ထားရန် သင့်တင့်ရာ အရပ်ဌာနများကို ကြည့်ရှုမှတ်သားစေရန် အထက် ခမည်းတော် ပဉ္စမသင်္ဂါယနာတင် မင်းတရားကြီးလက်ထက် သက္ကရာဇ် (၁၂၃၉) တစ်ထောင့်နှစ်ရာ့သုံးဆယ့်ကိုးခု တပို့တွဲလ လက်ဖက်ရည်တော် စိန်တုံးလှေအုပ် နေမျိုးမင်းလှ ဇေယသူကို အမိန့်တော်နှင့် စေလွှတ်ရာ သီဟိုဠ်ကျွန်းသို့ရောက်လျှင် သီဟိုဠ်ကျွန်းရှိ အမတ်ကြီး လူကြီးတို့ ပွဲသဘင် အခမ်းအနားနှင့် ကြိုယူ၊ ဓာတ်တော်များကို ဖူးမြော် လှူဒါန်းပူဇော်ပြီးနောက် လှူဒါန်းပေးကမ်းရန်များကို ထေရ်ကြီး ဝါကြီး ရဟန်းသံဃာတော်, အမတ်ကြီး လူကြီးတို့ကို အသီးအသီး လှူဒါန်းပေးကမ်း၊ ပိဋကတ်တော်ထားရန် သင့်တင့်သည့် အရပ်ဒေသများကို ကြည့်ရှုပြန်လာရာ သီဟိုဠ်ကျွန်း ကောလမ္ဗီမြို့ စီရင်စု နိဂမျှမြို့နေ အမတ် ဟိန္ဒရိဒိဆီလဝဂုဏ စောကရက ဆက်သလိုက်သည့် ပုလဲအဆင်း မြတ်စွာဘုရား ဓာတ်တော်ဆူရေတစ်ကို ငွေကြာပွင့်ခံ ရွှေကြာချပ်အုံ ကြုတ်အတွင်း ထည့်သွင်း၍ ၎င်းကြုတ်ပါ ကြာပွင့်စိုက် အရပ်ပမာဏ တစ်တောင်ခန့် သပိတ်မှောက် အောက်ခြေတွင် ကျောက်နီနှင့်နီလာ တစ်လုံးခြား ပတ်လည်တစ်ရစ်စီ၊ အထက်လည်သီး လေးမျက်နှာ နီလာရှစ်လုံး အထွတ်နီလာစီ တပ်သည့် ရွှေစေတီ တစ်။</t>
  </si>
  <si>
    <t xml:space="preserve">Following a petition from the Ceylonese minister Mar-htin Raza Pakkha from the island of Ceylon, known as Lankadipa, requesting that [the King] support, promote, and look after the Buddha's Sasana so that it may especially flourish and shine, and in accordance with his intention to support and carry out the welfare of the noble Sasana on the island of Ceylon, [the King] bestowed various offerings to be donated to the Buddha's noble right tooth relic located in the city of Kandy on the island of Ceylon, the eight requisites to be donated to the senior and elder Buddhist monks, copper Kammavaca texts, and various types of fabrics and goods to be given to the Ceylonese minister and the elders and headmen; furthermore, in the year 1239, during the month of Tabodwe in the reign of the late father, the Great King who presided over the Fifth Buddhist Council, [the King] ordered the tea-server and commander of the Sein-ton boat, Ne-myo Min-hla Zeya-thu, to be sent to observe and note suitable places for housing the Pitaka scriptures, and upon arriving at the island of Ceylon, he was welcomed by the Ceylonese ministers and elders with a grand festival and ceremony, and after paying homage and offering the relics, he donated and distributed the offerings to the senior and elder Buddhist monks and the ministers and elders respectively, and upon returning after observing suitable places for housing the Pitaka scriptures, [he brought back] one golden pagoda containing a pearl-colored Buddha relic presented by the minister Hindridi-sila-wa-guna Saw-ka-ra of the Nigya town in the jurisdiction of Colombo, Ceylon, which was placed inside a casket set on a silver lotus flower and a golden lotus leaf, with the base of the inverted alms bowl, which was about one cubit in height and included the lotus flower, decorated with a row of alternating rubies and sapphires, and the upper neck decorated with eight sapphires on four sides and a sapphire at the pinnacle.</t>
  </si>
  <si>
    <t xml:space="preserve">vol3_s002701_t02_15e5c07229d5</t>
  </si>
  <si>
    <t xml:space="preserve">DISPATCHED_ENVOY</t>
  </si>
  <si>
    <t xml:space="preserve">Ne-myo Min-hla Zeya-thu</t>
  </si>
  <si>
    <t xml:space="preserve">vol3_s002701_t03_7e7908fb9115</t>
  </si>
  <si>
    <t xml:space="preserve">DISTRIBUTED_ROYAL_OFFERINGS_TO</t>
  </si>
  <si>
    <t xml:space="preserve">Ceylonese_monks_and_officials</t>
  </si>
  <si>
    <t xml:space="preserve">vol3_s002701_t04_45bcd7641fce</t>
  </si>
  <si>
    <t xml:space="preserve">Hindridi-sila-wa-guna Saw-ka-ra</t>
  </si>
  <si>
    <t xml:space="preserve">PRESENTED_RELIC_TO</t>
  </si>
  <si>
    <t xml:space="preserve">vol3_s002806</t>
  </si>
  <si>
    <t xml:space="preserve">vol3_s002806_t01_92f4baa6ab2a</t>
  </si>
  <si>
    <t xml:space="preserve">BUILT_PAGODA</t>
  </si>
  <si>
    <t xml:space="preserve">Mara_aung_Ratana</t>
  </si>
  <si>
    <t xml:space="preserve">သက္ကရာဇ် (၁၂၄၁) တစ်ထောင့်နှစ်ရာ့လေးဆယ့်တစ်ခု ကဆုန်လဆန်း လေးရက် အင်္ဂါနေ့ ရတနာပုံ ရွှေမြို့တော်ကြီး အရှေ့တောင် နံတော်၏ တေဇအရပ်ဖြစ်သော မဟာသီရိဟေမဝန် ဥယျာဉ်တော်ဝယ် ဖိနပ်တော် ငါးဆယ့်ငါးတောင်, အရပ်တော် ငါးဆယ့်ခြောက်တောင်ရှိသော စေတီတော်ကို တံတိုင်းမီးတားနှင့်တကွ တည်လုပ် တော်မူ၍ ရွှေဘုန်းတော်မြတ်ကြောင့် သမ္မာဒေဝ နတ်ကောင်းနတ်မြတ်တို့ ညွှန်ကြား ပြသ ပေးအပ်သည့်အတိုင်း ရတနာသိင်္ဃမြို့ စီရင်စု ရွာသာယာအရပ် တလည်းချောင်းအနီး ဥမင်လိုဏ်တွင်းမှ တွေ့ ရှိသော ရုပ်ရှင်တော် ဓာတ်တော် မွေးတော်များ၊ ထိုမှတစ်ပါး မဇ္ဈိမတိုက် မြတ်စွာဘုရား ပွင့်တော်မူရာ မဟာဗောဓိပင်တော်အောက် အပရာဇိတ ရွှေပလ္လင်တော် ပေါက်ရောက်ရာ ဌာနက မြေနှင့်တကွ သတ္တဌာန, အဋ္ဌဝီသ, ရွှေ, ငွေ, မိုးကြိုး, ပဉ္စလောဟာ ရုပ်တုဆင်းတုတော်များ၊ ဓမ္မက္ခန္ဓာ ရွှေလွှာရေး ငွေလွှာရေး ပါဠိတော်များကို ဌပနာသွင်းနှံတော်မူပြီးလျှင် သဘင်ပွဲလမ်း အခမ်းအနား ကြီးကျယ်စွာသော အစီအရင်ဖြင့် ရွှေထီးအထွတ် တင်လှူတော်မူ၍ အရိယာ သံဃာတော် တို့အား အထူးထူးသော လှူဖွယ်ဝတ္ထုတို့ဖြင့် လှူဒါန်းချီးမြှင့်တော်မူလျက် စေတီတော်ကို “မာရ်အောင်ရတနာ” သမိုက်တော်မူသည်။</t>
  </si>
  <si>
    <t xml:space="preserve">On Tuesday, the 4th day of the waxing moon of Kason, 1241 B.E., in the Maha Siri Hemawan Garden, which is the Teza (glory) quarter of the southeast corner of the great royal city of Ratanapon, [the King] caused a pagoda to be built, with a perimeter wall and fire-break, measuring 55 cubits at the base and 56 cubits in height, and by the power of his royal glory, as directed and indicated by the virtuous Samma-deva spirits, he enshrined the sacred relics and hair relics found in a cave tunnel near Taledaung stream in Ywathaya village, Ratanasingha township; furthermore, he enshrined earth from the place where the Aparajita golden throne stands beneath the Maha Bodhi tree in the Middle Land (Majjhima-desa) where the Lord Buddha attained enlightenment, along with the seven stations, the twenty-eight [Buddhas], statues and images made of gold, silver, lightning-metal, and five-metal alloy, and Pali scriptures written on gold and silver leaves; after which, with a grand ceremony of festivities and arrangements, he raised the golden umbrella finial, donated various offerings to the noble Sangha, and named the pagoda 'Mara-aung Ratana'.</t>
  </si>
  <si>
    <t xml:space="preserve">vol3_s002806_t02_5d3e0ffc1d77</t>
  </si>
  <si>
    <t xml:space="preserve">vol3_s002806_t03_7de57a661c5d</t>
  </si>
  <si>
    <t xml:space="preserve">RAISED_GOLDEN_UMBRELLA_FINIAL_ON</t>
  </si>
  <si>
    <t xml:space="preserve">vol3_s002806_t04_6bc9e142ad82</t>
  </si>
  <si>
    <t xml:space="preserve">DONATED_OFFERINGS_TO</t>
  </si>
  <si>
    <t xml:space="preserve">vol3_s002807</t>
  </si>
  <si>
    <t xml:space="preserve">vol3_s002807_t01_afea2036061b</t>
  </si>
  <si>
    <t xml:space="preserve">King_and_Chief_Queen</t>
  </si>
  <si>
    <t xml:space="preserve">ASCENDED_AND_TOOK_POSSESSION_OF</t>
  </si>
  <si>
    <t xml:space="preserve">Great_Golden_Palace</t>
  </si>
  <si>
    <t xml:space="preserve">သက္ကရာဇ် (၁၂၄၁) တစ်ထောင့်နှစ်ရာ့လေးဆယ့်တစ်ခု နယုန်လပြည့်ကျော် သုံးရက် သောကြာနေ့ ကောင်းမြတ်သော မင်္ဂလာအခါတော်တွင် မင်းညီမင်းသား ဆွေတော်မျိုးတော် မှူးတော်မတ်တော် ဗိုလ်မှူးတပ်မှူး စစ်အင်္ဂါလေးပါး ခြံရံလျက် ဘဝရှင် မင်းတရားကြီးဘုရား, အသျှင်နန်းမတော် မိဖုရားခေါင်ကြီးနှင့်တကွ ရွှေနန်း တော်ကြီး တက်သိမ်းတော်မူသည်။</t>
  </si>
  <si>
    <t xml:space="preserve">On Friday, the 3rd day of the waning moon of Nayon, 1241 B.E., at an auspicious and propitious time, the Lord of Life, the Great King, together with the Chief Queen, ascended and took possession of the Great Golden Palace, surrounded by princes, relatives, ministers, commanders, and the four branches of the armed forces.</t>
  </si>
  <si>
    <t xml:space="preserve">vol3_s002807_t02_6e79eca3f650</t>
  </si>
  <si>
    <t xml:space="preserve">WERE_SURROUNDED_BY</t>
  </si>
  <si>
    <t xml:space="preserve">Court_officials_and_armed_forces</t>
  </si>
  <si>
    <t xml:space="preserve">vol3_s002808</t>
  </si>
  <si>
    <t xml:space="preserve">vol3_s002808_t01_2d5ea3e04d71</t>
  </si>
  <si>
    <t xml:space="preserve">Yaw_Myosa_Mingyi_Minhtin_Minkhaung_Kyaw</t>
  </si>
  <si>
    <t xml:space="preserve">ထိုနှစ် ဝါဆိုလ၃ အတွင်းဝန် ယောမြို့စား မင်းကြီးမင်းထင်မင်းခေါင်ကျော်, အတွင်းဝန် ရွှေတိုက်ဝန် တောင်ခွင်မြို့စား မင်းကြီးမဟာမင်းထင်စည်သူတို့ကို ဝန်ကြီးခန့်တော်မူသည်။</t>
  </si>
  <si>
    <t xml:space="preserve">In the month of Waso of that year, the Minister Yaw Myosa Mingyi Minhtin Minkhaung Kyaw and the Minister Shwetaikwun Taungkhwin Myosa Mingyi Maha Minhtin Sithu were appointed as Ministers.</t>
  </si>
  <si>
    <t xml:space="preserve">vol3_s002808_t02_bf645154a957</t>
  </si>
  <si>
    <t xml:space="preserve">Taungkhwin_Myosa_Mingyi_Maha_Minhtin_Sithu</t>
  </si>
  <si>
    <t xml:space="preserve">vol3_s002809</t>
  </si>
  <si>
    <t xml:space="preserve">vol3_s002809_t01_fa548b413a54</t>
  </si>
  <si>
    <t xml:space="preserve">APPOINTED_AS_MYINSUGYI_WUN</t>
  </si>
  <si>
    <t xml:space="preserve">Mota_Myosa_Mingyi_Minhla_Maha_Kyawhtin</t>
  </si>
  <si>
    <t xml:space="preserve">မိုးတားမြို့စား မင်းကြီးမင်းလှမဟာ ကျော်ထင်ကိုလည်း ကျီဝန် မြင်းသစ်မြင်းဝန် အရာနှင့်လဲ၍ မြင်းစုကြီးဝန် ခန့်တော်မူသည်။</t>
  </si>
  <si>
    <t xml:space="preserve">The Mota Myosa Mingyi Minhla Maha Kyawhtin was also transferred from the position of Kyi-wun and Myin-thit Myin-wun to be appointed as Myinsugyi-wun.</t>
  </si>
  <si>
    <t xml:space="preserve">vol3_s002810</t>
  </si>
  <si>
    <t xml:space="preserve">vol3_s002810_t01_9402492e49b9</t>
  </si>
  <si>
    <t xml:space="preserve">ISSUED_ROYAL_ORDER_FOR</t>
  </si>
  <si>
    <t xml:space="preserve">Childbirth_ceremonies</t>
  </si>
  <si>
    <t xml:space="preserve">- ထိုနှစ် အသျှင်နန်းမတော် မိဖုရားခေါင်ကြီးဘုရား မီးရှူးမြင်တော်မူရန် အခမ်းအနားများမှာ စကြာမန္ဓာတ် မင်းတို့၏ မိဖုရားခေါင်ကြီးတို့ မီးရှူးမြင်တော်မူသည့် အခမ်းအနားအတိုင်း ခန့်ထားလုပ်ဆောင်စေ – ဘဝရှင် မင်းတရားကြီးဘုရား အမိန့်တော်မြတ်အရ အဏ္ဍဇ, ဇလာဗုဇ, ဂဗ္ဘသေယျက, ဥပပါတ် ဟူသော ပဋိသန္ဓေ လေးမျိုးတို့တွင် ဂဗ္ဘသေယျကမှာ ကလလရေကြည် တည်နေသည်မှ အပ္ပကအားဖြင့် ခုနစ်လ စေ့ရောက်သော် လည်းကောင်း, ခုနစ်လအလွန် ဆယ်လ မစေ့မရောက်မီ အတွင်း၌သော်လည်းကောင်း မျက်နှာသန့်စင် မီးရှူးမြင်ခြင်း သဘာဝဓမ္မအလျောက် အသျှင်နန်းမတော် မိဖုရားခေါင်ကြီးဘုရား၌ ရေကြည်ကလလ တည်တော်မူသည်မှ ခုနစ်လ ကပင် တင်လျင်၍ မီးရှူးမြင်တော်မူရန် တောင်နန်းမဆောင်တော်တွင် အခင်းအနှီး, အကာအရံ, အမွှမ်းအကြက်, အသုံးအဆောင် အဖွယ်အရာများကို ရှု၍မဝ ပြောပ မဆုံးနိုင်အောင် ထူးဆန်းတင့်တယ် လှပကောင်းမွန်စွာ လုပ်ဆောင် ခင်ကျင်းရသည်။</t>
  </si>
  <si>
    <t xml:space="preserve">In that year, the ceremonies for the Chief Queen to give birth were to be arranged and conducted according to the ceremonies of the chief queens of the Cakkavatti kings; according to the royal order of the Lord of Life, the Great King, among the four types of birth—egg-born, womb-born, moisture-born, and spontaneous-born—the womb-born type, from the time the clear kalala fluid is established, either when seven months are completed or within the time before ten months are completed, follows the natural law of cleansing the face and giving birth; thus, as it had been seven months since the clear kalala fluid was established in the Chief Queen, preparations were made in the Southern Palace for the birth, with furnishings, screens, decorations, and various items arranged in a wonderfully beautiful and excellent manner, so magnificent that one could not tire of looking at them or finish describing them.</t>
  </si>
  <si>
    <t xml:space="preserve">vol3_s002810_t02_10417c9809ab</t>
  </si>
  <si>
    <t xml:space="preserve">WERE_MODELED_AFTER</t>
  </si>
  <si>
    <t xml:space="preserve">Cakkavatti_traditions</t>
  </si>
  <si>
    <t xml:space="preserve">vol3_s002810_t03_31236a6d43f5</t>
  </si>
  <si>
    <t xml:space="preserve">Royal_household</t>
  </si>
  <si>
    <t xml:space="preserve">PREPARED_SOUTHERN_PALACE_FOR</t>
  </si>
  <si>
    <t xml:space="preserve">Chief_Queen_childbirth</t>
  </si>
  <si>
    <t xml:space="preserve">vol3_s002811</t>
  </si>
  <si>
    <t xml:space="preserve">vol3_s002811_t01_19e3c8188d0a</t>
  </si>
  <si>
    <t xml:space="preserve">PREPARED_RITUAL_OBJECTS_FOR</t>
  </si>
  <si>
    <t xml:space="preserve">Royal_child_birth</t>
  </si>
  <si>
    <t xml:space="preserve">မီးရှူး မြင်တော်မူသည့်အခါ စံတော်မူရန် ရတနာ ညောင်စောင်းတော် အခြေလေးချောင်း သားအပေါင်းတို့တွင် ကဏှဒီပိ အမည်ရှိသော သတ္တဝါတို့သည် ကိလေသာအာရုံ ကာမဂုဏ်၌ အလွန်ခေါင်းပါးခြင်းရှိသော သားအထူးဖြစ်၍ ထိုသား၏အရေကို ယောဂါဝစရ, ဈာနလာဘီ ဣသိတာပသတို့ အစဉ်သုံးဆောင်လေ့ပြုသော ထုံး၊ ဝေဿန္တ ရာ မင်းကြီး၏ နန်းမဒေဝီ မဒ္ဒီမိဖုရားကြီးမှ ဖွားမြင်တော်မူသော ကဏှာဇိန်မင်းသမီးသည် သစ်နက်ရေကို အခင်းအဘွဲ့ ပြုပြီးလျှင် ဖွားမြင်တော်မူသည်ကို အစွဲပြု၍ ကဏှာဇိန် အမည်သမုတ်တော်မူသည့် ထုံး၊ ဘုရားအလောင်းတော် သိဒ္ဓတ်မင်းသားကို ဖွားတော်မူသောအခါ၌လည်း စတုမဟာရာဇ် နတ်မင်းကြီး လေးယောက်တို့သည် အလွန်နူးညံ့ သိမ်မွေ့သော သစ်နက်ရေဖြင့်ခံသော ထုံးစသော အနှုန်းအစံများကိုထောက်၍ ရင်သွေးတော်မြတ်ရတနာ ဖွားမြင် တော်မူသည့်အခါ အခင်းအဘွဲ့ ပြုရန် ကဏှဒီပိ အမည်ရှိသော သား၏အရေ, ချင်းတန်းသန့်ရန် ပတ္တမြားခုနစ်တန့်ဖြင့် စီခြယ်အပ်သော ရွှေအတိပြီးသော ကိရိယာစုံ၊ ကောငျမွဖြစ် ဖြူ နစ်ညံ့သက် လွန်မွေ့ ညက်သော ဘွဲ့ဖြူပုဆိုး ထက် ရင်သွေးတော်မြတ် ရတနာကို စတုမဟာရာဇ် နတ်မင်းကြီးတို့ ဆောင်ယူတင်ထားဟန် ကိရိယာစုံ၊ ဇမ္ဗုန တောက်ပရောင်လက် ခြည်လျှံယှက်သော ကြယ်ချူညောင်ရွက်နှင့်တကွ ပုလဲရတနာ သန္တာပန်းဆိုင်းတို့ဖြင့် ဆန်းကြယ် စွာ တန်ဆာဆင်အပ်သော ကနကဒဏ္ဍ ရွှေလျှံပသော စိုက်ဆောက်ခင်းကျင်းရန် မနောဟရ ထီးဖြူတော်မှစ၍ မီးရှူးတော် အခမ်းအနားပါ လုပ်ဆောင်ရန် အဖွယ်အရာများကိုလည်း လုပ်ဆောင်အသင့် ရှိရသည်။</t>
  </si>
  <si>
    <t xml:space="preserve">For the time of the birth, regarding the royal jeweled bed for resting, among all animal skins, the creature named the black leopard (kan-di-pi) is a special animal with very little defilement or sensual desire, and there is a precedent of yogis, jhana-attainers, and hermits habitually using the skin of this animal; there is also the precedent of Princess Kanhazin, born to King Vessantara and his Chief Queen Maddi, using a black leopard skin as a spread, which led to her being named Kanhazin; and considering the precedent that when the Bodhisatta Prince Siddhattha was born, the four Great Kings of the Catumaharaj realm received him with a very soft and delicate black leopard skin, preparations were made for the birth of the royal child, including the skin of the animal named the black leopard to be used as a spread, a complete set of equipment decorated with seven rows of rubies to keep the child clean, a complete set of equipment for the four Great Kings to carry and place the royal child upon a white cloth that is finer and softer than the finest white cloth, and all necessary items for the birth ceremony, including the Manohara white umbrella, which is adorned with gold, shining with the brilliance of Jambunada gold, and decorated with star-shaped bells, banyan leaves, pearls, and coral garlands.</t>
  </si>
  <si>
    <t xml:space="preserve">vol3_s002811_t02_a3aab902adc7</t>
  </si>
  <si>
    <t xml:space="preserve">Royal_child_birth_ceremony</t>
  </si>
  <si>
    <t xml:space="preserve">UTILIZED_SYMBOLIC_MATERIALS</t>
  </si>
  <si>
    <t xml:space="preserve">Black_leopard_skin</t>
  </si>
  <si>
    <t xml:space="preserve">vol3_s002811_t03_2bfe6c157cac</t>
  </si>
  <si>
    <t xml:space="preserve">Manohara_white_umbrella</t>
  </si>
  <si>
    <t xml:space="preserve">vol3_s002857</t>
  </si>
  <si>
    <t xml:space="preserve">vol3_s002857_t01_7558a9f47330</t>
  </si>
  <si>
    <t xml:space="preserve">PERFORMED_RITUAL_HOMAGE_AT</t>
  </si>
  <si>
    <t xml:space="preserve">Mandalay_Hill_Pagodas</t>
  </si>
  <si>
    <t xml:space="preserve">ရှေးမင်းတို့ ပြုစုတည်ထားခဲ့သည့် မန္တလေးတောင်ထိပ်ရှိ စေတီတော်ဘုရား, မြတ်စောညီနောင်ဘုရား, ခမည်းတော် ပဉ္စမသင်္ဂါယနာတင် မင်းတရားကြီးဘုရား ကိုးကွယ်တော်မူသည့် ဗျာဒိတ်ညွှန်း ရွှေရပ်တော်ကြီး ဘုရားများကို အဖူးအမြော် ထွက်တော်မူမည်- အမိန့်တော်မြတ်အရ မန္တ လေးတောင်ခြေတွင် ကွန်းထောက် စံနန်း တော်မှ စ၍ တောင်ထိပ်ရောက် စခန်းသင့်ရာ စံနန်းတော်များကို ဆောက်လုပ်ပြီးပြေလျှင် ယင်းသည့် နတ်တော် လပြည့်ကျော် ငါးရက် နေ့ ရှေ့ ခြောက်တပ်, နောက်ခြောက်တပ် တပ်ဝင်းအခမ်းအနား ခင်းကျင်းကျင်းပ၍ အသျှင် ဘဝရှင်မင်းတရားကြီးဘုရား, အသျှင်နန်းမတော် မိဖုရားခေါင်ကြီးနှင့်တကွ ရထားတော်နှင့် ထွက်တော်မူ၍ တောင်ခြေ စံနန်းတော်သို့ ရောက်တော်မူလျှင် ယာဉ်တော်များကို စီးနင်းတော်မမူ၊ တောင်မျက်နှာစောင်းတန်းက တက်တော်မူ၍ မြတ်စွာဘုရားရှင်တို့အား အထူးထူးသော လှူဖွယ်တို့ဖြင့် ပူဇော်တော်မူပြီးလျှင် ထိုနေ့ ရွှေနန်းတော်သို့ ဝင်တော်မူသည်။</t>
  </si>
  <si>
    <t xml:space="preserve">[The King] will go out to pay homage to the Pagoda on the summit of Mandalay Hill, the Myat Saw Nyi Naung Pagoda, and the Shwe Yat Taw Gyi Pagoda—which were built and maintained by former kings and which the King's father, the Fifth Buddhist Council-convening King, worshipped and prophesied. According to the royal order, once the construction of the royal pavilions—starting from the temporary pavilion at the foot of Mandalay Hill and continuing to the suitable stations reaching the summit—was completed, on the fifth day after the full moon of Natdaw, with the grand ceremony of the six front and six rear regiments arranged, the Lord of Life, the King, together with the Chief Queen, went out in the royal carriage. Upon reaching the royal pavilion at the foot of the hill, [the King] did not ride in the royal vehicles, but ascended via the southern slope stairway, worshipped the Lord Buddha with various offerings, and entered the Golden Palace on that same day.</t>
  </si>
  <si>
    <t xml:space="preserve">vol3_s002857_t02_3eaed37180f3</t>
  </si>
  <si>
    <t xml:space="preserve">MOBILIZED_RESOURCES_FOR</t>
  </si>
  <si>
    <t xml:space="preserve">Ritual_Pavilion_Construction</t>
  </si>
  <si>
    <t xml:space="preserve">vol3_s002857_t03_471dffe0a999</t>
  </si>
  <si>
    <t xml:space="preserve">PERFORMED_STATE_CEREMONY_WITH</t>
  </si>
  <si>
    <t xml:space="preserve">Six_Front_and_Rear_Regiments</t>
  </si>
  <si>
    <t xml:space="preserve">vol3_s002857_t04_b8d37d4ad465</t>
  </si>
  <si>
    <t xml:space="preserve">PERFORMED_RITUAL_ASCENT_OF</t>
  </si>
  <si>
    <t xml:space="preserve">Mandalay_Hill</t>
  </si>
  <si>
    <t xml:space="preserve">vol3_s002857_t05_cdf17f95d61d</t>
  </si>
  <si>
    <t xml:space="preserve">REINFORCED_BUDDHIST_LEGITIMACY_THROUGH</t>
  </si>
  <si>
    <t xml:space="preserve">Royal_Ritual</t>
  </si>
  <si>
    <t xml:space="preserve">vol3_s002858</t>
  </si>
  <si>
    <t xml:space="preserve">vol3_s002858_t01_dede1758805b</t>
  </si>
  <si>
    <t xml:space="preserve">Maha_Minhtin_Sithu</t>
  </si>
  <si>
    <t xml:space="preserve">Wundauk</t>
  </si>
  <si>
    <t xml:space="preserve">ထိုနှစ် တပို့တွဲလ စာရေးကြီး ဖန်ချက်ဝန် မဟာမင်းထင်စည်သူကို ဝန်ထောက် ခန့်တော်မူ၍ အထက် ဝန်ထောက်တို့နည်း ဘွဲ့အစီးအနင်း အဆောင်အရွက် သနားတော်မြတ် ခံစေ၍ ကျောက်ရဲမြို့ကို မြို့စား သနား တော်မူသည်။</t>
  </si>
  <si>
    <t xml:space="preserve">In the month of Tabodwe of that year, the Chief Clerk and Minister of Glassware, Maha Minhtin Sithu, was appointed as Wundauk (Assistant Minister), and he was granted the titles, insignia, and regalia in the same manner as the previous Wundauks, and was bestowed the governorship of Kyaukye town.</t>
  </si>
  <si>
    <t xml:space="preserve">vol3_s002858_t02_4d584d3b0d55</t>
  </si>
  <si>
    <t xml:space="preserve">RECEIVED_TITLES_AND_INSIGNIA_FROM</t>
  </si>
  <si>
    <t xml:space="preserve">vol3_s002858_t03_6b8e8d7a4bde</t>
  </si>
  <si>
    <t xml:space="preserve">RECEIVED_GOVERNORSHIP_OF</t>
  </si>
  <si>
    <t xml:space="preserve">Kyaukye_Town</t>
  </si>
  <si>
    <t xml:space="preserve">vol3_s002859</t>
  </si>
  <si>
    <t xml:space="preserve">vol3_s002859_t01_2c677824705e</t>
  </si>
  <si>
    <t xml:space="preserve">Mingyi_Maha_Minhtin_Thinkhaya</t>
  </si>
  <si>
    <t xml:space="preserve">Interior_Minister_and_Governor_of_Saw</t>
  </si>
  <si>
    <t xml:space="preserve">အတွင်းဝန် ဆောမြို့စား မင်းကြီးမဟာမင်းထင်သင်္ခယာမှာ သက်ရွယ်ကြီးရင့်ရှိသည်နှင့် အတွင်းဝန်အရာက နုတ်ပြီးလျှင် ချမ်းသာစွာ နေထိုင်စေသည်။</t>
  </si>
  <si>
    <t xml:space="preserve">As the Interior Minister and Governor of Saw, Mingyi Maha Minhtin Thinkhaya, was advanced in age, he was removed from the position of Interior Minister and allowed to live in comfort.</t>
  </si>
  <si>
    <t xml:space="preserve">vol3_s002859_t02_a2f39fb66327</t>
  </si>
  <si>
    <t xml:space="preserve">vol3_s002860</t>
  </si>
  <si>
    <t xml:space="preserve">vol3_s002860_t01_b68cf2888337</t>
  </si>
  <si>
    <t xml:space="preserve">Minhtin_Raza</t>
  </si>
  <si>
    <t xml:space="preserve">Sitke_of_Mong_Nai_Regiment</t>
  </si>
  <si>
    <t xml:space="preserve">ထိုနှစ် တပေါင်းလ စာရေးကြီး မင်းထင်ရာဇာကို မိုးနဲတပ် စစ်ကဲခန့်၍ ကိုယ်ရံအမှုထမ်း လူတစ်ရာနှင့် ကျိုင်းတုံမြို့က ရပ်နေထမ်းရွက်စေသည်။</t>
  </si>
  <si>
    <t xml:space="preserve">In the month of Tabaung of that year, the Chief Clerk, Minhtin Raza, was appointed as the Sitke (Military Officer) of the Mong Nai regiment and was ordered to stay and serve in Kengtung town with one hundred bodyguards.</t>
  </si>
  <si>
    <t xml:space="preserve">vol3_s002860_t02_3e0620f1119c</t>
  </si>
  <si>
    <t xml:space="preserve">One_Hundred_Bodyguards</t>
  </si>
  <si>
    <t xml:space="preserve">vol3_s002860_t03_c74e7b5c7b30</t>
  </si>
  <si>
    <t xml:space="preserve">STATIONED_IN</t>
  </si>
  <si>
    <t xml:space="preserve">Kengtung_Town</t>
  </si>
  <si>
    <t xml:space="preserve">vol3_s002861</t>
  </si>
  <si>
    <t xml:space="preserve">vol3_s002861_t01_068d1a2ac936</t>
  </si>
  <si>
    <t xml:space="preserve">PERFORMED_FUNERAL_RITUALS_FOR</t>
  </si>
  <si>
    <t xml:space="preserve">Bagyidaw_Pagan_Min</t>
  </si>
  <si>
    <t xml:space="preserve">ထိုနှစ် နှောင်းတန်းခူးလဆန်း ငါးရက်ခံနေ့ အမရပူရ စတုတ္ထနန်းစံ ဘကြီးတော် ပုဂံမင်းတရား နတ်ရွာစံ တော်မူသည်ကို စကြဝတေးမင်း- မန္ဓာတ်မင်းတို့ကို သင်္ဂြိုဟ်သကဲ့သို့ အခမ်းအနား ကြီးကျယ်စွာ စီရင်ခင်းကျင်း တော်မူ၍ စံနေတော်မူရင်း ရွှေမြို့တော်တွင်း အရှေ့တောင်ထောင့် နတ်စုလက်ယာကွက်ရှိ ဝင်းတော်အတွင်းတွင် အလောင်းတော်ကို ကောင်းမွန်စွာ သင်္ဂြိုဟ်တော်မူသည်။</t>
  </si>
  <si>
    <t xml:space="preserve">On the fifth day of the waxing moon of the late Tagu of that year, when the fourth King of Amarapura, Bagyidaw Pagan Min, passed away, [the King] arranged and conducted a grand ceremony just as for the funeral of a Universal Monarch or King Mandhat, and the royal body was properly interred within the royal compound in the Nat Su Let Yar quarter at the southeast corner of the Golden City where [the King] was residing.</t>
  </si>
  <si>
    <t xml:space="preserve">vol3_s002861_t02_e21b0a13526b</t>
  </si>
  <si>
    <t xml:space="preserve">ASSERTED_DYNASTIC_CONTINUITY_THROUGH</t>
  </si>
  <si>
    <t xml:space="preserve">Royal_Funeral_Ceremony</t>
  </si>
  <si>
    <t xml:space="preserve">vol3_s002861_t03_0c86b03fbe86</t>
  </si>
  <si>
    <t xml:space="preserve">Royal_Body</t>
  </si>
  <si>
    <t xml:space="preserve">INTERRED_IN</t>
  </si>
  <si>
    <t xml:space="preserve">Nat_Su_Let_Yar_Quarter</t>
  </si>
  <si>
    <t xml:space="preserve">vol3_s002862</t>
  </si>
  <si>
    <t xml:space="preserve">vol3_s002862_t01_2b7bd4de7925</t>
  </si>
  <si>
    <t xml:space="preserve">Royal_Son</t>
  </si>
  <si>
    <t xml:space="preserve">ယင်းသည့် နှောင်းတန်ခူးလဆန်း ရှစ်ရက် နေ့ ကျောက်ကြီးရောဂါနှင့် သားတော်မြတ်ရတနာ ရွှေကိုယ် တော်ကြီးဘုရား ကံတော်ကုန်သည်ကို အခမ်းအနား ကြီးကျယ်စွာ ခင်းကျင်း ကျင်းပပြီးလျှင် ရတနာမျိုးတို့ဖြင့် စီခြယ်အပ်သော ရွှေတလားအတွင်း သွင်း၍ မြောက်ဥယျာဉ်တော်တွင် အုတ်နန်းပြာသာဒ် တည်လုပ်တော်မူပြီးလျှင် ဘဝရှင် မင်းတရားကြီးဘုရား, အသျှင်နန်းမတော် မိဖုရားခေါင်ကြီးဘုရားနှင့်တကွ ထွက်တော်မူ၍ အုတ်နန်း ပြာသာဒ်အတွင်း သွင်းနှံသင်္ဂြိုဟ်တော်မူသည်။</t>
  </si>
  <si>
    <t xml:space="preserve">On the eighth day of the waxing moon of that same late Tagu, when the royal son, the precious royal body, passed away due to smallpox, a grand ceremony was arranged and held, and after placing [the body] inside a golden urn inlaid with various gems, a brick royal pavilion was built in the Northern Royal Garden, and the Lord of Life, the King, together with the Chief Queen, went out and placed [the urn] inside the brick royal pavilion to be interred.</t>
  </si>
  <si>
    <t xml:space="preserve">vol3_s002862_t02_d1cfdc791bb1</t>
  </si>
  <si>
    <t xml:space="preserve">CONSTRUCTED_FUNERARY_MONUMENT_IN</t>
  </si>
  <si>
    <t xml:space="preserve">Northern_Royal_Garden</t>
  </si>
  <si>
    <t xml:space="preserve">vol3_s002862_t03_32b5eb0c720d</t>
  </si>
  <si>
    <t xml:space="preserve">INTERRED_ROYAL_REMAINS_IN</t>
  </si>
  <si>
    <t xml:space="preserve">Brick_Royal_Pavilion</t>
  </si>
  <si>
    <t xml:space="preserve">vol3_s003336</t>
  </si>
  <si>
    <t xml:space="preserve">vol3_s003336_t01_50c0e71f4b78</t>
  </si>
  <si>
    <t xml:space="preserve">Kwet-ywa Wundauk</t>
  </si>
  <si>
    <t xml:space="preserve">FAILED_MILITARY_DUTY</t>
  </si>
  <si>
    <t xml:space="preserve">Mong Nai</t>
  </si>
  <si>
    <t xml:space="preserve">မိုးနဲကြောင်းချီ ကွပ်ရွာဝန်ထောက်မှာ သူပုန် မိုးနဲမြို့နေလူတို့ ဝန်းဝိုင်းတိုက်ခိုက်သည်ကို မခုမခံ၊ မောက်မယ်မြို့ သို့ ပထမ၊ နောင်မွန်မြို့ သို့ ဒုတိယ၊ ညောင်ရွှေမြို့ သို့ တတိယ ဆိုက်ရောက်အောင် ဆုတ်ခွာထွက်လာသည့် အပြစ်၊ ငယ်မည်နှင့် အရာမှနုတ်၍ အကျဉ်းယူစေ-အမိန့်တော်ရှိ၍ အကျဉ်းယူရသည်။</t>
  </si>
  <si>
    <t xml:space="preserve">Regarding the Kwet-ywa Wundauk who marched to Mong Nai, because he did not resist when the rebel residents of Mong Nai surrounded and attacked him, and because of the offense of retreating and fleeing until he arrived first at Maukmai, second at Naungmon, and third at Nyaungshwe, an order was issued to remove him from his rank and title and to imprison him, and he was imprisoned.</t>
  </si>
  <si>
    <t xml:space="preserve">vol3_s003336_t02_4137ee1cde97</t>
  </si>
  <si>
    <t xml:space="preserve">PUNISHED_OFFICIAL</t>
  </si>
  <si>
    <t xml:space="preserve">vol3_s003336_t03_6354a0cb510b</t>
  </si>
  <si>
    <t xml:space="preserve">STRIPPED_OF_RANK_AND_TITLE_BY_KING</t>
  </si>
  <si>
    <t xml:space="preserve">The action and affected official are supported, but the triple repeats the patient as both subject and object. This is a construction defect, not a false imprisonment, release, or surveillance event.</t>
  </si>
  <si>
    <t xml:space="preserve">Use King/state authorities as agent, or retain the official as patient with an appropriate agent or status object.</t>
  </si>
  <si>
    <t xml:space="preserve">vol3_s003336_t04_3a4c239462c0</t>
  </si>
  <si>
    <t xml:space="preserve">IMPRISONED_BY_ORDER_OF_KING</t>
  </si>
  <si>
    <t xml:space="preserve">vol3_s003337</t>
  </si>
  <si>
    <t xml:space="preserve">vol3_s003337_t01_527338cbb817</t>
  </si>
  <si>
    <t xml:space="preserve">State agents</t>
  </si>
  <si>
    <t xml:space="preserve">CAPTURED_ROYAL_RESOURCE</t>
  </si>
  <si>
    <t xml:space="preserve">ယင်းသည့်လဆန်း တစ်ဆယ့်နှစ်ရက် နေ့ သုံးဆယ်မြို့ ကျေးက အောက်ငင်ခဲ့သည့် ဆင်တော်ကို ကျုံးသွင်း၍ ကျော့ဖမ်းမြဲ ဖမ်းရသည်။</t>
  </si>
  <si>
    <t xml:space="preserve">On the twelfth day of the waxing moon of that month, the royal elephant that had been brought down from the outskirts of Thonze town was driven into the stockade and captured using the usual trapping method.</t>
  </si>
  <si>
    <t xml:space="preserve">vol3_s003337_t02_c43d49bef955</t>
  </si>
  <si>
    <t xml:space="preserve">Thonze town</t>
  </si>
  <si>
    <t xml:space="preserve">SOURCE_OF_ROYAL_RESOURCE</t>
  </si>
  <si>
    <t xml:space="preserve">vol3_s003338</t>
  </si>
  <si>
    <t xml:space="preserve">vol3_s003338_t01_282244c33c9d</t>
  </si>
  <si>
    <t xml:space="preserve">Sangharaja</t>
  </si>
  <si>
    <t xml:space="preserve">The relocation and monastic provision are supported, but the named recipient is the Sankyaung Sayadaw. 'Sangharaja' substitutes a higher office not established for him by this passage. Preserve the named abbot rather than infer that office.</t>
  </si>
  <si>
    <t xml:space="preserve">Replace Sangharaja with Sankyaung Sayadaw; retain the supported patronage and relocation.</t>
  </si>
  <si>
    <t xml:space="preserve">၎င်းနေ့ စံကျောင်းဆရာတော် နာမကျန်းရှိ၍ သက်သာ ပျောက်ကင်းအောင် ရွှေမြို့တော် တောင်ပြင် ဓမ္မာရုံဝင်းအတွင်း ဆောက်လုပ်ပြီးပြေသည့် ကျောင်းတော်သို့ ဆရာတော် ပြောင်းရွှေ့ပင့်ဆောင် ကျောင်း တင်လှူရသည်။</t>
  </si>
  <si>
    <t xml:space="preserve">On that day, because the Sangharaja of the royal monastery was ill, in order for him to recover and be cured, he was moved and invited to the monastery that had been completed within the Dhamma hall compound south of the royal city, and the monastery was offered to him.</t>
  </si>
  <si>
    <t xml:space="preserve">vol3_s003338_t02_e9ed67daa02d</t>
  </si>
  <si>
    <t xml:space="preserve">PROVIDED_MONASTERY_TO</t>
  </si>
  <si>
    <t xml:space="preserve">vol3_s003338_t03_7fded15ed560</t>
  </si>
  <si>
    <t xml:space="preserve">RELOCATED_TO_ROYAL_MONASTERY</t>
  </si>
  <si>
    <t xml:space="preserve">royal city</t>
  </si>
  <si>
    <t xml:space="preserve">vol3_s003339</t>
  </si>
  <si>
    <t xml:space="preserve">vol3_s003339_t01_af77eefd61f7</t>
  </si>
  <si>
    <t xml:space="preserve">former Khanpat Wungyi</t>
  </si>
  <si>
    <t xml:space="preserve">ယင်းသည့်လပြည့်ကျော်နှစ်ရက်-နေ့ ခန်းပတ်ဝန်ကြီးဟောင်းကို ထောင်အကျဉ်းထားရာ ရာဇဝတ်က ချမ်းသာ ပေးတော်မူ၍ အကျဉ်းက လွှတ်ပြီးလျှင် အစောင့်အနေနှင့် ထားရသည်။</t>
  </si>
  <si>
    <t xml:space="preserve">On the second day of the waning moon of that month, the former Khanpat Wungyi, who was being held in prison, was granted royal clemency for his crimes, released from prison, and placed under guard.</t>
  </si>
  <si>
    <t xml:space="preserve">vol3_s003339_t02_0745e747fef6</t>
  </si>
  <si>
    <t xml:space="preserve">RELEASED_FROM_PRISON_BY_KING</t>
  </si>
  <si>
    <t xml:space="preserve">vol3_s003339_t03_3795f743620e</t>
  </si>
  <si>
    <t xml:space="preserve">PLACED_UNDER_SURVEILLANCE</t>
  </si>
  <si>
    <t xml:space="preserve">vol3_s003340</t>
  </si>
  <si>
    <t xml:space="preserve">vol3_s003340_t01_e134dd44c81a</t>
  </si>
  <si>
    <t xml:space="preserve">SPONSORED_ANNUAL_ALMS_OFFERING</t>
  </si>
  <si>
    <t xml:space="preserve">Tain-ta Min-gyi monastery monks</t>
  </si>
  <si>
    <t xml:space="preserve">က ယင်းသည့် လပြည့်ကျော်လေးရက် နေ့ ရွှေမြို့တော်လေးပြင် သံဃာတော်တို့အနက် သာသနာပြုဆရာတော် သီတင်းသုံးနေသည့် တိုင်တားမင်းကြီးတိုက် သံဃာတစ်ထောင်ကျော်တို့ကို မြေနန်းတော်သို့ ပင့်ဖိတ်၍ နှစ်စဉ်လောင်းမြဲ သပိတ်ပန်းကန်စုံပါ ဆွမ်းကြီးလောင်းလှူရသည်။</t>
  </si>
  <si>
    <t xml:space="preserve">On the fourth day of the waning moon of that month, over one thousand monks from the Tain-ta Min-gyi monastery, where the missionary Sayadaw resides among the monks outside the royal city, were invited to the earthen palace, and the great alms-offering, including full sets of alms bowls and dishes, was offered as is done annually.</t>
  </si>
  <si>
    <t xml:space="preserve">vol3_s003340_t02_0117d3bd828c</t>
  </si>
  <si>
    <t xml:space="preserve">RECEIVED_ROYAL_PATRONAGE</t>
  </si>
  <si>
    <t xml:space="preserve">vol3_s003341</t>
  </si>
  <si>
    <t xml:space="preserve">vol3_s003341_t01_17c8026a8907</t>
  </si>
  <si>
    <t xml:space="preserve">ASSIGNED_RELIGIOUS_DUTIES_TO</t>
  </si>
  <si>
    <t xml:space="preserve">Nanmadaw Wun</t>
  </si>
  <si>
    <t xml:space="preserve">၎င်းနေ့ အသျှင်နန်းမတော်မိဖုရားခေါင်ကြီးဘုရား ဖွားတော်ရက် ဖြစ်သည့်အတိုင်း မဟာမုနိဘုရားမှာလှူရန် ဆွမ်းတော်ကြီး, ဆီမီး, ရေချမ်း, ပန်း, အဖွယ်အရာများကို အတွင်းဝန် နန်းမတော်ဝန် မိုင်းကိုင်းမြို့စားနှင့် မြို့ဝန် ယင်းတော်မြို့ စား၊ မဟာလောကမာရဇိန်ဘုရားမှာ လှူဒါန်းရန် ဆွမ်းတော်ကြီး, ဆီမီး, ရေချမ်း, ပန်း, အဖွယ် အရာများကို ဝန်ထောက် ဝက်မစွတ်မြို့ စား၊ စစ်ကိုင်းဘက်ရှိ ဘုရားစေတီတော်များနှင့် ရဟန်းသံဃာတော်တို့ကို လှူဒါန်းရန် အမွှေးတိုင်, ဖယောင်းတိုင်, ရွှေဆိုင်းပဒေသာ, ကျောက်ဖယောင်းတိုင်သေတ္တာ, သင်္ကန်း, ဆန်, ဆီ, ဆား, ငါး, ငါးပိ အလှူတော်များကို လယ်ဝန်သံတော်ဆင့် ယောမြို့စားတို့ ကြီးကြပ်၍ အရာရှိတို့နှင့် စမြောင်သိုင်း, ရှေ့တော်ပြေးစည်တို့ဖြင့် စီစဉ်ခင်းကျင်းပြီးလျှင် အသီးအသီး သွားရောက်တင်လှူ ပူဇော်ရသည်။</t>
  </si>
  <si>
    <t xml:space="preserve">On that day, as it was the birthday of Her Majesty the Chief Queen, the Interior Minister Nanmadaw Wun, the Mongkaing Myosa, and the Myowun, the Yin-daw Myosa, were to offer great alms, oil lamps, clear water, flowers, and various items at the Mahamuni Pagoda; the Wundauk, the Wetmasut Myosa, was to offer great alms, oil lamps, clear water, flowers, and various items at the Mahalokamarazein Pagoda; and the Let-wun Thandawsint, the Yaw Myosa, was to supervise the offering of incense, candles, gold-leaf padethas, boxes of stone candles, robes, rice, oil, salt, fish, and ngapi to the pagodas and stupas and the monks on the Sagaing side, and after arranging them with the officials and the royal guards and the royal vanguard drums, they went separately to offer and pay homage.</t>
  </si>
  <si>
    <t xml:space="preserve">vol3_s003341_t02_428202c58ec2</t>
  </si>
  <si>
    <t xml:space="preserve">Yin-daw Myosa</t>
  </si>
  <si>
    <t xml:space="preserve">vol3_s003341_t03_f6cc74f197f7</t>
  </si>
  <si>
    <t xml:space="preserve">Wetmasut Myosa</t>
  </si>
  <si>
    <t xml:space="preserve">vol3_s003341_t04_93a28260a224</t>
  </si>
  <si>
    <t xml:space="preserve">Let-wun Thandawsint</t>
  </si>
  <si>
    <t xml:space="preserve">vol3_s003341_t05_68eea2814eb4</t>
  </si>
  <si>
    <t xml:space="preserve">Yaw Myosa</t>
  </si>
  <si>
    <t xml:space="preserve">vol3_s003341_t06_4e599a274603</t>
  </si>
  <si>
    <t xml:space="preserve">OFFERED_ALMS_AT</t>
  </si>
  <si>
    <t xml:space="preserve">vol3_s003341_t07_cc0338f6a6b3</t>
  </si>
  <si>
    <t xml:space="preserve">Mahalokamarazein Pagoda</t>
  </si>
  <si>
    <t xml:space="preserve">vol3_s003341_t08_78beda994dfa</t>
  </si>
  <si>
    <t xml:space="preserve">Sagaing pagodas</t>
  </si>
  <si>
    <t xml:space="preserve">vol3_s003342</t>
  </si>
  <si>
    <t xml:space="preserve">vol3_s003342_t01_f0a8d668e838</t>
  </si>
  <si>
    <t xml:space="preserve">U Bo Te, Maung Bo Chit, Nga Kwe, Nga Nwar, Nga Seit, and 32 others</t>
  </si>
  <si>
    <t xml:space="preserve">အပြစ်အလျောက် ထောင်အကျဉ်းခံနေရသူ ဦးဘိုးတေ, မောင်ဘိုးချစ်, ငကျွဲ, ငနွား, ငဆိတ်တို့နှင့် စာရင်းပါ လူသုံးဆယ့်နှစ်တို့ကို ထောင်အကျဉ်းက လွှတ်သည်။</t>
  </si>
  <si>
    <t xml:space="preserve">U Bo Te, Maung Bo Chit, Nga Kwe, Nga Nwar, and Nga Seit, who were being held in prison for their offenses, along with the thirty-two people on the list, were released from prison.</t>
  </si>
  <si>
    <t xml:space="preserve">vol3_s003343</t>
  </si>
  <si>
    <t xml:space="preserve">vol3_s003343_t01_49d49edc9a62</t>
  </si>
  <si>
    <t xml:space="preserve">၎င်းနေ့ နန်းမတော်ဘုရား စာရေးကြီး ငဘိုးကြီး, ငဘေတို့ကို အရာကနုတ်၍ သံတော်ဆင့် နေမျိုးမင်းထင် ကျော်စွာကို နန်းမတော်ဘုရား စာရေးကြီး ခန့်တော်မူသည်။</t>
  </si>
  <si>
    <t xml:space="preserve">On that day, the Nanmadaw Pagoda clerks Nga Bo Gyi and Nga Be were removed from their positions, and the Thandawsint Nemyo Minhtin Kyawzwa was appointed as the Nanmadaw Pagoda clerk.</t>
  </si>
  <si>
    <t xml:space="preserve">vol3_s003343_t02_84166c54a4db</t>
  </si>
  <si>
    <t xml:space="preserve">Nga Be</t>
  </si>
  <si>
    <t xml:space="preserve">vol3_s003343_t03_15bbdc9b38ee</t>
  </si>
  <si>
    <t xml:space="preserve">APPOINTED_AS_NANMADAW_PAGODA_CLERK</t>
  </si>
  <si>
    <t xml:space="preserve">Nemyo Minhtin Kyawzwa</t>
  </si>
  <si>
    <t xml:space="preserve">The named man's clerical appointment is real. Nanmadaw-bhura here denotes the queen, not a pagoda; the compound predicate mislabels the office.</t>
  </si>
  <si>
    <t xml:space="preserve">King → appointed as the queen's chief clerk → Nemyo Minhtin Kyawzwa.</t>
  </si>
  <si>
    <t xml:space="preserve">vol3_s003344</t>
  </si>
  <si>
    <t xml:space="preserve">vol3_s003344_t01_242db29438ae</t>
  </si>
  <si>
    <t xml:space="preserve">PLANNED_PILGRIMAGE_TO</t>
  </si>
  <si>
    <t xml:space="preserve">Minwun mountain range</t>
  </si>
  <si>
    <t xml:space="preserve">ထိုနှစ် သုံးလူ ့ထွတ်ထား ရှင်စောဘုရား၏ ဓာတ်တော် မွေးတော်မြတ် ကိန်းဝပ်ရာ စစ်ကိုင်းမြို့ မင်းဝံ တောင်တန်းတွင် ရှေးမင်းတို့ တည်ထားခဲ့သည့် ရုပ်ပွားဆင်းတု စေတီပုထိုးများကို ကြည်ညိုပူဇော်တော်မူရန် သင်္ဘောတော်နှင့် ထွက်တော်မူမည်၊ ဝင်းခင်း နောက်တော်လိုက်မှစ၍ ကြည်းဘက် ရေဘက် တပ်ဝင်းခင်းကျင်းရန်, ဧရာဝတီမြစ်အရှေ့ဘက် အနောက်ဘက် ကွန်းထောက် စံနန်းတော် ဆောက်လုပ်ရန် ရှိသည်များကို အလျင်ပြီးပြေ အောင် လုပ်ဆောင်စေ၊ စစ်ကိုင်းမြို့ ရှိ ဘုရားပုထိုးများမှာ လှူဒါန်းရန် ဆွမ်းတော်ကြီး, ဆီမီးတန်ဆောင်, ရွှေသင်္ကန်း, အလှူတော်များနှင့် ရဟန်း၊ သာမဏေ၊ သူတော်၊ သီလသည်များကို လှူဒါန်းပေးကမ်းရန် ရှိသည်များကိုလည်း ထွက်တော်မမူမီ တစ်ရက်ကတင်လျင်၍ အရာရှိ မှူးတော်မတ်တော်တို့ သွားရောက်ကြီးကြပ် လှူဒါန်းနှင့်စေ- အမိန့်တော်မြတ်အရ နတ်တော်လပြည့်ကျော် လေးရက် နေ့ စစ်ကိုင်းမြို့ မင်းဝံတောင်တန်းရှိ ဘုရားပုထိုးများမှာ လှူဒါန်းပူဇော်တော်မူရန်‘ဆွမ်းတော်ကြီး, ဆီမီးတန်ဆောင်, အမွှေးအထုံ, နံ့သာပန်းမန်, ရွှေသင်္ကန်း, အထူးထူးသော အလှူတော် အဖွယ်အရာ၊ ရဟန်း, သာမဏေ, သူတော်, သီလသည်, မစားရတတ် မဝတ်ရတတ် သူတို့ကို လှူဒါန်းပေးကမ်းစွန့်ကြဲရန်- ရွှေ, ငွေ, ဆန်, စပါး, ထည်မျိုးအုပ်မျိုး အသုံးအဆောင်များကို မှူးတော်မတ်တော်သို့ သွားရောက် ကြီးကြပ်လှူဒါန်း ပေးကမ်းစွန့်ကြဲရသည်။</t>
  </si>
  <si>
    <t xml:space="preserve">That year, [the King] would depart by royal boat to pay homage and worship at the images and stupas built by former kings on the Minwun mountain range in Sagaing city, where the relics and the sacred hair of the Lord Buddha, the crown of the three worlds, are enshrined; [he ordered] that preparations be made to quickly complete the setting up of the royal camp and the following retinue, the setting up of the land and water forces, and the construction of the royal pavilion on the east and west banks of the Irrawaddy River; and that the great alms, oil lamp stands, gold robes, and offerings to be given to the pagodas and stupas in Sagaing city, as well as the items to be given to the monks, novices, ascetics, and those observing precepts, be prepared one day before the departure, and that the ministers and officials go and supervise the offerings in advance—according to the royal order, on the fourth day of the waning moon of Natdaw, the ministers and officials went to supervise the offering and distribution of great alms, oil lamp stands, incense, fragrant flowers, gold robes, various other offerings, and gold, silver, rice, grain, and various types of clothing and utensils to be given and distributed to the monks, novices, ascetics, those observing precepts, and those who are unable to eat or clothe themselves, at the pagodas and stupas on the Minwun mountain range in Sagaing city.</t>
  </si>
  <si>
    <t xml:space="preserve">vol3_s003344_t02_b08df9580d17</t>
  </si>
  <si>
    <t xml:space="preserve">land and water forces</t>
  </si>
  <si>
    <t xml:space="preserve">vol3_s003344_t03_22fff7ae2c95</t>
  </si>
  <si>
    <t xml:space="preserve">royal pavilion</t>
  </si>
  <si>
    <t xml:space="preserve">vol3_s003344_t04_4e689554a106</t>
  </si>
  <si>
    <t xml:space="preserve">SUPERVISED_DISTRIBUTION_OF_ALMS</t>
  </si>
  <si>
    <t xml:space="preserve">monks, novices, ascetics, and the poor</t>
  </si>
  <si>
    <t xml:space="preserve">vol3_s003344_t05_d978ff507e7a</t>
  </si>
  <si>
    <t xml:space="preserve">PATRONIZED_RELIGIOUS_SITES</t>
  </si>
  <si>
    <t xml:space="preserve">Minwun mountain range pagodas</t>
  </si>
  <si>
    <t xml:space="preserve">vol3_s003349</t>
  </si>
  <si>
    <t xml:space="preserve">vol3_s003349_t01_3875a6d4a5d2</t>
  </si>
  <si>
    <t xml:space="preserve">Princes, ministers, and officials</t>
  </si>
  <si>
    <t xml:space="preserve">နောက်တော်လိုက် အစောင့်အနေ မင်းညီမင်းသား မှူးတော်မတ်တော်တို့မှာ-လွန်းများပုဆိုး, စပ်ပုဆိုး, ဗလာပုဆိုး, ပိတ်အုပ်, ခေါင်းပေါင်းအုပ်၊ မင်းသမီး, အပျိုတော်, ကတော် မယားတို့မှာ-လွန်းများထဘီ, ဖဲ- ပိုးပဝါအုပ်, ပိတ်အုပ်၊ ဝင်းခင်း နောက်တော်လိုက် စုကြီး စုသေး အမှုထမ်းများမှာ-စက်ပုဆိုး, ပိတ်အင်္ကျီ, ပဝါ, ခေါင်းပေါင်းတစ်စီနှင့် ငွေနှစ်ပြားစီကို ထွက်တော်မမူမီ တစ်ရက်က တင်လျင်၍ အသီးအသီး သနားတော်မူသည်။</t>
  </si>
  <si>
    <t xml:space="preserve">For the royal followers and guards, the princes, ministers, and officials: [they were granted] Luns-pattern longyis, striped longyis, plain longyis, cloth wraps, and headwrap sets; for the princesses, maids of honor, and wives of officials: Luns-pattern htameins, silk-satin shawls, and cloth wraps; for the royal followers of the palace guard and the large and small service groups: one set each of patterned longyis, cloth jackets, shawls, and headwraps, along with two silver coins each, which were presented and graciously bestowed upon them one day before the royal departure.</t>
  </si>
  <si>
    <t xml:space="preserve">vol3_s003349_t02_2eb822aa558d</t>
  </si>
  <si>
    <t xml:space="preserve">Princesses, maids of honor, and wives of officials</t>
  </si>
  <si>
    <t xml:space="preserve">vol3_s003349_t03_40819caf4e92</t>
  </si>
  <si>
    <t xml:space="preserve">Palace guard and service groups</t>
  </si>
  <si>
    <t xml:space="preserve">vol3_s003349_t04_978771d5483b</t>
  </si>
  <si>
    <t xml:space="preserve">Patronage</t>
  </si>
  <si>
    <t xml:space="preserve">Textiles and silver coins</t>
  </si>
  <si>
    <t xml:space="preserve">vol3_s003350</t>
  </si>
  <si>
    <t xml:space="preserve">vol3_s003350_t01_220d46cd8581</t>
  </si>
  <si>
    <t xml:space="preserve">Former Wundauk of Kun-ywa</t>
  </si>
  <si>
    <t xml:space="preserve">HELD_IN_CUSTODY_BY</t>
  </si>
  <si>
    <t xml:space="preserve">၎င်းနေ့ အထက်လပြည့်ကျော်ခြောက်ရက် နေ့ ညောင်ရွှေမြို့ ကအလွန် စငေါ တောင်စခန်းရွာတွင် ကွပ်ရွာ ဝန်ထောက်ဟောင်းကို အကျဉ်းဆောင်ယူ ဆိုက်ရောက်ရပ်နားသည်အတွင်း စွဲကပ်ရင်း အဖျားရောဂါ အပြင်းအထန် ကပ်ရောက်သေဆုံးကြောင်းနှင့် လွှတ်တော်လျှောက်ကြေးနန်းစကားကို အတွင်းတော်သို့သွင်း၍ အမိန့်တော်ခံသည်။</t>
  </si>
  <si>
    <t xml:space="preserve">On that day, the sixth day after the full moon of the aforementioned month, while the former Wundauk of Kun-ywa was being held in custody and had stopped at the mountain camp village of Sengo, beyond Nyaungshwe, he was struck by a severe, persistent fever and died; a report of this was submitted to the Inner Palace, and royal orders were received.</t>
  </si>
  <si>
    <t xml:space="preserve">vol3_s003350_t02_87342ada7651</t>
  </si>
  <si>
    <t xml:space="preserve">Death of former Wundauk</t>
  </si>
  <si>
    <t xml:space="preserve">vol3_s003351</t>
  </si>
  <si>
    <t xml:space="preserve">vol3_s003351_t01_6fbb799ba29a</t>
  </si>
  <si>
    <t xml:space="preserve">British Commissioner in Yangon</t>
  </si>
  <si>
    <t xml:space="preserve">Konbaung State</t>
  </si>
  <si>
    <t xml:space="preserve">ယင်းသည့်လပြည့်ကျော် ရှစ်ရက်ခံနေ့ အိမ်ရှေ့မင်းသား လင်းပင်စားဟောင်းသည် ရန်ကုန်မြို့ က ထွက်သွား ရှိသည်ဖြစ်၍ နိုင်ငံတော်အတွင်း ရောက်လျှင် ဖမ်းဆီးပါမည်အ ကြောင်းနှင့် ရန်ကုန်မြို့ အင်္ဂလိပ်အရေးတော်ပိုင် မဟာမင်းကြီးက စာရောက်သည်။</t>
  </si>
  <si>
    <t xml:space="preserve">On the eighth day after the full moon of that same month, a letter arrived from the English Commissioner in Yangon stating that since the former Prince of Linbin had departed from Yangon, he would be arrested if he entered the State.</t>
  </si>
  <si>
    <t xml:space="preserve">vol3_s003351_t02_497aaa52d6cc</t>
  </si>
  <si>
    <t xml:space="preserve">OFFERED_COOPERATION_REGARDING</t>
  </si>
  <si>
    <t xml:space="preserve">Arrest of former Prince of Linbin</t>
  </si>
  <si>
    <t xml:space="preserve">vol3_s003352</t>
  </si>
  <si>
    <t xml:space="preserve">vol3_s003352_t01_99542b65b56c</t>
  </si>
  <si>
    <t xml:space="preserve">APPOINTED_AS_THANDAWSINT</t>
  </si>
  <si>
    <t xml:space="preserve">Nemyo Min Hla Kyaw Thu</t>
  </si>
  <si>
    <t xml:space="preserve">ယင်းသည့်လပြည့်ကျော် ဆယ်ရက် နေ့ ဗြဲတိုက်သံဆင့် နေမျိုးမင်းလှကျော်သူကို သံတော်ဆင့် ခန့်တော်မူသည်။</t>
  </si>
  <si>
    <t xml:space="preserve">On the tenth day after the full moon of that same month, Nemyo Min Hla Kyaw Thu, the Byedaik Thansin, was appointed as a Thandawsint.</t>
  </si>
  <si>
    <t xml:space="preserve">vol3_s003353</t>
  </si>
  <si>
    <t xml:space="preserve">vol3_s003353_t01_b4e198691968</t>
  </si>
  <si>
    <t xml:space="preserve">TESTED_MILITARY_CAPACITY_OF</t>
  </si>
  <si>
    <t xml:space="preserve">ယင်းသည့်လပြည့်ကျော် တစ်ဆယ့်သုံးရက် နေ့ ရတနာမဉ္ဇူဘုရားအနီးတွင် ဆင်တော်များကို ဒိုင်းပလုပ် စည်ဗျော ဗျောက်တို့ဖြင့် စမ်းသပ်ပြီးလျှင် စွယ်ချင်းယှက်၍ တိုက်ဝှေ့စမ်းသပ်ရသည်။</t>
  </si>
  <si>
    <t xml:space="preserve">On the thirteenth day after the full moon of that same month, near the Ratanamanju Pagoda, the royal elephants were tested with shields, drums, and cymbals, and were then tested by having them lock tusks and engage in mock combat.</t>
  </si>
  <si>
    <t xml:space="preserve">vol3_s003353_t02_7bedf38cfcae</t>
  </si>
  <si>
    <t xml:space="preserve">UNDERWENT_COMBAT_TRAINING</t>
  </si>
  <si>
    <t xml:space="preserve">Mock combat</t>
  </si>
  <si>
    <t xml:space="preserve">vol3_s003354</t>
  </si>
  <si>
    <t xml:space="preserve">vol3_s003354_t01_f3a33037cb5c</t>
  </si>
  <si>
    <t xml:space="preserve">Myingun Myosa</t>
  </si>
  <si>
    <t xml:space="preserve">ထိုနှစ် ပြာသိုလဆန်းလေးရက်ဒနေ့ လှိုင်းတက်မင်းသားကြီးသမီး မြင်ကွန်းမြို့စား အဖျားရောဂါနှင့် အနောက် တံခါးအတွင်း ရေမြောင်းထိပ်အုတ်တိုက်တွင် သေလွန်သည်ကို အသျှင်နန်းမတော် မိဖုရားခေါင်ကြီးဘုရား ထွက်တော် မူ၍ တမ်းတကြည်ကွဲတော်မူပြီးလျှင် ဝန်ကြီး, အတွင်းဝန်, မှူးတော်မတ်တော်တို့ ကြီးကြပ်၍ အထက် အရီးတော် ဗိုလ်မှူးမင်းသား သမီးကို သင်္ဂြိုဟ်သည့် အခမ်းအနားနည်း လုပ်ဆောင်စေ-အမိန့်တော် ရှိသည်အတိုင်း လုပ်ဆောင် ရသည်။</t>
  </si>
  <si>
    <t xml:space="preserve">On the fourth day of the waxing moon of Pyatho of that year, the daughter of the great Laingdet Prince, the Myingun Myosa, died of a fever in the brick building at the head of the water ditch inside the West Gate; Her Majesty the Chief Queen went out, expressed her deep sorrow and grief, and ordered the ministers, secretaries, and officials to supervise and carry out the funeral ceremony for the daughter of the aforementioned aunt, the Bo-hmu Prince, according to the prescribed rites.</t>
  </si>
  <si>
    <t xml:space="preserve">vol3_s003354_t02_df746f249369</t>
  </si>
  <si>
    <t xml:space="preserve">SUPERVISED_FUNERAL_OF</t>
  </si>
  <si>
    <t xml:space="preserve">vol3_s003354_t03_213801a18e62</t>
  </si>
  <si>
    <t xml:space="preserve">Funeral rites</t>
  </si>
  <si>
    <t xml:space="preserve">FOLLOWED_PRESCRIBED_PROTOCOL</t>
  </si>
  <si>
    <t xml:space="preserve">Royal status</t>
  </si>
  <si>
    <t xml:space="preserve">vol3_s003355</t>
  </si>
  <si>
    <t xml:space="preserve">vol3_s003355_t01_69f57846cc15</t>
  </si>
  <si>
    <t xml:space="preserve">MANDATED_ANNUAL_TRAINING_FOR</t>
  </si>
  <si>
    <t xml:space="preserve">Military service groups</t>
  </si>
  <si>
    <t xml:space="preserve">စစ်အတတ် လေ့ကျင့်ခြင်း၊ မြင်းခင်းသဘင် ကျင်းပခြင်း-စသည်မှ မိုးကောင်းကချင် ထကြွသည်ထိ အကြောင်းများ ယင်းသည့်လဆန်းငါးရက် နေ့ကစ၍ သေနတ်, အမြောက်, ဝင်း, ဒိုင်း, လှေ အစုအမှုထမ်းတို့ကို အမြောက်ပစ်, သေနတ်ပစ်, မြင်းဒုန်းစိုင်း၍ ရှောက်သီးခုတ်, ရှောက်သီးထိုးမှစ၍ နှစ်စဉ်သင်ကြားမြဲ စက်ပစ်ခတ်ခြင်းကို သင်ကြား ရသည်။</t>
  </si>
  <si>
    <t xml:space="preserve">Regarding matters from the training of military arts and the holding of equestrian festivals up to the uprising of the Kachins in Mogaung, starting from the fifth day of the waxing moon of that month, the service groups of musketeers, artillerymen, palace guards, shield-bearers, and boatmen were trained in the annual customary drills of firing cannons and muskets, and galloping horses to cut and spear pomelos, as well as target practice.</t>
  </si>
  <si>
    <t xml:space="preserve">vol3_s003355_t02_59251b68fe27</t>
  </si>
  <si>
    <t xml:space="preserve">PRACTICED_MILITARY_ARTS</t>
  </si>
  <si>
    <t xml:space="preserve">Musketry, artillery, and equestrian skills</t>
  </si>
  <si>
    <t xml:space="preserve">vol3_s003356</t>
  </si>
  <si>
    <t xml:space="preserve">vol3_s003356_t01_b37964d0f28c</t>
  </si>
  <si>
    <t xml:space="preserve">SUPERVISED_FUNERAL_PROCESSION_OF</t>
  </si>
  <si>
    <t xml:space="preserve">Myingun Princess</t>
  </si>
  <si>
    <t xml:space="preserve">ယင်းသည့် လဆန်းခြောက်ရက်? နေ့ မြင်ကွန်းမင်းသမီးအလောင်းကို မင်းညီမင်းသား မှူးတော်မတ်တော်တို့ ကြပ်မလိုက်ပို့၍ သင်္ချိုင်းတော်မှာ သင်္ဂြိုဟ်ရသည်။</t>
  </si>
  <si>
    <t xml:space="preserve">On the sixth day of the waxing moon of that same month, the princes, ministers, and officials supervised the funeral procession of the Myingun Princess and buried her at the royal cemetery.</t>
  </si>
  <si>
    <t xml:space="preserve">vol3_s003357</t>
  </si>
  <si>
    <t xml:space="preserve">vol3_s003357_t01_343d1e4f0d47</t>
  </si>
  <si>
    <t xml:space="preserve">MANDATED_TRAINING_IN</t>
  </si>
  <si>
    <t xml:space="preserve">Equestrian and martial arts</t>
  </si>
  <si>
    <t xml:space="preserve">ထိုနှစ်ပြာသိုလ ရွှေနန်းတော်အတွင်း မြင်းခင်းသဘင် ကျင်းပစေရန် မင်းညီမင်းသား မှူးတော်မတ်တော် အရာရှိတို့ကိုလည်း ပယ်ဝန်း, ပယ်စိတ်, ပယ်ခွဲ, စန္ဒရယှက်, လေးကျွန်းမှန်ကူ, ဘုံနန်းတန်ဆောင်, စွန်ဝဲ, ဆင့်ထူး စသော မြင်းစီးနည်း မြင်းရေးသုံးဆယ့်ခုနစ်၊ သက်တင်ရောက်, ခြင်္သေ့တန်းဆွဲ, ရွှေစလွယ်တင်, တန်ဆောင်ကိုင်ဟန်, ဗြဟ္မာလက်လှမ်း, လက်ယာကဦး, ဟင်္သာတောင်ယှက် စသော မြင်းပေါ်၌ ကိုင်ဆောင်သော အဲမောင်းလှံရေး သုံးဆယ့်ခုနစ်၊ မြေမှ အမြင့်သံတောင် ခြောက်ဆယ်ရှိသော စက်တိုင်၌ အချင်း တစ်မိုက်လေးသစ်ရှိသော စက်ယင်က အောက်ကို ငါးတောင်စီခွာ၍ တစ်ဆယ့်ငါးတောင်အထိ စက်အမျိုးမျိုးများမှာ မြင်းကို စိုင်းနှင်စီးနင်းလျက် လှံလျင်ဖြင့် စက်ကိုစွဲအောင် သွင်းလွှတ်ခြင်း စသည်တို့ကို ကောင်းမွန်စွာ တတ်မြောက်အောင် လေ့လာ သင်ကြားစေခြင်း၊ မြေနန်းတော်ရှေ့တွင် မြင်းခင်းသဘင် စံနန်းတော် ဆောက်လုပ်စေခြင်း စသော ပုဗ္ဗကိစ္စတို့ကို ပြီးပြည့်စုံစေပြီးမှ ယင်းသည့် ပြာသိုလပြည့်ကျော် တစ်ဆယ့်သုံးရက် နေ့ နေတစ်ချက်တီးကျော် ခြောက်မောင်းအချိန် မြင်းခင်း စက်သွင်းသဘင် ယင်တော်မူမည်ဖြစ်၍ ထွက်တော်မမူမီ မင်းညီမင်းသား မှူးတော်မတ်တော် စုရေးကိုင်ရေး အရာရှိ တို့မှာ သနားတော်မြတ်ခံရသည့် မျဉ်းမောက်တို ဆင်ယင်လျက် စီးနင်းရန် ကြိုးကစုံဆင်ပြီး မြင်း, အဲမောင်းရေးပြရန် အဲမောင်းလှံရှည်, စက်သွင်းရန် လှံလျင်များနှင့် စက်သွင်းပြီးသည်တိုင် မြင်းရေး တီးချက်များကို သာယာစွာ တီးမှုတ်စေရန် အတွင်းဆိုင်း ဝဲယာ အမှုထမ်းလူတို့မှာ ဝတ်သန့်ဝတ်ကောင်းနှင့်၊ စက်သွင်းပြီး လှံလျင်များကို သိမ်းယူစေရန် လက်နက်တိုက် အရာရှိ အမှုထမ်းလူတို့မှာ ဝတ်သန့် ဝတ်ကောင်းနှင့်၊ စက်သွင်းသည့် အခါတွင် စက်သွင်းအရာရှိ၏ အစီးအနင်း အဝတ်အဆင် ကိရိယာ, မြင်းကြိုးက အဆင်တန်ဆာကိရိယာ တစ်စုံတစ်ခု ပျက်ယွင်းသည်ဖြစ်စေ၊ မြင်းနှင့်လူ လွတ်ကွာသည်ဖြစ်စေ၊ စက်တိုင်သို့ရောက်အောင် လှံလျင်ကို မလွှတ်နိုင်သည် ဖြစ်စေ၊ စက်တိုင်အနီး ရောက်မှ လှံကို မလွှတ်ခဲ့ဘဲ ဆောင်ယူပြန်သွားသည်ဖြစ်စေ၊ တစ်စုံတစ်ရာ ချွတ်ယွင်းသူ အရာရှိမှာ ရှေ့တော်တွင် တုပ်ပျပ်ခစား နေလှန်း ရာဇဝတ်ပေးစေရန် နေရာချ သွေးသောက်ကြီးမှာ ပုဆိုးအောက်ပိုး ကျိုက်ခါ အင်္ကျီနီ, ပေါင်းထုပ်နီ ဆင်ယင်လျက် မြင်းပေါ်မှ ဆွဲငင်ချရန် လက်ကိုင်ကောက်နှင့် စီးမြင်း လက်လွတ် ထွက်သွားရှိလျှင် ဖမ်းဆီးသိမ်းထားစေရန် စီးတော်မြင်းဝန်, မြင်းစာရေး, မြင်းတော်မှူး, မြင်းတော်ခံတို့မှာ ဝတ်သန့် ဝတ်ကောင်းနှင့် အသီးအသီး ဆင့်ဆိုဝင်ရောက် အသင့်ရှိစေ၍ အခါတော်နီးလျှင် မြင်းခင်းစံနန်းတော်သို့ အသျှင် ဘဝရှင်မင်းတရားကြီးဘုရားမှာ ရတနာအတိပြီးသော မျဉ်းမှောက်တို ဆင်တော်မူ၍ အသျှင်နန်းမတော် မိဖုရား ခေါင်ကြီးနှင့်တကွ ထွက်စံတော်မူသည်။</t>
  </si>
  <si>
    <t xml:space="preserve">In the month of Pyatho of that year, in order to hold an equestrian festival within the Golden Palace, the princes, ministers, and officials were instructed to master the thirty-seven methods of horsemanship, such as the 'encircling,' 'splitting,' 'dividing,' 'moon-intertwining,' 'four-island mirror-support,' 'tiered-palace pavilion,' 'kite-circling,' and 'extra-step' [techniques], as well as the thirty-seven methods of wielding spears and lances while mounted, such as the 'life-reaching,' 'lion-row pulling,' 'golden-sash wearing,' 'pavilion-holding posture,' 'Brahma-reaching,' 'right-leading,' and 'hamsa-wing-intertwining' [techniques]. They were also to study and master the various target practices, such as hitting targets of various types placed at intervals of five taung each, up to fifteen taung, on a target post sixty taung high from the ground, with a target-fly of one maik and four thit in diameter, by galloping the horse and accurately piercing the target with a lance. After completing the preliminary tasks such as constructing the royal pavilion in front of the earthen palace, on the thirteenth day after the full moon of Pyatho, at the time of one-and-a-half hours past noon, the royal equestrian target-piercing festival was to be held. Before the royal departure, the princes, ministers, and administrative officials were to wear the graciously bestowed short-brimmed hats, have their horses fully equipped with saddles and bridles, and be ready with long lances for the target-piercing. The inner musical troupe and the left and right service groups were to be dressed in fine, clean clothing to play music melodiously during the target-piercing and until the completion of the event. The armory officials and service personnel were to be dressed in fine, clean clothing to collect the lances after the target-piercing. If any official's riding equipment, clothing, or horse harness was damaged during the target-piercing, or if the horse and rider became separated, or if the lance could not be released to reach the target post, or if the lance was not released but carried back after reaching the vicinity of the target post, the official who committed any such error was to be placed in the royal presence, kneeling and exposed to the sun as a penalty. The Thwe-thauk-gyi, dressed in a longyi with a tucked-up waist, a red jacket, and a red headwrap, was to be positioned with a hooked staff to pull [the rider] off the horse if the horse ran away uncontrolled. The Royal Horse Minister, the Horse Clerk, the Royal Horse Commander, and the Royal Horse Attendants were to be dressed in fine, clean clothing and be ready with their respective assignments. When the time approached, His Majesty the Great King, wearing a jewel-encrusted short-brimmed hat, departed with Her Majesty the Chief Queen to preside over the festival.</t>
  </si>
  <si>
    <t xml:space="preserve">vol3_s003357_t02_40540eb4896a</t>
  </si>
  <si>
    <t xml:space="preserve">REQUIRED_TO_MASTER</t>
  </si>
  <si>
    <t xml:space="preserve">Thirty-seven horsemanship and spear-wielding techniques</t>
  </si>
  <si>
    <t xml:space="preserve">vol3_s003357_t03_abbaf541c631</t>
  </si>
  <si>
    <t xml:space="preserve">ESTABLISHED_PENALTIES_FOR</t>
  </si>
  <si>
    <t xml:space="preserve">Failure in equestrian performance</t>
  </si>
  <si>
    <t xml:space="preserve">vol3_s003357_t04_8b806260fb15</t>
  </si>
  <si>
    <t xml:space="preserve">Thwe-thauk-gyi</t>
  </si>
  <si>
    <t xml:space="preserve">ASSIGNED_ROLE_OF</t>
  </si>
  <si>
    <t xml:space="preserve">Enforcing discipline during festival</t>
  </si>
  <si>
    <t xml:space="preserve">vol3_s003357_t05_aec227cd86d5</t>
  </si>
  <si>
    <t xml:space="preserve">Equestrian festival</t>
  </si>
  <si>
    <t xml:space="preserve">vol3_s003426</t>
  </si>
  <si>
    <t xml:space="preserve">vol3_s003426_t01_0d03fde84a46</t>
  </si>
  <si>
    <t xml:space="preserve">fire</t>
  </si>
  <si>
    <t xml:space="preserve">DESTROYED_PROPERTY_OF</t>
  </si>
  <si>
    <t xml:space="preserve">Shwetaik Wundauk Pauk-myaing Myosa</t>
  </si>
  <si>
    <t xml:space="preserve">The named official's property loss is supported, but the Burmese calls him Shwetaik Atwinwun, not Wundauk.</t>
  </si>
  <si>
    <t xml:space="preserve">Use Shwetaik Atwinwun Pauk-myaing Myosa.</t>
  </si>
  <si>
    <t xml:space="preserve">ထိုနှစ် နှောင်းတန်းခူးလဆန်းတစ်ရက် နေ့ နေသုံးချက်တီးကျော် လေးမောင်းနှစ်ပါဒ်အချိန် နန်းမြို့ တော် မြောက်မျက်နှာ ရွှေတိုက်အတွင်းဝန် ပေါက်မြိုင်မြို့စား ဝင်းပေါက်တောင်ဘက်အထွက် စလင်းစစ်ကဲဟောင်း ငနေထွန်းအိမ် ထမင်းချက်မီးကစ၍ စွဲငြိတောက်လောင်ရာ ရွှေတိုက်အတွင်းဝန် ပေါက်မြိုင်မြို့ စားဝင်းအိမ်နှင့်တကွ ပတ်လည် လေးမျက်နှာ အိမ်တန်းကုန်၊ ၎င်းအနောက် လျှောက်၍ လေးသိန်းတံခါး လမ်းမတော်ရောက် အရှေ့ အနောက် ဝင်းစဉ်ကုန်၊ မြောက်ဘက်ကိုလည်း ယောမြို့စားဝန်ကြီးဟောင်း, ပုဂံဝန်ထောက်ဟောင်း ဝင်းနှစ်ရပ်နှင့်တကွ ဝင်းပတ်လည် အိမ်တန်း သံချက်ဝန်ထောက် အိမ်များပါ အိမ်ခြေနှစ်ရာကျော် ကျွမ်းလောင်ပြီးမှ စဲငြိမ်းသည်။</t>
  </si>
  <si>
    <t xml:space="preserve">On the first day of the waxing moon of the late Tagu month of that year, at the time of three strokes past the sun and two units of the fourth watch, a fire started from a cooking fire at the house of the former Salin Sitke Nga Ne Htun, located at the southern exit of the gate of the compound of the Pauk-myaing Myosa, the Shwetaik Wundauk, on the north side of the royal city, and it caught and burned; it burned down the house of the Pauk-myaing Myosa, the Shwetaik Wundauk, along with all the rows of houses on all four sides around it, and continuing west, it burned all the rows of compounds east and west reaching the Lay-thein Gate main road, and to the north, it burned more than two hundred houses including the two compounds of the former Yaw Myosa Wungyi and the former Bagan Wundauk, along with the rows of houses around the compounds and the houses of the Thangyet Wundauk, before it ceased and was extinguished.</t>
  </si>
  <si>
    <t xml:space="preserve">vol3_s003426_t02_a1979348ecc0</t>
  </si>
  <si>
    <t xml:space="preserve">former Yaw Myosa Wungyi</t>
  </si>
  <si>
    <t xml:space="preserve">vol3_s003426_t03_9ab751730d16</t>
  </si>
  <si>
    <t xml:space="preserve">former Bagan Wundauk</t>
  </si>
  <si>
    <t xml:space="preserve">vol3_s003426_t04_c2dee318f59c</t>
  </si>
  <si>
    <t xml:space="preserve">Thangyet Wundauk</t>
  </si>
  <si>
    <t xml:space="preserve">vol3_s003426_t05_fa68e7d3ce97</t>
  </si>
  <si>
    <t xml:space="preserve">royal city residential compounds</t>
  </si>
  <si>
    <t xml:space="preserve">vol3_s003427</t>
  </si>
  <si>
    <t xml:space="preserve">vol3_s003427_t01_1bd36e849b2f</t>
  </si>
  <si>
    <t xml:space="preserve">Hteik-su Myat Paya</t>
  </si>
  <si>
    <t xml:space="preserve">fourth daughter</t>
  </si>
  <si>
    <t xml:space="preserve">ယင်းသည့်လဆန်းသုံးရက်- နေ့ ညဉ့်လေးချက်တီးကျော် သုံးမောင်းအချိန် သမီးတော် စတုတ္ထထိပ်စုမြတ် ဘုရားမှာ ကပ်ရောက်သည့် ကျောက်ရောဂါတော်မှ အထမမြောက် ကံကုန်တော်မူပြန်သည်ကို အောက်မရှိသည်နှင့် ပွေ့ပိုက်ချဆောင်ရန် မင်းညီမင်းသားတို့ကို ခေါ်ငင် မဆိုက်မရောက်မီ အလောင်းတော်ကို ကြယ်ထိုးပုခက်တော် အတွင်း ထည့်သွင်း ရွှေပုစွန်ဆီ ဖုံးအုပ်ပြီးလျှင် ဝန့်ရှင်တော် တောင်ခွင်မြို့စားမင်းကြီး, ရွှေတိုက်အတွင်းဝန် ပေါက်မြိုင်မြို့စား, ဝန်ထောက် ဝက်မစွတ်မြို့စား, စက်ဝန် ယွန်းစုဝန်တို့ အလောင်းတော်ပုခက်ကို ပိုက်ပွေ့၊ သံတော်ဆင့် ဝန်စုရတို့ ကိုင်တွယ် ထုတ်ပို့၊ မြောက်ဥယျာဉ်တော်အတွင်း မောင်တော်ရွှေကိုယ်တော်ကြီး သင်္ချိုင်း အုတ်ပြာသာဒ် အနောက်ဘက်တွင် ကပ်၍ အထက် အစ်မတော်နည်း လုပ်ဆောင်သင်္ဂြိုဟ်ရသည်။</t>
  </si>
  <si>
    <t xml:space="preserve">On the third day of the waxing moon of that same month, at the time of three units past the fourth stroke of the night, the fourth daughter, the Hteik-su Myat Paya, passed away because she did not recover from the smallpox that had afflicted her; as there was no one to [carry her], royal princes were summoned to carry and transport her, but before they could arrive, the royal body was placed inside a star-patterned royal cradle and covered with golden prawn oil, and then the Wunshindaw Taungkhwin Myosa Mingyi, the Shwetaik Wundauk Pauk-myaing Myosa, the Wundauk Wetmasut Myosa, and the Setwun Yonsu Wun carried the royal cradle, while the Thandawsint Wunsuya handled and escorted it, and it was cremated in the same manner as the elder sister previously, near the west side of the brick pyathat of the tomb of the elder brother, the Shwe Ko-daw-gyi, within the northern royal garden.</t>
  </si>
  <si>
    <t xml:space="preserve">vol3_s003427_t02_1e15e0b70f1a</t>
  </si>
  <si>
    <t xml:space="preserve">Wunshindaw Taungkhwin Myosa Mingyi</t>
  </si>
  <si>
    <t xml:space="preserve">MANAGED_FUNERAL_OF</t>
  </si>
  <si>
    <t xml:space="preserve">vol3_s003427_t03_14026464e1b7</t>
  </si>
  <si>
    <t xml:space="preserve">The named official's funeral participation is supported; his office is Atwinwun, not Wundauk.</t>
  </si>
  <si>
    <t xml:space="preserve">vol3_s003427_t04_308b6e078d21</t>
  </si>
  <si>
    <t xml:space="preserve">Wundauk Wetmasut Myosa</t>
  </si>
  <si>
    <t xml:space="preserve">vol3_s003427_t05_5476bab92406</t>
  </si>
  <si>
    <t xml:space="preserve">Setwun Yonsu Wun</t>
  </si>
  <si>
    <t xml:space="preserve">vol3_s003427_t06_4b4b790ea0f3</t>
  </si>
  <si>
    <t xml:space="preserve">Thandawsint Wunsuya</t>
  </si>
  <si>
    <t xml:space="preserve">ESCORTED_FUNERAL_OF</t>
  </si>
  <si>
    <t xml:space="preserve">vol3_s003428</t>
  </si>
  <si>
    <t xml:space="preserve">vol3_s003428_t01_cb00dcc89387</t>
  </si>
  <si>
    <t xml:space="preserve">SPONSORED_RITUAL_FOR</t>
  </si>
  <si>
    <t xml:space="preserve">ယင်းသည့် လဆန်းလေးရက်၃ နေ့ နံနက် တစ်ချက်တီးအချိန် အလောင်းတော်သင်္ဂြိုဟ်ရာ အထက်က အုတ်နန်းပြာသာဒ် ပြီးပြေ၍ သံဃာတော်ရှစ်ပါး ပင့်ဖိတ်၊ ပရိတ်တရားတော်များ နာခံပြီးလျှင် နွားနို့ဆွမ်း ကပ်လှူကျွေးမွေးရသည်။</t>
  </si>
  <si>
    <t xml:space="preserve">On the fourth day of the waxing moon of that same month, at the time of the first stroke of the morning, the brick royal pyathat for the cremation of the royal body was completed, and eight monks were invited, and after listening to the paritta scriptures, cow's milk alms were offered and served.</t>
  </si>
  <si>
    <t xml:space="preserve">vol3_s003428_t02_6723523d54bf</t>
  </si>
  <si>
    <t xml:space="preserve">eight monks</t>
  </si>
  <si>
    <t xml:space="preserve">vol3_s003429</t>
  </si>
  <si>
    <t xml:space="preserve">vol3_s003429_t01_665029bc6e41</t>
  </si>
  <si>
    <t xml:space="preserve">MAINTAINED_MONASTIC_PATRONAGE</t>
  </si>
  <si>
    <t xml:space="preserve">Shin Wayama, Shin Thuzata, Shin Zagaya</t>
  </si>
  <si>
    <t xml:space="preserve">The compressed phrase associates the named religious with the heir/princely household. It does not clearly establish the separate claim that a Crown Prince maintained patronage of them. The actor/association is too ambiguous here to certify or call a demonstrated hard factual error.</t>
  </si>
  <si>
    <t xml:space="preserve">Verify the princely designation before retaining a Crown Prince → maintained monastic patronage edge.</t>
  </si>
  <si>
    <t xml:space="preserve">ယင်းသည့် လဆန်းငါးရက် နေ့ လွှတ်တော်မြောက်ကျောင်းရှိ အိမ်ရှေ့မင်းသား ရဟန်းတော် ရှင်ဝါယာမ, ရှင်သုဇာတ, သာမဏေ ရှင်ဇာဂရတို့အမိ အိမ်ရှေ့တော်ဝင်းအနီး အိမ်တွင် နာမကျန်းရှိသည်ကို စာရေးကြီးတစ်, သေနတ်စာရေးတစ်, သေနတ်အမှုထမ်း လူတစ်ကျိပ်တို့ကို ကြီးကြပ်သွားရောက် ကြည့်ရှုစေသည်။</t>
  </si>
  <si>
    <t xml:space="preserve">On the fifth day of the waxing moon of that same month, because the mother of the Crown Prince's monks, Shin Wayama, Shin Thuzata, and the novice Shin Zagaya, who were at the northern monastery of the Hluttaw, was ill at a house near the Crown Prince's compound, a chief clerk, a gun clerk, and ten gun service men were supervised to go and visit her.</t>
  </si>
  <si>
    <t xml:space="preserve">vol3_s003429_t02_f10229581633</t>
  </si>
  <si>
    <t xml:space="preserve">PROVIDED_CARE_TO</t>
  </si>
  <si>
    <t xml:space="preserve">mother of Crown Prince's monks</t>
  </si>
  <si>
    <t xml:space="preserve">The passage supports court assistance involving the ill mother, but specifies an escorted/supervised visit with clerks and armed attendants rather than direct provision of care to her.</t>
  </si>
  <si>
    <t xml:space="preserve">State → arranged a supervised visit concerning → mother of the named monks and novice.</t>
  </si>
  <si>
    <t xml:space="preserve">vol3_s003430</t>
  </si>
  <si>
    <t xml:space="preserve">vol3_s003430_t01_d70a1bb200ac</t>
  </si>
  <si>
    <t xml:space="preserve">DESTROYED_PROPERTY_IN</t>
  </si>
  <si>
    <t xml:space="preserve">Malun market quarter</t>
  </si>
  <si>
    <t xml:space="preserve">ယင်းသည့် လဆန်းခြောက်ရက် နေ့ နံနက် တစ်ချက်တီးကျော် ငါးမောင်းအချိန် မလွန်ဈေးရပ်တွင် အိမ်ခြေတစ်ရာကျော် မီးသင့်လောင်သည်။</t>
  </si>
  <si>
    <t xml:space="preserve">On the sixth day of the waxing moon of that same month, at the time of five units past the first stroke of the morning, more than one hundred houses in the Malun market quarter were burned by fire.</t>
  </si>
  <si>
    <t xml:space="preserve">vol3_s003431</t>
  </si>
  <si>
    <t xml:space="preserve">vol3_s003431_t01_096841048b11</t>
  </si>
  <si>
    <t xml:space="preserve">EXECUTED_POLITICAL_THREAT</t>
  </si>
  <si>
    <t xml:space="preserve">Crown Prince Maung Bhone</t>
  </si>
  <si>
    <t xml:space="preserve">ယင်းသည့် လဆန်းခုနစ်ရက်၆နေ့ ဘထွေးတော် အိမ်ရှေ့မင်းသား မောင်ဘုန်းနှင့် သူပုန်မှ ပါဝင်သူတို့ပါ ထောင်တွင် စီရင်သည်။</t>
  </si>
  <si>
    <t xml:space="preserve">On the seventh day of the waxing moon of that same month, the uncle, the Crown Prince Maung Bhone, and those who participated in the rebellion were executed in prison.</t>
  </si>
  <si>
    <t xml:space="preserve">vol3_s003431_t02_203bef581325</t>
  </si>
  <si>
    <t xml:space="preserve">rebel participants</t>
  </si>
  <si>
    <t xml:space="preserve">vol3_s003432</t>
  </si>
  <si>
    <t xml:space="preserve">vol3_s003432_t01_ae766af9d6fe</t>
  </si>
  <si>
    <t xml:space="preserve">royal granaries</t>
  </si>
  <si>
    <t xml:space="preserve">တစ်နေ့တည်း မီးခုနစ်ကြိမ် လောင်ခြင်း၊ မဟာမုနိရုပ်ပွားတော် မီးသင့်ခြင်း-စသော အကြောင်းများ ယင်းသည့် လဆန်းဆယ်ရက်? နေ့ နေတစ်ချက်တီးကျော် လေးမောင်းအချိန် ရွှေမြို့ တော်နောက်ပြင် ပြည်ကြီး ကျက်သရေရပ် ကြီးမြင့်ဘုရားအရှေ့ မိုးနဲစားဟောင်းဝင်း မြောက်ဘက် မိတောအိမ်ကစ၍ မီးစွဲငြိ တောက်လောင်ရာ မြောက်ကို သူရဲဈေးထိ သင့်လောင်၍ မစဲမငြိမ်းမီ နန်းမြို့ တော်အနောက် ဝင်မှူးဝင်း အတွင်းအိမ်ကစ၍ မီးစွဲငြိ တောက်လောင်ပြန်ရာ မြောက်ကို ရွှေပြည်မှန်ကင်း, မာရဘင်အစု, မြောက်ဒဝယ် အနောက်ကွက်, အရှေ့ကွက်, ဝင်းအိမ်နှင့် မြို့ရိုးပေါ် ပြအိုးပြာသာဒ်နှစ်, လေးသိန်းတံခါးပြာသာဒ်, နန်းစဉ်ကျီတော်ကြီးများပါ မီးသင့်လောင်သည့်ပြင် မြောက်ပြင်ကိုဖြတ်ကျော်၍ ဒီပဲယင်းတိုက်, ဆူးခါးတိုက်, လင်္ကာရာမတိုက်, မကုဋာရာမတိုက်, နိဿရည်းတိုက်, ကုသိုလ်တော်တိုက်, သောဘိတာရာမတိုက်, ပန်းပဲတန်းတိုက်များက ကျောင်းပေါင်း ခုနစ်ဆယ့်ရှစ်ကျောင်းအနက် ငါးဆယ့်လေးကျောင်းကို မီးသင့်လောင်သည်။</t>
  </si>
  <si>
    <t xml:space="preserve">On the tenth day of the waxing moon of that same month, at the time of four units past the first stroke of the sun, due to causes such as seven fires occurring in one day and the Mahamuni image being caught in a fire, a fire started and burned from the house of Mi Taw, north of the former Moe-ne-sa compound, east of the Kyimyint Paya in the Pyigyi Kyetyay quarter outside the royal city, and it burned north as far as the Thuye market; before it ceased and was extinguished, a fire started and burned again from a house inside the Wunhmu compound west of the royal city, and it burned the Shwepyimankin, the Marabin group, the northern Dawei western block and eastern block, the compound houses, two brick pyathats on the city wall, the Lay-thein Gate pyathat, and the large royal granaries to the north, and furthermore, it crossed the northern area and burned fifty-four out of a total of seventy-eight monasteries in the Depayin, Suhka, Linkarama, Makutarama, Nissaya, Kuthodaw, Sobitarama, and Panbeit-tan monastic sectors.</t>
  </si>
  <si>
    <t xml:space="preserve">vol3_s003432_t02_68f22ed78fd8</t>
  </si>
  <si>
    <t xml:space="preserve">city wall pyathats</t>
  </si>
  <si>
    <t xml:space="preserve">vol3_s003432_t03_1186bf117300</t>
  </si>
  <si>
    <t xml:space="preserve">Lay-thein Gate pyathat</t>
  </si>
  <si>
    <t xml:space="preserve">vol3_s003432_t04_cd3b309f5582</t>
  </si>
  <si>
    <t xml:space="preserve">DESTROYED_RELIGIOUS_INSTITUTIONS</t>
  </si>
  <si>
    <t xml:space="preserve">fifty-four monasteries</t>
  </si>
  <si>
    <t xml:space="preserve">vol3_s003445</t>
  </si>
  <si>
    <t xml:space="preserve">vol3_s003445_t01_31aa2b6352a4</t>
  </si>
  <si>
    <t xml:space="preserve">ENTERED_PALACE_FOR_RITUAL</t>
  </si>
  <si>
    <t xml:space="preserve">southern_palace</t>
  </si>
  <si>
    <t xml:space="preserve">၁၂ ၄၆ - ခု သက္ကရာဇ် (၁၂၄၆) တစ်ထောင့်နှစ်ရာ့လေးဆယ့်ခြောက်ခု တန်ခူးလပြည့်ကျော်သုံးရက် အတာတက်သည့်နေ့ နံနက်တစ်ချက်တီးကျော် လေးမောင်းအချိန် အခါတော်အတိုင်း တောင်နန်းတော် ဝဲဘက်ဆောင်တော်တွင် မှူးတော် မတ်တော်တို့ အင်္ကျီလက်ကျယ် ရွှေစလွယ် ဆင်ယင်ဝင်ရောက်ကြပြီးလျှင် ဝဲယာအခြံအရံ အတွဲအမ အခမ်းအနားပါ မင်းသမီးနှစ်တို့ မစခြံရံစေ၍ ပထမ ပူဇော်တော်ပွဲ ဆက်သပြီးနောက် ဒုတိယ ဘုရားခုနစ်ဆူ အလှူတော်စာ လျှောက်ကြား၊ စည်တော်တီးရွမ်းရသည်။</t>
  </si>
  <si>
    <t xml:space="preserve">On the third day after the full moon of Tagu, 1246 B.E., the day of the Atar festival, at the time past the first stroke of the morning, according to the auspicious time, the ministers and officials entered the left hall of the Southern Palace dressed in wide-sleeved coats and gold salwe; after the two princesses, who were part of the left and right retinues and ceremonies, assisted in the surrounding, the first offering ceremony was presented, and then the donation list for the seven Buddha images was read and the royal drums were beaten.</t>
  </si>
  <si>
    <t xml:space="preserve">vol3_s003445_t02_0fa52f6b7739</t>
  </si>
  <si>
    <t xml:space="preserve">princesses</t>
  </si>
  <si>
    <t xml:space="preserve">ASSISTED_IN_RITUAL_CEREMONY</t>
  </si>
  <si>
    <t xml:space="preserve">royal_offering</t>
  </si>
  <si>
    <t xml:space="preserve">vol3_s003445_t03_7fdf14c4cad3</t>
  </si>
  <si>
    <t xml:space="preserve">PERFORMED_RITUAL_OFFERING</t>
  </si>
  <si>
    <t xml:space="preserve">buddha_images</t>
  </si>
  <si>
    <t xml:space="preserve">vol3_s003445_t04_b2740e369a90</t>
  </si>
  <si>
    <t xml:space="preserve">court</t>
  </si>
  <si>
    <t xml:space="preserve">READ_DONATION_LIST</t>
  </si>
  <si>
    <t xml:space="preserve">seven_buddha_images</t>
  </si>
  <si>
    <t xml:space="preserve">vol3_s003446</t>
  </si>
  <si>
    <t xml:space="preserve">vol3_s003446_t01_3ceeceb3b69c</t>
  </si>
  <si>
    <t xml:space="preserve">BESTOWED_ROYAL_GIFTS</t>
  </si>
  <si>
    <t xml:space="preserve">court_officials</t>
  </si>
  <si>
    <t xml:space="preserve">Royal coin gifts are explicit, but court officials are not named as their recipients; the ceremony culminates in the royal daughter's Atar observance. The inferred recipient is not secure enough to certify, but the passage does not prove a wholly invented gift event.</t>
  </si>
  <si>
    <t xml:space="preserve">Verify the gift recipient; do not automatically attach the coins to court officials merely because they attend the ceremony.</t>
  </si>
  <si>
    <t xml:space="preserve">နောက် လက်ဖွဲ့တော် ရွှေသပြာသုံးရာ, ငွေသပြာ သုံးထောင်များကို လက်ဖွဲ့တော်မူ၍ နာခံတော်က မင်္ဂလာရတု လျှောက်ကြားပြီးမှ အခါတော် ကြားလျှောက် ဘိသိက်တော် ဆက်သပြီး လျှင် သမီးတော် ထိပ်စုမြတ်ဘုရားကြီး အတာပွဲတော် တည်တော်မူသည်။</t>
  </si>
  <si>
    <t xml:space="preserve">Afterwards, [the King] bestowed royal gifts of three hundred gold coins and three thousand silver coins, and after the Nakhan-daw recited the auspicious verses, the auspicious time was announced, the consecration ceremony was performed, and then the daughter, Hteik Su Myat Phaya Gyi, held the Atar festival.</t>
  </si>
  <si>
    <t xml:space="preserve">vol3_s003446_t02_3b41a2802396</t>
  </si>
  <si>
    <t xml:space="preserve">nakhan_daw</t>
  </si>
  <si>
    <t xml:space="preserve">RECITED_AUSPICIOUS_VERSES</t>
  </si>
  <si>
    <t xml:space="preserve">royal_ceremony</t>
  </si>
  <si>
    <t xml:space="preserve">vol3_s003446_t03_3864c2fd1bda</t>
  </si>
  <si>
    <t xml:space="preserve">hteik_su_myat_phaya_gyi</t>
  </si>
  <si>
    <t xml:space="preserve">HELD_ATAR_FESTIVAL</t>
  </si>
  <si>
    <t xml:space="preserve">vol3_s003447</t>
  </si>
  <si>
    <t xml:space="preserve">vol3_s003447_t01_c33c9b66a9e2</t>
  </si>
  <si>
    <t xml:space="preserve">thai_drama_performance</t>
  </si>
  <si>
    <t xml:space="preserve">PERFORMED_AT</t>
  </si>
  <si>
    <t xml:space="preserve">royal_hall</t>
  </si>
  <si>
    <t xml:space="preserve">ယိုးဒယားဇာတ်ကြီး အတီးအကမှာ အဆောင်တော်ဦးတွင် ကပ်၍၊ အတွင်းတော်အငြိမ့်မှာ ၎င်းအရှေ့ မှန်စီနန်းတော် အနီး၌ ကပ်၍၊ မွန်အငြိမ့်မှာ ဖန်မြေစံနန်းတော် အရှေ့ဘက်များတွင် ခင်းကျင်းတီးမှုတ်ရသည်။</t>
  </si>
  <si>
    <t xml:space="preserve">The Thai drama performance was held at the front of the royal hall, the inner palace Anyeint was held near the eastern glass-mosaic palace, and the Mon Anyeint was arranged and performed in the eastern areas of the Phan Mye San Palace.</t>
  </si>
  <si>
    <t xml:space="preserve">vol3_s003447_t02_af0a4a0d7ed5</t>
  </si>
  <si>
    <t xml:space="preserve">inner_palace_anyeint</t>
  </si>
  <si>
    <t xml:space="preserve">eastern_glass_mosaic_palace</t>
  </si>
  <si>
    <t xml:space="preserve">vol3_s003447_t03_c624ce2b9179</t>
  </si>
  <si>
    <t xml:space="preserve">mon_anyeint</t>
  </si>
  <si>
    <t xml:space="preserve">phan_mye_san_palace</t>
  </si>
  <si>
    <t xml:space="preserve">vol3_s003448</t>
  </si>
  <si>
    <t xml:space="preserve">vol3_s003448_t01_a820ede38a02</t>
  </si>
  <si>
    <t xml:space="preserve">PERFORMED_RITUAL_OFFERING_WITH</t>
  </si>
  <si>
    <t xml:space="preserve">queen_mother_sinphyumashin</t>
  </si>
  <si>
    <t xml:space="preserve">သက္ကရာဇ် (၁၂၄၆) တစ်ထောင့်နှစ်ရာလေးဆယ့်ခြောက်ခု တန်ခူးလပြည့်ကျော် လေးရက်-နေ့ နံနက် အုတ်နန်းပြာသာဒ်တော်သို့ မယ်တော် ဆင်ဖြူမရှင်ဘုရား, သမီးတော် မိုင်းနောင်စုဘုရား, ညီမတော် ရမည်းသင်း စုဘုရားနှစ်ပါး မိဖုရားဟောင်းတို့နှင့်တကွ ထွက်တော်မူ၍ အမွှေးအထုံ နံ့သာရည်မျိုးစုံတို့ဖြင့် သွန်းလောင်းဖျန်းပက် ပူဇော်တော်မူ၍ ရွှေနန်းတော်သို့ ဝင်တော်မူသည်။</t>
  </si>
  <si>
    <t xml:space="preserve">On the morning of the fourth day after the full moon of Tagu, 1246 B.E., [the King] went out to the brick royal pavilion with the Queen Mother Sinphyumashin, the daughter Maingnaung Su Phaya, and the younger sister Ramethin Su Phaya, the two former queens, and after performing the offering by pouring and sprinkling various scented waters, [the King] entered the Golden Palace.</t>
  </si>
  <si>
    <t xml:space="preserve">vol3_s003448_t02_de7de9f9bc79</t>
  </si>
  <si>
    <t xml:space="preserve">maingnaung_su_phaya</t>
  </si>
  <si>
    <t xml:space="preserve">vol3_s003448_t03_1defa1d62993</t>
  </si>
  <si>
    <t xml:space="preserve">ramethin_su_phaya</t>
  </si>
  <si>
    <t xml:space="preserve">vol3_s003448_t04_57069c3a880f</t>
  </si>
  <si>
    <t xml:space="preserve">PERFORMED_RITUAL_WATER_OFFERING</t>
  </si>
  <si>
    <t xml:space="preserve">brick_royal_pavilion</t>
  </si>
  <si>
    <t xml:space="preserve">vol3_s003449</t>
  </si>
  <si>
    <t xml:space="preserve">vol3_s003449_t01_f1c7869cbf83</t>
  </si>
  <si>
    <t xml:space="preserve">wundauk_myosa_of_wetmasut</t>
  </si>
  <si>
    <t xml:space="preserve">SUPERVISED_RITUAL_PREPARATION</t>
  </si>
  <si>
    <t xml:space="preserve">banyan_water_offering</t>
  </si>
  <si>
    <t xml:space="preserve">၎င်းနေ့နံနက် အစီအစဉ် အခင်းအကျင်းနှင့် သွန်းလောင်းရန် ညောင်ရေတော်ကို ဝန်ထောက် ဝက်မစွတ် မြို့စားနှင့် လွှတ်တော်ရှေ့ ရုံးတော် အရာရှိကြီးတို့ ကြီးကြပ်ပြီးလျှင် အသျှင်နှစ်ပါး သက်တော်စေ့ ဘုရားတစ်ဆူ လျှင် ရေအိုး ငါးဆယ့်လေးလုံးအကျ ဘုရားလေးဆူတွက် ရေအိုးလုံးရေ နှစ်ရာ့တစ်ဆယ့်ခြောက်မှာ ပုစွန်တုပ် ခေါင်းပေါင်း ဖုံးအုပ်စည်းရစ်ပြီးလျှင် ကြိုးထမ်းပိုးများမှာ ပိတ်ဖြူမွှမ်း၍ ဧရာဝတီမြစ်သို့ သွားရောက်ခပ်ယူရသည်။</t>
  </si>
  <si>
    <t xml:space="preserve">On the morning of that day, the Wundauk, the Myosa of Wetmasut, and the senior officials of the court in front of the Hluttaw supervised the arrangements and the Banyan water for the pouring; for the four Buddha images, at fifty-four water pots per Buddha image, a total of two hundred and sixteen water pots were covered and tied with prawn-patterned headcloths, and the carrying poles were wrapped in white cloth and taken to the Ayeyarwady River to be filled.</t>
  </si>
  <si>
    <t xml:space="preserve">vol3_s003449_t02_07e82719e008</t>
  </si>
  <si>
    <t xml:space="preserve">hluttaw_officials</t>
  </si>
  <si>
    <t xml:space="preserve">vol3_s003449_t03_862537c16364</t>
  </si>
  <si>
    <t xml:space="preserve">state_bureaucracy</t>
  </si>
  <si>
    <t xml:space="preserve">religious_ritual</t>
  </si>
  <si>
    <t xml:space="preserve">vol3_s003450</t>
  </si>
  <si>
    <t xml:space="preserve">vol3_s003450_t01_a0717fed335f</t>
  </si>
  <si>
    <t xml:space="preserve">DAMAGED_PROPERTY_OF</t>
  </si>
  <si>
    <t xml:space="preserve">wundaw</t>
  </si>
  <si>
    <t xml:space="preserve">၎င်းနေ့ နေနှစ်ချက်တီးကျော် လေးမောင်းအချိန် နန်းမြို့တော် အနောက်တောင်ထောင့် အသျှင်နန်းမတော် ဘုရား ဝန်တော် အိမ်ဝင်းတောင်ဘက်တန်းက စ၍ မီးစွဲငြိတောက်လောင်ရာ တောင်ကို ကြေးမုံတံခါးလမ်း တောင် ဘက်တန်း ရောက်၊ အနောက်ကို မြို့ဝန် ပင်လယ်မြို့ စားဝင်းနှင့်တကွ အနောက်ဘက်တန်း အိမ်ရောက် မီးသင့် လောင်သည်။</t>
  </si>
  <si>
    <t xml:space="preserve">On that day, at the time past the second stroke of the day, a fire started and burned from the southern row of the Wundaw's compound at the southwest corner of the royal city, reaching the southern row of the Kyemon Gate road, and to the west, it burned the compound of the Myowun, the Myosa of Pinle, and reached the houses in the western row.</t>
  </si>
  <si>
    <t xml:space="preserve">vol3_s003450_t02_6fc6681fe6fb</t>
  </si>
  <si>
    <t xml:space="preserve">myowun_myosa_of_pinle</t>
  </si>
  <si>
    <t xml:space="preserve">vol3_s003450_t03_b4a981cd40c7</t>
  </si>
  <si>
    <t xml:space="preserve">SPREAD_THROUGH</t>
  </si>
  <si>
    <t xml:space="preserve">royal_city_compound</t>
  </si>
  <si>
    <t xml:space="preserve">vol3_s003451</t>
  </si>
  <si>
    <t xml:space="preserve">vol3_s003451_t01_b5b29a9e319d</t>
  </si>
  <si>
    <t xml:space="preserve">four_buddha_images</t>
  </si>
  <si>
    <t xml:space="preserve">၎င်းနေ့ညဉ့် တောင်နန်းတော်တောင်ဘက် နန်းမြင့်တွင် ပုခန်းစည်သူရှင်ဘုရား၊ ရှင်မတောင်ဘုရား၊ မြတ်ပေါင်း မဉ္ဇူဘုရား၊ ဒက္ခိဏသာခါ ဘုရားလေးဆူကို ရေသွန်းရန် အခမ်းအနား လုပ်ဆောင်ပြီး မြင်းမိုရ်အာလိန် နတ်လမ်း သိကြားဆင်းတက်ပုံ, နတ်သား လှည့်လည်ပုံများကို အသျှင်နှစ်ပါး ထွက်စံတော်မူ၍ ကြည့်ရှုတော်မူပြီးလျှင် သွန်းလောင်းမြဲ ညောင်ရေသွန်းလောင်း ပူဇော်တော်မူသည်။</t>
  </si>
  <si>
    <t xml:space="preserve">On the night of that day, at the high palace south of the Southern Palace, after performing the ceremony for pouring water on the four Buddha images—the Pakhang Sithushin, Shinmataung, Myatpaung Manzu, and Dakkhanathakha—the two Sovereigns went out to view the depictions of Mount Meru, the celestial path, the descent and ascent of Sakra, and the wandering of the celestial beings, and then performed the customary pouring of Banyan water as an offering.</t>
  </si>
  <si>
    <t xml:space="preserve">vol3_s003451_t02_23bf78f22324</t>
  </si>
  <si>
    <t xml:space="preserve">VIEWED_RITUAL_DEPICTIONS</t>
  </si>
  <si>
    <t xml:space="preserve">mount_meru_and_celestial_path</t>
  </si>
  <si>
    <t xml:space="preserve">vol3_s003452</t>
  </si>
  <si>
    <t xml:space="preserve">vol3_s003452_t01_f62a2cf1aeeb</t>
  </si>
  <si>
    <t xml:space="preserve">GRANTED_FUNDS_FOR</t>
  </si>
  <si>
    <t xml:space="preserve">religious_infrastructure</t>
  </si>
  <si>
    <t xml:space="preserve">ယင်းသည့်လပြည့်ကျော် ခုနစ်ရက် နေ့ မဟာမုနိဘုရားတွင် ထာဝရ အုတ်ပြာသာဒ် စောင်းတန်းတော်များ မပြီးမီအတွင်း ပြည်သူတို့ ဝင်ထွက်ဖူးမြော်ရန် ရှိရင်း ဂန္ဓကုဋိအထက်တွင် ဘုံသုံးဆင့် အထွတ်ထုပိကာတင် ရွှေထီးစိုက် သွပ်ပြားမိုး တန်ဆောင်းလုပ်ဆောင်ရန်၊ ၎င်းအောက် အာရုံခံစမြင် အုတ်ကြွပ်မိုး လုပ်ဆောင်ရန်၊ လေးမျက်နှာ စောင်းတန်း ခေါင်းစင်းအုတ်ကြွပ်မိုး လုပ်ဆောင်ရန် ငွေတစ်သောင်းရှစ်ထောင့်သုံးရာခြောက်ဆယ်ကို ထုတ်ပေးတော်မူသည်။</t>
  </si>
  <si>
    <t xml:space="preserve">On the seventh day after the full moon of that month, [the King] granted 18,360 silver coins to build a pavilion with a three-tiered roof topped with a stupa and a golden umbrella, covered with zinc sheets, above the existing Gandhakuti for the public to enter and worship while the permanent brick pavilion and covered walkways at the Mahamuni Buddha were not yet finished, to build a tiled-roof reception hall below it, and to build tiled-roof covered walkways on all four sides.</t>
  </si>
  <si>
    <t xml:space="preserve">vol3_s003452_t02_bcdb7b2d371d</t>
  </si>
  <si>
    <t xml:space="preserve">PATRONIZED_CONSTRUCTION_AT</t>
  </si>
  <si>
    <t xml:space="preserve">mahamuni_pagoda</t>
  </si>
  <si>
    <t xml:space="preserve">vol3_s003452_t03_2b4fd832c2f8</t>
  </si>
  <si>
    <t xml:space="preserve">COST_IN_SILVER_COINS</t>
  </si>
  <si>
    <t xml:space="preserve">18360</t>
  </si>
  <si>
    <t xml:space="preserve">vol3_s003453</t>
  </si>
  <si>
    <t xml:space="preserve">vol3_s003453_t01_e780c5bca36a</t>
  </si>
  <si>
    <t xml:space="preserve">kinwun_myosa_of_lekaing_minister_of_musketeers</t>
  </si>
  <si>
    <t xml:space="preserve">REQUESTED_FUNERAL_PROTOCOL_FROM</t>
  </si>
  <si>
    <t xml:space="preserve">ယင်းသည့်လပြည့်ကျော်ကိုးရက်နေ့ ဝန့်ရှင်တော် ကင်းဝန် လယ်ကိုင်းမြို့စား သေနတ်ဝန်ကြီးကတော် ကသာမြို့စား သေလွန်သည်ကို အမိန့်တော်ခံရာ ခမည်းတော်ဘုရားလက်ထက် မြတောင်မြို့ စား သေနတ်ဝန်ကြီး ကတော် သေလွန်ရာ သင်္ဂြိုဟ်သည့်နည်း လုပ်ဆောင် သင်္ဂြိုဟ်စေ-အမိန့်တော်မှတ်သည်။</t>
  </si>
  <si>
    <t xml:space="preserve">On the ninth day after the full moon of that month, when the wife of the Wunshin-daw, Kinwun, the Myosa of Lekaing, the Minister of Musketeers, requested orders regarding the death of the Myosa of Katha, the order was recorded to perform the funeral in the same manner as the funeral of the wife of the Minister of Musketeers, the Myosa of Myadaung, during the reign of the royal father.</t>
  </si>
  <si>
    <t xml:space="preserve">vol3_s003453_t02_b00b8a5ed06d</t>
  </si>
  <si>
    <t xml:space="preserve">ISSUED_FUNERAL_PROTOCOL_ORDER</t>
  </si>
  <si>
    <t xml:space="preserve">myosa_of_katha</t>
  </si>
  <si>
    <t xml:space="preserve">vol3_s003453_t03_3e3bd93f833c</t>
  </si>
  <si>
    <t xml:space="preserve">REGULATED_FUNERAL_RITES_BY</t>
  </si>
  <si>
    <t xml:space="preserve">precedent</t>
  </si>
  <si>
    <t xml:space="preserve">vol3_s003546</t>
  </si>
  <si>
    <t xml:space="preserve">vol3_s003546_t01_4e172d6c6be3</t>
  </si>
  <si>
    <t xml:space="preserve">BESTOWED_ECCLESIASTICAL_TITLE_ON</t>
  </si>
  <si>
    <t xml:space="preserve">U Thagara of Sinte</t>
  </si>
  <si>
    <t xml:space="preserve">၅၊ ဆင်တဲဆရာတော် သက်တော်ခုနစ်ဆယ့်လေးနှစ်ရှိ ဦးသာဂရကို‘သာဂရဝံသဓဇ အတုလဓိပတိ သီရိပဝရ မဟာဓမ္မရာဇာဓိရာဇဂုရု။</t>
  </si>
  <si>
    <t xml:space="preserve">5. To U Thagara, the 74-year-old Sayadaw of Sinte: Sagavamsadhaja Atuladhipati Siripavara Mahadhammarajadhirajaguru.</t>
  </si>
  <si>
    <t xml:space="preserve">vol3_s003546_t02_ba2a4131b16e</t>
  </si>
  <si>
    <t xml:space="preserve">Sagavamsadhaja Atuladhipati Siripavara Mahadhammarajadhirajaguru</t>
  </si>
  <si>
    <t xml:space="preserve">vol3_s003547</t>
  </si>
  <si>
    <t xml:space="preserve">vol3_s003547_t01_3351c1a1f055</t>
  </si>
  <si>
    <t xml:space="preserve">U Ketu of Mahawizitarama</t>
  </si>
  <si>
    <t xml:space="preserve">၆၊ မဟာဝိဇိတာရာမဆရာတော် သက်တော်ငါးဆယ့်ရှစ်နှစ်ရှိ ဦးကေတုကို-ကေတုမာလာဘိဓဇ အတုလဓိပတိ သီရိပဝရ မဟာဓမ္မရာဇာဓိရာဇဂုရု။</t>
  </si>
  <si>
    <t xml:space="preserve">6. To U Ketu, the 58-year-old Sayadaw of Mahawizitarama: Ketumalabhidhaja Atuladhipati Siripavara Mahadhammarajadhirajaguru.</t>
  </si>
  <si>
    <t xml:space="preserve">vol3_s003547_t02_debd00c07b07</t>
  </si>
  <si>
    <t xml:space="preserve">Ketumalabhidhaja Atuladhipati Siripavara Mahadhammarajadhirajaguru</t>
  </si>
  <si>
    <t xml:space="preserve">vol3_s003548</t>
  </si>
  <si>
    <t xml:space="preserve">vol3_s003548_t01_0e5af4d709f0</t>
  </si>
  <si>
    <t xml:space="preserve">U Nyanawuntha of Hman-kyaung</t>
  </si>
  <si>
    <t xml:space="preserve">၇၊ မှန်ကျောင်းဆရာတော် သက်တော်လေးဆယ့်ခုနစ်နှစ်ရှိ ဦးဉာဏဝံသကို’ဉာဏဝံသာဘိဓဇ အတုလဓိပတိ သီရိပဝရ မဟာဓမ္မရာဇာဓိရာဇဂုရု။</t>
  </si>
  <si>
    <t xml:space="preserve">7. To U Nyanawuntha, the 47-year-old Sayadaw of Hman-kyaung: Nyanawunthabhidhaja Atuladhipati Siripavara Mahadhammarajadhirajaguru.</t>
  </si>
  <si>
    <t xml:space="preserve">vol3_s003548_t02_2909ede00045</t>
  </si>
  <si>
    <t xml:space="preserve">Nyanawunthabhidhaja Atuladhipati Siripavara Mahadhammarajadhirajaguru</t>
  </si>
  <si>
    <t xml:space="preserve">vol3_s003550</t>
  </si>
  <si>
    <t xml:space="preserve">vol3_s003550_t01_324590e39eea</t>
  </si>
  <si>
    <t xml:space="preserve">U Pandi of Dakhinarama</t>
  </si>
  <si>
    <t xml:space="preserve">ဒုတိယ တံဆိပ်တော်…… ၁၊ ဒက္ခိဏာရာမဆရာတော် သက်တော် ငါးဆယ့်ခြောက်နှစ်ရှိ ဦးပဏ္ဍိကို-ပဏ္ဍိတဓဇဓိပတိ သီရိပဝရ မဟာဓမ္မရာဇာဓိရာဇဂုရု။</t>
  </si>
  <si>
    <t xml:space="preserve">Second Seal: 1. To U Pandi, the 56-year-old Sayadaw of Dakhinarama: Panditadhajadhipati Siripavara Mahadhammarajadhirajaguru.</t>
  </si>
  <si>
    <t xml:space="preserve">vol3_s003550_t02_ee022734eae5</t>
  </si>
  <si>
    <t xml:space="preserve">Panditadhajadhipati Siripavara Mahadhammarajadhirajaguru</t>
  </si>
  <si>
    <t xml:space="preserve">vol3_s003551</t>
  </si>
  <si>
    <t xml:space="preserve">vol3_s003551_t01_0c6d7b596f1e</t>
  </si>
  <si>
    <t xml:space="preserve">U Wizeitta of Mandalarama</t>
  </si>
  <si>
    <t xml:space="preserve">၂၊ မဏ္ဍလာရာမဆရာတော် သက်တော် ခုနစ်ဆယ့်ကိုးနှစ်ရှိ ဦးဝိစိတ္တကို-ဝိစိတ္တာဘိဓဇဓိပတိ သီရိပဝရ မဟာဓမ္မရာဇာဓိရာဇဂုရု။</t>
  </si>
  <si>
    <t xml:space="preserve">2. To U Wizeitta, the 79-year-old Sayadaw of Mandalarama: Wizeittabhidhajadhipati Siripavara Mahadhammarajadhirajaguru.</t>
  </si>
  <si>
    <t xml:space="preserve">vol3_s003551_t02_8ed9fbf1d7ed</t>
  </si>
  <si>
    <t xml:space="preserve">Wizeittabhidhajadhipati Siripavara Mahadhammarajadhirajaguru</t>
  </si>
  <si>
    <t xml:space="preserve">vol3_s003552</t>
  </si>
  <si>
    <t xml:space="preserve">vol3_s003552_t01_850eb16920af</t>
  </si>
  <si>
    <t xml:space="preserve">U Thuzata of Chittararama</t>
  </si>
  <si>
    <t xml:space="preserve">၃၊ စိတ္တရာရာမဆရာတော် သက်တော် ခြောက်ဆယ့်ကိုးနှစ်ရှိ ဦးသုဇာတကို-သုဇာတာဘိဓဇဓိပတိ သီရိပဝရ မဟာဓမ္မရာဇာဓိရာဇဂုရု။</t>
  </si>
  <si>
    <t xml:space="preserve">3. To U Thuzata, the 69-year-old Sayadaw of Chittararama: Thuzatabhidhajadhipati Siripavara Mahadhammarajadhirajaguru.</t>
  </si>
  <si>
    <t xml:space="preserve">vol3_s003552_t02_25db03b7d650</t>
  </si>
  <si>
    <t xml:space="preserve">Thuzatabhidhajadhipati Siripavara Mahadhammarajadhirajaguru</t>
  </si>
  <si>
    <t xml:space="preserve">vol3_s003553</t>
  </si>
  <si>
    <t xml:space="preserve">vol3_s003553_t01_5dcade5678bc</t>
  </si>
  <si>
    <t xml:space="preserve">U Wimala of Bon-kyaw</t>
  </si>
  <si>
    <t xml:space="preserve">၄၊ ဘုံကျော်ဆရာတော် သက်တော် ရှစ်ဆယ့်ခုနစ်နှစ်ရှိ ဦးဝိမလကို- ဝိမလာစာရဓဇဓိပတိ သီရိပဝရ မဟာဓမ္မရာဇာဓိရာဇဂုရု။</t>
  </si>
  <si>
    <t xml:space="preserve">4. To U Wimala, the 87-year-old Sayadaw of Bon-kyaw: Wimalacaradhajadhipati Siripavara Mahadhammarajadhirajaguru.</t>
  </si>
  <si>
    <t xml:space="preserve">vol3_s003553_t02_6c7b28483448</t>
  </si>
  <si>
    <t xml:space="preserve">Wimalacaradhajadhipati Siripavara Mahadhammarajadhirajaguru</t>
  </si>
  <si>
    <t xml:space="preserve">vol3_s003554</t>
  </si>
  <si>
    <t xml:space="preserve">vol3_s003554_t01_dabf178867de</t>
  </si>
  <si>
    <t xml:space="preserve">U Thuzata of Moetha</t>
  </si>
  <si>
    <t xml:space="preserve">၅၊ မိုးထားဆရာတော် သက်တော် ငါးဆယ့်လေးနှစ်ရှိ ဦးသုဇာတကို-သုဇာတာဘိသီရိဓဇဓိပတိပဝရ မဟာဓမ္မရာဇာဓိရာဇဂုရု။</t>
  </si>
  <si>
    <t xml:space="preserve">5. To U Thuzata, the 54-year-old Sayadaw of Moetha: Thuzatabhisiridhajadhipatipavara Mahadhammarajadhirajaguru.</t>
  </si>
  <si>
    <t xml:space="preserve">vol3_s003554_t02_788d5ff36979</t>
  </si>
  <si>
    <t xml:space="preserve">Thuzatabhisiridhajadhipatipavara Mahadhammarajadhirajaguru</t>
  </si>
  <si>
    <t xml:space="preserve">vol3_s003555</t>
  </si>
  <si>
    <t xml:space="preserve">vol3_s003555_t01_8c6a0741840d</t>
  </si>
  <si>
    <t xml:space="preserve">U Withuddha of Mahawithuddharama</t>
  </si>
  <si>
    <t xml:space="preserve">၆၊ မဟာဝိသုဒ္ဓါရာမဆရာတော် သက်တော် လေးဆယ့်ခုနစ်နှစ်ရှိ ဦးဝိသုဒ္ဓကို-ဝိသုဒ္ဓါဘိဓဇဓိပတိ သီရိပဝရ မဟာဓမ္မရာဇာဓိရာဇဂုရု။</t>
  </si>
  <si>
    <t xml:space="preserve">6. To U Withuddha, the 47-year-old Sayadaw of Mahawithuddharama: Withuddhabhidhajadhipati Siripavara Mahadhammarajadhirajaguru.</t>
  </si>
  <si>
    <t xml:space="preserve">vol3_s003555_t02_34054449f2da</t>
  </si>
  <si>
    <t xml:space="preserve">Withuddhabhidhajadhipati Siripavara Mahadhammarajadhirajaguru</t>
  </si>
  <si>
    <t xml:space="preserve">vol3_s003556</t>
  </si>
  <si>
    <t xml:space="preserve">vol3_s003556_t01_97359d05faf8</t>
  </si>
  <si>
    <t xml:space="preserve">U Zaninda of Meghawati</t>
  </si>
  <si>
    <t xml:space="preserve">၇၊ မေဃဝတီဆရာတော် သက်တော် ခြောက်ဆယ့်ရှစ်နှစ်ရှိ ဦးဇနိန္ဒကို-ဇနိန္ဒာဘိဓဇဓိပတိ သီရိပဝရ မဟာဓမ္မရာဇာဓိရာဇဂုရု။</t>
  </si>
  <si>
    <t xml:space="preserve">7. To U Zaninda, the 68-year-old Sayadaw of Meghawati: Zanindabhidhajadhipati Siripavara Mahadhammarajadhirajaguru.</t>
  </si>
  <si>
    <t xml:space="preserve">vol3_s003556_t02_7d7a79147479</t>
  </si>
  <si>
    <t xml:space="preserve">Zanindabhidhajadhipati Siripavara Mahadhammarajadhirajaguru</t>
  </si>
  <si>
    <t xml:space="preserve">vol3_s003557</t>
  </si>
  <si>
    <t xml:space="preserve">vol3_s003557_t01_84b8b93fb1f1</t>
  </si>
  <si>
    <t xml:space="preserve">U Wiriya of Hlatwe</t>
  </si>
  <si>
    <t xml:space="preserve">၈၊ လှထွေဆရာတော် သက်တော် ခြောက်ဆယ့်လေးနှစ်ရှိ ဦးဝီရိယကို-ဝီရိယာရမ္ဘဓဇဓိပတိ ပဝရ မဟာဓမ္မ ရာဇာဓိရာဇဂုရု။</t>
  </si>
  <si>
    <t xml:space="preserve">8. To U Wiriya, the 64-year-old Sayadaw of Hlatwe: Wiriyarambhadhajadhipati Pavara Mahadhammarajadhirajaguru.</t>
  </si>
  <si>
    <t xml:space="preserve">vol3_s003557_t02_230d75ee37a0</t>
  </si>
  <si>
    <t xml:space="preserve">Wiriyarambhadhajadhipati Pavara Mahadhammarajadhirajaguru</t>
  </si>
  <si>
    <t xml:space="preserve">vol3_s003558</t>
  </si>
  <si>
    <t xml:space="preserve">vol3_s003558_t01_29af9f8b39d2</t>
  </si>
  <si>
    <t xml:space="preserve">U Nanda of Pakhang</t>
  </si>
  <si>
    <t xml:space="preserve">၉၊ ပုခန်းဆရာတော် သက်တော် ခြောက်ဆယ့်လေးနှစ်ရှိ ဦးနန္ဒကို-နန္ဒာဘိဓဇဓိပတိ သီရိပဝရ မဟာဓမ္မ ရာဇာဓိရာဇဂုရု။</t>
  </si>
  <si>
    <t xml:space="preserve">9. To U Nanda, the 64-year-old Sayadaw of Pakhang: Nandabhidhajadhipati Siripavara Mahadhammarajadhirajaguru.</t>
  </si>
  <si>
    <t xml:space="preserve">vol3_s003558_t02_65d0e2a9d3dc</t>
  </si>
  <si>
    <t xml:space="preserve">Nandabhidhajadhipati Siripavara Mahadhammarajadhirajaguru</t>
  </si>
  <si>
    <t xml:space="preserve">vol3_s003559</t>
  </si>
  <si>
    <t xml:space="preserve">vol3_s003559_t01_94808451b8bc</t>
  </si>
  <si>
    <t xml:space="preserve">U Nyaninda of Nan-u</t>
  </si>
  <si>
    <t xml:space="preserve">၁ဝ၊ နန်းဦးဆရာတော် သက်တော်သုံးဆယ့်ကိုးနှစ်ရှိ ဦးဉာဏိန္ဒကို-ဉာဏိန္ဒာဘိဓဇဓိပတိ ပဝရ မဟာဓမ္မ ရာဇာဓိရာဇဂုရု။</t>
  </si>
  <si>
    <t xml:space="preserve">10. To U Nyaninda, the 39-year-old Sayadaw of Nan-u: Nyanindabhidhajadhipati Pavara Mahadhammarajadhirajaguru.</t>
  </si>
  <si>
    <t xml:space="preserve">vol3_s003559_t02_ffead02c564e</t>
  </si>
  <si>
    <t xml:space="preserve">Nyanindabhidhajadhipati Pavara Mahadhammarajadhirajaguru</t>
  </si>
  <si>
    <t xml:space="preserve">vol3_s003560</t>
  </si>
  <si>
    <t xml:space="preserve">vol3_s003560_t01_56bd2dcda4a2</t>
  </si>
  <si>
    <t xml:space="preserve">U Dhammathami of Depayin</t>
  </si>
  <si>
    <t xml:space="preserve">၁၁၊ ဒီပဲယင်းဆရာတော် သက်တော် ငါးဆယ့်လေးနှစ်ရှိ ဦးဓမ္မသာမိကို−ဓမ္မသာမိဓဇဓိပတိ ပဝရ မဟာဓမ္မ ရာဇာဓိရာဇဂုရု။</t>
  </si>
  <si>
    <t xml:space="preserve">11. To U Dhammathami, the 54-year-old Sayadaw of Depayin: Dhammathamidhajadhipati Pavara Mahadhammarajadhirajaguru.</t>
  </si>
  <si>
    <t xml:space="preserve">vol3_s003560_t02_12f05273eeb2</t>
  </si>
  <si>
    <t xml:space="preserve">Dhammathamidhajadhipati Pavara Mahadhammarajadhirajaguru</t>
  </si>
  <si>
    <t xml:space="preserve">vol3_s003561</t>
  </si>
  <si>
    <t xml:space="preserve">vol3_s003561_t01_692d1e254771</t>
  </si>
  <si>
    <t xml:space="preserve">U Asara of Makkaya</t>
  </si>
  <si>
    <t xml:space="preserve">၁၂၊ မက္ခရာဆရာတော် သက်တော် ခြောက်ဆယ့်ခြောက်နှစ်ရှိ ဦးအာစာရကို-အာစာရာရမ္ဘဓဇဓိပတိ ပဝရ မဟာဓမ္မရာဇာဓိရာဇဂုရု။</t>
  </si>
  <si>
    <t xml:space="preserve">12. To U Asara, the 66-year-old Sayadaw of Makkaya: Asararambhadhajadhipati Pavara Mahadhammarajadhirajaguru.</t>
  </si>
  <si>
    <t xml:space="preserve">vol3_s003561_t02_e186ab247fc7</t>
  </si>
  <si>
    <t xml:space="preserve">Asararambhadhajadhipati Pavara Mahadhammarajadhirajaguru</t>
  </si>
  <si>
    <t xml:space="preserve">vol3_s003898</t>
  </si>
  <si>
    <t xml:space="preserve">vol3_s003898_t01_3d457385d7ff</t>
  </si>
  <si>
    <t xml:space="preserve">Ava garrison</t>
  </si>
  <si>
    <t xml:space="preserve">သည်တပ်များတွင်ပါသည့် ရဲမက်လက်နက်ကိုင် လူသုံးထောင်ကျော်နှင့် တံတားဦးရွာသို့ ဆိုက်ရောက်ပြီးမှ အဝခံမြို့, ယင်းရဲကျောက်ဆောင်, ဆင်ကျုံး, မီးသွေးတိုက် စသော ဌာနများကို ပြန်၍ စည်းကြပ်ရပ်နေရသည်။</t>
  </si>
  <si>
    <t xml:space="preserve">After arriving at Tada-U village with over three thousand armed soldiers included in these regiments, [they] had to return and stand guard at stations such as the Ava garrison, Yin-ye rock, the elephant enclosure, and the charcoal depot.</t>
  </si>
  <si>
    <t xml:space="preserve">vol3_s003898_t02_84e198bd9c3c</t>
  </si>
  <si>
    <t xml:space="preserve">Yin-ye rock</t>
  </si>
  <si>
    <t xml:space="preserve">vol3_s003898_t03_9a5bd4b6466a</t>
  </si>
  <si>
    <t xml:space="preserve">Elephant enclosure</t>
  </si>
  <si>
    <t xml:space="preserve">vol3_s003898_t04_1dca52cc0adf</t>
  </si>
  <si>
    <t xml:space="preserve">Charcoal depot</t>
  </si>
  <si>
    <t xml:space="preserve">vol3_s003899</t>
  </si>
  <si>
    <t xml:space="preserve">vol3_s003899_t01_6053e2e7865a</t>
  </si>
  <si>
    <t xml:space="preserve">Lord of Htaran-ga</t>
  </si>
  <si>
    <t xml:space="preserve">Left-wing select service men</t>
  </si>
  <si>
    <t xml:space="preserve">ရွေးလက်ဝဲအမှုထမ်း လူလေးရာ့ငါးဆယ်နှင့် ရွေးလက်ဝဲဗိုလ် ထရံကာမြို့ စား မဟာမင်းလှသိဒ္ဓိရာဇာမှာ ရွှေကြက်ယက်တောင်ထိပ်က ရဲဘက် မြင်းအမှုထမ်း လူငါးရာ့ခြောက်ဆယ့်ကိုး၊ သူကောင်းထမ်း လူငါးရာ၊ စုစု ရဲ မက်လက်နက်ကိုင် လူတစ်ထောင်ကျော်နှင့် ရတနာသိင်္ဃရဲဘက် မြောက်လက်မြင်းစာရေးကြီး မဟာမင်းခေါင် သူရိန်၊ တောင်လက်မြင်းစာရေးကြီး ဆားတော်အုပ် နေမျိုးစည်သူကျော်ခေါင်၊ ဗိုလ်ချုပ်ရှေ့ဝင်းတော်မှူး ရတနာ သိင်္ဃမြို့ဝန် ရဲဘက်မြင်းဝန် သတိုးမင်းကြီးမဟာမင်းခေါင်ရာဇာတို့မှာ သပြေတန်းခံမြို့က စည်းကြပ်ရပ်နေရသည်။</t>
  </si>
  <si>
    <t xml:space="preserve">The 450 left-wing select service men and the left-wing select commander, the Lord of Htaran-ga, Maha Min Hla Thihathu Raza, were stationed at the Thapyedan garrison, along with 569 cavalry service men from the top of Shwekyetyet hill, 500 noble service men, and a total of over 1,000 armed soldiers, [under] the North-wing cavalry clerk of the Ratanathinga garrison, Maha Min Khaung Thurein, the South-wing cavalry clerk and salt supervisor, Ne Myo Sithu Kyaw Khaung, and the commander-in-chief of the front palace guard, the governor of Ratanathinga and cavalry minister, Thado Mingyi Maha Min Khaung Raza.</t>
  </si>
  <si>
    <t xml:space="preserve">vol3_s003899_t02_48da5560ae30</t>
  </si>
  <si>
    <t xml:space="preserve">Thapyedan garrison</t>
  </si>
  <si>
    <t xml:space="preserve">The Burmese contrasts the left select force stationed on Shwekyetyet hill with the other officers/force stationed at Thapyedan. The extracted location attaches the second contingent's station to the first.</t>
  </si>
  <si>
    <t xml:space="preserve">Left-wing select service men → stationed at → Shwekyetyet hill.</t>
  </si>
  <si>
    <t xml:space="preserve">vol3_s003899_t03_6668090f4252</t>
  </si>
  <si>
    <t xml:space="preserve">Maha Min Khaung Thurein</t>
  </si>
  <si>
    <t xml:space="preserve">Ratanathinga garrison</t>
  </si>
  <si>
    <t xml:space="preserve">The named official is the Ratanathinga force's northern cavalry clerk, participating in the contingent's leadership. Calling him commander of the entire Ratanathinga garrison overextends that narrower command/service role.</t>
  </si>
  <si>
    <t xml:space="preserve">Maha Min Khaung Thurein → served as northern cavalry clerk / jointly led → Ratanathinga cavalry contingent.</t>
  </si>
  <si>
    <t xml:space="preserve">vol3_s003899_t04_c04d7ad056cb</t>
  </si>
  <si>
    <t xml:space="preserve">Thado Mingyi Maha Min Khaung Raza</t>
  </si>
  <si>
    <t xml:space="preserve">Front palace guard</t>
  </si>
  <si>
    <t xml:space="preserve">vol3_s003900</t>
  </si>
  <si>
    <t xml:space="preserve">vol3_s003900_t01_54ea6d430c3f</t>
  </si>
  <si>
    <t xml:space="preserve">Lord of Pin</t>
  </si>
  <si>
    <t xml:space="preserve">ဗိုလ်မှူးအတွင်းဝန် ပင်းမြို့စားမင်းကြီး မင်းခေါင်မဟာမင်းကျော်သူရိန်လည်း လွှတ်တော်က အမှာစာရောက် ရှိ၍ တောင်မာရဘင်အမှုထမ်းလူ သုံးရာလေးဆယ့်ငါး၊ လင်းဇင်းအမှုထမ်း လူသုံးရာ့နှစ်ဆယ့်ရှစ်၊ ဘုန်းတော်ဖြစ် အမှုထမ်း လူခုနစ်ဆယ်၊ ဘုန်းတော်တိုးအမှုထမ်း လူတစ်ရာ့တစ်ဆယ်၊ တစ်ရာ့ငါးဆယ့်ရှစ် အမှုထမ်း လူငါးဆယ်၊ ကသည်းမြင်း အမှုထမ်း လူနှစ်ရာ့ငါးဆယ့်နှစ်၊ ရှမ်းမြင်းအမှုထမ်း လူသုံးရာ့တစ်ဆယ့်နှစ်၊ ဇင်းမယ်ပါမြင်း အမှုထမ်း လူနှစ်ရာလေးဆယ့်လေး၊ မြန်မာမြင်းအမှုထမ်း လူနှစ်ရာ့တစ်ဆယ့်ငါး၊ သူကောင်းထမ်း လူနှစ်ရာ၊ သည်ဆယ်တပ်တွင် ပါသည့် ရဲမက် လက်နက်ကိုင် လူနှစ်ထောင့်ခုနစ်ရာ့နှစ်ဆယ့်ခြောက်တို့နှင့် ရွှေကြက်ယက်ဘက်က စစ်ကိုင်းသို့ ကူးပြီးလျှင် စစ်ကိုင်းခြံမြို့, နွားချေးကျွန်း, ကမ်းပါးနီ ကျောက်တန်း စသော ဌာနများက စည်းကြပ်ရပ်နေရသည်။</t>
  </si>
  <si>
    <t xml:space="preserve">The commander-in-chief and interior minister, the Lord of Pin, Mingyi Min Khaung Maha Min Kyaw Thurein, also received an order from the Hluttaw and, with 345 Taungmarabin service men, 328 Linzin service men, 70 Bhondaw-pyit service men, 110 Bhondaw-to service men, 50 service men of the 158th [regiment], 252 Kassay cavalry service men, 312 Shan cavalry service men, 244 Zimme-pa cavalry service men, 215 Burmese cavalry service men, 200 noble service men, and 2,726 armed soldiers included in these ten regiments, crossed from the Shwekyetyet side to Sagaing and had to stand guard at stations such as the Sagaing fort, Nwachay island, and the Kanpani rock ridge.</t>
  </si>
  <si>
    <t xml:space="preserve">vol3_s003900_t02_a3864cf584b0</t>
  </si>
  <si>
    <t xml:space="preserve">Taungmarabin service men</t>
  </si>
  <si>
    <t xml:space="preserve">vol3_s003900_t03_71e2e7f765f0</t>
  </si>
  <si>
    <t xml:space="preserve">Kassay cavalry service men</t>
  </si>
  <si>
    <t xml:space="preserve">vol3_s003900_t04_8130de90998c</t>
  </si>
  <si>
    <t xml:space="preserve">Shan cavalry service men</t>
  </si>
  <si>
    <t xml:space="preserve">vol3_s003900_t05_11a0c1b30b4a</t>
  </si>
  <si>
    <t xml:space="preserve">Burmese cavalry service men</t>
  </si>
  <si>
    <t xml:space="preserve">vol3_s003900_t06_8a9287538b19</t>
  </si>
  <si>
    <t xml:space="preserve">Sagaing fort</t>
  </si>
  <si>
    <t xml:space="preserve">vol3_s003900_t07_f4b9a802f614</t>
  </si>
  <si>
    <t xml:space="preserve">Nwachay island</t>
  </si>
  <si>
    <t xml:space="preserve">vol3_s003900_t08_ec5913d90c9e</t>
  </si>
  <si>
    <t xml:space="preserve">Kanpani rock ridge</t>
  </si>
  <si>
    <t xml:space="preserve">vol3_s003901</t>
  </si>
  <si>
    <t xml:space="preserve">vol3_s003901_t01_49a0f09e0c88</t>
  </si>
  <si>
    <t xml:space="preserve">Lord of Taungkhwin</t>
  </si>
  <si>
    <t xml:space="preserve">SUPERVISED_DEFENSE_OF</t>
  </si>
  <si>
    <t xml:space="preserve">Irrawaddy waterway</t>
  </si>
  <si>
    <t xml:space="preserve">ယင်းသည့်လဆန်း တစ်ဆယ့်သုံးရက် နေ့ အင်္ဂလိပ်တပ်သင်္ဘောများ ဆန်တက်မြဲ ဆန်တက်လာကြောင်း ကြားသိရ၍ ဝန့်ရှင်တော် တောင်ခွင်မြို့စား သတိုးမင်းကြီးမဟာမင်းထင်စည်သူ ကြီးကြပ် စည်စီမံပြီးလျှင် အဝမြို့နှင့် စစ်ကိုင်းမြို့စပ်ကြား ယင်းရဲကျောက်ဆောင်အနီး ရေကြောင်းသင်္ဘောလမ်းကို အုတ်ဖိုသင်္ဘောနှင့်တကွ သမ္ဗန်ကြီးများ၊ ကုန်တင်လှေကြီးများတွင် ကျောက်တုံးကျောက်ခဲ အလေးအပြည့်တင်၍ ချမြှုပ် ပိတ်ဆို့ပါသော်လည်း နောက် အင်္ဂလိပ်စစ်သင်္ဘောများ ထိုစခန်းသို့ ရောက်ကာလ ရေကြောင်းပြောင်းလွှဲသွားခြင်းကြောင့် အကျိုးမရှိ ဖြစ်လေ သည်။</t>
  </si>
  <si>
    <t xml:space="preserve">Hearing that the English naval ships were advancing as usual on the 13th day of the waxing moon of that month, the Wunshin-daw, Lord of Taungkhwin, Thado Mingyi Maha Min Htin Sithu, supervised and arranged for the waterway between Ava and Sagaing, near Yin-ye rock, to be blocked by sinking the brick-kiln ship along with large sampans and large cargo boats fully loaded with heavy stones and rocks; however, when the English warships later reached that position, they changed their course, rendering the effort ineffective.</t>
  </si>
  <si>
    <t xml:space="preserve">vol3_s003901_t02_7cee7faefce7</t>
  </si>
  <si>
    <t xml:space="preserve">ORDERED_BLOCKADE_OF</t>
  </si>
  <si>
    <t xml:space="preserve">vol3_s003901_t03_0d65cfdeca0a</t>
  </si>
  <si>
    <t xml:space="preserve">SANK_BOATS_TO_BLOCK</t>
  </si>
  <si>
    <t xml:space="preserve">vol3_s003901_t04_9c7e1c72b3b1</t>
  </si>
  <si>
    <t xml:space="preserve">English warships</t>
  </si>
  <si>
    <t xml:space="preserve">BYPASSED</t>
  </si>
  <si>
    <t xml:space="preserve">Blockade</t>
  </si>
  <si>
    <t xml:space="preserve">vol3_s003902</t>
  </si>
  <si>
    <t xml:space="preserve">vol3_s003902_t01_66c9d4e98519</t>
  </si>
  <si>
    <t xml:space="preserve">English naval forces</t>
  </si>
  <si>
    <t xml:space="preserve">ADVANCED_ALONG</t>
  </si>
  <si>
    <t xml:space="preserve">Irrawaddy River</t>
  </si>
  <si>
    <t xml:space="preserve">အင်္ဂလိပ်တပ်သင်္ဘောများလည်း ဆန်တက်မြဲ ဆန်တက်ရာ ယင်းသည့်လဆန်း တစ်ဆယ့်လေးရက်- နေ့ ရေနံချောင်းမြို့၊ ယင်းသည့်လပြည့်ကျော်တစ်ရက် နေ့ ပုဂံမြို့၊ ယင်းသည့် လပြည့်ကျော်နှစ်ရက် နေ့ ကွမ်းရွာ၊ ယင်းသည့် လပြည့်ကျော်လေးရက်နေ့ မြင်းခြံအရပ်သို့ ရောက်ရှိလာ၍ ရေကြောင်းဗိုလ်မှူး အတွင်းဝန် လှေသင်းဝန် စလေမြို့စား မင်းကြီးသီရိမဟာဇေယကျော်ထင် ဆီးဆို့ခုခံပြီးလျှင် နေဝင်ဆည်းဆာ အချိန်တိုင်အောင် အမြောက် လက်နက်တို့နှင့် ပစ်ခတ်တိုက်ခိုက်ပါသော်လည်း အင်္ဂလိပ်ရေကြောင်းတပ်၊ ကြည်းကြောင်းတပ်တို့က နှစ်ဖက်ညှပ်၍ အပစ်အခတ် ထူထပ်လှသောကြောင့် တပ်တော်များ အုပ်စည်းမပျက် ကျောက်ရုံအရပ်သို့ ဆုတ်ခွာရချေသည်။</t>
  </si>
  <si>
    <t xml:space="preserve">As the English naval ships continued to advance as usual, reaching Yenangyaung on the 14th day of the waxing moon of that month, Bagan on the 1st day of the waning moon, Kwan village on the 2nd day of the waning moon, and the Myingyan area on the 4th day of the waning moon, the naval commander-in-chief, interior minister, and Hlethein-wun, Lord of Sale, Mingyi Thiri Maha Zeya Kyaw Htin, intercepted and resisted them, firing with cannons and weapons until sunset; however, because the English naval and land forces attacked from both sides with heavy fire, the royal regiments had to retreat to the Kyauk-yon area without breaking their formation.</t>
  </si>
  <si>
    <t xml:space="preserve">vol3_s003902_t02_7a6d34dbe878</t>
  </si>
  <si>
    <t xml:space="preserve">vol3_s003902_t03_53c8b2dbd9c8</t>
  </si>
  <si>
    <t xml:space="preserve">vol3_s003902_t04_ee96dc3ca672</t>
  </si>
  <si>
    <t xml:space="preserve">Kyauk-yon area</t>
  </si>
  <si>
    <t xml:space="preserve">vol3_s003903</t>
  </si>
  <si>
    <t xml:space="preserve">vol3_s003903_t01_f2599b88a927</t>
  </si>
  <si>
    <t xml:space="preserve">Mingyi Min Hla Maha Zeya Thinkyan</t>
  </si>
  <si>
    <t xml:space="preserve">Commander-in-Chief and Interior Minister</t>
  </si>
  <si>
    <t xml:space="preserve">ယင်းသည့် လပြည့်ကျော်လေးရက် နေ့ တောင်ငူကြောင်းချီတက်စေရန် ရန်ထားရင်း အဝခံမြို့ ရှိ ဗိုလ်မှူး အတွင်းဝန် မြို့သစ်မြို့စား မင်းကြီးမင်းလှမဟာဇေယသင်္ကြံက ယခု အင်္ဂလိပ်တပ် သင်္ဘောအများ ဧရာဝတီမြစ် ကြောင်းအတိုင်း ချီတက်လာသော အရေးကို ချင့်ချိန်သော် ဧရာဝတီကြောင်းချီ ဗိုလ်မှူးအတွင်းဝန် လှေသင်းဝန် စလေမြို့ စားလည်း မခံမရပ်နိုင်ဘဲ ဆုတ်ခွာရလေသည်။</t>
  </si>
  <si>
    <t xml:space="preserve">When the commander-in-chief and interior minister, Lord of Myothit, Mingyi Min Hla Maha Zeya Thinkyan, who was at the Ava garrison and had been planning to march toward Taungoo on the 4th day of the waning moon of that month, assessed the situation of the many English naval ships now advancing along the Irrawaddy River, the commander-in-chief of the Irrawaddy expedition, interior minister, and Hlethein-wun, Lord of Sale, also could not hold his position and had to retreat.</t>
  </si>
  <si>
    <t xml:space="preserve">vol3_s003903_t02_7d7434eecdda</t>
  </si>
  <si>
    <t xml:space="preserve">HELD_TITLE_OF</t>
  </si>
  <si>
    <t xml:space="preserve">Lord of Myothit</t>
  </si>
  <si>
    <t xml:space="preserve">vol3_s003903_t03_f3eed4cf1878</t>
  </si>
  <si>
    <t xml:space="preserve">Commander-in-Chief of Irrawaddy Expedition</t>
  </si>
  <si>
    <t xml:space="preserve">vol3_s003903_t04_434843c87813</t>
  </si>
  <si>
    <t xml:space="preserve">Hlethein-wun</t>
  </si>
  <si>
    <t xml:space="preserve">vol3_s003903_t05_692d17173317</t>
  </si>
  <si>
    <t xml:space="preserve">THREATENED_POSITION_OF</t>
  </si>
  <si>
    <t xml:space="preserve">vol3_s003903_t06_5b98862858d5</t>
  </si>
  <si>
    <t xml:space="preserve">Irrawaddy River position</t>
  </si>
  <si>
    <t xml:space="preserve">Unit ID</t>
  </si>
  <si>
    <t xml:space="preserve">Source relationship (identified by the judge from the Burmese)</t>
  </si>
  <si>
    <t xml:space="preserve">Coverage</t>
  </si>
  <si>
    <t xml:space="preserve">Annotation available</t>
  </si>
  <si>
    <t xml:space="preserve">Matched triple IDs</t>
  </si>
  <si>
    <t xml:space="preserve">Note</t>
  </si>
  <si>
    <t xml:space="preserve">G01.01.01</t>
  </si>
  <si>
    <t xml:space="preserve">Alaungmintaya makes a royal military sortie accompanied by princes, commanders and troops</t>
  </si>
  <si>
    <t xml:space="preserve">covered</t>
  </si>
  <si>
    <t xml:space="preserve">yes</t>
  </si>
  <si>
    <t xml:space="preserve">vol1_s000407_t02_97f3bf59b463; vol1_s000407_t03_0be63211651d; vol1_s000407_t04_d0b57d421653; vol1_s000407_t05_008bb89c30b3</t>
  </si>
  <si>
    <t xml:space="preserve">G01.02.01</t>
  </si>
  <si>
    <t xml:space="preserve">The king asserts omen-backed and legitimate beneficent kingship</t>
  </si>
  <si>
    <t xml:space="preserve">vol1_s000408_t01_b0fbd1f80d6b; vol1_s000408_t04_53fd29578911</t>
  </si>
  <si>
    <t xml:space="preserve">G01.02.02</t>
  </si>
  <si>
    <t xml:space="preserve">The king performs a water-libation invocation seeking divine support for victory</t>
  </si>
  <si>
    <t xml:space="preserve">vol1_s000408_t02_c56a1c317678; vol1_s000408_t03_d6fdde6ee5ab</t>
  </si>
  <si>
    <t xml:space="preserve">G01.02.03</t>
  </si>
  <si>
    <t xml:space="preserve">The king gives the victory signal heard by both armies</t>
  </si>
  <si>
    <t xml:space="preserve">G01.03.01</t>
  </si>
  <si>
    <t xml:space="preserve">The Mon troops are intimidated into dropping weapons by the king's voice and authority</t>
  </si>
  <si>
    <t xml:space="preserve">vol1_s000409_t01_7dd4a7d1314c; vol1_s000409_t02_02d08094e321; vol1_s000409_t03_60475c497770</t>
  </si>
  <si>
    <t xml:space="preserve">G01.04.01</t>
  </si>
  <si>
    <t xml:space="preserve">The king signals and personally directs the army's attack</t>
  </si>
  <si>
    <t xml:space="preserve">vol1_s000410_t01_6fb674c9e392; vol1_s000410_t02_ef2633dfdf11</t>
  </si>
  <si>
    <t xml:space="preserve">G01.04.02</t>
  </si>
  <si>
    <t xml:space="preserve">Burmese troops assault and eventually rout the Mon</t>
  </si>
  <si>
    <t xml:space="preserve">vol1_s000410_t04_3fe015232093; vol1_s000410_t05_0fefbe13d092</t>
  </si>
  <si>
    <t xml:space="preserve">G01.04.03</t>
  </si>
  <si>
    <t xml:space="preserve">Mon troops initially resist the Burmese attack</t>
  </si>
  <si>
    <t xml:space="preserve">G01.05.01</t>
  </si>
  <si>
    <t xml:space="preserve">The remaining Mon encircling formations collapse after the eastern army</t>
  </si>
  <si>
    <t xml:space="preserve">vol1_s000411_t01_7937cc94dec9; vol1_s000411_t02_d89bf0092878</t>
  </si>
  <si>
    <t xml:space="preserve">G01.06.01</t>
  </si>
  <si>
    <t xml:space="preserve">Royal troops pursue and attack the retreating Mon, putting them to flight</t>
  </si>
  <si>
    <t xml:space="preserve">vol1_s000412_t02_109353c6190e; vol1_s000412_t03_9e474c2e606c</t>
  </si>
  <si>
    <t xml:space="preserve">G02.01.01</t>
  </si>
  <si>
    <t xml:space="preserve">Alaungmintaya receives intelligence that the Mon are establishing a base at Ywathitgyi</t>
  </si>
  <si>
    <t xml:space="preserve">missing</t>
  </si>
  <si>
    <t xml:space="preserve">G02.01.02</t>
  </si>
  <si>
    <t xml:space="preserve">Alaungmintaya orders Min Kyaw Pyanchi and Min Hla Shwetaung to destroy the base</t>
  </si>
  <si>
    <t xml:space="preserve">vol1_s000475_t01_9f4ce4ba91f5; vol1_s000475_t02_180ed2759ca7</t>
  </si>
  <si>
    <t xml:space="preserve">G02.02.01</t>
  </si>
  <si>
    <t xml:space="preserve">The ruler of Moksobo is entrenched with his troops</t>
  </si>
  <si>
    <t xml:space="preserve">vol1_s000476_t01_25e6f50e581c; vol1_s000476_t02_0709fa67e2f8</t>
  </si>
  <si>
    <t xml:space="preserve">G02.02.02</t>
  </si>
  <si>
    <t xml:space="preserve">Ngwekhunwun plans territorial advance and assigns northern and eastern encirclement commands</t>
  </si>
  <si>
    <t xml:space="preserve">incorrect</t>
  </si>
  <si>
    <t xml:space="preserve">vol1_s000476_t03_e18c108df2bc; vol1_s000476_t04_fd98cf6593fe</t>
  </si>
  <si>
    <t xml:space="preserve">Commands are extracted, but assigned to the opposing ruler; this is an inaccurate match, not a wholly unextracted event.</t>
  </si>
  <si>
    <t xml:space="preserve">G02.03.01</t>
  </si>
  <si>
    <t xml:space="preserve">Ngwekhunwun assigns western and southern prongs of the encirclement</t>
  </si>
  <si>
    <t xml:space="preserve">vol1_s000477_t01_9bc0ee6b5563; vol1_s000477_t02_8a4279ee1476</t>
  </si>
  <si>
    <t xml:space="preserve">The encirclement plan is extracted under the wrong side and target.</t>
  </si>
  <si>
    <t xml:space="preserve">G02.03.02</t>
  </si>
  <si>
    <t xml:space="preserve">Four Mon battalions are dispatched along the Mu</t>
  </si>
  <si>
    <t xml:space="preserve">The mobilization is extracted under the wrong side.</t>
  </si>
  <si>
    <t xml:space="preserve">G02.04.01</t>
  </si>
  <si>
    <t xml:space="preserve">E Na Ye and E Kan Kaung advance along the Irrawaddy to Kyaukmyaung</t>
  </si>
  <si>
    <t xml:space="preserve">G02.05.01</t>
  </si>
  <si>
    <t xml:space="preserve">Mon commanders are dispatched to assist or direct Khin-U's control of the northern towns</t>
  </si>
  <si>
    <t xml:space="preserve">G02.06.01</t>
  </si>
  <si>
    <t xml:space="preserve">Alaungmintaya receives news of the four Mon battalions at Nyaunghla</t>
  </si>
  <si>
    <t xml:space="preserve">G02.06.02</t>
  </si>
  <si>
    <t xml:space="preserve">The two royal commanders are away campaigning at Ywathitgyi</t>
  </si>
  <si>
    <t xml:space="preserve">The Ywathitgyi mission repeats the deployment already represented in sentence 1; no extra omission charged.</t>
  </si>
  <si>
    <t xml:space="preserve">G02.07.01</t>
  </si>
  <si>
    <t xml:space="preserve">Princes and commanders propose attacking the new Mon camp</t>
  </si>
  <si>
    <t xml:space="preserve">G02.07.02</t>
  </si>
  <si>
    <t xml:space="preserve">The king initially orders a delay</t>
  </si>
  <si>
    <t xml:space="preserve">vol1_s000481_t02_e12d797c9038; vol1_s000481_t03_44cf9924cffe</t>
  </si>
  <si>
    <t xml:space="preserve">G02.07.03</t>
  </si>
  <si>
    <t xml:space="preserve">Min Kyaw Pyanchi and Min Hla Shwetaung destroy the Ywathitgyi camp and return</t>
  </si>
  <si>
    <t xml:space="preserve">G02.07.04</t>
  </si>
  <si>
    <t xml:space="preserve">Interrogation of arrivals from Ava supplies intelligence on the four-pronged Mon plan</t>
  </si>
  <si>
    <t xml:space="preserve">G02.07.05</t>
  </si>
  <si>
    <t xml:space="preserve">The commanders propose attacking Nyaunghla</t>
  </si>
  <si>
    <t xml:space="preserve">The collective “Royal commanders proposed attack” is accepted for the proposals in this compound sentence.</t>
  </si>
  <si>
    <t xml:space="preserve">G02.07.06</t>
  </si>
  <si>
    <t xml:space="preserve">The king authorizes the advance</t>
  </si>
  <si>
    <t xml:space="preserve">G02.07.07</t>
  </si>
  <si>
    <t xml:space="preserve">The royal commanders attack Thamin Thanlite's camp with their troops</t>
  </si>
  <si>
    <t xml:space="preserve">G02.08.01</t>
  </si>
  <si>
    <t xml:space="preserve">Thamin Thanlite's camp is defeated</t>
  </si>
  <si>
    <t xml:space="preserve">G02.08.02</t>
  </si>
  <si>
    <t xml:space="preserve">Thamin Thanlite is killed</t>
  </si>
  <si>
    <t xml:space="preserve">G02.09.01</t>
  </si>
  <si>
    <t xml:space="preserve">The royal commanders attack and defeat Thamin Zeipbwe's camp</t>
  </si>
  <si>
    <t xml:space="preserve">G02.10.01</t>
  </si>
  <si>
    <t xml:space="preserve">The royal commanders attack and defeat Thamin Lwat's camp</t>
  </si>
  <si>
    <t xml:space="preserve">G02.11.01</t>
  </si>
  <si>
    <t xml:space="preserve">The royal commanders attack and defeat Ye Khaung San Kyaw's camp</t>
  </si>
  <si>
    <t xml:space="preserve">G02.12.01</t>
  </si>
  <si>
    <t xml:space="preserve">The three surviving Mon commanders escape on horseback</t>
  </si>
  <si>
    <t xml:space="preserve">G02.13.01</t>
  </si>
  <si>
    <t xml:space="preserve">The royal commanders capture prisoners, horses and guns</t>
  </si>
  <si>
    <t xml:space="preserve">vol1_s000487_t01_a1b359e82e11; vol1_s000487_t02_e5ca1114f3ee</t>
  </si>
  <si>
    <t xml:space="preserve">G02.13.02</t>
  </si>
  <si>
    <t xml:space="preserve">The captured people and materiel are presented to the king</t>
  </si>
  <si>
    <t xml:space="preserve">Capture is represented, but ဆက်ရလေ၏, presentation of the booty to the king, is not.</t>
  </si>
  <si>
    <t xml:space="preserve">G03.01.01</t>
  </si>
  <si>
    <t xml:space="preserve">Alaungmintaya receives updated news of the fugitives</t>
  </si>
  <si>
    <t xml:space="preserve">G03.01.02</t>
  </si>
  <si>
    <t xml:space="preserve">The king orders Min Kyaw Pyanchi to pursue and arrest Nga Kyan and the fugitives</t>
  </si>
  <si>
    <t xml:space="preserve">vol1_s000558_t01_cc04dd9b9ad7; vol1_s000558_t02_3fbdc8129d54</t>
  </si>
  <si>
    <t xml:space="preserve">G03.02.01</t>
  </si>
  <si>
    <t xml:space="preserve">Min Kyaw Pyanchi advances on Thitkhauk with his troops</t>
  </si>
  <si>
    <t xml:space="preserve">G03.02.02</t>
  </si>
  <si>
    <t xml:space="preserve">Razadhiraj and the Khin-U lord flee seeking protection from Taungoo Yaza</t>
  </si>
  <si>
    <t xml:space="preserve">vol1_s000559_t02_695c0de17933; vol1_s000559_t03_0dfc62174135</t>
  </si>
  <si>
    <t xml:space="preserve">G03.03.01</t>
  </si>
  <si>
    <t xml:space="preserve">Min Kyaw Pyanchi approaches and takes position away from the fortified camp</t>
  </si>
  <si>
    <t xml:space="preserve">G03.03.02</t>
  </si>
  <si>
    <t xml:space="preserve">The camp defenders bombard his force and inflict casualties</t>
  </si>
  <si>
    <t xml:space="preserve">G03.04.01</t>
  </si>
  <si>
    <t xml:space="preserve">Yinpa commander Min Hla Kyaw Khaung dies in the fighting</t>
  </si>
  <si>
    <t xml:space="preserve">G03.05.01</t>
  </si>
  <si>
    <t xml:space="preserve">Min Kyaw Pyanchi orders infantry-first retreat and cavalry protection</t>
  </si>
  <si>
    <t xml:space="preserve">G03.05.02</t>
  </si>
  <si>
    <t xml:space="preserve">He threatens punishment if cavalry allow infantry to be captured</t>
  </si>
  <si>
    <t xml:space="preserve">“Enforced discipline during tactical retreat” is accepted as a broad representation of the explicit punitive threat, rather than demanding another triple.</t>
  </si>
  <si>
    <t xml:space="preserve">G03.05.03</t>
  </si>
  <si>
    <t xml:space="preserve">The royal force conducts an orderly retreat protected by its commander</t>
  </si>
  <si>
    <t xml:space="preserve">vol1_s000562_t01_df4a70c848d8; vol1_s000562_t02_0de9d23decd9</t>
  </si>
  <si>
    <t xml:space="preserve">G03.05.04</t>
  </si>
  <si>
    <t xml:space="preserve">The camp defenders pursue but abandon pursuit after the rear-guard deterrence</t>
  </si>
  <si>
    <t xml:space="preserve">G03.06.01</t>
  </si>
  <si>
    <t xml:space="preserve">The Htilin sawbwa withdraws in anticipation of an attack from Moksobo</t>
  </si>
  <si>
    <t xml:space="preserve">vol1_s000563_t01_c3720c9b8980; vol1_s000563_t02_7347a534effd</t>
  </si>
  <si>
    <t xml:space="preserve">G03.07.01</t>
  </si>
  <si>
    <t xml:space="preserve">The Mon had attacked, killed Kwe troops and seized their weapons</t>
  </si>
  <si>
    <t xml:space="preserve">G03.07.02</t>
  </si>
  <si>
    <t xml:space="preserve">Gunna Ein's Kwe plan revenge through a deceptive message to Ngwekhunwun</t>
  </si>
  <si>
    <t xml:space="preserve">vol1_s000564_t01_aab2d7a4b9d5; vol1_s000564_t02_cfaeb700eaca</t>
  </si>
  <si>
    <t xml:space="preserve">G03.08.01</t>
  </si>
  <si>
    <t xml:space="preserve">The Kwe deceitfully offer submission and surrender of weapons</t>
  </si>
  <si>
    <t xml:space="preserve">G03.08.02</t>
  </si>
  <si>
    <t xml:space="preserve">The Mon commanders advance with troops and boats in response</t>
  </si>
  <si>
    <t xml:space="preserve">G03.08.03</t>
  </si>
  <si>
    <t xml:space="preserve">The Kwe induce them to halt at Powa and entertain them</t>
  </si>
  <si>
    <t xml:space="preserve">Feigned submission is accepted as the umbrella representation of the deception including the requested halt and hospitality; no artificial extra omission for the meal or staging details.</t>
  </si>
  <si>
    <t xml:space="preserve">G03.08.04</t>
  </si>
  <si>
    <t xml:space="preserve">Concealed Kwe and Lawa ambush and kill the Mon commanders and troops</t>
  </si>
  <si>
    <t xml:space="preserve">G03.08.05</t>
  </si>
  <si>
    <t xml:space="preserve">The Kwe seize the Mon boats and weapons</t>
  </si>
  <si>
    <t xml:space="preserve">G04.01.01</t>
  </si>
  <si>
    <t xml:space="preserve">The royal fleet pursues and attacks the withdrawing Mon fleet</t>
  </si>
  <si>
    <t xml:space="preserve">vol1_s000796_t01_46d911e3d44b; vol1_s000796_t02_8d5a4c983beb</t>
  </si>
  <si>
    <t xml:space="preserve">G04.02.01</t>
  </si>
  <si>
    <t xml:space="preserve">The royal force captures Mon supply boats, warboats, weapons and prisoners</t>
  </si>
  <si>
    <t xml:space="preserve">vol1_s000797_t01_44bdda945fb8; vol1_s000797_t02_80dda6122c84</t>
  </si>
  <si>
    <t xml:space="preserve">G04.03.01</t>
  </si>
  <si>
    <t xml:space="preserve">The king recalls the pursuing force</t>
  </si>
  <si>
    <t xml:space="preserve">G04.04.01</t>
  </si>
  <si>
    <t xml:space="preserve">Uparaza and the Mon retreat continuously</t>
  </si>
  <si>
    <t xml:space="preserve">G04.05.01</t>
  </si>
  <si>
    <t xml:space="preserve">The Mon take the monks with them during retreat</t>
  </si>
  <si>
    <t xml:space="preserve">G04.05.02</t>
  </si>
  <si>
    <t xml:space="preserve">Uparaza assigns Dalapan and others to garrison Prome</t>
  </si>
  <si>
    <t xml:space="preserve">G04.05.03</t>
  </si>
  <si>
    <t xml:space="preserve">Uparaza continues to Hanthawaddy</t>
  </si>
  <si>
    <t xml:space="preserve">The retreat to Hanthawaddy is already represented by the contextual triple in sentence 4.</t>
  </si>
  <si>
    <t xml:space="preserve">G04.06.01</t>
  </si>
  <si>
    <t xml:space="preserve">Alaungmintaya defeats the Mon</t>
  </si>
  <si>
    <t xml:space="preserve">vol1_s000796_t01_46d911e3d44b; vol1_s000797_t01_44bdda945fb8</t>
  </si>
  <si>
    <t xml:space="preserve">This is a recap of the victory represented by the pursuit and seizures in sentences 1–2, not a fresh missing battle.</t>
  </si>
  <si>
    <t xml:space="preserve">G04.06.02</t>
  </si>
  <si>
    <t xml:space="preserve">The king rewards princes, commanders and soldiers for the victory</t>
  </si>
  <si>
    <t xml:space="preserve">Princes, commanders and successful soldiers may reasonably be grouped as the military elite. The heading’s oath-taking is also supported, but headings are not independently expanded into additional recall obligations.</t>
  </si>
  <si>
    <t xml:space="preserve">G04.06.03</t>
  </si>
  <si>
    <t xml:space="preserve">The king moves to and resides at the temporary palace in Ava</t>
  </si>
  <si>
    <t xml:space="preserve">G05.01.01</t>
  </si>
  <si>
    <t xml:space="preserve">The Hanthawaddy king receives news of the defeat at Prome</t>
  </si>
  <si>
    <t xml:space="preserve">G05.01.02</t>
  </si>
  <si>
    <t xml:space="preserve">He sends additional naval commanders and forces to fortify the Pan Hlaing approaches</t>
  </si>
  <si>
    <t xml:space="preserve">vol1_s001034_t01_ab5eea88a94a; vol1_s001034_t02_20f49d3eb183</t>
  </si>
  <si>
    <t xml:space="preserve">G05.01.03</t>
  </si>
  <si>
    <t xml:space="preserve">He assigns his brother Binnya Dala to fortify and defend Thanlyin</t>
  </si>
  <si>
    <t xml:space="preserve">vol1_s001034_t03_d4ad5b1b1631; vol1_s001034_t04_ff4f571497fe</t>
  </si>
  <si>
    <t xml:space="preserve">G05.02.01</t>
  </si>
  <si>
    <t xml:space="preserve">Mon naval commanders establish an advance guard with over 200 boats at Zalun</t>
  </si>
  <si>
    <t xml:space="preserve">G05.03.01</t>
  </si>
  <si>
    <t xml:space="preserve">Alaungmintaya receives intelligence of the advance guard</t>
  </si>
  <si>
    <t xml:space="preserve">G05.03.02</t>
  </si>
  <si>
    <t xml:space="preserve">He appoints Ne Myo Shwe Taung to lead the fleet attack</t>
  </si>
  <si>
    <t xml:space="preserve">G05.03.03</t>
  </si>
  <si>
    <t xml:space="preserve">The royal fleet defeats and drives off the Mon</t>
  </si>
  <si>
    <t xml:space="preserve">vol1_s001036_t02_22fd01c65862; vol1_s001036_t03_cd37c644c65c</t>
  </si>
  <si>
    <t xml:space="preserve">Capture of the enemy’s boats, weapons and prisoners is accepted as a reasonable representation of the victorious operation; no separate defeat predicate required.</t>
  </si>
  <si>
    <t xml:space="preserve">G05.03.04</t>
  </si>
  <si>
    <t xml:space="preserve">The royal fleet captures boats, weapons and prisoners</t>
  </si>
  <si>
    <t xml:space="preserve">G05.04.01</t>
  </si>
  <si>
    <t xml:space="preserve">The king dispatches Min Hla Yaza and Yaza Thurin with a western land force toward Dagon</t>
  </si>
  <si>
    <t xml:space="preserve">vol1_s001037_t01_72bbd770038e; vol1_s001037_t02_13a70009de56</t>
  </si>
  <si>
    <t xml:space="preserve">G05.05.01</t>
  </si>
  <si>
    <t xml:space="preserve">The king dispatches Shwe Taung Yaza and Shwe Taung Kyantheing with a force including 55 royal guards toward Dagon</t>
  </si>
  <si>
    <t xml:space="preserve">vol1_s001038_t01_f513bae808e4; vol1_s001038_t02_4087339b2735; vol1_s001038_t03_432d5e05ecd4</t>
  </si>
  <si>
    <t xml:space="preserve">G05.06.01</t>
  </si>
  <si>
    <t xml:space="preserve">The king assembles and organizes the land and naval armies with princes and commanders</t>
  </si>
  <si>
    <t xml:space="preserve">G05.06.02</t>
  </si>
  <si>
    <t xml:space="preserve">The king departs on the armed royal progress</t>
  </si>
  <si>
    <t xml:space="preserve">G05.06.03</t>
  </si>
  <si>
    <t xml:space="preserve">The king renames Kanaung island Zeya island</t>
  </si>
  <si>
    <t xml:space="preserve">G05.07.01</t>
  </si>
  <si>
    <t xml:space="preserve">The king renames Hleseik island Wuntha island during his progress</t>
  </si>
  <si>
    <t xml:space="preserve">G05.08.01</t>
  </si>
  <si>
    <t xml:space="preserve">The king proceeds with auspicious cannon salutes</t>
  </si>
  <si>
    <t xml:space="preserve">G05.08.02</t>
  </si>
  <si>
    <t xml:space="preserve">He renames Takchap village island Kyawbon island</t>
  </si>
  <si>
    <t xml:space="preserve">G05.10.01</t>
  </si>
  <si>
    <t xml:space="preserve">The king renames the Danubyu island Laungtha island</t>
  </si>
  <si>
    <t xml:space="preserve">G05.11.01</t>
  </si>
  <si>
    <t xml:space="preserve">The royal vanguard attacks the Mon defenses at Thanlyin</t>
  </si>
  <si>
    <t xml:space="preserve">vol1_s001044_t01_eea572bf9307; vol1_s001044_t06_23b23ccdb968</t>
  </si>
  <si>
    <t xml:space="preserve">The vanguard and reinforcing princes participate in the same encounter; the defended outpost and royal assault collectively cover the battle without demanding a separate triple for each tactical phase.</t>
  </si>
  <si>
    <t xml:space="preserve">G05.11.02</t>
  </si>
  <si>
    <t xml:space="preserve">Mon artillery and defenses impede the royal advance</t>
  </si>
  <si>
    <t xml:space="preserve">vol1_s001044_t01_eea572bf9307; vol1_s001044_t02_8d43a85f8a14; vol1_s001044_t03_a35e862e8f1d</t>
  </si>
  <si>
    <t xml:space="preserve">G05.11.03</t>
  </si>
  <si>
    <t xml:space="preserve">The two princes arrive and lead the reinforced attack</t>
  </si>
  <si>
    <t xml:space="preserve">vol1_s001044_t04_b6b848f2e1b2; vol1_s001044_t05_a9660fc5316f; vol1_s001044_t06_23b23ccdb968</t>
  </si>
  <si>
    <t xml:space="preserve">G06.01.01</t>
  </si>
  <si>
    <t xml:space="preserve">Alaungmintaya receives news of Saw Bya's fortified land and naval positions</t>
  </si>
  <si>
    <t xml:space="preserve">G06.01.02</t>
  </si>
  <si>
    <t xml:space="preserve">The king assigns three naval commands and attaches Binnya Dala to Turinthurin's force</t>
  </si>
  <si>
    <t xml:space="preserve">partial</t>
  </si>
  <si>
    <t xml:space="preserve">vol1_s001397_t03_5563f4a74192; vol1_s001397_t04_b738430f0563; vol1_s001397_t05_6050d2f5ed97</t>
  </si>
  <si>
    <t xml:space="preserve">The three fleet commands are correctly captured. The attached titled officer is not: he is replaced by an invented specialized weapon, so this grouped assignment unit is partially covered.</t>
  </si>
  <si>
    <t xml:space="preserve">G06.02.01</t>
  </si>
  <si>
    <t xml:space="preserve">The three royal naval units advance with over 6000 soldiers</t>
  </si>
  <si>
    <t xml:space="preserve">The named force and its personnel are sufficient representation of this continuation of the naval deployment; no additional march-only requirement.</t>
  </si>
  <si>
    <t xml:space="preserve">G06.03.01</t>
  </si>
  <si>
    <t xml:space="preserve">The king appoints Min Htin Nawrahta commander and Kyaw Htin Thet Taung Shay deputy</t>
  </si>
  <si>
    <t xml:space="preserve">vol1_s001399_t01_c5b5fa8859f4; vol1_s001399_t02_2f27a4d9f19b</t>
  </si>
  <si>
    <t xml:space="preserve">G06.03.02</t>
  </si>
  <si>
    <t xml:space="preserve">The eight land battalions advance with their troops and military assets</t>
  </si>
  <si>
    <t xml:space="preserve">The troop composition and command appointments cover the land deployment without requiring one tuple for each battalion.</t>
  </si>
  <si>
    <t xml:space="preserve">G06.04.01</t>
  </si>
  <si>
    <t xml:space="preserve">Six further land battalions advance as support and rear guard</t>
  </si>
  <si>
    <t xml:space="preserve">G06.05.01</t>
  </si>
  <si>
    <t xml:space="preserve">The king orders the assembled land and naval forces to depart Yangon</t>
  </si>
  <si>
    <t xml:space="preserve">G06.06.01</t>
  </si>
  <si>
    <t xml:space="preserve">The royal naval commanders attack Maddaya Bo Pe Kyaw's fleet</t>
  </si>
  <si>
    <t xml:space="preserve">G06.07.01</t>
  </si>
  <si>
    <t xml:space="preserve">The Mon return fire and resist</t>
  </si>
  <si>
    <t xml:space="preserve">G06.08.01</t>
  </si>
  <si>
    <t xml:space="preserve">The royal troops close with and board the Mon boats</t>
  </si>
  <si>
    <t xml:space="preserve">G06.09.01</t>
  </si>
  <si>
    <t xml:space="preserve">The Mon abandon their boats after heavy casualties</t>
  </si>
  <si>
    <t xml:space="preserve">G06.10.01</t>
  </si>
  <si>
    <t xml:space="preserve">Maddaya Bo Pe Kyaw regroups with the rear fleet and resumes resistance</t>
  </si>
  <si>
    <t xml:space="preserve">G06.11.01</t>
  </si>
  <si>
    <t xml:space="preserve">The royal troops defeat the Mon fleet and pursue</t>
  </si>
  <si>
    <t xml:space="preserve">vol1_s001404_t01_4f63d269e4f2; vol1_s001405_t01_5bc3820236f3</t>
  </si>
  <si>
    <t xml:space="preserve">The opening victory recaps the preceding boarding and Mon flight; it is credited through those neighboring sentences.</t>
  </si>
  <si>
    <t xml:space="preserve">G06.11.02</t>
  </si>
  <si>
    <t xml:space="preserve">Mon raft batteries fire on and sink royal boats</t>
  </si>
  <si>
    <t xml:space="preserve">vol1_s001407_t01_3f983fb9106e; vol1_s001407_t02_43cbee640a6f</t>
  </si>
  <si>
    <t xml:space="preserve">G06.12.01</t>
  </si>
  <si>
    <t xml:space="preserve">Royal troops storm the raft batteries and drive the Mon ashore</t>
  </si>
  <si>
    <t xml:space="preserve">vol1_s001408_t01_c0a86ee11d2d; vol1_s001408_t02_39a253d64fd2</t>
  </si>
  <si>
    <t xml:space="preserve">G06.13.01</t>
  </si>
  <si>
    <t xml:space="preserve">Maddaya Bo Pe Kyaw retreats with the remaining warboats</t>
  </si>
  <si>
    <t xml:space="preserve">G06.14.01</t>
  </si>
  <si>
    <t xml:space="preserve">The royal force captures artillery, guns, prisoners and boats</t>
  </si>
  <si>
    <t xml:space="preserve">G06.15.01</t>
  </si>
  <si>
    <t xml:space="preserve">Min Htin Nawrahta's land battalions reach Kamapi and advance on Saw Bya's camp</t>
  </si>
  <si>
    <t xml:space="preserve">vol1_s001411_t01_009f6b449ed9; vol1_s001412_t04_260309e22b14</t>
  </si>
  <si>
    <t xml:space="preserve">G06.15.02</t>
  </si>
  <si>
    <t xml:space="preserve">The six supporting battalions arrive behind them</t>
  </si>
  <si>
    <t xml:space="preserve">vol1_s001411_t02_792b812859e8; vol1_s001412_t02_44d01b648b8c</t>
  </si>
  <si>
    <t xml:space="preserve">The coordinating/supporting land force and its six units are represented across sentences 15–16. Tactical timing is not expanded into separate obligations.</t>
  </si>
  <si>
    <t xml:space="preserve">G06.16.01</t>
  </si>
  <si>
    <t xml:space="preserve">Mon artillery prevents the first royal force from closing</t>
  </si>
  <si>
    <t xml:space="preserve">G06.16.02</t>
  </si>
  <si>
    <t xml:space="preserve">The six supporting battalions join the assault on Saw Bya's camp</t>
  </si>
  <si>
    <t xml:space="preserve">vol1_s001412_t02_44d01b648b8c; vol1_s001412_t04_260309e22b14</t>
  </si>
  <si>
    <t xml:space="preserve">G07.01.01</t>
  </si>
  <si>
    <t xml:space="preserve">Min Hla Thiri's battalion is stationed at Adun village</t>
  </si>
  <si>
    <t xml:space="preserve">G07.02.01</t>
  </si>
  <si>
    <t xml:space="preserve">Min Htin Nawrahta's battalion is stationed east of Adun</t>
  </si>
  <si>
    <t xml:space="preserve">G07.03.01</t>
  </si>
  <si>
    <t xml:space="preserve">The royal ship Yenansakra is ordered to anchor by the camp</t>
  </si>
  <si>
    <t xml:space="preserve">G07.04.01</t>
  </si>
  <si>
    <t xml:space="preserve">The royal ship and its guards are repositioned upstream</t>
  </si>
  <si>
    <t xml:space="preserve">G07.04.02</t>
  </si>
  <si>
    <t xml:space="preserve">The Mon send fire rafts against the ship</t>
  </si>
  <si>
    <t xml:space="preserve">G07.05.01</t>
  </si>
  <si>
    <t xml:space="preserve">The royal ship's officers and guards push away the attacking fire rafts</t>
  </si>
  <si>
    <t xml:space="preserve">G07.06.01</t>
  </si>
  <si>
    <t xml:space="preserve">The Mon launch larger fire rafts</t>
  </si>
  <si>
    <t xml:space="preserve">The repeated fire-raft attack is covered by the attack relation in sentence 4; larger dimensions do not create a new required event.</t>
  </si>
  <si>
    <t xml:space="preserve">G07.06.02</t>
  </si>
  <si>
    <t xml:space="preserve">Royal soldiers extinguish the fires</t>
  </si>
  <si>
    <t xml:space="preserve">G07.07.01</t>
  </si>
  <si>
    <t xml:space="preserve">Royal troops extinguish the raft fires with hooks and equipment</t>
  </si>
  <si>
    <t xml:space="preserve">G07.08.01</t>
  </si>
  <si>
    <t xml:space="preserve">The unmanned enemy fire rafts are destroyed or sunk</t>
  </si>
  <si>
    <t xml:space="preserve">G07.09.01</t>
  </si>
  <si>
    <t xml:space="preserve">The king places Shwe Taung Kyaw Htin and 200 musketeers in an island fort</t>
  </si>
  <si>
    <t xml:space="preserve">vol1_s001594_t01_ab57fc852c2b; vol1_s001594_t02_8067b53fc222</t>
  </si>
  <si>
    <t xml:space="preserve">G07.10.01</t>
  </si>
  <si>
    <t xml:space="preserve">The king stations Thado Theinkhathu's ten battalions at Kari near Pegu</t>
  </si>
  <si>
    <t xml:space="preserve">vol1_s001595_t01_28948fefa5d9; vol1_s001595_t02_b06b818296dc</t>
  </si>
  <si>
    <t xml:space="preserve">G07.11.01</t>
  </si>
  <si>
    <t xml:space="preserve">Over 7000 Mon troops attack Min Hla Thiri's camp</t>
  </si>
  <si>
    <t xml:space="preserve">G07.12.01</t>
  </si>
  <si>
    <t xml:space="preserve">Min Hla Thiri's troops resist and drive off the Mon after casualties</t>
  </si>
  <si>
    <t xml:space="preserve">vol1_s001597_t01_c2cdb6c531a5; vol1_s001597_t02_f09110b6c155</t>
  </si>
  <si>
    <t xml:space="preserve">G07.13.01</t>
  </si>
  <si>
    <t xml:space="preserve">Mon forces repeatedly attack Min Htin Nawrahta's camp</t>
  </si>
  <si>
    <t xml:space="preserve">G07.14.01</t>
  </si>
  <si>
    <t xml:space="preserve">Min Htin Nawrahta's defense forces the Mon back</t>
  </si>
  <si>
    <t xml:space="preserve">vol1_s001598_t01_f9ec05ced2d2; vol1_s001599_t01_5fda5d2feb62</t>
  </si>
  <si>
    <t xml:space="preserve">The attack on Min Htin Nawrahta and subsequent rout collectively represent the successful defensive encounter; no mandatory tactical-phase splitting.</t>
  </si>
  <si>
    <t xml:space="preserve">G07.14.02</t>
  </si>
  <si>
    <t xml:space="preserve">Thurin Yannaing and Thurin Kyaw Khaung pursue with cavalry and rout them</t>
  </si>
  <si>
    <t xml:space="preserve">G07.15.01</t>
  </si>
  <si>
    <t xml:space="preserve">Royal forces capture many prisoners</t>
  </si>
  <si>
    <t xml:space="preserve">G07.16.01</t>
  </si>
  <si>
    <t xml:space="preserve">Royal forces take over 500 heads of the dead enemy</t>
  </si>
  <si>
    <t xml:space="preserve">G07.17.01</t>
  </si>
  <si>
    <t xml:space="preserve">The eldest prince orders Udein Kyaw Htin to attack the new Mon position</t>
  </si>
  <si>
    <t xml:space="preserve">vol1_s001602_t01_a21e626eae94; vol1_s001602_t02_ca93b47ea6f2</t>
  </si>
  <si>
    <t xml:space="preserve">G07.18.01</t>
  </si>
  <si>
    <t xml:space="preserve">The Mon position is defeated</t>
  </si>
  <si>
    <t xml:space="preserve">G07.19.01</t>
  </si>
  <si>
    <t xml:space="preserve">Prince Myedu Thiri Dhamma Yaza directs attacks on the Mon's distributed positions</t>
  </si>
  <si>
    <t xml:space="preserve">G07.20.01</t>
  </si>
  <si>
    <t xml:space="preserve">About 30 Mon camps are defeated</t>
  </si>
  <si>
    <t xml:space="preserve">G07.21.01</t>
  </si>
  <si>
    <t xml:space="preserve">Prince Myedu conducts continuing mounted operations around Pegu</t>
  </si>
  <si>
    <t xml:space="preserve">G07.22.01</t>
  </si>
  <si>
    <t xml:space="preserve">Campaign spoils and prisoners are presented to the king</t>
  </si>
  <si>
    <t xml:space="preserve">The capture and resulting reward are represented, but the presentation of the captured resources to the king is not.</t>
  </si>
  <si>
    <t xml:space="preserve">G07.22.02</t>
  </si>
  <si>
    <t xml:space="preserve">The king gives silver and cloth as rewards</t>
  </si>
  <si>
    <t xml:space="preserve">vol1_s001607_t01_727c504ed8f0; vol1_s001607_t02_d1d68b286081</t>
  </si>
  <si>
    <t xml:space="preserve">G07.23.01</t>
  </si>
  <si>
    <t xml:space="preserve">Alaungmintaya advances and sets camp at Panse</t>
  </si>
  <si>
    <t xml:space="preserve">vol1_s001608_t01_5eaf4633af17; vol1_s001608_t02_41b3cde4c894</t>
  </si>
  <si>
    <t xml:space="preserve">G07.24.01</t>
  </si>
  <si>
    <t xml:space="preserve">The king deploys eight named battalions in a mutually supporting encirclement south of Hanthawaddy</t>
  </si>
  <si>
    <t xml:space="preserve">vol1_s001609_t01_805150b6ba50; vol1_s001609_t02_8e68d923ff6b</t>
  </si>
  <si>
    <t xml:space="preserve">G08.01.01</t>
  </si>
  <si>
    <t xml:space="preserve">Prince Dipeyin asks the monks the purpose of their visit</t>
  </si>
  <si>
    <t xml:space="preserve">G08.01.02</t>
  </si>
  <si>
    <t xml:space="preserve">The senior monk requests an audience with the prince's royal father</t>
  </si>
  <si>
    <t xml:space="preserve">G08.02.01</t>
  </si>
  <si>
    <t xml:space="preserve">Prince Dipeyin sends the senior monk and Min Yaza to his father</t>
  </si>
  <si>
    <t xml:space="preserve">G08.03.01</t>
  </si>
  <si>
    <t xml:space="preserve">Alaungmintaya receives and seats the monk appropriately</t>
  </si>
  <si>
    <t xml:space="preserve">G08.04.01</t>
  </si>
  <si>
    <t xml:space="preserve">The king asks the purpose of the mission</t>
  </si>
  <si>
    <t xml:space="preserve">The general reception/protocol relation in sentence 3 is accepted for the king’s inquiry during the same audience.</t>
  </si>
  <si>
    <t xml:space="preserve">G08.04.02</t>
  </si>
  <si>
    <t xml:space="preserve">The monk legitimates the king through past merit, sovereignty and Buddhist beneficence</t>
  </si>
  <si>
    <t xml:space="preserve">G08.04.03</t>
  </si>
  <si>
    <t xml:space="preserve">The monk petitions for Hanthawaddy's inhabitants and presents the royal diplomatic letter</t>
  </si>
  <si>
    <t xml:space="preserve">vol1_s001715_t03_41715c42a5b7; vol1_s001716_t01_1370febdcaf4</t>
  </si>
  <si>
    <t xml:space="preserve">G08.05.01</t>
  </si>
  <si>
    <t xml:space="preserve">The king hears the diplomatic letter and responds</t>
  </si>
  <si>
    <t xml:space="preserve">G08.06.01</t>
  </si>
  <si>
    <t xml:space="preserve">The king recalls the unsuccessful earlier mediation by Burmese, Mon and Yun monks</t>
  </si>
  <si>
    <t xml:space="preserve">G08.06.02</t>
  </si>
  <si>
    <t xml:space="preserve">The king states that submitting rulers bring tribute and receive protection of their persons and property, invoking his aspiration to Buddhahood</t>
  </si>
  <si>
    <t xml:space="preserve">vol1_s001717_t01_07b369a23f66; vol1_s001717_t02_e03c6fe51a22</t>
  </si>
  <si>
    <t xml:space="preserve">G08.07.01</t>
  </si>
  <si>
    <t xml:space="preserve">The king demands genuinely representative Mon ministers as envoys</t>
  </si>
  <si>
    <t xml:space="preserve">vol1_s001718_t01_91fa4c845097; vol1_s001718_t02_6de8ef880533</t>
  </si>
  <si>
    <t xml:space="preserve">G08.07.02</t>
  </si>
  <si>
    <t xml:space="preserve">He sends two baskets of thazin flowers as a symbolic gift</t>
  </si>
  <si>
    <t xml:space="preserve">G08.08.01</t>
  </si>
  <si>
    <t xml:space="preserve">The king directs that the flowers be appropriately offered and worn</t>
  </si>
  <si>
    <t xml:space="preserve">G08.09.01</t>
  </si>
  <si>
    <t xml:space="preserve">The monk and Min Yaza return to Pegu</t>
  </si>
  <si>
    <t xml:space="preserve">G08.10.01</t>
  </si>
  <si>
    <t xml:space="preserve">The envoys relay the king's message to the Mon king</t>
  </si>
  <si>
    <t xml:space="preserve">G08.10.02</t>
  </si>
  <si>
    <t xml:space="preserve">The Mon king has one flower basket offered to Shwemawdaw</t>
  </si>
  <si>
    <t xml:space="preserve">The broad ritual-compliance triple is accepted for the directed flower offering; no separate location-specific tuple required.</t>
  </si>
  <si>
    <t xml:space="preserve">G08.10.03</t>
  </si>
  <si>
    <t xml:space="preserve">He sends the other to his daughter to wear</t>
  </si>
  <si>
    <t xml:space="preserve">vol1_s001721_t01_110b9db34527; vol1_s001721_t02_73e6495fd253</t>
  </si>
  <si>
    <t xml:space="preserve">G08.11.01</t>
  </si>
  <si>
    <t xml:space="preserve">The Mon king orders officials to arrange presentation of his daughter to Alaungmintaya</t>
  </si>
  <si>
    <t xml:space="preserve">The diplomatic-arrangements order is present but attributed to the recipient ruler rather than the Mon king sending his daughter.</t>
  </si>
  <si>
    <t xml:space="preserve">G08.11.02</t>
  </si>
  <si>
    <t xml:space="preserve">He dispatches a delegation of officials, Brahmins and attendants to the Burmese camp</t>
  </si>
  <si>
    <t xml:space="preserve">vol1_s001722_t02_4dc3330cece6; vol1_s001722_t03_d87e8aa50d49</t>
  </si>
  <si>
    <t xml:space="preserve">G09.01.01</t>
  </si>
  <si>
    <t xml:space="preserve">Royal musketeers shoot Min Khaung Nawrahta</t>
  </si>
  <si>
    <t xml:space="preserve">“Executed” is accepted here in the broad sense of lethal shooting; no formal judicial process is inferred.</t>
  </si>
  <si>
    <t xml:space="preserve">G09.01.02</t>
  </si>
  <si>
    <t xml:space="preserve">Nga Chit Kaung beheads Min Khaung Nawrahta</t>
  </si>
  <si>
    <t xml:space="preserve">Capture of the defeated target may include securing his body/head; the unspecified “captured rebel” triple is not treated as a claim of live capture.</t>
  </si>
  <si>
    <t xml:space="preserve">G09.02.01</t>
  </si>
  <si>
    <t xml:space="preserve">Royal officers arrest Min Khaung Nawrahta's followers</t>
  </si>
  <si>
    <t xml:space="preserve">G09.02.02</t>
  </si>
  <si>
    <t xml:space="preserve">The party brings back his head</t>
  </si>
  <si>
    <t xml:space="preserve">G09.03.01</t>
  </si>
  <si>
    <t xml:space="preserve">The king had ordered that Min Khaung Nawrahta be taken alive</t>
  </si>
  <si>
    <t xml:space="preserve">Relevant royal action is detected but attached to Alaungpaya rather than the reigning Dipeyin king.</t>
  </si>
  <si>
    <t xml:space="preserve">G09.03.02</t>
  </si>
  <si>
    <t xml:space="preserve">The king rebukes the officers for his death</t>
  </si>
  <si>
    <t xml:space="preserve">G09.03.03</t>
  </si>
  <si>
    <t xml:space="preserve">The king grants Nga Chit Kaung the title Lahmu Ranta Thu</t>
  </si>
  <si>
    <t xml:space="preserve">G09.03.04</t>
  </si>
  <si>
    <t xml:space="preserve">Thurin Theippan and Thurin Thit evade capture</t>
  </si>
  <si>
    <t xml:space="preserve">G09.03.05</t>
  </si>
  <si>
    <t xml:space="preserve">The king judges and punishes captured ringleaders according to culpability</t>
  </si>
  <si>
    <t xml:space="preserve">G09.04.01</t>
  </si>
  <si>
    <t xml:space="preserve">The king returns to Ratanatheinga</t>
  </si>
  <si>
    <t xml:space="preserve">G09.05.01</t>
  </si>
  <si>
    <t xml:space="preserve">The king conducts the Maha Thingyan and royal consecration festivities</t>
  </si>
  <si>
    <t xml:space="preserve">vol1_s002394_t01_886b2fb76ee5; vol1_s002394_t02_ef5fa0c4b8b7</t>
  </si>
  <si>
    <t xml:space="preserve">G09.05.02</t>
  </si>
  <si>
    <t xml:space="preserve">The king assumes the title Thiri Pawara Maha Dhamma Yaza</t>
  </si>
  <si>
    <t xml:space="preserve">G09.06.01</t>
  </si>
  <si>
    <t xml:space="preserve">The king grants the chief queen the title Maha Mingala Yadana Devi</t>
  </si>
  <si>
    <t xml:space="preserve">G09.07.01</t>
  </si>
  <si>
    <t xml:space="preserve">The king grants titles to the other queens</t>
  </si>
  <si>
    <t xml:space="preserve">vol1_s002396_t01_7624a4562763; vol1_s002396_t02_7a7b9d54cffb; vol1_s002396_t03_bafada6d149e; vol1_s002396_t04_5dd204505473; vol1_s002396_t05_b4884a285059; vol1_s002396_t06_2ef2a55bedde</t>
  </si>
  <si>
    <t xml:space="preserve">The repeated Mingala Devi title is allowed to collapse into one generic-queen title relation. No omission is charged for the duplicate label.</t>
  </si>
  <si>
    <t xml:space="preserve">G09.08.01</t>
  </si>
  <si>
    <t xml:space="preserve">The king grants the specified regalia to his five younger brothers</t>
  </si>
  <si>
    <t xml:space="preserve">vol1_s002397_t01_ea5f7b553d7b; vol1_s002397_t02_c3e689268768; vol1_s002397_t03_68060585bf66; vol1_s002397_t04_fd9cc86fb6c3; vol1_s002397_t05_ebb3e5bc6e73</t>
  </si>
  <si>
    <t xml:space="preserve">G10.01.01</t>
  </si>
  <si>
    <t xml:space="preserve">The king worships at Shwezigon</t>
  </si>
  <si>
    <t xml:space="preserve">G10.01.02</t>
  </si>
  <si>
    <t xml:space="preserve">He coordinates the land and naval armies before advancing toward Taungoo</t>
  </si>
  <si>
    <t xml:space="preserve">vol1_s002402_t02_fe32bfde6f40; vol1_s002402_t03_72d72424a293</t>
  </si>
  <si>
    <t xml:space="preserve">G10.02.01</t>
  </si>
  <si>
    <t xml:space="preserve">Dhammata's Taungoo troops engage and push back Min Hla Min Kyaw's vanguard</t>
  </si>
  <si>
    <t xml:space="preserve">vol1_s002403_t01_0f294a2b6a5c; vol1_s002403_t02_cc033d27f6de; vol1_s002403_t03_ead2a9e5d7e3</t>
  </si>
  <si>
    <t xml:space="preserve">G10.03.01</t>
  </si>
  <si>
    <t xml:space="preserve">Min Hla Nawrahta counterattacks and drives the Taungoo force back</t>
  </si>
  <si>
    <t xml:space="preserve">vol1_s002404_t01_b788d8a9794e; vol1_s002404_t03_134f31c7a15b</t>
  </si>
  <si>
    <t xml:space="preserve">G10.03.02</t>
  </si>
  <si>
    <t xml:space="preserve">The royal force takes the heads of two Mon commanders</t>
  </si>
  <si>
    <t xml:space="preserve">G10.04.01</t>
  </si>
  <si>
    <t xml:space="preserve">Udein Punya and Dhammata lead another Taungoo counterattack</t>
  </si>
  <si>
    <t xml:space="preserve">G10.04.02</t>
  </si>
  <si>
    <t xml:space="preserve">The royal commanders flank, defeat and drive them back into Taungoo</t>
  </si>
  <si>
    <t xml:space="preserve">vol1_s002405_t02_f5bf51dd1261; vol1_s002405_t03_5415d80b3392; vol1_s002405_t04_d2208ae44fb6</t>
  </si>
  <si>
    <t xml:space="preserve">G10.05.01</t>
  </si>
  <si>
    <t xml:space="preserve">Min Hla Nawrahta's troops take siege positions around northern Taungoo</t>
  </si>
  <si>
    <t xml:space="preserve">G10.06.01</t>
  </si>
  <si>
    <t xml:space="preserve">Daw Taw and Min Kyaw Akara attack Maha Gamani Sanda's position</t>
  </si>
  <si>
    <t xml:space="preserve">G10.06.02</t>
  </si>
  <si>
    <t xml:space="preserve">Gamani Sanda resists with reinforcements from two royal units</t>
  </si>
  <si>
    <t xml:space="preserve">G10.06.03</t>
  </si>
  <si>
    <t xml:space="preserve">Daw Taw is shot from his horse</t>
  </si>
  <si>
    <t xml:space="preserve">G11.01.01</t>
  </si>
  <si>
    <t xml:space="preserve">The king orders merit-based selection of service families into inner and outer thwethauk corps, preserving their hereditary standing</t>
  </si>
  <si>
    <t xml:space="preserve">vol1_s002480_t01_e23ef1d0a6c9; vol1_s002480_t02_9f19881b9a7e; vol1_s002480_t03_8b362e8b037a</t>
  </si>
  <si>
    <t xml:space="preserve">G11.02.01</t>
  </si>
  <si>
    <t xml:space="preserve">The king selects officials and warriors and formally creates the forty/fifty thwethauk corps</t>
  </si>
  <si>
    <t xml:space="preserve">vol1_s002481_t01_b02ecf3af804; vol1_s002481_t02_4bbc06947c6c</t>
  </si>
  <si>
    <t xml:space="preserve">G11.03.01</t>
  </si>
  <si>
    <t xml:space="preserve">The king forms Thado Yaza's corps of sixteen high-ranking officers and appoints him leader</t>
  </si>
  <si>
    <t xml:space="preserve">vol1_s002482_t01_26cfe287969b; vol1_s002482_t02_5eec3c76db8c</t>
  </si>
  <si>
    <t xml:space="preserve">G11.04.01</t>
  </si>
  <si>
    <t xml:space="preserve">The king forms Thiri Thiha Thu's corps of twenty-four officers and appoints him leader</t>
  </si>
  <si>
    <t xml:space="preserve">vol1_s002483_t01_5172d4df5efb; vol1_s002483_t02_8d8ac3d48bcf</t>
  </si>
  <si>
    <t xml:space="preserve">G11.05.01</t>
  </si>
  <si>
    <t xml:space="preserve">The king forms Ne Myo Thinkhaya's corps of twenty-four knee-rank officers and appoints him leader</t>
  </si>
  <si>
    <t xml:space="preserve">vol1_s002484_t01_3c58b513562e; vol1_s002484_t02_d60f5c10c8ed</t>
  </si>
  <si>
    <t xml:space="preserve">G12.01.01</t>
  </si>
  <si>
    <t xml:space="preserve">The Manipuri sawbwa prepares defensive blockades against the royal advance</t>
  </si>
  <si>
    <t xml:space="preserve">G12.01.02</t>
  </si>
  <si>
    <t xml:space="preserve">The royal forces break the Manipuri defenses</t>
  </si>
  <si>
    <t xml:space="preserve">G12.01.03</t>
  </si>
  <si>
    <t xml:space="preserve">The sawbwa and population flee and the royal forces pursue and capture them</t>
  </si>
  <si>
    <t xml:space="preserve">vol1_s002515_t03_7a4221a0a25d; vol1_s002515_t04_54e3eaaa8b40</t>
  </si>
  <si>
    <t xml:space="preserve">The general pursuit/capture event and the ruler’s flight are securely represented; uncertainty concerns only whether the ruler himself was caught.</t>
  </si>
  <si>
    <t xml:space="preserve">G12.02.01</t>
  </si>
  <si>
    <t xml:space="preserve">The king conquers Manipur</t>
  </si>
  <si>
    <t xml:space="preserve">G12.02.02</t>
  </si>
  <si>
    <t xml:space="preserve">He recalls the pursuing troops</t>
  </si>
  <si>
    <t xml:space="preserve">G12.02.03</t>
  </si>
  <si>
    <t xml:space="preserve">He gathers and removes the Manipuri population to the capital</t>
  </si>
  <si>
    <t xml:space="preserve">“Incorporated population” is accepted for forcible population gathering/removal; a deportation-specific predicate is not demanded.</t>
  </si>
  <si>
    <t xml:space="preserve">G12.02.04</t>
  </si>
  <si>
    <t xml:space="preserve">He returns to Ratanatheinga</t>
  </si>
  <si>
    <t xml:space="preserve">G12.02.05</t>
  </si>
  <si>
    <t xml:space="preserve">He constructs and endows Nibbana Hseik U pagoda</t>
  </si>
  <si>
    <t xml:space="preserve">vol1_s002516_t03_82186a4f1701; vol1_s002516_t04_868d89e0c3b3</t>
  </si>
  <si>
    <t xml:space="preserve">G12.03.01</t>
  </si>
  <si>
    <t xml:space="preserve">The king constructs the new Ava palace</t>
  </si>
  <si>
    <t xml:space="preserve">G12.03.02</t>
  </si>
  <si>
    <t xml:space="preserve">He moves the royal establishment to Ava and ceremonially occupies it</t>
  </si>
  <si>
    <t xml:space="preserve">vol1_s002517_t02_e0c970d45873; vol1_s002517_t03_816a9b4f0658; vol1_s002517_t04_b6383f8a1afc</t>
  </si>
  <si>
    <t xml:space="preserve">G12.04.01</t>
  </si>
  <si>
    <t xml:space="preserve">Thado Minbya originally founded Ava</t>
  </si>
  <si>
    <t xml:space="preserve">G12.04.02</t>
  </si>
  <si>
    <t xml:space="preserve">The reigning king advocates a larger capital to shelter the Sangha and population and foster religious and economic welfare</t>
  </si>
  <si>
    <t xml:space="preserve">vol1_s002518_t01_e89299b53728; vol1_s002518_t02_e41f1c1663d7; vol1_s002518_t03_611aa7676926; vol1_s002518_t04_16b6ed9acd20; vol1_s002518_t05_1214452f2b3e</t>
  </si>
  <si>
    <t xml:space="preserve">G13.01.01</t>
  </si>
  <si>
    <t xml:space="preserve">The Siamese attack under Bra Than drives back royal cavalry and disrupts Mingyi Zeya Thu's force</t>
  </si>
  <si>
    <t xml:space="preserve">vol1_s002583_t01_511c4d846a1b; vol1_s002583_t02_52a5ba858511; vol1_s002583_t03_08b05814522e; vol1_s002583_t04_1a1e9d0ae175</t>
  </si>
  <si>
    <t xml:space="preserve">G13.02.01</t>
  </si>
  <si>
    <t xml:space="preserve">Maha Nawrahta brings out a reinforcing force</t>
  </si>
  <si>
    <t xml:space="preserve">G13.02.02</t>
  </si>
  <si>
    <t xml:space="preserve">Ne Myo Gonnarat's battalions attack the Siamese from behind</t>
  </si>
  <si>
    <t xml:space="preserve">vol1_s002584_t02_36608b6ddd64; vol1_s002584_t03_ea1e6980196d</t>
  </si>
  <si>
    <t xml:space="preserve">G13.03.01</t>
  </si>
  <si>
    <t xml:space="preserve">Mingyi Zeya Thu's regrouped troops counterattack and rout the Siamese force</t>
  </si>
  <si>
    <t xml:space="preserve">vol1_s002585_t01_1d032da9b16a; vol1_s002585_t02_d483b7da24d2; vol1_s002585_t03_1bb2565decd7; vol1_s002585_t04_694912438548</t>
  </si>
  <si>
    <t xml:space="preserve">G13.04.01</t>
  </si>
  <si>
    <t xml:space="preserve">Ne Myo Gonnarat and the royal commanders capture elephants, guns and live prisoners and bring the spoils back to camp</t>
  </si>
  <si>
    <t xml:space="preserve">vol1_s002586_t01_4481a48cfb72; vol1_s002586_t02_26f5c75148f3</t>
  </si>
  <si>
    <t xml:space="preserve">G14.01.01</t>
  </si>
  <si>
    <t xml:space="preserve">The two Burmese commanders bring grain from cultivated occupied villages into the siege camps</t>
  </si>
  <si>
    <t xml:space="preserve">vol1_s002622_t01_42018ed90b24; vol1_s002622_t02_41550eced118</t>
  </si>
  <si>
    <t xml:space="preserve">G14.01.02</t>
  </si>
  <si>
    <t xml:space="preserve">They maintain the land and water blockade of Ayutthaya</t>
  </si>
  <si>
    <t xml:space="preserve">The sustained siege is represented by the siege-works relation later on this same page.</t>
  </si>
  <si>
    <t xml:space="preserve">G14.01.03</t>
  </si>
  <si>
    <t xml:space="preserve">They arrange entertainments to sustain their soldiers' morale</t>
  </si>
  <si>
    <t xml:space="preserve">G14.02.01</t>
  </si>
  <si>
    <t xml:space="preserve">The two generals stage false reinforcements and expanding camps to intimidate the Siamese</t>
  </si>
  <si>
    <t xml:space="preserve">vol1_s002623_t01_1b8a77e9f147; vol1_s002623_t02_890920b1e9ba; vol1_s002623_t03_21a2c2ebc6f4</t>
  </si>
  <si>
    <t xml:space="preserve">G14.03.01</t>
  </si>
  <si>
    <t xml:space="preserve">The Siamese king consults his court on lifting the siege</t>
  </si>
  <si>
    <t xml:space="preserve">G14.03.02</t>
  </si>
  <si>
    <t xml:space="preserve">Baya Kuratit proposes a tribute offer as a stratagem to induce Burmese withdrawal</t>
  </si>
  <si>
    <t xml:space="preserve">The advice/proposal relation is accepted without a separate tuple for the ulterior tactical motive.</t>
  </si>
  <si>
    <t xml:space="preserve">G14.03.03</t>
  </si>
  <si>
    <t xml:space="preserve">The Siamese king and council approve the diplomatic offer</t>
  </si>
  <si>
    <t xml:space="preserve">G14.03.04</t>
  </si>
  <si>
    <t xml:space="preserve">Their letter asserts a history of tributary exchange and blames Mon rebellion for its interruption</t>
  </si>
  <si>
    <t xml:space="preserve">“Resumption of tribute” represents the asserted earlier relationship, but the letter’s claim that Mon rebellion interrupted it is absent.</t>
  </si>
  <si>
    <t xml:space="preserve">G14.03.05</t>
  </si>
  <si>
    <t xml:space="preserve">The Siamese send four envoys with the letter</t>
  </si>
  <si>
    <t xml:space="preserve">G14.03.06</t>
  </si>
  <si>
    <t xml:space="preserve">Burmese officers route the envoys to Maha Nawrahta and arrange translation</t>
  </si>
  <si>
    <t xml:space="preserve">G15.01.01</t>
  </si>
  <si>
    <t xml:space="preserve">The Chinese army is routed with heavy deaths</t>
  </si>
  <si>
    <t xml:space="preserve">G15.01.02</t>
  </si>
  <si>
    <t xml:space="preserve">The royal forces capture weapons, animals and prisoners</t>
  </si>
  <si>
    <t xml:space="preserve">G15.02.01</t>
  </si>
  <si>
    <t xml:space="preserve">The royal forces end the operation and remain at Kengtung</t>
  </si>
  <si>
    <t xml:space="preserve">G15.03.01</t>
  </si>
  <si>
    <t xml:space="preserve">The Kenghung and Sipsongpanna rulers explain that Chinese coercion forced them to supply provisions</t>
  </si>
  <si>
    <t xml:space="preserve">The petition is captured, but its substantive explanation of Chinese coercion and forced provisions is not. This is partial coverage, not a completely absent petition.</t>
  </si>
  <si>
    <t xml:space="preserve">G15.03.02</t>
  </si>
  <si>
    <t xml:space="preserve">They pledge customary tribute and service to the Burmese ruler</t>
  </si>
  <si>
    <t xml:space="preserve">G15.03.03</t>
  </si>
  <si>
    <t xml:space="preserve">The Left Palace Guard commander tells them their case must go to the king</t>
  </si>
  <si>
    <t xml:space="preserve">G15.04.01</t>
  </si>
  <si>
    <t xml:space="preserve">Ye Hla Nara brings the commanders' victory report, including the Chinese general's death, to the king</t>
  </si>
  <si>
    <t xml:space="preserve">G15.05.01</t>
  </si>
  <si>
    <t xml:space="preserve">The king orders the commander to settle Kengtung and return</t>
  </si>
  <si>
    <t xml:space="preserve">vol1_s002679_t01_1d8915c29db3; vol1_s002679_t02_32016181f41f</t>
  </si>
  <si>
    <t xml:space="preserve">G15.05.02</t>
  </si>
  <si>
    <t xml:space="preserve">The returning commander reports the Shan rulers' explanations</t>
  </si>
  <si>
    <t xml:space="preserve">G15.05.03</t>
  </si>
  <si>
    <t xml:space="preserve">The king discounts the young Kenghung ruler's explanation</t>
  </si>
  <si>
    <t xml:space="preserve">G15.06.01</t>
  </si>
  <si>
    <t xml:space="preserve">The king orders Bala Min Htin to reinforce and hold Kaungton</t>
  </si>
  <si>
    <t xml:space="preserve">vol1_s002680_t01_7c76cf83eec6; vol1_s002680_t02_618e3af0b170; vol1_s002680_t03_bc24962867eb</t>
  </si>
  <si>
    <t xml:space="preserve">G15.07.01</t>
  </si>
  <si>
    <t xml:space="preserve">The king delegates pacification of the 57 Chiang Mai districts to Maha Thiha Thura, with named deputies and a twenty-battalion force</t>
  </si>
  <si>
    <t xml:space="preserve">vol1_s002681_t01_9502f710d329; vol1_s002681_t02_fb4e36c25ad8; vol1_s002681_t03_c189d818556b; vol1_s002681_t04_2fc55b3a7423</t>
  </si>
  <si>
    <t xml:space="preserve">G16.01.01</t>
  </si>
  <si>
    <t xml:space="preserve">Maha Sithu coordinates a timed two-sided attack with his field commanders</t>
  </si>
  <si>
    <t xml:space="preserve">vol1_s002706_t01_3ad942bcea4d; vol1_s002706_t02_892adca71e56</t>
  </si>
  <si>
    <t xml:space="preserve">G16.01.02</t>
  </si>
  <si>
    <t xml:space="preserve">The royal forces defeat the Chinese in successive engagements</t>
  </si>
  <si>
    <t xml:space="preserve">G16.01.03</t>
  </si>
  <si>
    <t xml:space="preserve">The Chinese retreat and entrench at Sanda</t>
  </si>
  <si>
    <t xml:space="preserve">G16.02.01</t>
  </si>
  <si>
    <t xml:space="preserve">Maha Sithu's battalions pause at Monglaw to replenish forces</t>
  </si>
  <si>
    <t xml:space="preserve">G16.03.01</t>
  </si>
  <si>
    <t xml:space="preserve">The king receives news of Maha Sithu's illness</t>
  </si>
  <si>
    <t xml:space="preserve">G16.03.02</t>
  </si>
  <si>
    <t xml:space="preserve">The king transfers overall command to the Left Palace Guard commander with orders to defeat the Chinese and subdue eight Shan towns</t>
  </si>
  <si>
    <t xml:space="preserve">vol1_s002708_t01_ecadee6c1716; vol1_s002708_t02_39038174850c</t>
  </si>
  <si>
    <t xml:space="preserve">G16.03.03</t>
  </si>
  <si>
    <t xml:space="preserve">The king recalls Maha Sithu, who returns after the forces link up</t>
  </si>
  <si>
    <t xml:space="preserve">vol1_s002708_t03_14c6cb8a07f1; vol1_s002708_t04_b7b45b55f5b7</t>
  </si>
  <si>
    <t xml:space="preserve">G16.04.01</t>
  </si>
  <si>
    <t xml:space="preserve">The Left Palace Guard commander attacks the Chinese at Sanda</t>
  </si>
  <si>
    <t xml:space="preserve">vol1_s002709_t03_4cb68f0141d7; vol1_s002709_t04_1da95086bf49</t>
  </si>
  <si>
    <t xml:space="preserve">The Chinese retreat and the commander’s captures are accepted as a broad representation of the successful engagement, without a mandatory attack-only triple.</t>
  </si>
  <si>
    <t xml:space="preserve">G16.04.02</t>
  </si>
  <si>
    <t xml:space="preserve">The eight Shan towns deny provisions to the Chinese on grounds of loyalty to the Burmese king</t>
  </si>
  <si>
    <t xml:space="preserve">vol1_s002709_t01_7809ef85ffd9; vol1_s002709_t02_b5845d5713d6</t>
  </si>
  <si>
    <t xml:space="preserve">G16.04.03</t>
  </si>
  <si>
    <t xml:space="preserve">The royal force pursues the retreating Chinese toward China</t>
  </si>
  <si>
    <t xml:space="preserve">Retreat and capture together cover the pursuit phase at the chosen forgiving granularity.</t>
  </si>
  <si>
    <t xml:space="preserve">G16.04.04</t>
  </si>
  <si>
    <t xml:space="preserve">The royal force captures animals, weapons and prisoners</t>
  </si>
  <si>
    <t xml:space="preserve">G16.05.01</t>
  </si>
  <si>
    <t xml:space="preserve">The Left Palace Guard commander subdues the eight resistant Shan towns</t>
  </si>
  <si>
    <t xml:space="preserve">G16.05.02</t>
  </si>
  <si>
    <t xml:space="preserve">He and Maha Thiha Thura jointly attack and defeat the Chinese near Hsenwi</t>
  </si>
  <si>
    <t xml:space="preserve">G16.05.03</t>
  </si>
  <si>
    <t xml:space="preserve">G16.06.01</t>
  </si>
  <si>
    <t xml:space="preserve">The two commanders return to the king with the captured materiel and prisoners</t>
  </si>
  <si>
    <t xml:space="preserve">vol1_s002711_t01_4aa4b583ed4b; vol1_s002711_t02_6d08d5ef1969</t>
  </si>
  <si>
    <t xml:space="preserve">G17.01.01</t>
  </si>
  <si>
    <t xml:space="preserve">Maha Thiha Thura sends the Chinese commanders a letter through Kwe Swe Bo</t>
  </si>
  <si>
    <t xml:space="preserve">G17.01.02</t>
  </si>
  <si>
    <t xml:space="preserve">The letter asserts the Burmese king's righteousness and nonaggression</t>
  </si>
  <si>
    <t xml:space="preserve">G17.01.03</t>
  </si>
  <si>
    <t xml:space="preserve">The letter blames tributary sawbwas' representations for repeated Chinese invasions</t>
  </si>
  <si>
    <t xml:space="preserve">G17.01.04</t>
  </si>
  <si>
    <t xml:space="preserve">Maha Thiha Thura warns that further invasions will meet resistance and defeat</t>
  </si>
  <si>
    <t xml:space="preserve">G17.01.05</t>
  </si>
  <si>
    <t xml:space="preserve">Maha Thiha Thura accepts discussion of peace for the welfare of both populations</t>
  </si>
  <si>
    <t xml:space="preserve">vol1_s002791_t01_64750b596f2c; vol1_s002791_t03_96c7ee04afb8</t>
  </si>
  <si>
    <t xml:space="preserve">Agreement to negotiate is preserved by the adjacent conference-arrangement triples; no separate exact wording required.</t>
  </si>
  <si>
    <t xml:space="preserve">G17.02.01</t>
  </si>
  <si>
    <t xml:space="preserve">Chinese commanders request a conference through their envoy</t>
  </si>
  <si>
    <t xml:space="preserve">vol1_s002791_t01_64750b596f2c; vol1_s002791_t02_19c19f42a827</t>
  </si>
  <si>
    <t xml:space="preserve">G17.02.02</t>
  </si>
  <si>
    <t xml:space="preserve">Maha Thiha Thura sets and arranges a meeting, and both sides assemble to negotiate</t>
  </si>
  <si>
    <t xml:space="preserve">vol1_s002791_t03_96c7ee04afb8; vol1_s002791_t04_ba3ed3c9e4fc</t>
  </si>
  <si>
    <t xml:space="preserve">G17.03.01</t>
  </si>
  <si>
    <t xml:space="preserve">The king commissions learned monks, Brahmins, and officials to compile and critically compare the royal chronicle in the Glass Palace</t>
  </si>
  <si>
    <t xml:space="preserve">vol1_s002792_t05_f8417bdb8dcc; vol1_s002792_t06_d43d06f3a998</t>
  </si>
  <si>
    <t xml:space="preserve">G18.01.01</t>
  </si>
  <si>
    <t xml:space="preserve">The Manipur sawbwa retreats with his family and followers before the Burmese advance</t>
  </si>
  <si>
    <t xml:space="preserve">vol1_s002818_t01_0bf0a69e886b; vol1_s002818_t02_33825c3e4561; vol1_s002818_t03_853faf6743c2; vol1_s002818_t04_cea9a5a1b3c4</t>
  </si>
  <si>
    <t xml:space="preserve">Retreat is detected, but attached to Kale rather than the Kathè/Manipur sawbwa.</t>
  </si>
  <si>
    <t xml:space="preserve">G18.02.01</t>
  </si>
  <si>
    <t xml:space="preserve">Maha Thiha Thura conquers Manipur and captures royal persons, population, weapons, and animals</t>
  </si>
  <si>
    <t xml:space="preserve">vol1_s002819_t01_80e9ada3c7cc; vol1_s002819_t02_e410fd793121; vol1_s002819_t03_6f95336a795c</t>
  </si>
  <si>
    <t xml:space="preserve">The capture event is detected but all three objects are mislabeled as Kale.</t>
  </si>
  <si>
    <t xml:space="preserve">G18.02.02</t>
  </si>
  <si>
    <t xml:space="preserve">Maha Thiha Thura returns with the spoils and captives</t>
  </si>
  <si>
    <t xml:space="preserve">G18.03.01</t>
  </si>
  <si>
    <t xml:space="preserve">Commanders return to court for an audience</t>
  </si>
  <si>
    <t xml:space="preserve">G18.03.02</t>
  </si>
  <si>
    <t xml:space="preserve">The king rebukes commanders for releasing the Chinese forces without his approval</t>
  </si>
  <si>
    <t xml:space="preserve">G18.03.03</t>
  </si>
  <si>
    <t xml:space="preserve">The king orders their banishment and officials implement it</t>
  </si>
  <si>
    <t xml:space="preserve">vol1_s002820_t02_152b0243c33e; vol1_s002820_t03_9cf512a42fc3</t>
  </si>
  <si>
    <t xml:space="preserve">G18.04.01</t>
  </si>
  <si>
    <t xml:space="preserve">Two advisers petition the king to pardon the commanders</t>
  </si>
  <si>
    <t xml:space="preserve">G18.04.02</t>
  </si>
  <si>
    <t xml:space="preserve">The king banishes the intercessors too</t>
  </si>
  <si>
    <t xml:space="preserve">G18.04.03</t>
  </si>
  <si>
    <t xml:space="preserve">The king later pardons the commanders</t>
  </si>
  <si>
    <t xml:space="preserve">G18.05.01</t>
  </si>
  <si>
    <t xml:space="preserve">Chinese commanders report the peace agreement to their emperor</t>
  </si>
  <si>
    <t xml:space="preserve">G18.05.02</t>
  </si>
  <si>
    <t xml:space="preserve">The agreement provides for return of sawbwas and prisoners and future diplomatic exchanges</t>
  </si>
  <si>
    <t xml:space="preserve">vol1_s002822_t03_1dacb7f01084; vol1_s002822_t04_4b257e7ec244</t>
  </si>
  <si>
    <t xml:space="preserve">G18.05.03</t>
  </si>
  <si>
    <t xml:space="preserve">The emperor rewards Kwe Swe Bo with an elevated title</t>
  </si>
  <si>
    <t xml:space="preserve">vol1_s002822_t05_2d5707455918; vol1_s002822_t06_ada431ead10a</t>
  </si>
  <si>
    <t xml:space="preserve">G19.01.01</t>
  </si>
  <si>
    <t xml:space="preserve">The Chinese emperor orders four officials brought in chains</t>
  </si>
  <si>
    <t xml:space="preserve">G19.01.02</t>
  </si>
  <si>
    <t xml:space="preserve">Hata Ye dies during the custodial journey</t>
  </si>
  <si>
    <t xml:space="preserve">G19.01.03</t>
  </si>
  <si>
    <t xml:space="preserve">The emperor executes Se Ta Ye and the two letter-writing officials</t>
  </si>
  <si>
    <t xml:space="preserve">Execution is represented with the wrong sovereign and imprecise targets.</t>
  </si>
  <si>
    <t xml:space="preserve">G19.02.01</t>
  </si>
  <si>
    <t xml:space="preserve">Chinese merchants resume cross-border travel to Burmese towns</t>
  </si>
  <si>
    <t xml:space="preserve">G19.03.01</t>
  </si>
  <si>
    <t xml:space="preserve">The king builds a monastery for Kyethunkhin Sayadaw</t>
  </si>
  <si>
    <t xml:space="preserve">vol1_s002827_t01_91136abaedca; vol1_s002827_t02_a056add07bd7</t>
  </si>
  <si>
    <t xml:space="preserve">G19.03.02</t>
  </si>
  <si>
    <t xml:space="preserve">The king restores pagodas</t>
  </si>
  <si>
    <t xml:space="preserve">vol1_s002827_t03_a0699694e441; vol1_s002827_t04_676444dbaa82</t>
  </si>
  <si>
    <t xml:space="preserve">G19.03.03</t>
  </si>
  <si>
    <t xml:space="preserve">Princess Maha Mingala Devi builds three religious pavilions</t>
  </si>
  <si>
    <t xml:space="preserve">Construction is detected but its explicitly female donor is replaced by the king.</t>
  </si>
  <si>
    <t xml:space="preserve">G19.03.04</t>
  </si>
  <si>
    <t xml:space="preserve">The king makes donations to the Sangha and holds a consecration celebration</t>
  </si>
  <si>
    <t xml:space="preserve">G19.04.01</t>
  </si>
  <si>
    <t xml:space="preserve">The king ceremonially receives and names a white elephant</t>
  </si>
  <si>
    <t xml:space="preserve">vol1_s002828_t01_4015c1fdfd09; vol1_s002828_t02_5b30215c6816</t>
  </si>
  <si>
    <t xml:space="preserve">G19.04.02</t>
  </si>
  <si>
    <t xml:space="preserve">The king assumes the title Hsinbyushin</t>
  </si>
  <si>
    <t xml:space="preserve">G20.01.01</t>
  </si>
  <si>
    <t xml:space="preserve">The king rides an eleven-tier ceremonial barge towed by eight royal boats</t>
  </si>
  <si>
    <t xml:space="preserve">vol1_s002861_t01_a2d407dbc579; vol1_s002861_t02_6671ce0792fb</t>
  </si>
  <si>
    <t xml:space="preserve">COMMANDED_NAVAL_ESCORT accepted broadly as having a formally assigned towing/escort contingent, not a demand for an explicit spoken order.</t>
  </si>
  <si>
    <t xml:space="preserve">G20.02.01</t>
  </si>
  <si>
    <t xml:space="preserve">The king's sister Thiri Maha Ratana Devi rides her ranked ceremonial barge</t>
  </si>
  <si>
    <t xml:space="preserve">vol1_s002862_t01_5dc132748779; vol1_s002862_t02_a0043441fc3a</t>
  </si>
  <si>
    <t xml:space="preserve">G20.03.01</t>
  </si>
  <si>
    <t xml:space="preserve">The chief queen Thiri Atula Maha Ratana Paduma Devi rides her ranked ceremonial barge</t>
  </si>
  <si>
    <t xml:space="preserve">vol1_s002863_t01_a4ad6648de85; vol1_s002863_t02_ee106fccb907</t>
  </si>
  <si>
    <t xml:space="preserve">G20.04.01</t>
  </si>
  <si>
    <t xml:space="preserve">Princess Pabhavati rides her ranked ceremonial barge</t>
  </si>
  <si>
    <t xml:space="preserve">vol1_s002864_t01_923ea15160aa; vol1_s002864_t02_4333a3b1e24a</t>
  </si>
  <si>
    <t xml:space="preserve">G20.05.01</t>
  </si>
  <si>
    <t xml:space="preserve">The northern queen Thiri Sunanda Maha Mingala Sanda Devi rides her ranked ceremonial barge</t>
  </si>
  <si>
    <t xml:space="preserve">vol1_s002865_t01_43e10916384f; vol1_s002865_t02_000ba5d7ce27</t>
  </si>
  <si>
    <t xml:space="preserve">G20.07.01</t>
  </si>
  <si>
    <t xml:space="preserve">The central queen Thiri Maha Sanda Devi rides her ranked ceremonial barge</t>
  </si>
  <si>
    <t xml:space="preserve">vol1_s002867_t01_a3cf9f028ced; vol1_s002867_t02_6cca88959ff7</t>
  </si>
  <si>
    <t xml:space="preserve">G20.08.01</t>
  </si>
  <si>
    <t xml:space="preserve">Other queens and palace women ride their allotted ceremonial barges</t>
  </si>
  <si>
    <t xml:space="preserve">vol1_s002868_t01_bfa6a6975cfa; vol1_s002868_t02_01a7e562808b</t>
  </si>
  <si>
    <t xml:space="preserve">G20.09.01</t>
  </si>
  <si>
    <t xml:space="preserve">Armed warriors accompany the royal procession in organized military flotillas</t>
  </si>
  <si>
    <t xml:space="preserve">vol1_s002869_t01_467dfc105b3c; vol1_s002869_t02_820e5977b7c5</t>
  </si>
  <si>
    <t xml:space="preserve">G20.10.01</t>
  </si>
  <si>
    <t xml:space="preserve">Royal boats take prescribed escort positions around the king's barge</t>
  </si>
  <si>
    <t xml:space="preserve">G20.11.01</t>
  </si>
  <si>
    <t xml:space="preserve">The king appoints Minye Zeya Kyaw to command twelve land-force units</t>
  </si>
  <si>
    <t xml:space="preserve">vol1_s002871_t01_5273f168b530; vol1_s002871_t02_6fc350ee9f91</t>
  </si>
  <si>
    <t xml:space="preserve">G20.12.01</t>
  </si>
  <si>
    <t xml:space="preserve">The king proceeds ceremonially from Ava to Yangon surrounded by royal family and officials</t>
  </si>
  <si>
    <t xml:space="preserve">vol1_s002872_t01_d7aa2a3ace5f; vol1_s002872_t02_597c9f9af302; vol1_s002872_t03_6284187ae508</t>
  </si>
  <si>
    <t xml:space="preserve">G21.01.01</t>
  </si>
  <si>
    <t xml:space="preserve">The king appoints Ne Myo Nanda Kyaw Htin and Udein Zeya as wunhtauks alongside existing officers</t>
  </si>
  <si>
    <t xml:space="preserve">vol1_s002954_t01_c31331006749; vol1_s002954_t02_d284560ee629</t>
  </si>
  <si>
    <t xml:space="preserve">G21.02.01</t>
  </si>
  <si>
    <t xml:space="preserve">The king appoints Nga Kon and Nga Pwint as senior clerks alongside existing clerks</t>
  </si>
  <si>
    <t xml:space="preserve">vol1_s002955_t01_154d5ca6eea6; vol1_s002955_t02_d89fd2e47a5e</t>
  </si>
  <si>
    <t xml:space="preserve">G21.03.01</t>
  </si>
  <si>
    <t xml:space="preserve">The king appoints Min Hla Shwe Taung Kyaw as city governor</t>
  </si>
  <si>
    <t xml:space="preserve">G21.04.01</t>
  </si>
  <si>
    <t xml:space="preserve">The king gilds four named pagodas</t>
  </si>
  <si>
    <t xml:space="preserve">vol1_s002957_t01_2437a41bcc37; vol1_s002957_t02_df6566e413ad; vol1_s002957_t03_5ba65bb0ce5f; vol1_s002957_t04_c0a754952917</t>
  </si>
  <si>
    <t xml:space="preserve">G21.05.01</t>
  </si>
  <si>
    <t xml:space="preserve">The king places eight military units under Ne Myo Thiha Thu and sends them to subdue Lakhon and Pha Thin</t>
  </si>
  <si>
    <t xml:space="preserve">vol1_s002958_t01_dcd46cd83819; vol1_s002958_t02_c76b1c9f2240; vol1_s002958_t03_0023cce20111</t>
  </si>
  <si>
    <t xml:space="preserve">G21.06.01</t>
  </si>
  <si>
    <t xml:space="preserve">The king undergoes Thingyan and coronation rites</t>
  </si>
  <si>
    <t xml:space="preserve">G21.06.02</t>
  </si>
  <si>
    <t xml:space="preserve">The king assumes the title Maha Dhamma Razadhipati</t>
  </si>
  <si>
    <t xml:space="preserve">G21.07.01</t>
  </si>
  <si>
    <t xml:space="preserve">The king gives the chief queen the name Maha Ratana Sanda Devi</t>
  </si>
  <si>
    <t xml:space="preserve">vol1_s002960_t01_edbced30340f; vol1_s002960_t02_cb41cd95e7f8</t>
  </si>
  <si>
    <t xml:space="preserve">G21.09.01</t>
  </si>
  <si>
    <t xml:space="preserve">The king gives the northern queen the title Thiri Maha Mingala Devi</t>
  </si>
  <si>
    <t xml:space="preserve">vol1_s002962_t01_23f4ae43feb1; vol1_s002962_t02_0cb07a10a293</t>
  </si>
  <si>
    <t xml:space="preserve">G21.11.01</t>
  </si>
  <si>
    <t xml:space="preserve">The king gives the central queen the title Thiri Maha Nanda Devi</t>
  </si>
  <si>
    <t xml:space="preserve">vol1_s002964_t01_09f4d32da821; vol1_s002964_t02_b1d8565f5de1</t>
  </si>
  <si>
    <t xml:space="preserve">G21.12.01</t>
  </si>
  <si>
    <t xml:space="preserve">The king grants appropriate titles to other queens and palace women</t>
  </si>
  <si>
    <t xml:space="preserve">G21.13.01</t>
  </si>
  <si>
    <t xml:space="preserve">The king grants titles, regalia, offices, and revenue territories to selected old and household servants</t>
  </si>
  <si>
    <t xml:space="preserve">vol1_s002966_t01_914d4cd98556; vol1_s002966_t02_263c9d602c20</t>
  </si>
  <si>
    <t xml:space="preserve">G21.14.01</t>
  </si>
  <si>
    <t xml:space="preserve">The queen mother constructed the Jetavana monastery complex</t>
  </si>
  <si>
    <t xml:space="preserve">The current king's completion/dedication does not preserve the distinct queen-mother construction attribution.</t>
  </si>
  <si>
    <t xml:space="preserve">G21.14.02</t>
  </si>
  <si>
    <t xml:space="preserve">The king names and dedicates the completed monastery to Ming-o Sayadaw and celebrates</t>
  </si>
  <si>
    <t xml:space="preserve">vol1_s002967_t01_84c1a7d68ead; vol1_s002967_t02_f79f5e1b4a0c</t>
  </si>
  <si>
    <t xml:space="preserve">G21.15.01</t>
  </si>
  <si>
    <t xml:space="preserve">The king removes Maha Thiha Thura from ministerial office in displeasure</t>
  </si>
  <si>
    <t xml:space="preserve">G21.16.01</t>
  </si>
  <si>
    <t xml:space="preserve">The king deposes Maha Thiha Thura's daughter from her queenly position</t>
  </si>
  <si>
    <t xml:space="preserve">G21.16.02</t>
  </si>
  <si>
    <t xml:space="preserve">The king promotes and reallocates three other queens' palace positions</t>
  </si>
  <si>
    <t xml:space="preserve">vol1_s002969_t02_9ced1f7a9bb2; vol1_s002969_t03_e313bab7f812; vol1_s002969_t04_7497d03c711b</t>
  </si>
  <si>
    <t xml:space="preserve">G21.16.03</t>
  </si>
  <si>
    <t xml:space="preserve">The king sends Maha Thiha Thura's family to Sagaing</t>
  </si>
  <si>
    <t xml:space="preserve">G21.16.04</t>
  </si>
  <si>
    <t xml:space="preserve">The king later has the deposed queen drowned</t>
  </si>
  <si>
    <t xml:space="preserve">G22.01.01</t>
  </si>
  <si>
    <t xml:space="preserve">The king associates primarily with junior officials</t>
  </si>
  <si>
    <t xml:space="preserve">G22.01.02</t>
  </si>
  <si>
    <t xml:space="preserve">The king and his guards and officials become habitually intoxicated</t>
  </si>
  <si>
    <t xml:space="preserve">vol1_s002992_t02_2ce20584a70a; vol1_s002992_t03_6d239c084936</t>
  </si>
  <si>
    <t xml:space="preserve">G22.02.01</t>
  </si>
  <si>
    <t xml:space="preserve">The king and his associates spend their time gambling, cockfighting, hunting, and fishing</t>
  </si>
  <si>
    <t xml:space="preserve">G22.03.01</t>
  </si>
  <si>
    <t xml:space="preserve">The king raises Thiri Pabha Devi to the Mya Nan Shin position</t>
  </si>
  <si>
    <t xml:space="preserve">vol1_s002994_t01_f830cde5228e; vol1_s002994_t02_901a90b0af7d</t>
  </si>
  <si>
    <t xml:space="preserve">G22.03.02</t>
  </si>
  <si>
    <t xml:space="preserve">Her brother the Salin prince had been executed</t>
  </si>
  <si>
    <t xml:space="preserve">G22.06.01</t>
  </si>
  <si>
    <t xml:space="preserve">The Ngwekhunwun constructs and presents a monastery</t>
  </si>
  <si>
    <t xml:space="preserve">G22.06.02</t>
  </si>
  <si>
    <t xml:space="preserve">The king names and donates that monastery to the royal monastery teacher</t>
  </si>
  <si>
    <t xml:space="preserve">vol1_s002997_t04_78770ed11210; vol1_s002997_t05_de5b03ddf8e9</t>
  </si>
  <si>
    <t xml:space="preserve">G22.06.03</t>
  </si>
  <si>
    <t xml:space="preserve">The king visits an elephant capture enclosure after a report</t>
  </si>
  <si>
    <t xml:space="preserve">G22.06.04</t>
  </si>
  <si>
    <t xml:space="preserve">The king and royal women undertake a pilgrimage to Thiha Taw</t>
  </si>
  <si>
    <t xml:space="preserve">G23.01.01</t>
  </si>
  <si>
    <t xml:space="preserve">Singu bears the royal title Maha Dhamma Razadhipati</t>
  </si>
  <si>
    <t xml:space="preserve">G23.02.01</t>
  </si>
  <si>
    <t xml:space="preserve">Singu ascends the throne</t>
  </si>
  <si>
    <t xml:space="preserve">G23.03.01</t>
  </si>
  <si>
    <t xml:space="preserve">Singu loses the throne after five years</t>
  </si>
  <si>
    <t xml:space="preserve">vol1_s003024_t01_a2c65dc76a31; vol1_s003024_t02_4cec561b896b</t>
  </si>
  <si>
    <t xml:space="preserve">G23.04.01</t>
  </si>
  <si>
    <t xml:space="preserve">The chronicle associates portents with the king's impending deposition</t>
  </si>
  <si>
    <t xml:space="preserve">vol1_s003025_t01_c327f1e197e6; vol1_s003025_t02_43034224cd1f; vol1_s003025_t03_cc60b17b52d8</t>
  </si>
  <si>
    <t xml:space="preserve">G23.05.01</t>
  </si>
  <si>
    <t xml:space="preserve">Singu is praised for generosity and peaceful prosperous rule</t>
  </si>
  <si>
    <t xml:space="preserve">G23.05.02</t>
  </si>
  <si>
    <t xml:space="preserve">His later drunkenness is said to produce mistakes</t>
  </si>
  <si>
    <t xml:space="preserve">G23.06.01</t>
  </si>
  <si>
    <t xml:space="preserve">Singu repairs and gilds earlier kings' pagodas</t>
  </si>
  <si>
    <t xml:space="preserve">vol1_s003027_t01_00f265af0d7f; vol1_s003027_t02_dbac6517b792; vol1_s003027_t03_2a2934033023; vol1_s003027_t04_9281ec1964ae</t>
  </si>
  <si>
    <t xml:space="preserve">G23.07.01</t>
  </si>
  <si>
    <t xml:space="preserve">Singu's rebuilding of Pinya Shwezigon remains unfinished</t>
  </si>
  <si>
    <t xml:space="preserve">G23.08.01</t>
  </si>
  <si>
    <t xml:space="preserve">Singu sponsors the Ratana San Lut Jetavana monastery</t>
  </si>
  <si>
    <t xml:space="preserve">G23.09.01</t>
  </si>
  <si>
    <t xml:space="preserve">Singu sponsors the Maha Mingala Shwe Bon monastery complex</t>
  </si>
  <si>
    <t xml:space="preserve">G23.10.01</t>
  </si>
  <si>
    <t xml:space="preserve">Singu rebuilds, gilds, crowns, and renames the Loka Tharabu pagoda</t>
  </si>
  <si>
    <t xml:space="preserve">G23.11.01</t>
  </si>
  <si>
    <t xml:space="preserve">Singu sponsors the Bon Kyaw Weyan monastery</t>
  </si>
  <si>
    <t xml:space="preserve">G23.12.01</t>
  </si>
  <si>
    <t xml:space="preserve">Singu is credited collectively with nine religious foundations</t>
  </si>
  <si>
    <t xml:space="preserve">G23.13.01</t>
  </si>
  <si>
    <t xml:space="preserve">Royal children are identified through their mothers and dynastic affiliations</t>
  </si>
  <si>
    <t xml:space="preserve">vol1_s003034_t01_022c03d5d968; vol1_s003034_t02_aeb9381dcb55; vol1_s003034_t03_68e27afa860d; vol1_s003034_t04_b54f6b94af70</t>
  </si>
  <si>
    <t xml:space="preserve">G23.13.02</t>
  </si>
  <si>
    <t xml:space="preserve">Named royal family members hold town appanages</t>
  </si>
  <si>
    <t xml:space="preserve">vol1_s003034_t02_aeb9381dcb55; vol1_s003034_t03_68e27afa860d; vol1_s003034_t04_b54f6b94af70</t>
  </si>
  <si>
    <t xml:space="preserve">G24.01.01</t>
  </si>
  <si>
    <t xml:space="preserve">The king enshrines sacred images</t>
  </si>
  <si>
    <t xml:space="preserve">G24.02.01</t>
  </si>
  <si>
    <t xml:space="preserve">Queens, royal children, kin, and officials also enshrine sacred objects</t>
  </si>
  <si>
    <t xml:space="preserve">G24.03.01</t>
  </si>
  <si>
    <t xml:space="preserve">The king orders the relic chambers sealed</t>
  </si>
  <si>
    <t xml:space="preserve">G24.04.01</t>
  </si>
  <si>
    <t xml:space="preserve">The king appoints eight named cavalry officers to specified units</t>
  </si>
  <si>
    <t xml:space="preserve">vol1_s003066_t01_c3365d820f93; vol1_s003066_t02_67a9d8bee17b; vol1_s003066_t03_185a0357363e; vol1_s003066_t04_e5cd82bfcef8; vol1_s003066_t05_8cdb9619f0de; vol1_s003066_t06_223716785acf; vol1_s003066_t07_69c19c2940d3; vol1_s003066_t08_bb025e532f44</t>
  </si>
  <si>
    <t xml:space="preserve">G24.05.01</t>
  </si>
  <si>
    <t xml:space="preserve">The king organizes a royal blood-brother guard group under the front-guard leaders</t>
  </si>
  <si>
    <t xml:space="preserve">G24.06.01</t>
  </si>
  <si>
    <t xml:space="preserve">The king organizes a royal blood-brother guard group under Thiha Minye</t>
  </si>
  <si>
    <t xml:space="preserve">G24.07.01</t>
  </si>
  <si>
    <t xml:space="preserve">The king organizes a royal blood-brother guard group under Agga Thena</t>
  </si>
  <si>
    <t xml:space="preserve">G24.08.01</t>
  </si>
  <si>
    <t xml:space="preserve">The king organizes a royal blood-brother guard group under the granary officer</t>
  </si>
  <si>
    <t xml:space="preserve">G24.09.01</t>
  </si>
  <si>
    <t xml:space="preserve">Monastic teachers examine thirty-eight novice ordination candidates at Sudhamma</t>
  </si>
  <si>
    <t xml:space="preserve">vol1_s003071_t01_497ce8a51c77; vol1_s003071_t02_b256829243c7</t>
  </si>
  <si>
    <t xml:space="preserve">G24.10.01</t>
  </si>
  <si>
    <t xml:space="preserve">The king renews his younger brother's Pintale appanage</t>
  </si>
  <si>
    <t xml:space="preserve">G24.11.01</t>
  </si>
  <si>
    <t xml:space="preserve">The king grants three towns to three sons</t>
  </si>
  <si>
    <t xml:space="preserve">vol1_s003073_t01_56730293b872; vol1_s003073_t02_57982f43c38e; vol1_s003073_t03_e44890d2c2b5</t>
  </si>
  <si>
    <t xml:space="preserve">G24.12.01</t>
  </si>
  <si>
    <t xml:space="preserve">The king grants towns to daughters and other royal women</t>
  </si>
  <si>
    <t xml:space="preserve">vol1_s003074_t01_b404c6ca316e; vol1_s003074_t02_da0134a92d45; vol1_s003074_t03_8f0ffbfe54c7; vol1_s003074_t04_a83d0ad78e4a; vol1_s003074_t05_b45c03d5e9af; vol1_s003074_t06_9b942e027084</t>
  </si>
  <si>
    <t xml:space="preserve">G24.13.01</t>
  </si>
  <si>
    <t xml:space="preserve">The king grants towns to three royal male relatives</t>
  </si>
  <si>
    <t xml:space="preserve">vol1_s003075_t01_f5aacdf2044c; vol1_s003075_t03_3766445d70d4</t>
  </si>
  <si>
    <t xml:space="preserve">G24.14.01</t>
  </si>
  <si>
    <t xml:space="preserve">The king appoints Minye Thagathu as Pinya cavalry commander</t>
  </si>
  <si>
    <t xml:space="preserve">G24.15.01</t>
  </si>
  <si>
    <t xml:space="preserve">The king performs royal coming-of-age ear-piercing rites for the Saku prince</t>
  </si>
  <si>
    <t xml:space="preserve">G24.16.01</t>
  </si>
  <si>
    <t xml:space="preserve">The king performs royal coming-of-age ear-piercing rites for the Kama prince</t>
  </si>
  <si>
    <t xml:space="preserve">G24.17.01</t>
  </si>
  <si>
    <t xml:space="preserve">The king sponsors the ordination of thirty-eight candidates</t>
  </si>
  <si>
    <t xml:space="preserve">G24.18.01</t>
  </si>
  <si>
    <t xml:space="preserve">The king grants a suite of regalia to the Shwe Taung prince</t>
  </si>
  <si>
    <t xml:space="preserve">G25.01.01</t>
  </si>
  <si>
    <t xml:space="preserve">The king grants regalia to the Kawlin prince Minye Myat Swa</t>
  </si>
  <si>
    <t xml:space="preserve">vol2_s000542_t01_4af888dba802; vol2_s000542_t02_835f17bb6248; vol2_s000542_t03_b082d7aec4bd</t>
  </si>
  <si>
    <t xml:space="preserve">G25.02.01</t>
  </si>
  <si>
    <t xml:space="preserve">The king moves to reside in the Thayetkan royal garden</t>
  </si>
  <si>
    <t xml:space="preserve">G25.03.01</t>
  </si>
  <si>
    <t xml:space="preserve">The king addresses princes and officials, recalling Alaungsithu's construction of Maungmakan</t>
  </si>
  <si>
    <t xml:space="preserve">vol2_s000544_t01_63715197613c; vol2_s000544_t02_309615632cb3; vol2_s000544_t03_a9de999f36fe</t>
  </si>
  <si>
    <t xml:space="preserve">G25.04.01</t>
  </si>
  <si>
    <t xml:space="preserve">The king orders reservoir reconstruction for adornment and defense of Amarapura</t>
  </si>
  <si>
    <t xml:space="preserve">vol2_s000545_t01_7a7e1df7a9fa; vol2_s000545_t03_4864754b1b7b</t>
  </si>
  <si>
    <t xml:space="preserve">G25.04.02</t>
  </si>
  <si>
    <t xml:space="preserve">The king allocates embankment work to troops under appointed supervisors</t>
  </si>
  <si>
    <t xml:space="preserve">vol2_s000545_t02_add6139e8f57; vol2_s000545_t04_006523b73738</t>
  </si>
  <si>
    <t xml:space="preserve">G25.05.01</t>
  </si>
  <si>
    <t xml:space="preserve">The king has hydraulic works constructed and names the reservoir Nanda</t>
  </si>
  <si>
    <t xml:space="preserve">vol2_s000546_t01_75825a9073ae; vol2_s000546_t02_ef194947aec8</t>
  </si>
  <si>
    <t xml:space="preserve">G25.06.01</t>
  </si>
  <si>
    <t xml:space="preserve">The king names the royal garden Nandawun</t>
  </si>
  <si>
    <t xml:space="preserve">G25.08.01</t>
  </si>
  <si>
    <t xml:space="preserve">The king allocates twenty thousand pe of irrigated land to Lamaing cultivators</t>
  </si>
  <si>
    <t xml:space="preserve">vol2_s000549_t01_a5ece673b045; vol2_s000549_t02_92c69842620d</t>
  </si>
  <si>
    <t xml:space="preserve">G25.10.01</t>
  </si>
  <si>
    <t xml:space="preserve">The king completes, gilds, and crowns four corner pagodas</t>
  </si>
  <si>
    <t xml:space="preserve">G25.10.02</t>
  </si>
  <si>
    <t xml:space="preserve">He installs images associated with Narapatisithu's and Alaungsithu's religious patronage</t>
  </si>
  <si>
    <t xml:space="preserve">vol2_s000551_t03_348494d7a794; vol2_s000551_t04_92a39f5c644a</t>
  </si>
  <si>
    <t xml:space="preserve">G26.01.01</t>
  </si>
  <si>
    <t xml:space="preserve">The king sponsors construction of the great monastery near Mahamuni</t>
  </si>
  <si>
    <t xml:space="preserve">vol2_s000565_t01_251eb3e399d4; vol2_s000565_t02_81bb72d0ceca; vol2_s000565_t03_750b47256044</t>
  </si>
  <si>
    <t xml:space="preserve">G26.02.01</t>
  </si>
  <si>
    <t xml:space="preserve">The king has the monastery's ranked architectural structure built</t>
  </si>
  <si>
    <t xml:space="preserve">G26.03.01</t>
  </si>
  <si>
    <t xml:space="preserve">The king installs a Buddha image with a royal throne setting</t>
  </si>
  <si>
    <t xml:space="preserve">vol2_s000567_t01_d8df27af6e76; vol2_s000567_t02_db107ee1ae7a</t>
  </si>
  <si>
    <t xml:space="preserve">G26.04.01</t>
  </si>
  <si>
    <t xml:space="preserve">Four white umbrellas are placed beside the sacred throne</t>
  </si>
  <si>
    <t xml:space="preserve">G26.05.01</t>
  </si>
  <si>
    <t xml:space="preserve">The king installs a seven-tier Gandhakuti shrine</t>
  </si>
  <si>
    <t xml:space="preserve">G26.06.01</t>
  </si>
  <si>
    <t xml:space="preserve">The king gilds and roofs the monastery</t>
  </si>
  <si>
    <t xml:space="preserve">G26.08.01</t>
  </si>
  <si>
    <t xml:space="preserve">The king builds subsidiary religious buildings and a refectory</t>
  </si>
  <si>
    <t xml:space="preserve">G26.09.01</t>
  </si>
  <si>
    <t xml:space="preserve">The king names the monastery complex and dedicates it to Maungdaung Sayadaw</t>
  </si>
  <si>
    <t xml:space="preserve">vol2_s000573_t01_dc3ab9634af7; vol2_s000573_t02_99d21e6a53ef; vol2_s000573_t04_6df935e5d672; vol2_s000573_t05_b073eb707311</t>
  </si>
  <si>
    <t xml:space="preserve">G26.09.02</t>
  </si>
  <si>
    <t xml:space="preserve">The king donates requisites and supplies to the Sangha</t>
  </si>
  <si>
    <t xml:space="preserve">G26.10.01</t>
  </si>
  <si>
    <t xml:space="preserve">The king distributes a great gift to officials, warriors, and the populace for sixty days</t>
  </si>
  <si>
    <t xml:space="preserve">vol2_s000574_t01_aaee967231dc; vol2_s000574_t02_0e46a0d555d3; vol2_s000574_t03_f7ecee10db3e</t>
  </si>
  <si>
    <t xml:space="preserve">vol2_s000575</t>
  </si>
  <si>
    <t xml:space="preserve">G26.11.01</t>
  </si>
  <si>
    <t xml:space="preserve">The king celebrates the monastery dedication</t>
  </si>
  <si>
    <t xml:space="preserve">vol2_s000573_t04_6df935e5d672; vol2_s000574_t01_aaee967231dc</t>
  </si>
  <si>
    <t xml:space="preserve">A zero-output sentence repeats the dedication/celebration already represented in the adjoining entries; not counted as an omission.</t>
  </si>
  <si>
    <t xml:space="preserve">ပွဲသဘင်ကြီးစွာ ခံတော်မူ၍ ကျောင်းတော်ကို တင်လှူတော်မူသည်။</t>
  </si>
  <si>
    <t xml:space="preserve">He held a great festival and offered the monastery.</t>
  </si>
  <si>
    <t xml:space="preserve">G26.12.01</t>
  </si>
  <si>
    <t xml:space="preserve">Maha Thiha Thura and two other named officers supervise raising the Shwemawdaw pagoda umbrella</t>
  </si>
  <si>
    <t xml:space="preserve">vol2_s000576_t01_21e1e6e383d8; vol2_s000576_t02_737f96b8428f; vol2_s000576_t03_0fc22c7df9ee; vol2_s000576_t04_deebc0607d06</t>
  </si>
  <si>
    <t xml:space="preserve">G27.01.01</t>
  </si>
  <si>
    <t xml:space="preserve">The king instructs princes and officials about rebuilding Meiktila lake</t>
  </si>
  <si>
    <t xml:space="preserve">vol2_s000761_t01_91f5dffd8b55; vol2_s000761_t02_aa757eebc3e3</t>
  </si>
  <si>
    <t xml:space="preserve">G27.01.02</t>
  </si>
  <si>
    <t xml:space="preserve">His account credits Anjana with the foundation and divine beings with bringing sacred water</t>
  </si>
  <si>
    <t xml:space="preserve">The broad legitimacy relation preserves the function of the ancestral/divine foundation narrative without requiring every named mythical participant.</t>
  </si>
  <si>
    <t xml:space="preserve">G27.02.01</t>
  </si>
  <si>
    <t xml:space="preserve">Divine guardians pronounce the lake's enduring sacred destiny</t>
  </si>
  <si>
    <t xml:space="preserve">G27.03.01</t>
  </si>
  <si>
    <t xml:space="preserve">Anathapindika is credited with restoring the lake</t>
  </si>
  <si>
    <t xml:space="preserve">G27.04.01</t>
  </si>
  <si>
    <t xml:space="preserve">Ajatasattu is credited with restoring the lake</t>
  </si>
  <si>
    <t xml:space="preserve">G27.05.01</t>
  </si>
  <si>
    <t xml:space="preserve">Kalasoka is credited with restoring the lake</t>
  </si>
  <si>
    <t xml:space="preserve">G27.06.01</t>
  </si>
  <si>
    <t xml:space="preserve">Dhammasoka is credited with restoring the lake</t>
  </si>
  <si>
    <t xml:space="preserve">G27.07.01</t>
  </si>
  <si>
    <t xml:space="preserve">Anawrahta travels with an army after irrigation works</t>
  </si>
  <si>
    <t xml:space="preserve">Maintenance of Meiktila is accepted as a substantive summary of Anawrahta's irrigation expedition; the royal action is also explicit in following sentences.</t>
  </si>
  <si>
    <t xml:space="preserve">G27.07.02</t>
  </si>
  <si>
    <t xml:space="preserve">Guardian spirits address him and recount the Buddha's visit</t>
  </si>
  <si>
    <t xml:space="preserve">G27.09.01</t>
  </si>
  <si>
    <t xml:space="preserve">Ananda's prophecy legitimates future rulers' restoration of the lake</t>
  </si>
  <si>
    <t xml:space="preserve">G27.10.01</t>
  </si>
  <si>
    <t xml:space="preserve">Guardian spirits instruct the king to restore the lake in accordance with the prophecy</t>
  </si>
  <si>
    <t xml:space="preserve">G27.11.01</t>
  </si>
  <si>
    <t xml:space="preserve">Anawrahta orders clearance and depth measurement at the lake</t>
  </si>
  <si>
    <t xml:space="preserve">vol2_s000771_t01_1dc47aee1285; vol2_s000771_t02_3097d3c53b01</t>
  </si>
  <si>
    <t xml:space="preserve">G27.13.01</t>
  </si>
  <si>
    <t xml:space="preserve">Anawrahta rebuilds the embankment</t>
  </si>
  <si>
    <t xml:space="preserve">G27.14.01</t>
  </si>
  <si>
    <t xml:space="preserve">The lake's management includes hydraulic works, monitoring markers, guardian deities, and four water-watching villages</t>
  </si>
  <si>
    <t xml:space="preserve">vol2_s000774_t01_366aa872c3f8; vol2_s000774_t02_73a49912052a; vol2_s000774_t03_c43e651ea933; vol2_s000774_t04_353503e90b96</t>
  </si>
  <si>
    <t xml:space="preserve">G27.15.01</t>
  </si>
  <si>
    <t xml:space="preserve">Chinese invaders destroy the Meiktila embankment during Narathihapate's reign</t>
  </si>
  <si>
    <t xml:space="preserve">G27.15.02</t>
  </si>
  <si>
    <t xml:space="preserve">Mingyi Swa Saw Ke later leads a restoration of the Linzin embankment</t>
  </si>
  <si>
    <t xml:space="preserve">G28.01.01</t>
  </si>
  <si>
    <t xml:space="preserve">The Chinese emperor attributes his longevity to divine support</t>
  </si>
  <si>
    <t xml:space="preserve">vol2_s000819_t01_45114f970962; vol2_s000819_t02_855493d2e917</t>
  </si>
  <si>
    <t xml:space="preserve">G28.01.02</t>
  </si>
  <si>
    <t xml:space="preserve">He transfers royal authority to his son Shi Wu Ye</t>
  </si>
  <si>
    <t xml:space="preserve">G28.03.01</t>
  </si>
  <si>
    <t xml:space="preserve">The prince is presented as competent to manage state affairs</t>
  </si>
  <si>
    <t xml:space="preserve">G28.04.01</t>
  </si>
  <si>
    <t xml:space="preserve">Burma and China are allied</t>
  </si>
  <si>
    <t xml:space="preserve">G28.05.01</t>
  </si>
  <si>
    <t xml:space="preserve">Chinese officials deliver the emperor's letter and gifts requesting support for his successor</t>
  </si>
  <si>
    <t xml:space="preserve">G28.05.02</t>
  </si>
  <si>
    <t xml:space="preserve">The Burmese king responds and claims righteous royal descent from Mahasammata</t>
  </si>
  <si>
    <t xml:space="preserve">vol2_s000823_t02_bc930c9de0e8; vol2_s000823_t03_db9f01a17f33</t>
  </si>
  <si>
    <t xml:space="preserve">G28.06.01</t>
  </si>
  <si>
    <t xml:space="preserve">The Burmese king declares unity and friendship with China</t>
  </si>
  <si>
    <t xml:space="preserve">G28.07.01</t>
  </si>
  <si>
    <t xml:space="preserve">The Burmese king wishes for lasting reciprocal friendship</t>
  </si>
  <si>
    <t xml:space="preserve">G28.08.01</t>
  </si>
  <si>
    <t xml:space="preserve">The Burmese king and crown prince promise to assist the Chinese successor</t>
  </si>
  <si>
    <t xml:space="preserve">vol2_s000826_t01_31e00b644c6e; vol2_s000826_t02_9ba37486af40</t>
  </si>
  <si>
    <t xml:space="preserve">G28.08.02</t>
  </si>
  <si>
    <t xml:space="preserve">The king sends the reply and dismisses the Chinese envoys</t>
  </si>
  <si>
    <t xml:space="preserve">G28.09.01</t>
  </si>
  <si>
    <t xml:space="preserve">The king travels from the Myitnge camp to Aungzigon</t>
  </si>
  <si>
    <t xml:space="preserve">G28.10.01</t>
  </si>
  <si>
    <t xml:space="preserve">The king camps at Kan Chaung</t>
  </si>
  <si>
    <t xml:space="preserve">G28.11.01</t>
  </si>
  <si>
    <t xml:space="preserve">The king camps at Kyauk Sauk</t>
  </si>
  <si>
    <t xml:space="preserve">The stop is captured with the wrong town name.</t>
  </si>
  <si>
    <t xml:space="preserve">G28.12.01</t>
  </si>
  <si>
    <t xml:space="preserve">The king camps at Pauk Myaing</t>
  </si>
  <si>
    <t xml:space="preserve">G28.13.01</t>
  </si>
  <si>
    <t xml:space="preserve">The king camps at Kaing</t>
  </si>
  <si>
    <t xml:space="preserve">G28.14.01</t>
  </si>
  <si>
    <t xml:space="preserve">The king camps at Hpa Le Pyin</t>
  </si>
  <si>
    <t xml:space="preserve">G28.15.01</t>
  </si>
  <si>
    <t xml:space="preserve">The king camps at Myingyan</t>
  </si>
  <si>
    <t xml:space="preserve">G28.16.01</t>
  </si>
  <si>
    <t xml:space="preserve">The king camps near and worships Shwe Yin Myaw pagoda</t>
  </si>
  <si>
    <t xml:space="preserve">G28.17.01</t>
  </si>
  <si>
    <t xml:space="preserve">The king camps at Ok Hpo near Meiktila</t>
  </si>
  <si>
    <t xml:space="preserve">G28.18.01</t>
  </si>
  <si>
    <t xml:space="preserve">The king arrives at the Shwe Saw Lu ceremonial residence</t>
  </si>
  <si>
    <t xml:space="preserve">G28.19.01</t>
  </si>
  <si>
    <t xml:space="preserve">The crown prince occupies a separate ceremonial camp</t>
  </si>
  <si>
    <t xml:space="preserve">G28.20.01</t>
  </si>
  <si>
    <t xml:space="preserve">Princes and their retinues camp at assigned sites near the reservoir</t>
  </si>
  <si>
    <t xml:space="preserve">G28.21.01</t>
  </si>
  <si>
    <t xml:space="preserve">A hundred and four provincial military units assemble at Meiktila under their officials</t>
  </si>
  <si>
    <t xml:space="preserve">vol2_s000839_t01_15997b545911; vol2_s000839_t02_1f956152e497</t>
  </si>
  <si>
    <t xml:space="preserve">G29.01.01</t>
  </si>
  <si>
    <t xml:space="preserve">The commissioned birth scene represents Maya attended by Mahagotami and the bodhisattva</t>
  </si>
  <si>
    <t xml:space="preserve">vol2_s000925_t01_ea004dabf38b; vol2_s000925_t02_3cf25cd59887; vol2_s000925_t03_8ab438f67df2; vol2_s000925_t04_4fd683b3a200</t>
  </si>
  <si>
    <t xml:space="preserve">G29.02.01</t>
  </si>
  <si>
    <t xml:space="preserve">The commissioned scene represents Brahmas, guardian deities, and humans receiving the bodhisattva</t>
  </si>
  <si>
    <t xml:space="preserve">vol2_s000926_t01_2aeaa8cdb6d5; vol2_s000926_t02_584a24901228; vol2_s000926_t03_711ae7e4b209</t>
  </si>
  <si>
    <t xml:space="preserve">G29.03.01</t>
  </si>
  <si>
    <t xml:space="preserve">Deities shelter the bodhisattva with umbrellas in the commissioned scene</t>
  </si>
  <si>
    <t xml:space="preserve">vol2_s000927_t01_b80d285f97bf; vol2_s000927_t02_82495b1c8354</t>
  </si>
  <si>
    <t xml:space="preserve">G29.04.01</t>
  </si>
  <si>
    <t xml:space="preserve">The sacred courtly ensemble includes the bodhisattva's named companions and minister Channa</t>
  </si>
  <si>
    <t xml:space="preserve">vol2_s000928_t01_6b637e497295; vol2_s000928_t02_09d4d54a3371; vol2_s000928_t03_099db77fe906</t>
  </si>
  <si>
    <t xml:space="preserve">G29.05.01</t>
  </si>
  <si>
    <t xml:space="preserve">The father-king and ascetic honor the bodhisattva in the commissioned scene</t>
  </si>
  <si>
    <t xml:space="preserve">vol2_s000929_t01_8ee841e00776; vol2_s000929_t02_eefa2c65e732</t>
  </si>
  <si>
    <t xml:space="preserve">G29.06.01</t>
  </si>
  <si>
    <t xml:space="preserve">Brahmins examine the bodhisattva's marks in a royal setting</t>
  </si>
  <si>
    <t xml:space="preserve">vol2_s000930_t01_57c91503961e; vol2_s000930_t02_7bcf43e6d7b0</t>
  </si>
  <si>
    <t xml:space="preserve">G29.07.01</t>
  </si>
  <si>
    <t xml:space="preserve">The father-king worships the bodhisattva at the ploughing ceremony</t>
  </si>
  <si>
    <t xml:space="preserve">vol2_s000931_t01_a015c55195f8; vol2_s000931_t02_20e723f084ca</t>
  </si>
  <si>
    <t xml:space="preserve">G29.08.01</t>
  </si>
  <si>
    <t xml:space="preserve">The bodhisattva is represented in royal palaces with Yasodhara, attendants, and regalia</t>
  </si>
  <si>
    <t xml:space="preserve">vol2_s000932_t01_6b82fd4b1b08; vol2_s000932_t02_fbd8e5e67365; vol2_s000932_t03_af763236e7f1</t>
  </si>
  <si>
    <t xml:space="preserve">G29.09.01</t>
  </si>
  <si>
    <t xml:space="preserve">The bodhisattva travels by chariot with a charioteer</t>
  </si>
  <si>
    <t xml:space="preserve">A charioteer figure is recorded but no royal travel/service relationship is extracted.</t>
  </si>
  <si>
    <t xml:space="preserve">G29.10.01</t>
  </si>
  <si>
    <t xml:space="preserve">The commissioned images represent the four signs</t>
  </si>
  <si>
    <t xml:space="preserve">G29.11.01</t>
  </si>
  <si>
    <t xml:space="preserve">Visukamma adorns the bodhisattva and a minister reports the birth of his son</t>
  </si>
  <si>
    <t xml:space="preserve">vol2_s000935_t01_c08de1ea71e2; vol2_s000935_t02_e3b4f4665fc9</t>
  </si>
  <si>
    <t xml:space="preserve">Divine adornment is captured; the minister's report of the royal birth is not.</t>
  </si>
  <si>
    <t xml:space="preserve">G29.12.01</t>
  </si>
  <si>
    <t xml:space="preserve">A minister readies the royal horse on the bodhisattva's instructions</t>
  </si>
  <si>
    <t xml:space="preserve">G29.13.01</t>
  </si>
  <si>
    <t xml:space="preserve">The bodhisattva views Yasodhara with their child</t>
  </si>
  <si>
    <t xml:space="preserve">The central royal family relationship is retained through Yasodhara holding the child; no demand for an additional viewing triple.</t>
  </si>
  <si>
    <t xml:space="preserve">G29.14.01</t>
  </si>
  <si>
    <t xml:space="preserve">Deities and Channa assist the bodhisattva's royal renunciation</t>
  </si>
  <si>
    <t xml:space="preserve">vol2_s000938_t01_57cab5fc3d53; vol2_s000938_t02_822407cbd942</t>
  </si>
  <si>
    <t xml:space="preserve">G29.15.01</t>
  </si>
  <si>
    <t xml:space="preserve">Mara attempts to prevent the bodhisattva's renunciation</t>
  </si>
  <si>
    <t xml:space="preserve">G30.01.01</t>
  </si>
  <si>
    <t xml:space="preserve">The king delegates state affairs to the crown prince and Sagaing prince</t>
  </si>
  <si>
    <t xml:space="preserve">vol2_s001668_t01_93c7bd6b3113; vol2_s001668_t02_411600541330</t>
  </si>
  <si>
    <t xml:space="preserve">G30.01.02</t>
  </si>
  <si>
    <t xml:space="preserve">The king holds prolonged learned discussions with monks, Brahmins, and lay scholars</t>
  </si>
  <si>
    <t xml:space="preserve">G30.02.01</t>
  </si>
  <si>
    <t xml:space="preserve">The king instructs the population in calendrical and religious observance</t>
  </si>
  <si>
    <t xml:space="preserve">vol2_s001669_t01_45a63dd53cd5; vol2_s001669_t02_41b57f77d6db</t>
  </si>
  <si>
    <t xml:space="preserve">G30.03.01</t>
  </si>
  <si>
    <t xml:space="preserve">The king orders recurrent proclamations that subjects observe the five moral duties</t>
  </si>
  <si>
    <t xml:space="preserve">G30.04.01</t>
  </si>
  <si>
    <t xml:space="preserve">The king conquers Arakan and incorporates its ruler and royal kin</t>
  </si>
  <si>
    <t xml:space="preserve">vol2_s001671_t01_5219e1f9710b; vol2_s001671_t02_22a043e7a877</t>
  </si>
  <si>
    <t xml:space="preserve">G30.04.02</t>
  </si>
  <si>
    <t xml:space="preserve">The king brings and worships Mahamuni in the capital</t>
  </si>
  <si>
    <t xml:space="preserve">G30.05.01</t>
  </si>
  <si>
    <t xml:space="preserve">The king regularly sends servants to the Mahabodhi tree</t>
  </si>
  <si>
    <t xml:space="preserve">G30.06.01</t>
  </si>
  <si>
    <t xml:space="preserve">The custodian holding eighteen villages presents Bodhi saplings and sacred earth to the king</t>
  </si>
  <si>
    <t xml:space="preserve">G30.07.01</t>
  </si>
  <si>
    <t xml:space="preserve">The Chinese emperor sends diplomatic gifts and a letter</t>
  </si>
  <si>
    <t xml:space="preserve">G30.08.01</t>
  </si>
  <si>
    <t xml:space="preserve">The Chinese emperor presents three royal women</t>
  </si>
  <si>
    <t xml:space="preserve">G30.09.01</t>
  </si>
  <si>
    <t xml:space="preserve">The Chinese emperor transfers the throne to his son and requests Burmese support through an embassy</t>
  </si>
  <si>
    <t xml:space="preserve">Protection for the heir is captured, but the actual transfer of the Chinese throne is not independently expressed.</t>
  </si>
  <si>
    <t xml:space="preserve">G30.10.01</t>
  </si>
  <si>
    <t xml:space="preserve">The Chinese emperor repeatedly presents gifts</t>
  </si>
  <si>
    <t xml:space="preserve">G30.11.01</t>
  </si>
  <si>
    <t xml:space="preserve">The ruler of Vesali presents royal daughters and other gifts and declares submission</t>
  </si>
  <si>
    <t xml:space="preserve">vol2_s001678_t01_b97711f8363a; vol2_s001678_t02_9b7499934243</t>
  </si>
  <si>
    <t xml:space="preserve">G30.12.01</t>
  </si>
  <si>
    <t xml:space="preserve">Sixteen Indian regions are described as sending annual tributary gifts</t>
  </si>
  <si>
    <t xml:space="preserve">G30.13.01</t>
  </si>
  <si>
    <t xml:space="preserve">Sri Lankan rulers request support for Buddhism and offer gifts and nominal submission</t>
  </si>
  <si>
    <t xml:space="preserve">vol2_s001680_t01_59e64d5e2f89; vol2_s001680_t02_38231f46515c</t>
  </si>
  <si>
    <t xml:space="preserve">G31.01.01</t>
  </si>
  <si>
    <t xml:space="preserve">The king grants regalia to the preceding left-side senior official Ne Myo Thiha Pate</t>
  </si>
  <si>
    <t xml:space="preserve">The preceding sentence supplies the official's old and new names; using the old name is accepted.</t>
  </si>
  <si>
    <t xml:space="preserve">G31.02.01</t>
  </si>
  <si>
    <t xml:space="preserve">The king grants new titles to twenty-three named left-side officials</t>
  </si>
  <si>
    <t xml:space="preserve">vol2_s001873_t01_61cf5e9832fa; vol2_s001873_t02_3f18e60ea1e2; vol2_s001873_t03_03aadb7d574f; vol2_s001873_t04_ec23813e2095; vol2_s001873_t05_201b80a27305; vol2_s001873_t06_d3961156139f; vol2_s001873_t07_9ac637bc69f8; vol2_s001873_t08_a07d5ef5333b; vol2_s001873_t09_c4f7b7241a6c; vol2_s001873_t10_edd7b2a03fa1; vol2_s001873_t11_f390e07221b7; vol2_s001873_t12_be790a754aaa; vol2_s001873_t13_e77469039c8b; vol2_s001873_t14_9b1a0a05402b; vol2_s001873_t15_60b35dc6e4c6; vol2_s001873_t16_59a1142dc4f6; vol2_s001873_t17_ed6fae55b41c; vol2_s001873_t18_fcb3932fc643; vol2_s001873_t19_347907e4261f; vol2_s001873_t20_1f4c08c387e7; vol2_s001873_t21_3d8d2b65c883; vol2_s001873_t22_bb5596df4be0; vol2_s001873_t23_fc26bde8caa8; vol2_s001873_t24_94cb65f6f308; vol2_s001873_t25_b76b4db8aaf5; vol2_s001873_t26_40aad1565c1b; vol2_s001873_t27_6e52fe7c974b; vol2_s001873_t28_0cd130437b1c; vol2_s001873_t29_ab850aa6ffd4; vol2_s001873_t30_d4764fb22b1c; vol2_s001873_t31_c28428464121; vol2_s001873_t32_604db8c9c391; vol2_s001873_t33_42f7ef75817c; vol2_s001873_t34_fd25b4b8882f; vol2_s001873_t35_aee805db427c; vol2_s001873_t36_e604fed0a437; vol2_s001873_t37_daa7f2c9fcd2; vol2_s001873_t38_58b1a7e154da; vol2_s001873_t39_faf7c74f5fc1; vol2_s001873_t40_10714690377a; vol2_s001873_t41_a71ca762a5b5; vol2_s001873_t42_7d3d4871075b; vol2_s001873_t43_e72750602fcc; vol2_s001873_t44_ee377fd84662; vol2_s001873_t45_9891aee1f291; vol2_s001873_t46_e17a454b960a</t>
  </si>
  <si>
    <t xml:space="preserve">All twenty-three recipient/new-title pairings manually compared with the Burmese; grouping or two-triple encoding equally acceptable.</t>
  </si>
  <si>
    <t xml:space="preserve">G31.03.01</t>
  </si>
  <si>
    <t xml:space="preserve">The king grants the twenty-three left-side officials regalia equal to their senior colleague</t>
  </si>
  <si>
    <t xml:space="preserve">G31.04.01</t>
  </si>
  <si>
    <t xml:space="preserve">The king gives the right-side senior officer Aka Kyaw Thu the title Ne Myo Kyaw Thu</t>
  </si>
  <si>
    <t xml:space="preserve">vol2_s001875_t01_e51a08603f4d; vol2_s001875_t02_9dd60e05653b</t>
  </si>
  <si>
    <t xml:space="preserve">G31.05.01</t>
  </si>
  <si>
    <t xml:space="preserve">The king grants that right-side senior officer equivalent regalia</t>
  </si>
  <si>
    <t xml:space="preserve">G31.06.01</t>
  </si>
  <si>
    <t xml:space="preserve">The king grants new titles to twenty-three named right-side officials</t>
  </si>
  <si>
    <t xml:space="preserve">vol2_s001877_t01_6f842bcfd312; vol2_s001877_t02_a694b2575620; vol2_s001877_t03_7038b7de916d; vol2_s001877_t04_b2955b340ff1; vol2_s001877_t05_09ccff359b22; vol2_s001877_t06_5616ee6444fd; vol2_s001877_t07_6fce460538fd; vol2_s001877_t08_1d10ed795127; vol2_s001877_t09_cc2da5e54196; vol2_s001877_t10_2442193ecf6b; vol2_s001877_t11_c2675054a04f; vol2_s001877_t12_f600a7ce9824; vol2_s001877_t13_153b91c835aa; vol2_s001877_t14_57e5a692e83c; vol2_s001877_t15_cb755688694e; vol2_s001877_t16_b9955bd5835a; vol2_s001877_t17_b4e7474c6d85; vol2_s001877_t18_f123f037cfdd; vol2_s001877_t19_e50b6db83875; vol2_s001877_t20_27ead625365d; vol2_s001877_t21_4ac7b98346d6; vol2_s001877_t22_2114eea66c1c; vol2_s001877_t23_99a7eb37e4e8; vol2_s001877_t24_aac4752d9b80; vol2_s001877_t25_0ea2f5c39bd6; vol2_s001877_t26_2f8c900c6c20; vol2_s001877_t27_b36943d48d6c; vol2_s001877_t28_6ce4a3dd0d2b; vol2_s001877_t29_d0a250aee104; vol2_s001877_t30_04a2b05a89f6; vol2_s001877_t31_eaf5eeef2f51; vol2_s001877_t32_7ccdd76161a5; vol2_s001877_t33_c3658abf3b50; vol2_s001877_t34_6132f0a21018; vol2_s001877_t35_c04e467dc561; vol2_s001877_t36_9d1e3a974b69; vol2_s001877_t37_009caa6ae020; vol2_s001877_t38_2af1108adc1e; vol2_s001877_t39_c93b11e6e82d; vol2_s001877_t40_29d5824b1e49; vol2_s001877_t41_da709f5f1932; vol2_s001877_t42_ecce5d4bd1b8; vol2_s001877_t43_ff8e5b98b070; vol2_s001877_t44_d7290049fb70; vol2_s001877_t45_55cfb9d997f5; vol2_s001877_t46_ce4ffaf37b05</t>
  </si>
  <si>
    <t xml:space="preserve">All twenty-three recipient/new-title pairings manually compared with the Burmese.</t>
  </si>
  <si>
    <t xml:space="preserve">G31.07.01</t>
  </si>
  <si>
    <t xml:space="preserve">The king grants the twenty-three right-side officials regalia equal to their senior colleague</t>
  </si>
  <si>
    <t xml:space="preserve">vol2_s001878_t01_a988d064e241; vol2_s001878_t02_49532ebe7422</t>
  </si>
  <si>
    <t xml:space="preserve">G32.01.01</t>
  </si>
  <si>
    <t xml:space="preserve">The king grants a religious title to Pakhangyi Sayadaw Shin Parama</t>
  </si>
  <si>
    <t xml:space="preserve">G32.02.01</t>
  </si>
  <si>
    <t xml:space="preserve">The king donates Weyan San Lut monastery to Pale Sayadaw Shin Nanda Dipa</t>
  </si>
  <si>
    <t xml:space="preserve">G32.03.01</t>
  </si>
  <si>
    <t xml:space="preserve">The king also grants the preceding Pale Sayadaw a religious title</t>
  </si>
  <si>
    <t xml:space="preserve">The grant is preserved with the title as object; the recipient is supplied by the preceding sentence. This construction is accepted, not treated as an error.</t>
  </si>
  <si>
    <t xml:space="preserve">G32.04.01</t>
  </si>
  <si>
    <t xml:space="preserve">The king grants a religious title to Bagan Sayadaw Shin Gunalankara</t>
  </si>
  <si>
    <t xml:space="preserve">G32.07.01</t>
  </si>
  <si>
    <t xml:space="preserve">The king grants religious titles to The In Sayadaw Shin Suriya and Ne Yin Sayadaw Shin Wimalasara</t>
  </si>
  <si>
    <t xml:space="preserve">vol2_s001920_t01_19a536969ae6; vol2_s001920_t02_4d84ce8fe37f</t>
  </si>
  <si>
    <t xml:space="preserve">G32.08.01</t>
  </si>
  <si>
    <t xml:space="preserve">The king grants a religious title to Thit Seint Sayadaw Shin Ukkamsa</t>
  </si>
  <si>
    <t xml:space="preserve">G32.09.01</t>
  </si>
  <si>
    <t xml:space="preserve">The king grants a religious title to Wa The Sayadaw Shin Gunasara</t>
  </si>
  <si>
    <t xml:space="preserve">G32.10.01</t>
  </si>
  <si>
    <t xml:space="preserve">The king grants religious titles to Ywa Thit Gyi Sayadaw Shin Candamala and Tu Maung Sayadaw Shin Dipa</t>
  </si>
  <si>
    <t xml:space="preserve">vol2_s001923_t01_d30e1ba4dde9; vol2_s001923_t02_aaed212ed901</t>
  </si>
  <si>
    <t xml:space="preserve">G32.11.01</t>
  </si>
  <si>
    <t xml:space="preserve">The king grants a religious title to Hanlin Sayadaw Shin Panna Saddhamma</t>
  </si>
  <si>
    <t xml:space="preserve">G32.12.01</t>
  </si>
  <si>
    <t xml:space="preserve">The king grants a religious title to Shwegyin Sayadaw Shin Candathiri</t>
  </si>
  <si>
    <t xml:space="preserve">G32.13.01</t>
  </si>
  <si>
    <t xml:space="preserve">The king grants a religious title to Yadana Theinga Sayadaw Shin Khemacara</t>
  </si>
  <si>
    <t xml:space="preserve">G32.14.01</t>
  </si>
  <si>
    <t xml:space="preserve">The king grants a religious title to another Yadana Theinga Sayadaw, Shin Medalankara</t>
  </si>
  <si>
    <t xml:space="preserve">G32.15.01</t>
  </si>
  <si>
    <t xml:space="preserve">The king grants a religious title to Myogyi Sayadaw Shin Gunava</t>
  </si>
  <si>
    <t xml:space="preserve">G32.16.01</t>
  </si>
  <si>
    <t xml:space="preserve">The king grants a religious title to another Myogyi Sayadaw, Shin Gandhama</t>
  </si>
  <si>
    <t xml:space="preserve">G32.17.01</t>
  </si>
  <si>
    <t xml:space="preserve">The king grants a religious title to Si Pa Sayadaw Shin Silacara</t>
  </si>
  <si>
    <t xml:space="preserve">G32.18.01</t>
  </si>
  <si>
    <t xml:space="preserve">The king grants a religious title to Manle Sayadaw Shin Kavinda</t>
  </si>
  <si>
    <t xml:space="preserve">G32.19.01</t>
  </si>
  <si>
    <t xml:space="preserve">The king grants a religious title to Kin San Sayadaw Shin Vayama</t>
  </si>
  <si>
    <t xml:space="preserve">G32.20.01</t>
  </si>
  <si>
    <t xml:space="preserve">The king grants a religious title to Salin Sayadaw Shin Dhammabhidhaja</t>
  </si>
  <si>
    <t xml:space="preserve">G32.21.01</t>
  </si>
  <si>
    <t xml:space="preserve">The king grants a religious title to Inle Ywa Sayadaw Shin Nanda Manju</t>
  </si>
  <si>
    <t xml:space="preserve">G32.22.01</t>
  </si>
  <si>
    <t xml:space="preserve">The king grants a religious title to Bagan Sayadaw Shin Dhammaramsi</t>
  </si>
  <si>
    <t xml:space="preserve">G32.23.01</t>
  </si>
  <si>
    <t xml:space="preserve">The king grants a religious title to Kya Khat Sayadaw Shin Vilasa</t>
  </si>
  <si>
    <t xml:space="preserve">G32.24.01</t>
  </si>
  <si>
    <t xml:space="preserve">The king grants a religious title to Hse Pintale Sayadaw Shin Pandita</t>
  </si>
  <si>
    <t xml:space="preserve">G32.25.01</t>
  </si>
  <si>
    <t xml:space="preserve">The king grants a religious title to Taung Le Lon Sayadaw Shin Lanka Dipa</t>
  </si>
  <si>
    <t xml:space="preserve">G32.26.01</t>
  </si>
  <si>
    <t xml:space="preserve">The king grants a religious title to Dipeyin Sayadaw Shin Kalyana</t>
  </si>
  <si>
    <t xml:space="preserve">G32.27.01</t>
  </si>
  <si>
    <t xml:space="preserve">The king grants a religious title to Yodaya Kyaung Sayadaw Shin Tisarana</t>
  </si>
  <si>
    <t xml:space="preserve">G32.28.01</t>
  </si>
  <si>
    <t xml:space="preserve">The king grants a religious title to Nyaungkan Sayadaw Shin Nandiya</t>
  </si>
  <si>
    <t xml:space="preserve">G32.29.01</t>
  </si>
  <si>
    <t xml:space="preserve">The king grants a religious title to Sidoktaya Sayadaw Shin Thirimala</t>
  </si>
  <si>
    <t xml:space="preserve">G33.01.01</t>
  </si>
  <si>
    <t xml:space="preserve">The king commissions learned monks, Brahmins, and officials to compile and compare the chronicle</t>
  </si>
  <si>
    <t xml:space="preserve">vol2_fr012_s01_t01_ebae0728a1c2; vol2_fr012_s01_t02_2b5adb24fac2; vol2_fr012_s01_t03_f13a7813bbdc</t>
  </si>
  <si>
    <t xml:space="preserve">G33.02.01</t>
  </si>
  <si>
    <t xml:space="preserve">The chronicle is presented as compiled under the king with learned monastic and lay authorities</t>
  </si>
  <si>
    <t xml:space="preserve">G33.03.01</t>
  </si>
  <si>
    <t xml:space="preserve">While crown prince, the king learns about Mahabodhi from Indian religious visitors</t>
  </si>
  <si>
    <t xml:space="preserve">G33.03.02</t>
  </si>
  <si>
    <t xml:space="preserve">He sends named Brahmin and lay officials to investigate it</t>
  </si>
  <si>
    <t xml:space="preserve">vol2_s002431_t02_989e6148875b; vol2_s002431_t03_188d2f18572e</t>
  </si>
  <si>
    <t xml:space="preserve">G33.04.01</t>
  </si>
  <si>
    <t xml:space="preserve">The mission returns and reports with plans and an itinerary</t>
  </si>
  <si>
    <t xml:space="preserve">G33.04.02</t>
  </si>
  <si>
    <t xml:space="preserve">The king and chief queen dedicate elaborate gifts and an inscription for Mahabodhi</t>
  </si>
  <si>
    <t xml:space="preserve">vol2_s002432_t01_4a33eecaf55e; vol2_s002432_t02_320a6c283912; vol2_s002432_t04_9da0fcc37ce5</t>
  </si>
  <si>
    <t xml:space="preserve">The royal dedication is captured, but the chief queen's explicitly joint participation is not encoded.</t>
  </si>
  <si>
    <t xml:space="preserve">G33.04.03</t>
  </si>
  <si>
    <t xml:space="preserve">The king sends a supervised mission of officials and over five hundred personnel to deliver the offerings</t>
  </si>
  <si>
    <t xml:space="preserve">G33.05.01</t>
  </si>
  <si>
    <t xml:space="preserve">Ministers ceremonially escort the offerings to the river landing</t>
  </si>
  <si>
    <t xml:space="preserve">G34.01.01</t>
  </si>
  <si>
    <t xml:space="preserve">The author praises the king's exceptional virtues</t>
  </si>
  <si>
    <t xml:space="preserve">Mingaung Minphya is accepted as the text's honorific designation for the king, not assumed to be a different personal name.</t>
  </si>
  <si>
    <t xml:space="preserve">G34.02.01</t>
  </si>
  <si>
    <t xml:space="preserve">The king's wisdom is compared with Adasamukha's</t>
  </si>
  <si>
    <t xml:space="preserve">G34.03.01</t>
  </si>
  <si>
    <t xml:space="preserve">The king's kindly speech and good disposition are compared with exemplary kings</t>
  </si>
  <si>
    <t xml:space="preserve">vol2_s002616_t01_bd6189d453c3; vol2_s002616_t02_ef52a88b5ab8</t>
  </si>
  <si>
    <t xml:space="preserve">G34.04.01</t>
  </si>
  <si>
    <t xml:space="preserve">The king is praised for patience, love, and compassion</t>
  </si>
  <si>
    <t xml:space="preserve">G34.05.01</t>
  </si>
  <si>
    <t xml:space="preserve">The king is praised for valuing scholars and learning</t>
  </si>
  <si>
    <t xml:space="preserve">G34.06.01</t>
  </si>
  <si>
    <t xml:space="preserve">The king's accession and consecration are linked to the flourishing of Buddhism</t>
  </si>
  <si>
    <t xml:space="preserve">vol2_s002619_t01_fa14b9cb6492; vol2_s002619_t02_2ad83f00e4a1</t>
  </si>
  <si>
    <t xml:space="preserve">G34.07.01</t>
  </si>
  <si>
    <t xml:space="preserve">The verse records the king's accession</t>
  </si>
  <si>
    <t xml:space="preserve">G34.08.01</t>
  </si>
  <si>
    <t xml:space="preserve">The king's consecration follows the precedents of Asoka and Devanampiya Tissa</t>
  </si>
  <si>
    <t xml:space="preserve">vol2_s002621_t01_c2c6bc47cb54; vol2_s002621_t02_232dc8000980; vol2_s002621_t03_6cbaabd4faab</t>
  </si>
  <si>
    <t xml:space="preserve">G34.08.02</t>
  </si>
  <si>
    <t xml:space="preserve">Asoka sends coronation regalia to Devanampiya Tissa</t>
  </si>
  <si>
    <t xml:space="preserve">Emulation of Asoka is captured but the distinct historical regalia transfer from Asoka to Devanampiya Tissa is omitted.</t>
  </si>
  <si>
    <t xml:space="preserve">G34.09.01</t>
  </si>
  <si>
    <t xml:space="preserve">The king undergoes consecration together with the chief queen, following exemplary royal couples</t>
  </si>
  <si>
    <t xml:space="preserve">vol2_s002622_t01_d4e07acf11ba; vol2_s002622_t02_78833108a886; vol2_s002622_t03_a36889e05e1a; vol2_s002622_t04_a6f8c1510f88; vol2_s002622_t05_dbdabcbacd36; vol2_s002622_t06_1d33771c969b; vol2_s002622_t07_04c5963aaddf</t>
  </si>
  <si>
    <t xml:space="preserve">G35.01.01</t>
  </si>
  <si>
    <t xml:space="preserve">The king equips and deploys named officers and troops toward Yangon</t>
  </si>
  <si>
    <t xml:space="preserve">vol2_s002818_t01_aa89be2b7987; vol2_s002818_t02_1c4ce7951b70; vol2_s002818_t03_007825573217</t>
  </si>
  <si>
    <t xml:space="preserve">G35.01.02</t>
  </si>
  <si>
    <t xml:space="preserve">Commanders gather further provincial military manpower</t>
  </si>
  <si>
    <t xml:space="preserve">G35.01.03</t>
  </si>
  <si>
    <t xml:space="preserve">British defenders repel the Burmese attack on Yangon</t>
  </si>
  <si>
    <t xml:space="preserve">vol2_s002818_t05_c095ae56eb2c; vol2_s002818_t06_fd0db6a1f195</t>
  </si>
  <si>
    <t xml:space="preserve">G35.01.04</t>
  </si>
  <si>
    <t xml:space="preserve">Burmese commanders withdraw in order and fortify Kyeemyindaing</t>
  </si>
  <si>
    <t xml:space="preserve">G35.02.01</t>
  </si>
  <si>
    <t xml:space="preserve">Burmese commanders send the Pathein governor and Chinese-language clerk to negotiate</t>
  </si>
  <si>
    <t xml:space="preserve">vol2_s002819_t01_b7b9df20bb46; vol2_s002819_t02_f3c8b6780597</t>
  </si>
  <si>
    <t xml:space="preserve">G35.02.02</t>
  </si>
  <si>
    <t xml:space="preserve">British officers demand that their letter and terms reach the king</t>
  </si>
  <si>
    <t xml:space="preserve">vol2_s002819_t03_b435a8bae738; vol2_s002819_t04_560bf7bbf34e</t>
  </si>
  <si>
    <t xml:space="preserve">G35.02.03</t>
  </si>
  <si>
    <t xml:space="preserve">Burmese envoys promise to seek instructions before returning</t>
  </si>
  <si>
    <t xml:space="preserve">G35.02.04</t>
  </si>
  <si>
    <t xml:space="preserve">British forces attack Kyeemyindaing</t>
  </si>
  <si>
    <t xml:space="preserve">vol2_s002819_t05_566482756edf; vol2_s002819_t06_5840363cf172</t>
  </si>
  <si>
    <t xml:space="preserve">G35.02.05</t>
  </si>
  <si>
    <t xml:space="preserve">Burmese defenders repel the attack and inflict casualties</t>
  </si>
  <si>
    <t xml:space="preserve">G36.01.01</t>
  </si>
  <si>
    <t xml:space="preserve">The king appoints officers and supplies a thousand armed men for a fortified, provisioned position at Prome under the internal minister</t>
  </si>
  <si>
    <t xml:space="preserve">vol2_s002873_t01_84046bd7a77c; vol2_s002873_t02_5b8c443241bc; vol2_s002873_t03_0c614ed6b059; vol2_s002873_t04_85296b9b1576; vol2_s002873_t05_33a9dce3668f; vol2_s002873_t06_a066fd8ace01; vol2_s002873_t07_0c6a9d94d247; vol2_s002873_t08_7c067ff58b34; vol2_s002873_t09_f334f262d97c</t>
  </si>
  <si>
    <t xml:space="preserve">G36.02.01</t>
  </si>
  <si>
    <t xml:space="preserve">Maha Bandula assigns Thado Mingyi Maha Mingaung to Kyun U Thayet Tapin</t>
  </si>
  <si>
    <t xml:space="preserve">vol2_s002874_t01_a1419996b5fd; vol2_s002874_t02_1cae89021577</t>
  </si>
  <si>
    <t xml:space="preserve">G36.03.01</t>
  </si>
  <si>
    <t xml:space="preserve">Maha Bandula assigns Maha Thilawa to Maw Hpi</t>
  </si>
  <si>
    <t xml:space="preserve">The separate Maha Thilawa-to-place relation preserves the deployment despite the bad king-to-official duplicate.</t>
  </si>
  <si>
    <t xml:space="preserve">G36.04.01</t>
  </si>
  <si>
    <t xml:space="preserve">Maha Bandula allocates fifteen hundred men to each forward detachment</t>
  </si>
  <si>
    <t xml:space="preserve">The troop-allocation event has the wrong grantor and recipient group.</t>
  </si>
  <si>
    <t xml:space="preserve">G36.04.02</t>
  </si>
  <si>
    <t xml:space="preserve">He retreats to Danubyu and constructs and provisions a strong fortress</t>
  </si>
  <si>
    <t xml:space="preserve">vol2_s002876_t02_015766307d81; vol2_s002876_t03_2ad22a06bba3; vol2_s002876_t04_592f0c94cff3</t>
  </si>
  <si>
    <t xml:space="preserve">G36.05.01</t>
  </si>
  <si>
    <t xml:space="preserve">Maha Bandula assigns Thado Maha Senapati and his existing troops to Pegu</t>
  </si>
  <si>
    <t xml:space="preserve">The separate official-to-Pegu triple preserves the deployment despite an incorrect issuer in another row.</t>
  </si>
  <si>
    <t xml:space="preserve">G36.06.01</t>
  </si>
  <si>
    <t xml:space="preserve">Three named commanders and five thousand men are stationed at Hlaing/Than Tapin defenses</t>
  </si>
  <si>
    <t xml:space="preserve">vol2_s002878_t04_2f0943ceab81; vol2_s002878_t05_9980e756bc8a</t>
  </si>
  <si>
    <t xml:space="preserve">The grouped officials-to-position row retains the core deployment; three duplicate issuer rows are wrong.</t>
  </si>
  <si>
    <t xml:space="preserve">G36.07.01</t>
  </si>
  <si>
    <t xml:space="preserve">The internal minister is stationed at Prome with his troops</t>
  </si>
  <si>
    <t xml:space="preserve">vol2_s002879_t01_e575341366d6; vol2_s002879_t02_7fb7055fbdb9</t>
  </si>
  <si>
    <t xml:space="preserve">The king's Prome order is already explicit in the page's opening royal-command sentence, so its repetition is accepted.</t>
  </si>
  <si>
    <t xml:space="preserve">G36.08.01</t>
  </si>
  <si>
    <t xml:space="preserve">The Pathein governor and Aukmawun are ordered to defend Pathein</t>
  </si>
  <si>
    <t xml:space="preserve">The grouped officials-to-Pathein row retains the defense assignment despite two misleading appointment rows.</t>
  </si>
  <si>
    <t xml:space="preserve">G36.09.01</t>
  </si>
  <si>
    <t xml:space="preserve">British forces advance and Burmese forces resist, inflicting British casualties</t>
  </si>
  <si>
    <t xml:space="preserve">vol2_s002881_t01_86a8423b7a08; vol2_s002881_t02_2eec49e44559; vol2_s002881_t03_f6d53383d5d9</t>
  </si>
  <si>
    <t xml:space="preserve">G36.10.01</t>
  </si>
  <si>
    <t xml:space="preserve">Burmese troops also suffer casualties</t>
  </si>
  <si>
    <t xml:space="preserve">G36.11.01</t>
  </si>
  <si>
    <t xml:space="preserve">British bombardment breaches the defenses and forces three Burmese positions to withdraw</t>
  </si>
  <si>
    <t xml:space="preserve">vol2_s002883_t01_f9f436f13ea0; vol2_s002883_t02_c36078fdba34</t>
  </si>
  <si>
    <t xml:space="preserve">G36.12.01</t>
  </si>
  <si>
    <t xml:space="preserve">The king initiates the casting project for the Maha Sakya Thiha Buddha image</t>
  </si>
  <si>
    <t xml:space="preserve">vol2_s002884_t01_e423dfa56254; vol2_s002884_t02_fd7affbb0cf3</t>
  </si>
  <si>
    <t xml:space="preserve">G36.13.01</t>
  </si>
  <si>
    <t xml:space="preserve">Five thousand troops remain at Mone and eastern sawbwas maintain frontier guards</t>
  </si>
  <si>
    <t xml:space="preserve">vol2_s002885_t02_efea5f7d74ce; vol2_s002885_t03_09793459e4f6</t>
  </si>
  <si>
    <t xml:space="preserve">G36.13.02</t>
  </si>
  <si>
    <t xml:space="preserve">The king recalls the prince and over ten thousand men to meet the Hanthawaddy emergency</t>
  </si>
  <si>
    <t xml:space="preserve">G37.01.01</t>
  </si>
  <si>
    <t xml:space="preserve">British negotiators propose unobstructed cross-border trade</t>
  </si>
  <si>
    <t xml:space="preserve">G37.01.02</t>
  </si>
  <si>
    <t xml:space="preserve">Burmese negotiators reject territorial and financial demands using the Chinese peace precedent</t>
  </si>
  <si>
    <t xml:space="preserve">vol2_s002937_t01_fcdef626f2a1; vol2_s002937_t02_81bbeede80be</t>
  </si>
  <si>
    <t xml:space="preserve">G37.01.03</t>
  </si>
  <si>
    <t xml:space="preserve">British negotiators justify their demands by victory</t>
  </si>
  <si>
    <t xml:space="preserve">G37.01.04</t>
  </si>
  <si>
    <t xml:space="preserve">Both sides agree to suspend fighting while referring terms to the king</t>
  </si>
  <si>
    <t xml:space="preserve">vol2_s002937_t06_3e8ccdc85ec5; vol2_s002937_t07_e1e82a202c66</t>
  </si>
  <si>
    <t xml:space="preserve">G37.01.05</t>
  </si>
  <si>
    <t xml:space="preserve">Both sides promise reciprocal prisoner release</t>
  </si>
  <si>
    <t xml:space="preserve">vol2_s002937_t04_1e020b106bf0; vol2_s002937_t05_947bf7afc558</t>
  </si>
  <si>
    <t xml:space="preserve">G37.02.01</t>
  </si>
  <si>
    <t xml:space="preserve">Burmese officials report the negotiations to the prince and send them to the king</t>
  </si>
  <si>
    <t xml:space="preserve">G37.02.02</t>
  </si>
  <si>
    <t xml:space="preserve">British officers request fulfilment of the prisoner-release promise</t>
  </si>
  <si>
    <t xml:space="preserve">The British demand for release is already represented earlier on the page; the renewed request is not forced into another duplicate triple.</t>
  </si>
  <si>
    <t xml:space="preserve">G37.02.03</t>
  </si>
  <si>
    <t xml:space="preserve">Burmese officials withhold prisoner release, alleging a British breach of the truce</t>
  </si>
  <si>
    <t xml:space="preserve">vol2_s002938_t02_09a69a7efb82; vol2_s002938_t03_efa7fb98574e; vol2_s002938_t04_537a43276af9</t>
  </si>
  <si>
    <t xml:space="preserve">G37.02.04</t>
  </si>
  <si>
    <t xml:space="preserve">Burmese officials renew their rejection of territorial cessions and indemnity</t>
  </si>
  <si>
    <t xml:space="preserve">G37.03.01</t>
  </si>
  <si>
    <t xml:space="preserve">The king sends the Kawlin minister Thiri Maha Uzana with five hundred men to Malun</t>
  </si>
  <si>
    <t xml:space="preserve">vol2_s002939_t01_ebdd70b1d8cc; vol2_s002939_t02_bad3fb3ef262; vol2_s002939_t03_7896af1557f0</t>
  </si>
  <si>
    <t xml:space="preserve">G37.04.01</t>
  </si>
  <si>
    <t xml:space="preserve">The king appoints the Salin prince and named officers, supplies troops, and stations them at Salin</t>
  </si>
  <si>
    <t xml:space="preserve">vol2_s002940_t01_562a1255c81b; vol2_s002940_t02_5aba089af7c8; vol2_s002940_t03_51fb54d8b2a9; vol2_s002940_t04_474235909d16; vol2_s002940_t05_5dd9affbe8db; vol2_s002940_t06_dc84db759d68</t>
  </si>
  <si>
    <t xml:space="preserve">G38.01.01</t>
  </si>
  <si>
    <t xml:space="preserve">The commander-prince orders a multi-pronged attack on Prome under named subordinate commanders</t>
  </si>
  <si>
    <t xml:space="preserve">vol2_s002941_t01_b5b00f4caae2; vol2_s002941_t02_b0c09442bc7a; vol2_s002941_t03_a38dbde16c27</t>
  </si>
  <si>
    <t xml:space="preserve">G38.01.02</t>
  </si>
  <si>
    <t xml:space="preserve">Thado Mingyi Maha Mingaung assigns and distributes his forces around Prome</t>
  </si>
  <si>
    <t xml:space="preserve">vol2_s002941_t04_0a5356dcead4; vol2_s002941_t05_86f9c476e477</t>
  </si>
  <si>
    <t xml:space="preserve">G38.02.01</t>
  </si>
  <si>
    <t xml:space="preserve">Maha Ne Myo and sawbwa forces take position at Wet Hti Kan</t>
  </si>
  <si>
    <t xml:space="preserve">G38.03.01</t>
  </si>
  <si>
    <t xml:space="preserve">British forces attack Wet Hti Kan</t>
  </si>
  <si>
    <t xml:space="preserve">vol2_s002943_t01_d3d74514dd88; vol2_s002943_t02_23649d635558</t>
  </si>
  <si>
    <t xml:space="preserve">G38.03.02</t>
  </si>
  <si>
    <t xml:space="preserve">Maha Ne Myo and sawbwas direct resistance that inflicts British casualties</t>
  </si>
  <si>
    <t xml:space="preserve">vol2_s002943_t03_7d0c5f70c6eb; vol2_s002943_t04_a01cf5c8669c</t>
  </si>
  <si>
    <t xml:space="preserve">G38.04.01</t>
  </si>
  <si>
    <t xml:space="preserve">British troops retreat to Prome</t>
  </si>
  <si>
    <t xml:space="preserve">G38.05.01</t>
  </si>
  <si>
    <t xml:space="preserve">Captured guns and prisoners are presented to the commander-prince</t>
  </si>
  <si>
    <t xml:space="preserve">vol2_s002945_t01_c41250008666; vol2_s002945_t02_7ca3afd3e98a</t>
  </si>
  <si>
    <t xml:space="preserve">G38.06.01</t>
  </si>
  <si>
    <t xml:space="preserve">British officers pay the former Prome headman to lure Maha Ne Myo forward</t>
  </si>
  <si>
    <t xml:space="preserve">G38.06.02</t>
  </si>
  <si>
    <t xml:space="preserve">The headman induces the Burmese advance</t>
  </si>
  <si>
    <t xml:space="preserve">G38.06.03</t>
  </si>
  <si>
    <t xml:space="preserve">British forces ambush the Burmese, killing Maha Ne Myo and the Maukme sawbwa</t>
  </si>
  <si>
    <t xml:space="preserve">G38.07.01</t>
  </si>
  <si>
    <t xml:space="preserve">Burmese officers lose control and the force retreats</t>
  </si>
  <si>
    <t xml:space="preserve">G38.08.01</t>
  </si>
  <si>
    <t xml:space="preserve">British forces attack the remaining positions and Burmese defenders resist with British casualties</t>
  </si>
  <si>
    <t xml:space="preserve">vol2_s002948_t01_7ed1fafa29ec; vol2_s002948_t02_c388133b76b5; vol2_s002948_t03_53677dd31e89</t>
  </si>
  <si>
    <t xml:space="preserve">G39.01.01</t>
  </si>
  <si>
    <t xml:space="preserve">British troops suffer deaths in the preceding battle</t>
  </si>
  <si>
    <t xml:space="preserve">G39.02.01</t>
  </si>
  <si>
    <t xml:space="preserve">British forces renew their assault and break the Lawkananda defense</t>
  </si>
  <si>
    <t xml:space="preserve">G39.02.02</t>
  </si>
  <si>
    <t xml:space="preserve">Burmese princes and ministers retreat with their forces to Hsi Mi Khon</t>
  </si>
  <si>
    <t xml:space="preserve">vol2_s002966_t03_1c257f159ca3; vol2_s002966_t04_294b8aa8e0ef; vol2_s002966_t05_4c3bc753589b</t>
  </si>
  <si>
    <t xml:space="preserve">G39.03.01</t>
  </si>
  <si>
    <t xml:space="preserve">British forces advance to Yandabo</t>
  </si>
  <si>
    <t xml:space="preserve">G39.03.02</t>
  </si>
  <si>
    <t xml:space="preserve">British commanders discuss their inability to secure population control and the costs of continued war</t>
  </si>
  <si>
    <t xml:space="preserve">vol2_s002967_t01_ac3146a2f926; vol2_s002967_t02_9c200599b058</t>
  </si>
  <si>
    <t xml:space="preserve">G39.03.03</t>
  </si>
  <si>
    <t xml:space="preserve">They seek peace and compensation through an intermediary sent to Burmese leaders</t>
  </si>
  <si>
    <t xml:space="preserve">vol2_s002967_t03_d04da4537db2; vol2_s002967_t04_fbb0a06d88c8; vol2_s002967_t05_1cd48adc1e5d</t>
  </si>
  <si>
    <t xml:space="preserve">G39.03.04</t>
  </si>
  <si>
    <t xml:space="preserve">Ministers report the proposal and the king consults monks, princes, and officials</t>
  </si>
  <si>
    <t xml:space="preserve">vol2_s002967_t06_56b742bcfcbb; vol2_s002967_t07_8cc5968b5958</t>
  </si>
  <si>
    <t xml:space="preserve">G39.03.05</t>
  </si>
  <si>
    <t xml:space="preserve">Monks advise peace using the king's Buddhist duties and his subjects' welfare</t>
  </si>
  <si>
    <t xml:space="preserve">vol2_s002967_t08_5e8ce856ccec; vol2_s002967_t09_b8e781946991; vol2_s002967_t10_f55fbc75d94e</t>
  </si>
  <si>
    <t xml:space="preserve">The Buddhist argument is treated as the chronicle's represented advice, not independently verified British or Burmese policy history.</t>
  </si>
  <si>
    <t xml:space="preserve">G40.01.01</t>
  </si>
  <si>
    <t xml:space="preserve">Maha Min Hla Kyaw Khaung commands five units and 2,600 men</t>
  </si>
  <si>
    <t xml:space="preserve">G40.02.01</t>
  </si>
  <si>
    <t xml:space="preserve">Maha Mingaung Kyaw commands six units and over 3,000 men</t>
  </si>
  <si>
    <t xml:space="preserve">G40.03.01</t>
  </si>
  <si>
    <t xml:space="preserve">Maha Min Hla Thurein commands seven units and over 3,500 men</t>
  </si>
  <si>
    <t xml:space="preserve">G40.04.01</t>
  </si>
  <si>
    <t xml:space="preserve">Maha Min Hla Mingaung commands seven units and over 3,000 men</t>
  </si>
  <si>
    <t xml:space="preserve">G40.04.02</t>
  </si>
  <si>
    <t xml:space="preserve">The king appoints Mingyi Kyaw Htin over the combined force and sends it toward Hanthawaddy</t>
  </si>
  <si>
    <t xml:space="preserve">vol2_s003036_t02_7ab6d1dd42a3; vol2_s003036_t03_f8eeefbd67de</t>
  </si>
  <si>
    <t xml:space="preserve">G40.05.01</t>
  </si>
  <si>
    <t xml:space="preserve">The Hanthawaddy minister repairs and equips Yangon defenses and orders the city cleared</t>
  </si>
  <si>
    <t xml:space="preserve">vol2_s003037_t01_90a306ea3ba7; vol2_s003037_t02_8ddf51204f45; vol2_s003037_t03_beafad2f1fe2</t>
  </si>
  <si>
    <t xml:space="preserve">G40.06.01</t>
  </si>
  <si>
    <t xml:space="preserve">The Mottama governor sends Ne Myo Ye Htin Nawrahta with a thousand men</t>
  </si>
  <si>
    <t xml:space="preserve">vol2_s003038_t01_abeebd3c41f2; vol2_s003038_t02_3e894e67ab27</t>
  </si>
  <si>
    <t xml:space="preserve">G40.06.02</t>
  </si>
  <si>
    <t xml:space="preserve">The Hanthawaddy minister stations the arrivals north of Yangon</t>
  </si>
  <si>
    <t xml:space="preserve">G40.07.01</t>
  </si>
  <si>
    <t xml:space="preserve">The Hanthawaddy minister assigns Pegu defense and summons further provincial reinforcements</t>
  </si>
  <si>
    <t xml:space="preserve">vol2_s003039_t01_a4124f9718eb; vol2_s003039_t02_e03222eddbac</t>
  </si>
  <si>
    <t xml:space="preserve">G40.07.02</t>
  </si>
  <si>
    <t xml:space="preserve">Rebel Nga Sap and his associates occupy Thanlyin and direct raids in surrounding districts</t>
  </si>
  <si>
    <t xml:space="preserve">vol2_s003039_t04_e7d7f0c499d6; vol2_s003039_t06_50dc85f2b838; vol2_s003039_t07_dc910671d4d6; vol2_s003039_t08_ec5e8b9c38ab</t>
  </si>
  <si>
    <t xml:space="preserve">G40.07.03</t>
  </si>
  <si>
    <t xml:space="preserve">The minister consults his officers and they advise attacking the rebels' Thanlyin base</t>
  </si>
  <si>
    <t xml:space="preserve">The strategic conclusion is retained, but the explicit consultation and the officers' advice are compressed into the minister's identification.</t>
  </si>
  <si>
    <t xml:space="preserve">G40.07.04</t>
  </si>
  <si>
    <t xml:space="preserve">The minister sends eighteen hundred men under named leaders to attack Thanlyin</t>
  </si>
  <si>
    <t xml:space="preserve">G41.01.01</t>
  </si>
  <si>
    <t xml:space="preserve">Karen rebel commanders conceal their identities and escape after defeat</t>
  </si>
  <si>
    <t xml:space="preserve">vol2_s003114_t01_135401e7944d; vol2_s003114_t02_b936f0ec139c; vol2_s003114_t03_03704dd5896d; vol2_s003114_t04_2f6d34a2b494</t>
  </si>
  <si>
    <t xml:space="preserve">G41.02.01</t>
  </si>
  <si>
    <t xml:space="preserve">The advancing royal forces cause the Mon encampments to withdraw</t>
  </si>
  <si>
    <t xml:space="preserve">vol2_s003115_t01_8b930f8674ec; vol2_s003115_t02_1d72189d84e5</t>
  </si>
  <si>
    <t xml:space="preserve">G41.03.01</t>
  </si>
  <si>
    <t xml:space="preserve">The Hanthawaddy minister distributes the five arriving regiments among defensive positions</t>
  </si>
  <si>
    <t xml:space="preserve">vol2_s003116_t01_7be941f228f5; vol2_s003116_t02_7b724514b1dc; vol2_s003116_t03_f04c1c487d2c; vol2_s003116_t04_078a48e1330b</t>
  </si>
  <si>
    <t xml:space="preserve">G41.03.02</t>
  </si>
  <si>
    <t xml:space="preserve">Min Hla Tanzaung and 500 Pakhangyi men are stationed inside the city's southern defenses</t>
  </si>
  <si>
    <t xml:space="preserve">vol2_s003116_t05_e08fa2e70f46; vol2_s003116_t06_2cfe876f04f3</t>
  </si>
  <si>
    <t xml:space="preserve">G41.04.01</t>
  </si>
  <si>
    <t xml:space="preserve">The Hanthawaddy minister gives Mottama governor Maha Uzana five regiments and 3,000 men to hold designated positions</t>
  </si>
  <si>
    <t xml:space="preserve">vol2_s003117_t01_62d011437e10; vol2_s003117_t02_34ae0dddc564; vol2_s003117_t03_a80ab0652daa; vol2_s003117_t04_613a84dc11f8</t>
  </si>
  <si>
    <t xml:space="preserve">G41.05.01</t>
  </si>
  <si>
    <t xml:space="preserve">The Hanthawaddy minister orders Ne Myo Thiri Kyaw Khaung and eastern provincial forces to attack and occupy Thanlyin</t>
  </si>
  <si>
    <t xml:space="preserve">vol2_s003118_t01_8ac838e6fbed; vol2_s003118_t02_1f2b862723df; vol2_s003118_t03_74d62e73c0b4; vol2_s003118_t04_bf9953d3e50d; vol2_s003118_t05_72856f1bffd6; vol2_s003118_t06_558532d5e729; vol2_s003118_t07_a91d880aa506</t>
  </si>
  <si>
    <t xml:space="preserve">G41.06.01</t>
  </si>
  <si>
    <t xml:space="preserve">The Hanthawaddy minister instructs the Pathein governor to intercept and suppress fleeing Mon forces</t>
  </si>
  <si>
    <t xml:space="preserve">vol2_s003119_t01_a3e66c90aa33; vol2_s003119_t02_9c048e78944e; vol2_s003119_t03_dba12e736cd7</t>
  </si>
  <si>
    <t xml:space="preserve">The written instruction is physically given to courier Nga Shwe San; accepting the courier handoff and the separate correct governor-as-addressee triples rather than penalizing 'sent ... to'.</t>
  </si>
  <si>
    <t xml:space="preserve">G41.07.01</t>
  </si>
  <si>
    <t xml:space="preserve">Ne Myo Mingaung Kyaw Thu and Ne Myo Nara Kyaw hold the routes with 4,000 provincial troops</t>
  </si>
  <si>
    <t xml:space="preserve">vol2_s003120_t01_73cf28ecfce1; vol2_s003120_t02_a699785e6afd; vol2_s003120_t03_941dd753e2a7; vol2_s003120_t04_25c24d94c2a2; vol2_s003120_t05_c5435c287f67; vol2_s003120_t06_43e9ba2b406b; vol2_s003120_t07_da3cc149ad74; vol2_s003120_t08_fcb0b448e7b2</t>
  </si>
  <si>
    <t xml:space="preserve">G41.08.01</t>
  </si>
  <si>
    <t xml:space="preserve">The minister and five arriving commanders consult about attacking the Mon positions</t>
  </si>
  <si>
    <t xml:space="preserve">vol2_s003121_t01_d12f531daf1c; vol2_s003121_t02_d726d9a08a3e</t>
  </si>
  <si>
    <t xml:space="preserve">G41.08.02</t>
  </si>
  <si>
    <t xml:space="preserve">The minister approves the attack and gives tactical directions to prevent counterattack</t>
  </si>
  <si>
    <t xml:space="preserve">vol2_s003121_t01_d12f531daf1c; vol2_s003121_t03_3d9b6207f128; vol2_s003121_t04_31626cd40eb8</t>
  </si>
  <si>
    <t xml:space="preserve">G41.08.03</t>
  </si>
  <si>
    <t xml:space="preserve">The commanders deploy coordinated forces and attack the eastern Mon positions</t>
  </si>
  <si>
    <t xml:space="preserve">vol2_s003121_t03_3d9b6207f128; vol2_s003121_t04_31626cd40eb8; vol2_s003121_t05_2eeb67f56832; vol2_s003121_t06_75a2a108f3a2; vol2_s003121_t07_e66d7110a714; vol2_s003121_t08_ae26587f1a05; vol2_s003121_t09_22e1df8d284d</t>
  </si>
  <si>
    <t xml:space="preserve">G42.01.01</t>
  </si>
  <si>
    <t xml:space="preserve">Prince Tharrawaddy travels through successive villages and camps during his retreat</t>
  </si>
  <si>
    <t xml:space="preserve">G42.02.01</t>
  </si>
  <si>
    <t xml:space="preserve">Local service men join Tharrawaddy's party</t>
  </si>
  <si>
    <t xml:space="preserve">G42.02.02</t>
  </si>
  <si>
    <t xml:space="preserve">Tharrawaddy assigns a cavalry rearguard to resist the pursuing Ava forces while he continues to Hla Taw Gyi</t>
  </si>
  <si>
    <t xml:space="preserve">vol2_s003386_t02_495a9beeb8a6; vol2_s003386_t03_175f24eb7794; vol2_s003386_t04_7fa92d694556</t>
  </si>
  <si>
    <t xml:space="preserve">G42.03.01</t>
  </si>
  <si>
    <t xml:space="preserve">Tharrawaddy's sons advise awaiting intelligence from the previously dispatched Shwebo recruiters</t>
  </si>
  <si>
    <t xml:space="preserve">vol2_s003387_t01_8b6642475345; vol2_s003387_t02_d1bda3d03102</t>
  </si>
  <si>
    <t xml:space="preserve">Consultation plus the earlier recruitment mandate adequately captures the advisory exchange; do not require every son's separate recommendation.</t>
  </si>
  <si>
    <t xml:space="preserve">G42.03.02</t>
  </si>
  <si>
    <t xml:space="preserve">Tharrawaddy accepts the advice and dispatches Ne Myo Bandhu Kyaw with over 100 men to Shwebo</t>
  </si>
  <si>
    <t xml:space="preserve">vol2_s003387_t03_9bedce08171e; vol2_s003387_t04_6e4e2647cf4c</t>
  </si>
  <si>
    <t xml:space="preserve">G42.04.01</t>
  </si>
  <si>
    <t xml:space="preserve">Nga Shwe U recruits over 600 men in the Shwebo region</t>
  </si>
  <si>
    <t xml:space="preserve">G42.04.02</t>
  </si>
  <si>
    <t xml:space="preserve">Nga Shwe U and Ne Myo Bandhu Kyaw join forces and press Shwebo's local officials for allegiance to Tharrawaddy</t>
  </si>
  <si>
    <t xml:space="preserve">vol2_s003388_t02_c41862b7c131; vol2_s003388_t03_ddcbc3c52a20; vol2_s003388_t04_3dc52fa953ec</t>
  </si>
  <si>
    <t xml:space="preserve">G42.04.03</t>
  </si>
  <si>
    <t xml:space="preserve">Cavalry commander Nga Yaw consults his household and flees</t>
  </si>
  <si>
    <t xml:space="preserve">G43.01.01</t>
  </si>
  <si>
    <t xml:space="preserve">Mindon commissions learned monks, Brahmins and officials to compile the chronicle from documentary sources</t>
  </si>
  <si>
    <t xml:space="preserve">vol2_fr024_s01_t01_d33596ac933e; vol2_fr024_s01_t02_b1506517ad16; vol2_fr024_s01_t03_508c6dc3d617; vol2_fr024_s01_t04_c7aab7fd2102</t>
  </si>
  <si>
    <t xml:space="preserve">G43.02.01</t>
  </si>
  <si>
    <t xml:space="preserve">Shwebo headman Maha Zeya Bo pledges service to Tharrawaddy</t>
  </si>
  <si>
    <t xml:space="preserve">G43.02.02</t>
  </si>
  <si>
    <t xml:space="preserve">The headman provides 600 men under his son Nga Shwe Hlaing</t>
  </si>
  <si>
    <t xml:space="preserve">vol2_s003389_t02_dbee97dcb4cd; vol2_s003389_t03_4a3a147a07ad</t>
  </si>
  <si>
    <t xml:space="preserve">G43.02.03</t>
  </si>
  <si>
    <t xml:space="preserve">Nga Shwe U and Nga Shwe Hlaing combine their forces and move to Si Taw</t>
  </si>
  <si>
    <t xml:space="preserve">vol2_s003389_t04_a844d3d1885e; vol2_s003389_t05_9edfedd45a6f</t>
  </si>
  <si>
    <t xml:space="preserve">G43.03.01</t>
  </si>
  <si>
    <t xml:space="preserve">Tharrawaddy joins his assembled forces at Si Taw</t>
  </si>
  <si>
    <t xml:space="preserve">G43.03.02</t>
  </si>
  <si>
    <t xml:space="preserve">Nga Shwe U reports Shwebo's situation and the local headman's support to Tharrawaddy</t>
  </si>
  <si>
    <t xml:space="preserve">vol2_s003390_t02_2b830c3cc678; vol2_s003390_t03_9c55f311c5f5; vol2_s003390_t04_8c9fdbc846ba</t>
  </si>
  <si>
    <t xml:space="preserve">G43.03.03</t>
  </si>
  <si>
    <t xml:space="preserve">An apparitional monk urges Tharrawaddy to enter Shwebo immediately and predicts success</t>
  </si>
  <si>
    <t xml:space="preserve">vol2_s003390_t06_23bcfe5db52e; vol2_s003390_t07_4f8a55bceede</t>
  </si>
  <si>
    <t xml:space="preserve">G43.04.01</t>
  </si>
  <si>
    <t xml:space="preserve">Tharrawaddy interprets the apparition as divine support for his Buddhist kingship</t>
  </si>
  <si>
    <t xml:space="preserve">vol2_s003391_t01_e48719e76362; vol2_s003390_t07_4f8a55bceede</t>
  </si>
  <si>
    <t xml:space="preserve">G43.04.02</t>
  </si>
  <si>
    <t xml:space="preserve">Tharrawaddy enters Shwebo and takes up residence with his household and followers</t>
  </si>
  <si>
    <t xml:space="preserve">vol2_s003391_t02_cf9a657f7890; vol2_s003391_t03_d7e7495ee2ee</t>
  </si>
  <si>
    <t xml:space="preserve">G43.04.03</t>
  </si>
  <si>
    <t xml:space="preserve">Regional military and local officials pay Tharrawaddy an allegiance audience</t>
  </si>
  <si>
    <t xml:space="preserve">vol2_s003391_t04_31543dcb1393; vol2_s003391_t05_72a32a5d0e85</t>
  </si>
  <si>
    <t xml:space="preserve">G44.01.01</t>
  </si>
  <si>
    <t xml:space="preserve">The Mong Leng Gyi sawbwa sends ministers to request Buddhist images and scriptures</t>
  </si>
  <si>
    <t xml:space="preserve">G44.01.02</t>
  </si>
  <si>
    <t xml:space="preserve">The king supplies the requested images and scriptures to the sawbwa</t>
  </si>
  <si>
    <t xml:space="preserve">vol3_s000001_t02_36f288d51926; vol3_s000001_t03_d2f8328c6de7</t>
  </si>
  <si>
    <t xml:space="preserve">G44.02.01</t>
  </si>
  <si>
    <t xml:space="preserve">The king grants elephants and substantial regalia to the sawbwa</t>
  </si>
  <si>
    <t xml:space="preserve">G44.03.01</t>
  </si>
  <si>
    <t xml:space="preserve">The king appoints the sawbwa's son as heir and requires his service at court</t>
  </si>
  <si>
    <t xml:space="preserve">vol3_s000003_t01_897f29cda2da; vol3_s000003_t02_ea7f51150720</t>
  </si>
  <si>
    <t xml:space="preserve">Appointment/service is detected and court service is correctly represented, but the office is misidentified. Partial relationship coverage rather than inventing a second wholly missing event.</t>
  </si>
  <si>
    <t xml:space="preserve">G44.04.01</t>
  </si>
  <si>
    <t xml:space="preserve">The Bhamo queen's relatives request permission to come from Assam</t>
  </si>
  <si>
    <t xml:space="preserve">G44.04.02</t>
  </si>
  <si>
    <t xml:space="preserve">The king orders the Mogaung governor to escort the relatives to court</t>
  </si>
  <si>
    <t xml:space="preserve">vol3_s000004_t02_8992183a47bf; vol3_s000004_t03_71276be7fa6a</t>
  </si>
  <si>
    <t xml:space="preserve">G44.04.03</t>
  </si>
  <si>
    <t xml:space="preserve">The king sends the Bhamo queen to receive her relatives and they attend a palace audience</t>
  </si>
  <si>
    <t xml:space="preserve">vol3_s000004_t02_8992183a47bf; vol3_s000004_t03_71276be7fa6a; vol3_s000004_t04_3e3dbe403731</t>
  </si>
  <si>
    <t xml:space="preserve">G44.05.01</t>
  </si>
  <si>
    <t xml:space="preserve">The queen's mother is assigned a residence in her daughter's minister's house</t>
  </si>
  <si>
    <t xml:space="preserve">G44.06.01</t>
  </si>
  <si>
    <t xml:space="preserve">The king gives the queen's brother a royal title and the appanage of Mawlu</t>
  </si>
  <si>
    <t xml:space="preserve">vol3_s000006_t01_4ac2e63dddeb; vol3_s000006_t02_261adc828e18; vol3_s000006_t03_3165741583c8</t>
  </si>
  <si>
    <t xml:space="preserve">G44.07.01</t>
  </si>
  <si>
    <t xml:space="preserve">Prince Pakhan supervises excavation of a canal</t>
  </si>
  <si>
    <t xml:space="preserve">G44.07.02</t>
  </si>
  <si>
    <t xml:space="preserve">The king visits and inspects the canal</t>
  </si>
  <si>
    <t xml:space="preserve">G45.01.01</t>
  </si>
  <si>
    <t xml:space="preserve">The king sponsors the ordination of Shin Uttama and eight novices</t>
  </si>
  <si>
    <t xml:space="preserve">G45.01.02</t>
  </si>
  <si>
    <t xml:space="preserve">The king distributes clothing to the robe-making workforce</t>
  </si>
  <si>
    <t xml:space="preserve">G45.03.01</t>
  </si>
  <si>
    <t xml:space="preserve">The king makes a ceremonial visit with his entourage and donates provisions to the monks at Sipa Taik</t>
  </si>
  <si>
    <t xml:space="preserve">vol3_s000437_t01_550b7941cfea; vol3_s000437_t02_584521642704</t>
  </si>
  <si>
    <t xml:space="preserve">G45.04.01</t>
  </si>
  <si>
    <t xml:space="preserve">A former Sale minister appears in the king's dream and advises him to examine the state of the country through a puppet performance</t>
  </si>
  <si>
    <t xml:space="preserve">Dream advice is accepted as an event represented by the chronicle, not as evidence that a waking political meeting occurred.</t>
  </si>
  <si>
    <t xml:space="preserve">G45.05.01</t>
  </si>
  <si>
    <t xml:space="preserve">The governor detains a woman in a theft case and officials falsify the examination record</t>
  </si>
  <si>
    <t xml:space="preserve">G45.05.02</t>
  </si>
  <si>
    <t xml:space="preserve">Officials make unauthorized arrests connected to the inner palace</t>
  </si>
  <si>
    <t xml:space="preserve">G45.05.03</t>
  </si>
  <si>
    <t xml:space="preserve">The king questions the governor and clerk about their unauthorized action</t>
  </si>
  <si>
    <t xml:space="preserve">G45.06.01</t>
  </si>
  <si>
    <t xml:space="preserve">The governor and accomplices oppress, extort and kill the population</t>
  </si>
  <si>
    <t xml:space="preserve">G45.06.02</t>
  </si>
  <si>
    <t xml:space="preserve">The king orders the Hluttaw to investigate the implicated officials</t>
  </si>
  <si>
    <t xml:space="preserve">G45.06.03</t>
  </si>
  <si>
    <t xml:space="preserve">The king executes the governor and accomplices following the submitted examination</t>
  </si>
  <si>
    <t xml:space="preserve">G46.01.01</t>
  </si>
  <si>
    <t xml:space="preserve">Officials organize and escort the princes' departing retinue</t>
  </si>
  <si>
    <t xml:space="preserve">G46.02.01</t>
  </si>
  <si>
    <t xml:space="preserve">Prison chief Nga Shwe Ye and guards fire to obstruct the princes</t>
  </si>
  <si>
    <t xml:space="preserve">G46.02.02</t>
  </si>
  <si>
    <t xml:space="preserve">The princes' followers seize the guards' weapons</t>
  </si>
  <si>
    <t xml:space="preserve">G46.03.01</t>
  </si>
  <si>
    <t xml:space="preserve">A man presents a horse to the prince who rides it</t>
  </si>
  <si>
    <t xml:space="preserve">G46.04.01</t>
  </si>
  <si>
    <t xml:space="preserve">Local adherents join the princes with men, horses and weapons</t>
  </si>
  <si>
    <t xml:space="preserve">vol3_s000532_t01_c85469f023d9; vol3_s000532_t02_959a624ee257; vol3_s000532_t03_d9f63f9ef1f8; vol3_s000532_t04_892bb5965c41</t>
  </si>
  <si>
    <t xml:space="preserve">G46.05.01</t>
  </si>
  <si>
    <t xml:space="preserve">The princes' advance agent Nga Hmat Gyi opens Madaya's gate and facilitates their entry and occupation of the town office</t>
  </si>
  <si>
    <t xml:space="preserve">vol3_s000533_t01_363ec5d77fce; vol3_s000533_t02_a4a6dfb99d28</t>
  </si>
  <si>
    <t xml:space="preserve">G46.06.01</t>
  </si>
  <si>
    <t xml:space="preserve">Nga Kala reports the princes' flight and the gate commander's death to the reigning king</t>
  </si>
  <si>
    <t xml:space="preserve">G46.07.01</t>
  </si>
  <si>
    <t xml:space="preserve">The reigning king sends Nga Htun Aung to check whether Mindon has joined the departure</t>
  </si>
  <si>
    <t xml:space="preserve">G46.08.01</t>
  </si>
  <si>
    <t xml:space="preserve">The reigning king sends two commanders with 500 men to arrest the princes</t>
  </si>
  <si>
    <t xml:space="preserve">vol3_s000536_t01_aa02a3840840; vol3_s000536_t02_b82f1428212f; vol3_s000536_t03_8c9a163d0449</t>
  </si>
  <si>
    <t xml:space="preserve">G47.01.01</t>
  </si>
  <si>
    <t xml:space="preserve">Mindon assigns Nga Shwe Thaik and associated leaders men and weapons to block the advancing royal troops</t>
  </si>
  <si>
    <t xml:space="preserve">vol3_s000573_t01_0eb98be2f5ba; vol3_s000573_t02_72e22b927ced; vol3_s000573_t03_207d0b90701a; vol3_s000573_t04_668bc4905365</t>
  </si>
  <si>
    <t xml:space="preserve">G47.02.01</t>
  </si>
  <si>
    <t xml:space="preserve">Mindon sends former Myedu governor Bo Hlaing to recruit men and weapons in Pincala, Htantabin and Myedu</t>
  </si>
  <si>
    <t xml:space="preserve">vol3_s000574_t01_d084c0f496d4; vol3_s000574_t02_22840eca19d7</t>
  </si>
  <si>
    <t xml:space="preserve">G47.03.01</t>
  </si>
  <si>
    <t xml:space="preserve">Regional officials and hereditary leaders submit and attend Mindon's audience</t>
  </si>
  <si>
    <t xml:space="preserve">G47.04.01</t>
  </si>
  <si>
    <t xml:space="preserve">The assembled local elites urge Mindon to take the throne and pledge loyal service</t>
  </si>
  <si>
    <t xml:space="preserve">vol3_s000576_t01_2ee02f82057a; vol3_s000576_t02_9865735d3376</t>
  </si>
  <si>
    <t xml:space="preserve">G47.04.02</t>
  </si>
  <si>
    <t xml:space="preserve">Mindon appoints Nga So as wungyi with the title Mingyi Maha Raja Thingyan</t>
  </si>
  <si>
    <t xml:space="preserve">vol3_s000576_t03_89743dafbc04; vol3_s000576_t04_847f04c25c3b</t>
  </si>
  <si>
    <t xml:space="preserve">G47.05.01</t>
  </si>
  <si>
    <t xml:space="preserve">Mindon distributes offices and titles among his household followers and military supporters</t>
  </si>
  <si>
    <t xml:space="preserve">vol3_s000577_t01_f7671fcb4fbb; vol3_s000577_t02_e9a7bf5601d0; vol3_s000577_t03_1a132767baa4; vol3_s000577_t04_1195c1b36650; vol3_s000577_t05_4b5d20ab761e; vol3_s000577_t06_fb8c0c212f8c; vol3_s000577_t07_d484efb3ca8e; vol3_s000577_t08_f34520ddecad; vol3_s000577_t09_66f09a5bb3eb; vol3_s000577_t10_d6a681598375; vol3_s000577_t11_7c0a5e7ba8ac; vol3_s000577_t12_8d545129b126; vol3_s000577_t13_8d9b45a573a1; vol3_s000577_t14_9aac6bbdde47; vol3_s000577_t15_0adbbe89fa33; vol3_s000577_t16_7cc3f21e1abb; vol3_s000577_t17_91f8509eac33; vol3_s000577_t18_d050924e6a4d; vol3_s000577_t19_4ee43c9359f1; vol3_s000577_t20_6c34ce07e1f3; vol3_s000577_t21_fc38dc3d9d5f; vol3_s000577_t22_adb7be2061ec; vol3_s000577_t23_97f6f2a08886; vol3_s000577_t24_7954a00acf7b; vol3_s000577_t25_88165df6c8be; vol3_s000577_t26_75e7a40f5e0f; vol3_s000577_t27_73cb989e571b; vol3_s000577_t28_2825bf7e70e7; vol3_s000577_t29_3389928e0ee5; vol3_s000577_t30_f630140e863a; vol3_s000577_t31_127a36c96485; vol3_s000577_t32_5a22bc41375a; vol3_s000577_t33_f09d195e34e8; vol3_s000577_t34_30e568e95efe; vol3_s000577_t35_8099f956a0e9; vol3_s000577_t36_724716c6f5d2; vol3_s000577_t37_540f918b48c2; vol3_s000577_t38_bb2e7ae397f9; vol3_s000577_t39_58e55ec9fb12; vol3_s000577_t40_f84462cb4062; vol3_s000577_t41_55176e0bdf9f; vol3_s000577_t42_818199efa877; vol3_s000577_t43_a1e7a7d56cb3; vol3_s000577_t44_106a0c1003a7; vol3_s000577_t45_d576f28e6c38; vol3_s000577_t46_12cfdf27f212; vol3_s000577_t47_649348b6d6bb; vol3_s000577_t48_6d5007e79b64; vol3_s000577_t49_5cbb82fa62d7; vol3_s000577_t50_f16d1e5200d2; vol3_s000577_t51_77b326eb7515; vol3_s000577_t52_50746dd57977; vol3_s000577_t53_78d2c1c21905; vol3_s000577_t54_7f9e0b6fd65d; vol3_s000577_t55_e4c4d18193d6</t>
  </si>
  <si>
    <t xml:space="preserve">All 55 appointment/title rows were compared with the ordered Burmese recipient-office-title list. Equivalent office translations and non-contradictory romanizations are accepted.</t>
  </si>
  <si>
    <t xml:space="preserve">G48.01.01</t>
  </si>
  <si>
    <t xml:space="preserve">The king grants mounts and regalia to the cavalry princes according to royal precedent</t>
  </si>
  <si>
    <t xml:space="preserve">vol3_s000812_t01_71b2c79aed74; vol3_s000812_t02_6b28aa05af44</t>
  </si>
  <si>
    <t xml:space="preserve">G48.02.01</t>
  </si>
  <si>
    <t xml:space="preserve">The king grants the specified insignia and privileges to the four wungyis</t>
  </si>
  <si>
    <t xml:space="preserve">vol3_s000813_t01_60b51e288418; vol3_s000813_t02_501edcd49ea9; vol3_s000813_t03_0f38e5b1b0b6; vol3_s000813_t04_59db93ba13e5</t>
  </si>
  <si>
    <t xml:space="preserve">The second extraction groups the consecutive names Mingyi Maha Raja Thingyan and Thado Mingyi Maha Min Hla Kyaw Thu. Both receive the regalia; accepting grouping rather than penalizing missing punctuation between the names.</t>
  </si>
  <si>
    <t xml:space="preserve">G49.01.01</t>
  </si>
  <si>
    <t xml:space="preserve">The king arranges the funeral of the deceased titled Kyan Khin Sayadaw</t>
  </si>
  <si>
    <t xml:space="preserve">vol3_s001159_t01_c8212977c39d; vol3_s001159_t02_1f35f70c37ef; vol3_s001159_t03_0d7cf30f7794</t>
  </si>
  <si>
    <t xml:space="preserve">G49.02.01</t>
  </si>
  <si>
    <t xml:space="preserve">Ministers supervise service personnel transporting royal palace timbers in a regulated ceremonial procession</t>
  </si>
  <si>
    <t xml:space="preserve">vol3_s001160_t01_7c9fc9873e2b; vol3_s001160_t02_bd61b569552b</t>
  </si>
  <si>
    <t xml:space="preserve">G49.03.01</t>
  </si>
  <si>
    <t xml:space="preserve">Elephant teams transport the remaining royal timbers</t>
  </si>
  <si>
    <t xml:space="preserve">G49.04.01</t>
  </si>
  <si>
    <t xml:space="preserve">Mahouts serve in the prescribed ceremonial dress and formation</t>
  </si>
  <si>
    <t xml:space="preserve">G49.05.01</t>
  </si>
  <si>
    <t xml:space="preserve">Princes and ministers follow the timber procession wearing their royal grants of regalia</t>
  </si>
  <si>
    <t xml:space="preserve">vol3_s001163_t01_6668e940def0; vol3_s001163_t02_27ed1714cd48</t>
  </si>
  <si>
    <t xml:space="preserve">G49.06.01</t>
  </si>
  <si>
    <t xml:space="preserve">Performers provide music and dance ahead of the timber procession</t>
  </si>
  <si>
    <t xml:space="preserve">G49.07.01</t>
  </si>
  <si>
    <t xml:space="preserve">Neighborhood groups erect pavilions and provide performances along the royal procession route</t>
  </si>
  <si>
    <t xml:space="preserve">vol3_s001165_t01_b00e499965e9; vol3_s001165_t02_5043003cc3e5</t>
  </si>
  <si>
    <t xml:space="preserve">G49.09.01</t>
  </si>
  <si>
    <t xml:space="preserve">The king appears and observes the ceremonial timber arrival</t>
  </si>
  <si>
    <t xml:space="preserve">G49.10.01</t>
  </si>
  <si>
    <t xml:space="preserve">The king orders palace ornament carving to commence with astrologically selected workers and timing</t>
  </si>
  <si>
    <t xml:space="preserve">vol3_s001168_t01_f66a9a18a7e1; vol3_s001168_t02_d983d7a56b48</t>
  </si>
  <si>
    <t xml:space="preserve">G49.11.01</t>
  </si>
  <si>
    <t xml:space="preserve">The king orders protective yantra plates for the city and palace to be made with prescribed ritual timing</t>
  </si>
  <si>
    <t xml:space="preserve">vol3_s001169_t01_9436d75d9562; vol3_s001169_t02_58042220ffad</t>
  </si>
  <si>
    <t xml:space="preserve">G49.12.01</t>
  </si>
  <si>
    <t xml:space="preserve">The king orders palace nails to be forged with the prescribed auspicious timing and personnel</t>
  </si>
  <si>
    <t xml:space="preserve">vol3_s001170_t01_945c9b715949; vol3_s001170_t02_c7a8cb056ec3</t>
  </si>
  <si>
    <t xml:space="preserve">G50.01.01</t>
  </si>
  <si>
    <t xml:space="preserve">The king assigns skilled sculptors to the Myadaung lord to construct and house the Buddha-and-Ananda images</t>
  </si>
  <si>
    <t xml:space="preserve">vol3_s001315_t01_1d0e40117bed; vol3_s001315_t02_9e06b66d74fe; vol3_s001315_t03_4351baa93166</t>
  </si>
  <si>
    <t xml:space="preserve">G50.01.02</t>
  </si>
  <si>
    <t xml:space="preserve">The images represent Ananda's request and the Buddha's prophecy directed toward the royal capital</t>
  </si>
  <si>
    <t xml:space="preserve">vol3_s001315_t04_7349d3ec7fef; vol3_s001315_t05_b8ff38f9dd86</t>
  </si>
  <si>
    <t xml:space="preserve">The prophecy-facing image and its legitimating function are adequately represented by the symbolic-legitimacy and orientation triples; no demand for an extra Ananda edge.</t>
  </si>
  <si>
    <t xml:space="preserve">G50.02.01</t>
  </si>
  <si>
    <t xml:space="preserve">The Magwe, Myadaung and Pakhan ministers supervise construction of covered approaches</t>
  </si>
  <si>
    <t xml:space="preserve">vol3_s001316_t01_b97cba486283; vol3_s001316_t02_5a90b49e1898; vol3_s001316_t03_caad47d786a8</t>
  </si>
  <si>
    <t xml:space="preserve">G50.03.01</t>
  </si>
  <si>
    <t xml:space="preserve">The king continually sponsors the twelve seasonal court festivals and donations</t>
  </si>
  <si>
    <t xml:space="preserve">G50.06.01</t>
  </si>
  <si>
    <t xml:space="preserve">Queen Nanda Devi bears a royal son</t>
  </si>
  <si>
    <t xml:space="preserve">vol3_s001320_t01_1c4c3a770c22; vol3_s001320_t02_7dd0b3a4018e</t>
  </si>
  <si>
    <t xml:space="preserve">G50.07.01</t>
  </si>
  <si>
    <t xml:space="preserve">Lady Thiri Citta Mahe bears a royal son</t>
  </si>
  <si>
    <t xml:space="preserve">vol3_s001321_t01_7be3fe959b26; vol3_s001321_t02_081d4c7a55ce</t>
  </si>
  <si>
    <t xml:space="preserve">G50.08.01</t>
  </si>
  <si>
    <t xml:space="preserve">The king donates a monastery to U Zagara and entrusts him with the six princes' monastic instruction</t>
  </si>
  <si>
    <t xml:space="preserve">vol3_s001322_t01_081205e9d940; vol3_s001322_t02_166484e02060; vol3_s001322_t03_a737a18efb4b; vol3_s001322_t04_8407259f93b9</t>
  </si>
  <si>
    <t xml:space="preserve">G50.09.01</t>
  </si>
  <si>
    <t xml:space="preserve">Queen Laungshè bears a royal daughter</t>
  </si>
  <si>
    <t xml:space="preserve">vol3_s001323_t01_58e01f0882f1; vol3_s001323_t02_9f816f722f96</t>
  </si>
  <si>
    <t xml:space="preserve">G50.10.01</t>
  </si>
  <si>
    <t xml:space="preserve">The king orders the funeral of the forest teacher Shin Candima</t>
  </si>
  <si>
    <t xml:space="preserve">vol3_s001324_t01_67799c6aa7d3; vol3_s001324_t02_bd8834409374; vol3_s001324_t03_1a5ce549a9f3</t>
  </si>
  <si>
    <t xml:space="preserve">G50.11.01</t>
  </si>
  <si>
    <t xml:space="preserve">The court commissions casting of the timekeeping bell at an auspicious moment</t>
  </si>
  <si>
    <t xml:space="preserve">vol3_s001325_t01_5c75ac35b8e5; vol3_s001325_t02_a42edfc09858</t>
  </si>
  <si>
    <t xml:space="preserve">G50.12.01</t>
  </si>
  <si>
    <t xml:space="preserve">Learned advisers interpret the comet as an auspicious sign and predict foreign tribute to the king</t>
  </si>
  <si>
    <t xml:space="preserve">vol3_s001326_t01_f3688d3d9d6d; vol3_s001326_t02_7e3976dbdaf8; vol3_s001326_t03_2261b9682870; vol3_s001326_t04_fcff4ed1996b</t>
  </si>
  <si>
    <t xml:space="preserve">G51.01.01</t>
  </si>
  <si>
    <t xml:space="preserve">Princes and ministers receive the ceremonial transport of the royal Buddha image</t>
  </si>
  <si>
    <t xml:space="preserve">vol3_s001527_t01_11765aaaa7df; vol3_s001527_t02_98d92f86fd0e</t>
  </si>
  <si>
    <t xml:space="preserve">G51.02.01</t>
  </si>
  <si>
    <t xml:space="preserve">The royal work force modifies the canal and transfers the Buddha image from raft to land</t>
  </si>
  <si>
    <t xml:space="preserve">G51.03.01</t>
  </si>
  <si>
    <t xml:space="preserve">The crown prince and officials supervise over 12,000 service workers hauling the image to its pedestal</t>
  </si>
  <si>
    <t xml:space="preserve">vol3_s001529_t01_56768b5595a9; vol3_s001529_t02_45147cf468fc</t>
  </si>
  <si>
    <t xml:space="preserve">G51.04.01</t>
  </si>
  <si>
    <t xml:space="preserve">The king and queen make a formal procession with their guard formations</t>
  </si>
  <si>
    <t xml:space="preserve">G51.05.01</t>
  </si>
  <si>
    <t xml:space="preserve">Service groups and city wards provide dance performances for the image's reception</t>
  </si>
  <si>
    <t xml:space="preserve">vol3_s001531_t01_f6d0bc32cbe6; vol3_s001531_t02_519e1a766e4e</t>
  </si>
  <si>
    <t xml:space="preserve">G51.06.01</t>
  </si>
  <si>
    <t xml:space="preserve">The king sponsors continuous performances at the temporary palace</t>
  </si>
  <si>
    <t xml:space="preserve">G51.07.01</t>
  </si>
  <si>
    <t xml:space="preserve">The king and queen inspect the pedestal works and reward the supervising officials and craftsmen</t>
  </si>
  <si>
    <t xml:space="preserve">vol3_s001533_t01_ddba7397d311; vol3_s001533_t02_c4e693b7abce</t>
  </si>
  <si>
    <t xml:space="preserve">G51.08.01</t>
  </si>
  <si>
    <t xml:space="preserve">The king provides money to officials and assigns each to supervise a pavilion's construction</t>
  </si>
  <si>
    <t xml:space="preserve">vol3_s001534_t01_8afff475f384; vol3_s001534_t02_3a11f0622145</t>
  </si>
  <si>
    <t xml:space="preserve">G51.09.01</t>
  </si>
  <si>
    <t xml:space="preserve">The Halliday-Bulloch company presents a steamship to the king</t>
  </si>
  <si>
    <t xml:space="preserve">vol3_s001535_t01_465f1c070618; vol3_s001535_t02_181401a5c1a5</t>
  </si>
  <si>
    <t xml:space="preserve">A foreign gift is detected, but Halliday-Bulloch's donor role disappears into king-centered appropriation/naming triples. Partial, not a wholly absent steamship episode.</t>
  </si>
  <si>
    <t xml:space="preserve">G51.09.02</t>
  </si>
  <si>
    <t xml:space="preserve">The king confers the name Cakra Yan Mon on the steamship</t>
  </si>
  <si>
    <t xml:space="preserve">G52.01.01</t>
  </si>
  <si>
    <t xml:space="preserve">The royal epithet Pandita claims wisdom promoting dynastic continuity, Buddhist prosperity and future enlightenment</t>
  </si>
  <si>
    <t xml:space="preserve">vol3_s001980_t01_404a13c3f962; vol3_s001980_t02_2f8a132b7e1b; vol3_s001980_t03_34bb4fb6f540; vol3_s001980_t04_4062ffc40f3c; vol3_s001980_t05_f4b7c1828fce</t>
  </si>
  <si>
    <t xml:space="preserve">G52.02.01</t>
  </si>
  <si>
    <t xml:space="preserve">The king's epithet asserts solar/Sakyan lineage and overlordship of kings</t>
  </si>
  <si>
    <t xml:space="preserve">vol3_s001981_t01_367db24f9937; vol3_s001981_t02_7c3d6293b8cf; vol3_s001981_t03_85f9c8453162</t>
  </si>
  <si>
    <t xml:space="preserve">G52.03.01</t>
  </si>
  <si>
    <t xml:space="preserve">The epithet Maha Dhamma Raja claims preservation of ancestral law and righteous governance</t>
  </si>
  <si>
    <t xml:space="preserve">vol3_s001982_t01_0a6e80a0642c; vol3_s001982_t02_78a7302d7c1c; vol3_s001982_t03_46880b2190ac; vol3_s001982_t04_69a3df2a5ac7</t>
  </si>
  <si>
    <t xml:space="preserve">G52.04.01</t>
  </si>
  <si>
    <t xml:space="preserve">The epithet Adhiraja claims superiority over kings through service to Buddhism and the realm</t>
  </si>
  <si>
    <t xml:space="preserve">vol3_s001983_t01_dd4af654a995; vol3_s001983_t02_301e642f3e20; vol3_s001983_t03_94be518691ee; vol3_s001983_t04_4840505b8e73</t>
  </si>
  <si>
    <t xml:space="preserve">G52.05.01</t>
  </si>
  <si>
    <t xml:space="preserve">Astrological analysis validates the royal name as auspicious</t>
  </si>
  <si>
    <t xml:space="preserve">vol3_s001984_t01_ea647f0df4df; vol3_s001984_t02_d9046b18b2dc</t>
  </si>
  <si>
    <t xml:space="preserve">G52.06.01</t>
  </si>
  <si>
    <t xml:space="preserve">The queen's royal name is established and analyzed as auspicious</t>
  </si>
  <si>
    <t xml:space="preserve">vol3_s001985_t01_963c36423d59; vol3_s001985_t02_07988d956794</t>
  </si>
  <si>
    <t xml:space="preserve">G52.07.01</t>
  </si>
  <si>
    <t xml:space="preserve">The queen's name is validated through auspicious astrological categories</t>
  </si>
  <si>
    <t xml:space="preserve">vol3_s001986_t01_8c4c2911fd30; vol3_s001986_t02_ad7dd2d0673b</t>
  </si>
  <si>
    <t xml:space="preserve">G52.08.01</t>
  </si>
  <si>
    <t xml:space="preserve">The queen's name is matched to an auspicious stellar configuration</t>
  </si>
  <si>
    <t xml:space="preserve">vol3_s001987_t01_d4620b729b84; vol3_s001987_t02_31adce616961</t>
  </si>
  <si>
    <t xml:space="preserve">G52.09.01</t>
  </si>
  <si>
    <t xml:space="preserve">The name's astrological category promises prosperity</t>
  </si>
  <si>
    <t xml:space="preserve">G52.10.01</t>
  </si>
  <si>
    <t xml:space="preserve">The name's astrological category promises continuity in its place</t>
  </si>
  <si>
    <t xml:space="preserve">G52.11.01</t>
  </si>
  <si>
    <t xml:space="preserve">The name's astrological category promises fresh benefits</t>
  </si>
  <si>
    <t xml:space="preserve">G52.12.01</t>
  </si>
  <si>
    <t xml:space="preserve">Ministers read and submit the proposed royal names</t>
  </si>
  <si>
    <t xml:space="preserve">vol3_s001991_t01_b1d58756f4a5; vol3_s001991_t02_5dcc3cd92efc; vol3_s001991_t03_b6ed4e14f8f6; vol3_s001991_t04_cc0b2b514c35; vol3_s001991_t05_51ccce901ffd; vol3_s001991_t06_b3ff1a49d438</t>
  </si>
  <si>
    <t xml:space="preserve">G52.12.02</t>
  </si>
  <si>
    <t xml:space="preserve">The king's silence is interpreted as consent and recorded by the herald</t>
  </si>
  <si>
    <t xml:space="preserve">vol3_s001991_t07_345d4ee21080; vol3_s001991_t08_d8f1f77b9bf1</t>
  </si>
  <si>
    <t xml:space="preserve">Recording and silence are detected but the king's tacit consent is not represented clearly. Partial coverage.</t>
  </si>
  <si>
    <t xml:space="preserve">G52.13.01</t>
  </si>
  <si>
    <t xml:space="preserve">The seal official inscribes the king's and queen's names on precious golden leaves under ministerial supervision</t>
  </si>
  <si>
    <t xml:space="preserve">vol3_s001992_t01_793481c6e09d; vol3_s001992_t02_59822c89b764; vol3_s001992_t03_577f6696d1c3</t>
  </si>
  <si>
    <t xml:space="preserve">G52.14.01</t>
  </si>
  <si>
    <t xml:space="preserve">Court blacksmiths are assigned to make the iron seal</t>
  </si>
  <si>
    <t xml:space="preserve">G52.15.01</t>
  </si>
  <si>
    <t xml:space="preserve">Treasury officials supervise preparation of coronation garments at the time announced by Brahmin specialists</t>
  </si>
  <si>
    <t xml:space="preserve">vol3_s001994_t01_c6480f2d8711; vol3_s001994_t02_807f76a1ac78; vol3_s001994_t03_9c8cc63671a4</t>
  </si>
  <si>
    <t xml:space="preserve">G52.16.01</t>
  </si>
  <si>
    <t xml:space="preserve">The court artisans decorate the prescribed coronation garments</t>
  </si>
  <si>
    <t xml:space="preserve">vol3_s001995_t01_07287be289f8; vol3_s001995_t02_c1a603fb0a4e</t>
  </si>
  <si>
    <t xml:space="preserve">G53.01.01</t>
  </si>
  <si>
    <t xml:space="preserve">The Kanni inner minister reads the chief queen's royal name and Prince Nyaungyan presents it ceremonially</t>
  </si>
  <si>
    <t xml:space="preserve">vol3_s002092_t02_9be8614f8fb4; vol3_s002092_t03_83ca66f34959; vol3_s002092_t04_3ad839bf0801; vol3_s002092_t05_0ab6bf7e0e78</t>
  </si>
  <si>
    <t xml:space="preserve">The ceremony and its officials are detected; the chief queen's position as the named beneficiary is not. Partial coverage.</t>
  </si>
  <si>
    <t xml:space="preserve">G53.02.01</t>
  </si>
  <si>
    <t xml:space="preserve">Eight princesses perform the king's consecration led by Princess Yamethin</t>
  </si>
  <si>
    <t xml:space="preserve">vol3_s002093_t01_12c74539686a; vol3_s002093_t02_7b541cea953c</t>
  </si>
  <si>
    <t xml:space="preserve">G53.02.02</t>
  </si>
  <si>
    <t xml:space="preserve">The princesses exhort the king to govern justly and protect rulers and subjects</t>
  </si>
  <si>
    <t xml:space="preserve">vol3_s002093_t03_aca77d523461; vol3_s002093_t04_2cbe7f389268; vol3_s002093_t05_da02a19dd9a2; vol3_s002093_t06_037e7317647d</t>
  </si>
  <si>
    <t xml:space="preserve">G53.03.01</t>
  </si>
  <si>
    <t xml:space="preserve">Eight Brahmins led by Brahma Canda perform the king's consecration</t>
  </si>
  <si>
    <t xml:space="preserve">vol3_s002094_t01_368bc71b7ead; vol3_s002094_t02_3d6d6fa673f0</t>
  </si>
  <si>
    <t xml:space="preserve">G53.03.02</t>
  </si>
  <si>
    <t xml:space="preserve">The Brahmins exhort the king to support Buddhism, protect subjects and heed wise counsel</t>
  </si>
  <si>
    <t xml:space="preserve">vol3_s002094_t03_74b30d7e326a; vol3_s002094_t04_a74079033d64; vol3_s002094_t05_cb7e8814e98b; vol3_s002094_t06_8b1fee96bc4f</t>
  </si>
  <si>
    <t xml:space="preserve">G53.04.01</t>
  </si>
  <si>
    <t xml:space="preserve">Eight wealthy men led by Maha Thiri Dhana Raja perform the king's consecration</t>
  </si>
  <si>
    <t xml:space="preserve">vol3_s002095_t01_4ea5704a2a2b; vol3_s002095_t02_b5d5c4ae4aca</t>
  </si>
  <si>
    <t xml:space="preserve">G53.04.02</t>
  </si>
  <si>
    <t xml:space="preserve">The wealthy men urge just taxation, protection of subjects and restraint toward other rulers</t>
  </si>
  <si>
    <t xml:space="preserve">vol3_s002095_t03_d966e4c49168; vol3_s002095_t04_5867349a587c; vol3_s002095_t05_b3ba1012295f; vol3_s002095_t06_bc8fd20366b2</t>
  </si>
  <si>
    <t xml:space="preserve">G54.01.01</t>
  </si>
  <si>
    <t xml:space="preserve">The king grants clothing and money to examination candidates according to their attained level</t>
  </si>
  <si>
    <t xml:space="preserve">vol3_s002133_t01_0550cdf3a644; vol3_s002133_t02_c31d58b353bf</t>
  </si>
  <si>
    <t xml:space="preserve">G54.02.01</t>
  </si>
  <si>
    <t xml:space="preserve">Shin Tisasana holds the highest examination rank</t>
  </si>
  <si>
    <t xml:space="preserve">vol3_s002135</t>
  </si>
  <si>
    <t xml:space="preserve">G54.03.01</t>
  </si>
  <si>
    <t xml:space="preserve">Monastic examination candidates appear in ceremonial processions from the capital's monasteries</t>
  </si>
  <si>
    <t xml:space="preserve">ဤစဉ်အခါ ရွှေမြို့ တော်လေးပြင်ရှိ ကျောင်းတိုက်တော် ဟူသမျှက ပထမစာတော်ပြန် အသီးအသီး ထွက်ကြသောကြောင့် ရွှေထီးရောင် ရွှေရထားရောင်တို့သည် ထိန်ပြောင်ဝင်းလက်၍ တစ်တိုက်နှင့်တစ်တိုက် တရောတယှက်တည်း ရှုမငြီး အောင် ရှိသောဟူ၏။</t>
  </si>
  <si>
    <t xml:space="preserve">It is said that at this time, because those who were to take the first-grade religious examination came out from every monastery in the four quarters of the royal city, the radiance of the golden umbrellas and the radiance of the golden carriages were so brilliant and dazzling, and so intertwined from one monastery to another, that it was a sight one could not tire of watching.</t>
  </si>
  <si>
    <t xml:space="preserve">G54.04.01</t>
  </si>
  <si>
    <t xml:space="preserve">The king sponsors the novice ordination of five princes</t>
  </si>
  <si>
    <t xml:space="preserve">G54.04.02</t>
  </si>
  <si>
    <t xml:space="preserve">The king donates offering trees to 63 titled monks</t>
  </si>
  <si>
    <t xml:space="preserve">G54.05.01</t>
  </si>
  <si>
    <t xml:space="preserve">The king entrusts his sons' education to Taungdaw Sayadaw</t>
  </si>
  <si>
    <t xml:space="preserve">G54.05.02</t>
  </si>
  <si>
    <t xml:space="preserve">The king donates a palace monastery for their teacher</t>
  </si>
  <si>
    <t xml:space="preserve">G54.06.01</t>
  </si>
  <si>
    <t xml:space="preserve">The king restricts access to adult princes and regulates their service attendants</t>
  </si>
  <si>
    <t xml:space="preserve">G54.06.02</t>
  </si>
  <si>
    <t xml:space="preserve">Prince Mekkhaya receives Maung Gyi and rewards him with gifts</t>
  </si>
  <si>
    <t xml:space="preserve">Violation of the access decree is captured, but Mekkhaya's independent gift/patronage to Maung Gyi is not.</t>
  </si>
  <si>
    <t xml:space="preserve">G54.06.03</t>
  </si>
  <si>
    <t xml:space="preserve">Maung Gyi's father-in-law reports the unauthorized access and submits the gifts to the king</t>
  </si>
  <si>
    <t xml:space="preserve">The subsequent royal reward for loyalty does not itself represent the father-in-law's act of reporting and submitting the gifts.</t>
  </si>
  <si>
    <t xml:space="preserve">G54.06.04</t>
  </si>
  <si>
    <t xml:space="preserve">The king strips Maung Gyi of office and confines him at Mogaung</t>
  </si>
  <si>
    <t xml:space="preserve">vol3_s002138_t03_fd21d9fed75d; vol3_s002138_t04_78eb2aa1a82e</t>
  </si>
  <si>
    <t xml:space="preserve">G54.07.01</t>
  </si>
  <si>
    <t xml:space="preserve">The king rewards the reporting official's loyalty with a new title</t>
  </si>
  <si>
    <t xml:space="preserve">vol3_s002139_t01_80bde82f5043; vol3_s002139_t02_66507fc113cd</t>
  </si>
  <si>
    <t xml:space="preserve">G54.08.01</t>
  </si>
  <si>
    <t xml:space="preserve">The king pardons Prince Mekkhaya because of his past loyal service and preserves his court access</t>
  </si>
  <si>
    <t xml:space="preserve">vol3_s002140_t01_b1be1ef63eba; vol3_s002140_t02_e5fd9974d469</t>
  </si>
  <si>
    <t xml:space="preserve">G55.01.01</t>
  </si>
  <si>
    <t xml:space="preserve">Pinle Prince and his consort Shin Nyein have daughter Ma Gyi</t>
  </si>
  <si>
    <t xml:space="preserve">vol3_s002515_t01_3e266d3f575c; vol3_s002515_t02_9b97cffd138b</t>
  </si>
  <si>
    <t xml:space="preserve">G55.02.01</t>
  </si>
  <si>
    <t xml:space="preserve">Khawthanti Prince and his consort Shin Pon have two daughters</t>
  </si>
  <si>
    <t xml:space="preserve">vol3_s002516_t01_f3376c50f0d6; vol3_s002516_t02_29994431b6ce; vol3_s002516_t03_40ae50f3ebea</t>
  </si>
  <si>
    <t xml:space="preserve">The object's 'younger sister' denotes the second daughter's place relative to the first within this offspring list; it is not treated as claiming the prince fathered his own sister.</t>
  </si>
  <si>
    <t xml:space="preserve">G55.03.01</t>
  </si>
  <si>
    <t xml:space="preserve">The king's household comprises the enumerated queens, children and grandchildren</t>
  </si>
  <si>
    <t xml:space="preserve">vol3_s002517_t01_58530aa445ef; vol3_s002517_t02_1909dbefd673; vol3_s002517_t03_1de8b450919c; vol3_s002517_t04_9f17dde53eae; vol3_s002517_t05_3eca925b2fe0; vol3_s002517_t06_471b13867b3b</t>
  </si>
  <si>
    <t xml:space="preserve">G56.01.01</t>
  </si>
  <si>
    <t xml:space="preserve">Court blacksmiths make the royal seal according to the seal minister's lettering</t>
  </si>
  <si>
    <t xml:space="preserve">vol3_s002933_t01_9bedda0be550; vol3_s002933_t02_f3d915363d15</t>
  </si>
  <si>
    <t xml:space="preserve">G56.02.01</t>
  </si>
  <si>
    <t xml:space="preserve">Attendants procure sacred waters for the king's pre-coronation purification</t>
  </si>
  <si>
    <t xml:space="preserve">vol3_s002934_t01_5769cc10c54c; vol3_s002934_t02_7716832d5a35</t>
  </si>
  <si>
    <t xml:space="preserve">G56.03.01</t>
  </si>
  <si>
    <t xml:space="preserve">The king makes a formal procession to the purification pavilion</t>
  </si>
  <si>
    <t xml:space="preserve">vol3_s002935_t01_984a4d78fffd; vol3_s002935_t02_d926a539c419</t>
  </si>
  <si>
    <t xml:space="preserve">G56.04.01</t>
  </si>
  <si>
    <t xml:space="preserve">Ritual specialists supervise the king's protective-thread ceremony and recite sacred verses</t>
  </si>
  <si>
    <t xml:space="preserve">vol3_s002936_t01_92b6ba0b5ea6; vol3_s002936_t02_6ee64cd42e62</t>
  </si>
  <si>
    <t xml:space="preserve">G56.05.01</t>
  </si>
  <si>
    <t xml:space="preserve">Offerings are made to Buddhist sacred beings, protective deities and royal ancestors</t>
  </si>
  <si>
    <t xml:space="preserve">vol3_s002937_t01_629d5adaae95; vol3_s002937_t02_004a60647a3b; vol3_s002937_t03_d8efda3fc1fa</t>
  </si>
  <si>
    <t xml:space="preserve">G56.06.01</t>
  </si>
  <si>
    <t xml:space="preserve">The king enters the purification pavilion and the auspicious moment is announced with cannon fire</t>
  </si>
  <si>
    <t xml:space="preserve">vol3_s002938_t01_167557c88e5d; vol3_s002938_t02_f0e83ac372a6</t>
  </si>
  <si>
    <t xml:space="preserve">G56.07.01</t>
  </si>
  <si>
    <t xml:space="preserve">Ritual specialists consecrate the protective thread around the pavilion</t>
  </si>
  <si>
    <t xml:space="preserve">G56.08.01</t>
  </si>
  <si>
    <t xml:space="preserve">The king wears the prescribed ritual ornaments</t>
  </si>
  <si>
    <t xml:space="preserve">vol3_s002940_t01_967ba2a01bc8; vol3_s002941_t01_390d89698235</t>
  </si>
  <si>
    <t xml:space="preserve">G56.10.01</t>
  </si>
  <si>
    <t xml:space="preserve">Burmese ritual specialists anoint the king with the prescribed waters</t>
  </si>
  <si>
    <t xml:space="preserve">G56.11.01</t>
  </si>
  <si>
    <t xml:space="preserve">The ritual specialists continue pouring consecrated water over the king</t>
  </si>
  <si>
    <t xml:space="preserve">G56.12.01</t>
  </si>
  <si>
    <t xml:space="preserve">The king performs the purification gesture using the vessel held on the Brahmin's head</t>
  </si>
  <si>
    <t xml:space="preserve">Purification detected, but the physical relationship is reversed.</t>
  </si>
  <si>
    <t xml:space="preserve">G56.13.01</t>
  </si>
  <si>
    <t xml:space="preserve">The temporary connecting walkway is dismantled on the king's return</t>
  </si>
  <si>
    <t xml:space="preserve">G56.14.01</t>
  </si>
  <si>
    <t xml:space="preserve">Attendants prepare the king's hair and insignia and he proceeds to the paritta pavilion</t>
  </si>
  <si>
    <t xml:space="preserve">G56.15.01</t>
  </si>
  <si>
    <t xml:space="preserve">Eight Brahmins perform the consecratory presentation</t>
  </si>
  <si>
    <t xml:space="preserve">G56.16.01</t>
  </si>
  <si>
    <t xml:space="preserve">The herald reads and presents the offering to the seven Buddhas</t>
  </si>
  <si>
    <t xml:space="preserve">G56.17.01</t>
  </si>
  <si>
    <t xml:space="preserve">Eight monks chant protective texts for the king while princes and ministers attend</t>
  </si>
  <si>
    <t xml:space="preserve">vol3_s002949_t01_7626777d3ad0; vol3_s002949_t02_965e0bf200df; vol3_s002950_t01_c7bd9bc37d87</t>
  </si>
  <si>
    <t xml:space="preserve">G56.19.01</t>
  </si>
  <si>
    <t xml:space="preserve">The king orders the release of prisoners and animals</t>
  </si>
  <si>
    <t xml:space="preserve">vol3_s002951_t01_a6d650bcda4c; vol3_s002951_t02_c68502f1bdd8</t>
  </si>
  <si>
    <t xml:space="preserve">G56.20.01</t>
  </si>
  <si>
    <t xml:space="preserve">The herald recites an auspicious poem and court performers celebrate</t>
  </si>
  <si>
    <t xml:space="preserve">vol3_s002952_t01_25fdcd6516b7; vol3_s002952_t02_70a9e4a11513</t>
  </si>
  <si>
    <t xml:space="preserve">G57.01.01</t>
  </si>
  <si>
    <t xml:space="preserve">The chief queen gives birth to a royal daughter</t>
  </si>
  <si>
    <t xml:space="preserve">vol3_s003290_t01_206b4bf9fb0c; vol3_s003290_t02_68e1e1e44c08</t>
  </si>
  <si>
    <t xml:space="preserve">G57.02.01</t>
  </si>
  <si>
    <t xml:space="preserve">The court performs the successive royal infancy ceremonies for the princess</t>
  </si>
  <si>
    <t xml:space="preserve">vol3_s003291_t01_47f95ce411b7; vol3_s003291_t02_5306d8ce5be5; vol3_s003291_t03_fa52655a1c41</t>
  </si>
  <si>
    <t xml:space="preserve">G57.03.01</t>
  </si>
  <si>
    <t xml:space="preserve">The chief queen moves to the southern palace</t>
  </si>
  <si>
    <t xml:space="preserve">G57.04.01</t>
  </si>
  <si>
    <t xml:space="preserve">The king and queen remove the former queens' fetters</t>
  </si>
  <si>
    <t xml:space="preserve">vol3_s003293_t01_476492314878; vol3_s003293_t02_460446ed1727</t>
  </si>
  <si>
    <t xml:space="preserve">Clemency/removal of confinement is accepted as a broad rendering of removal of fetters, without inferring release from all later court restrictions.</t>
  </si>
  <si>
    <t xml:space="preserve">G57.04.02</t>
  </si>
  <si>
    <t xml:space="preserve">The royal couple gives money and cloth to the former queens</t>
  </si>
  <si>
    <t xml:space="preserve">G57.05.01</t>
  </si>
  <si>
    <t xml:space="preserve">The royal couple redirects the usual end-of-Lent homage and firework observances toward pagoda offerings</t>
  </si>
  <si>
    <t xml:space="preserve">vol3_s003294_t01_eb6952164f66; vol3_s003294_t02_0a7ec8bfa26b; vol3_s003294_t03_a516d6d99818; vol3_s003294_t04_921a9e7b9542</t>
  </si>
  <si>
    <t xml:space="preserve">G57.06.01</t>
  </si>
  <si>
    <t xml:space="preserve">The royal court supplies candles to eighteen sacred sites and assigns officials to supervise the observances</t>
  </si>
  <si>
    <t xml:space="preserve">vol3_s003295_t01_53fdfe0df0a2; vol3_s003295_t02_28e716a12445; vol3_s003295_t03_2f7e9b2d7e92; vol3_s003295_t04_11699f74c85c</t>
  </si>
  <si>
    <t xml:space="preserve">G57.07.01</t>
  </si>
  <si>
    <t xml:space="preserve">The king rewards service-group musicians participating in the religious processions</t>
  </si>
  <si>
    <t xml:space="preserve">vol3_s003296_t01_e6fc0f362ea0; vol3_s003296_t02_9819928e3359</t>
  </si>
  <si>
    <t xml:space="preserve">G57.08.01</t>
  </si>
  <si>
    <t xml:space="preserve">The royal court commissions ceremonial labyrinths near the palace</t>
  </si>
  <si>
    <t xml:space="preserve">G57.09.01</t>
  </si>
  <si>
    <t xml:space="preserve">The spiral labyrinth is completed and illuminated</t>
  </si>
  <si>
    <t xml:space="preserve">G57.10.01</t>
  </si>
  <si>
    <t xml:space="preserve">The court replaces the spiral labyrinth with two others and the king and queen visit them</t>
  </si>
  <si>
    <t xml:space="preserve">vol3_s003299_t01_d5bfc8b74baf; vol3_s003299_t02_a8282818bf57; vol3_s003299_t03_bcdef04e3064; vol3_s003299_t04_024d770937c1</t>
  </si>
  <si>
    <t xml:space="preserve">G57.11.01</t>
  </si>
  <si>
    <t xml:space="preserve">The king and queen visit the newly completed and illuminated sixteen-part labyrinth</t>
  </si>
  <si>
    <t xml:space="preserve">vol3_s003300_t01_86e95e72f803; vol3_s003300_t02_56a9c350b682</t>
  </si>
  <si>
    <t xml:space="preserve">G58.01.01</t>
  </si>
  <si>
    <t xml:space="preserve">Princes and ministers supervise the annual worship of fifteen great nats</t>
  </si>
  <si>
    <t xml:space="preserve">vol3_s003314_t01_d5fa915aade5; vol3_s003314_t02_36d8b254759a</t>
  </si>
  <si>
    <t xml:space="preserve">G58.02.01</t>
  </si>
  <si>
    <t xml:space="preserve">The king and queen dedicate the fresh robes and offerings</t>
  </si>
  <si>
    <t xml:space="preserve">vol3_s003315_t01_cade9d050a10; vol3_s003315_t02_a8716f5ce68b; vol3_s003315_t03_545beeb4acfc</t>
  </si>
  <si>
    <t xml:space="preserve">G58.03.01</t>
  </si>
  <si>
    <t xml:space="preserve">Officials deliver the offerings to the designated Buddha shrines</t>
  </si>
  <si>
    <t xml:space="preserve">vol3_s003316_t01_eed515840536; vol3_s003316_t02_37d94f1e05cb</t>
  </si>
  <si>
    <t xml:space="preserve">G58.04.01</t>
  </si>
  <si>
    <t xml:space="preserve">The king and queen worship Maha Peinne and distribute gold and silver</t>
  </si>
  <si>
    <t xml:space="preserve">vol3_s003317_t01_a66f7eccd789; vol3_s003317_t02_68fe08c24c86</t>
  </si>
  <si>
    <t xml:space="preserve">G58.05.01</t>
  </si>
  <si>
    <t xml:space="preserve">The king orders the Hluttaw to arrange the former Letpansin queen's funeral according to her rank</t>
  </si>
  <si>
    <t xml:space="preserve">vol3_s003318_t01_fb05a63fde64; vol3_s003318_t02_7c33eddc564d; vol3_s003318_t03_4bb485e141b6; vol3_s003318_t04_6c2ccfdfbd7d</t>
  </si>
  <si>
    <t xml:space="preserve">G58.06.01</t>
  </si>
  <si>
    <t xml:space="preserve">The Kinwun lord of Myedu is confined for his offense</t>
  </si>
  <si>
    <t xml:space="preserve">vol3_s003319_t01_266158dd2e0a; vol3_s003319_t02_3a5cc5574410</t>
  </si>
  <si>
    <t xml:space="preserve">G58.07.01</t>
  </si>
  <si>
    <t xml:space="preserve">The king, queen and queen mother dedicate donations for the converted royal palace monastery</t>
  </si>
  <si>
    <t xml:space="preserve">vol3_s003320_t01_b7f50f25f700; vol3_s003320_t02_e3bfb9e532d9; vol3_s003320_t03_93552a403385</t>
  </si>
  <si>
    <t xml:space="preserve">G58.08.01</t>
  </si>
  <si>
    <t xml:space="preserve">Royal elephant-catching personnel capture an elephant</t>
  </si>
  <si>
    <t xml:space="preserve">G58.09.01</t>
  </si>
  <si>
    <t xml:space="preserve">Princes, officials and their wives supervise dedication of the royal monastery</t>
  </si>
  <si>
    <t xml:space="preserve">G58.10.01</t>
  </si>
  <si>
    <t xml:space="preserve">Seventy titled monks receive substantial gifts</t>
  </si>
  <si>
    <t xml:space="preserve">vol3_s003323_t01_46fd3c8520fb; vol3_s003323_t02_426190aa5b71</t>
  </si>
  <si>
    <t xml:space="preserve">G58.11.01</t>
  </si>
  <si>
    <t xml:space="preserve">The two named regiments march to the Shan states under their commanders</t>
  </si>
  <si>
    <t xml:space="preserve">vol3_s003324_t01_3c4c7d6c43e2; vol3_s003324_t02_c260d2fbae0b</t>
  </si>
  <si>
    <t xml:space="preserve">G58.12.01</t>
  </si>
  <si>
    <t xml:space="preserve">The king removes the lord of Mangyikyat from the clear-water ministry</t>
  </si>
  <si>
    <t xml:space="preserve">vol3_s003325_t01_d12c556970b6; vol3_s003325_t02_d4587bc31348</t>
  </si>
  <si>
    <t xml:space="preserve">G58.13.01</t>
  </si>
  <si>
    <t xml:space="preserve">The king gives the Talok governor/musketeer commander the additional Aung Pinle agricultural office</t>
  </si>
  <si>
    <t xml:space="preserve">vol3_s003326_t01_8dea320ecd97; vol3_s003326_t02_df2557f71ff9</t>
  </si>
  <si>
    <t xml:space="preserve">G58.14.01</t>
  </si>
  <si>
    <t xml:space="preserve">The Hluttaw orders the Mong Nai sawbwa to attend court</t>
  </si>
  <si>
    <t xml:space="preserve">G58.14.02</t>
  </si>
  <si>
    <t xml:space="preserve">The sawbwa promises to comply within forty days but delays</t>
  </si>
  <si>
    <t xml:space="preserve">G58.14.03</t>
  </si>
  <si>
    <t xml:space="preserve">The Hluttaw orders his capture dead or alive</t>
  </si>
  <si>
    <t xml:space="preserve">The first summons and delayed compliance are captured; the distinct escalation to an explicit dead-or-alive arrest order is absent.</t>
  </si>
  <si>
    <t xml:space="preserve">G58.14.04</t>
  </si>
  <si>
    <t xml:space="preserve">The sawbwa's sister, a former queen, is held in prison for flight</t>
  </si>
  <si>
    <t xml:space="preserve">G58.14.05</t>
  </si>
  <si>
    <t xml:space="preserve">The sawbwa mobilizes Mong Nai and Mong Nawng forces and captures and kills royal garrison personnel</t>
  </si>
  <si>
    <t xml:space="preserve">vol3_s003327_t04_1d1e4f02a09d; vol3_s003327_t05_d6c26eff5803</t>
  </si>
  <si>
    <t xml:space="preserve">G58.14.06</t>
  </si>
  <si>
    <t xml:space="preserve">The surviving royal commander retreats through Maukme and Nawngmon to Nyaungshwe</t>
  </si>
  <si>
    <t xml:space="preserve">G59.01.01</t>
  </si>
  <si>
    <t xml:space="preserve">The king exempts three aged ministers from mounted lance trials</t>
  </si>
  <si>
    <t xml:space="preserve">vol3_s003358_t01_443b406a382d; vol3_s003358_t02_dd5ec51a24b6</t>
  </si>
  <si>
    <t xml:space="preserve">G59.02.01</t>
  </si>
  <si>
    <t xml:space="preserve">Royal princes demonstrate lance skills before the sovereigns</t>
  </si>
  <si>
    <t xml:space="preserve">vol3_s003359_t01_610445ff596e; vol3_s003359_t02_d16a92c7b5cb</t>
  </si>
  <si>
    <t xml:space="preserve">G59.03.01</t>
  </si>
  <si>
    <t xml:space="preserve">Ministers and officials take part in the mounted lance trials</t>
  </si>
  <si>
    <t xml:space="preserve">vol3_s003360_t01_9663db3177c7; vol3_s003360_t02_abab0d38141a</t>
  </si>
  <si>
    <t xml:space="preserve">G59.04.01</t>
  </si>
  <si>
    <t xml:space="preserve">Foot soldiers demonstrate lance skills</t>
  </si>
  <si>
    <t xml:space="preserve">G59.05.01</t>
  </si>
  <si>
    <t xml:space="preserve">Kathè and Akkapat cavalry demonstrate mounted striking and cutting skills</t>
  </si>
  <si>
    <t xml:space="preserve">vol3_s003362_t01_f26c46d8dc37; vol3_s003362_t02_a26acc22b929</t>
  </si>
  <si>
    <t xml:space="preserve">G59.06.01</t>
  </si>
  <si>
    <t xml:space="preserve">Named officials and royal servants achieve recorded successes in the lance trials</t>
  </si>
  <si>
    <t xml:space="preserve">vol3_s003363_t01_bfb09af0d2d6; vol3_s003363_t02_318f6bc35f2e; vol3_s003363_t03_ded1de8d63ec; vol3_s003363_t04_c905d6af23d1; vol3_s003363_t05_4c181b1b3517; vol3_s003363_t06_e22e23363f0b; vol3_s003363_t07_0234445e4889; vol3_s003363_t08_21a0562e1aee; vol3_s003363_t09_fdd205f88553; vol3_s003363_t10_72d89c248ffc; vol3_s003363_t11_a20356b74bf4; vol3_s003363_t12_ceae46e9be33; vol3_s003363_t13_585ef9eea394</t>
  </si>
  <si>
    <t xml:space="preserve">The performance roster is substantially captured, but two territorial identities are wrong. Partial rather than demanding every hit count as a distinct relationship.</t>
  </si>
  <si>
    <t xml:space="preserve">G60.01.01</t>
  </si>
  <si>
    <t xml:space="preserve">The Burmese king delegates treaty authority to the Myothit inner minister</t>
  </si>
  <si>
    <t xml:space="preserve">vol3_s003679_t01_bdee170ef6dd; vol3_s003679_t03_d3d91dfceef8</t>
  </si>
  <si>
    <t xml:space="preserve">G60.01.02</t>
  </si>
  <si>
    <t xml:space="preserve">The French president delegates treaty authority to Jules Ferry</t>
  </si>
  <si>
    <t xml:space="preserve">G60.01.03</t>
  </si>
  <si>
    <t xml:space="preserve">The empowered representatives conclude the supplementary bilateral treaty</t>
  </si>
  <si>
    <t xml:space="preserve">The actual mutual agreement is credited through the immediately following alliance triple rather than counted as a separate omission.</t>
  </si>
  <si>
    <t xml:space="preserve">G60.02.01</t>
  </si>
  <si>
    <t xml:space="preserve">Burma and France establish lasting peace and alliance</t>
  </si>
  <si>
    <t xml:space="preserve">G60.03.01</t>
  </si>
  <si>
    <t xml:space="preserve">Both states grant reciprocal rights of trade and shipping</t>
  </si>
  <si>
    <t xml:space="preserve">vol3_s003681_t01_c7a56584b9b0; vol3_s003681_t02_1431b4092c70</t>
  </si>
  <si>
    <t xml:space="preserve">G60.04.01</t>
  </si>
  <si>
    <t xml:space="preserve">Each state promises visiting or resident traders the same taxes and customs treatment as its own subjects</t>
  </si>
  <si>
    <t xml:space="preserve">vol3_s003682_t01_49d8c89a0588; vol3_s003682_t02_92d21a84ac6d; vol3_s003685_t01_04211b849bd0</t>
  </si>
  <si>
    <t xml:space="preserve">French traders' obligations are captured and tax parity appears later on the same page; the reciprocal protection of Burmese subjects in France is not.</t>
  </si>
  <si>
    <t xml:space="preserve">G60.05.01</t>
  </si>
  <si>
    <t xml:space="preserve">Both states grant equal commercial, industrial and associated intellectual-property privileges</t>
  </si>
  <si>
    <t xml:space="preserve">vol3_s003683_t01_ad62871000c0; vol3_s003683_t02_21d883c7fff3; vol3_s003683_t03_16a13cd02b50</t>
  </si>
  <si>
    <t xml:space="preserve">French rights in Burma are captured; the reciprocal Burmese rights in France are not.</t>
  </si>
  <si>
    <t xml:space="preserve">G60.06.01</t>
  </si>
  <si>
    <t xml:space="preserve">Both states grant reciprocal access, residence, trade and property rights on national or favored-foreign terms</t>
  </si>
  <si>
    <t xml:space="preserve">vol3_s003684_t01_a29a0683ca35; vol3_s003684_t02_d31e12ed5dea; vol3_s003684_t03_4c1a6d494a76; vol3_s003684_t04_8d41770e1883</t>
  </si>
  <si>
    <t xml:space="preserve">The detailed rights granted to French subjects are captured; the reverse direction is not.</t>
  </si>
  <si>
    <t xml:space="preserve">G60.07.01</t>
  </si>
  <si>
    <t xml:space="preserve">Both states prohibit excess taxation relative to national or favored-foreign treatment</t>
  </si>
  <si>
    <t xml:space="preserve">vol3_s003685_t01_04211b849bd0; vol3_s003685_t02_dc87a6add999</t>
  </si>
  <si>
    <t xml:space="preserve">Parity is correctly represented for French subjects, but the reciprocal side is absent.</t>
  </si>
  <si>
    <t xml:space="preserve">G61.01.01</t>
  </si>
  <si>
    <t xml:space="preserve">The royal administration organizes the Buddha-image procession and preparation of its route</t>
  </si>
  <si>
    <t xml:space="preserve">vol3_s003743_t01_a413c36f939a; vol3_s003743_t02_b06b62b91f42; vol3_s003743_t03_a1417a97cd77</t>
  </si>
  <si>
    <t xml:space="preserve">G61.02.01</t>
  </si>
  <si>
    <t xml:space="preserve">Officials command 3,500 service personnel to haul the Buddha image</t>
  </si>
  <si>
    <t xml:space="preserve">vol3_s003744_t01_a1b16dd5443c; vol3_s003744_t02_1bf19ccdd4c2; vol3_s003744_t04_08446d93cea0</t>
  </si>
  <si>
    <t xml:space="preserve">G61.02.02</t>
  </si>
  <si>
    <t xml:space="preserve">Brahmin specialists determine and announce the ceremonial departure time</t>
  </si>
  <si>
    <t xml:space="preserve">G61.03.01</t>
  </si>
  <si>
    <t xml:space="preserve">Monks and laypeople along the route receive and make offerings to the image</t>
  </si>
  <si>
    <t xml:space="preserve">vol3_s003745_t01_44abb7a75857; vol3_s003745_t02_22daa41dbe7a</t>
  </si>
  <si>
    <t xml:space="preserve">G61.04.01</t>
  </si>
  <si>
    <t xml:space="preserve">The king orders local administrative and policing officials to maintain security along the procession route</t>
  </si>
  <si>
    <t xml:space="preserve">vol3_s003746_t01_bc563c128254; vol3_s003746_t02_dc6357c0837a; vol3_s003746_t03_6cb789ca8cfc</t>
  </si>
  <si>
    <t xml:space="preserve">B2G01.01.01</t>
  </si>
  <si>
    <t xml:space="preserve">Commanders pledge self-sacrificing service to Alaungpaya</t>
  </si>
  <si>
    <t xml:space="preserve">B2G01.01.02</t>
  </si>
  <si>
    <t xml:space="preserve">Commanders propose temporary accommodation followed by regrouping, seizure of Ava, incorporation of regional rulers and an advance on Hanthawaddy</t>
  </si>
  <si>
    <t xml:space="preserve">vol1_s000393_t02_c36a21d77d7d; vol1_s000393_t03_0d9ae8c27fc6; vol1_s000393_t04_a052b8ed0ec0</t>
  </si>
  <si>
    <t xml:space="preserve">The phased strategy is represented, but its explicit ultimate Hanthawaddy objective is not retained.</t>
  </si>
  <si>
    <t xml:space="preserve">B2G01.01.03</t>
  </si>
  <si>
    <t xml:space="preserve">Thakhin Lat acknowledges the commanders' proposal as a military strategy</t>
  </si>
  <si>
    <t xml:space="preserve">B2G01.02.01</t>
  </si>
  <si>
    <t xml:space="preserve">Thakhin Lat rejects suing for peace and proposes defensive attrition exploiting enemy logistical weakness</t>
  </si>
  <si>
    <t xml:space="preserve">vol1_s000394_t01_4dc8410c3704; vol1_s000394_t02_a5a21513c339; vol1_s000394_t03_584f6c0c07cb</t>
  </si>
  <si>
    <t xml:space="preserve">B2G01.02.02</t>
  </si>
  <si>
    <t xml:space="preserve">Thakhin Gyi proposes an aggressive sortie and pursuit to Ava</t>
  </si>
  <si>
    <t xml:space="preserve">B2G01.02.03</t>
  </si>
  <si>
    <t xml:space="preserve">Alaungpaya directs firm defensive attrition followed by his personal counteroffensive</t>
  </si>
  <si>
    <t xml:space="preserve">vol1_s000394_t05_f234682f146c; vol1_s000394_t06_ef9e3e6ae899; vol1_s000394_t07_e589b1b015e6</t>
  </si>
  <si>
    <t xml:space="preserve">B2G01.02.04</t>
  </si>
  <si>
    <t xml:space="preserve">Princes, royal relatives and commanders accept and carry out the king's defensive orders</t>
  </si>
  <si>
    <t xml:space="preserve">B2G02.01.01</t>
  </si>
  <si>
    <t xml:space="preserve">The king appoints Atula Yasa as religious authority</t>
  </si>
  <si>
    <t xml:space="preserve">B2G02.01.02</t>
  </si>
  <si>
    <t xml:space="preserve">The king suppresses sectarian division in favor of the Dukut-tin lineage</t>
  </si>
  <si>
    <t xml:space="preserve">B2G02.02.01</t>
  </si>
  <si>
    <t xml:space="preserve">The king prohibits slaughter, intoxicants and disapproved religious practices</t>
  </si>
  <si>
    <t xml:space="preserve">vol1_s000611_t01_d6df9c39789f; vol1_s000611_t02_bcf48c5e6856</t>
  </si>
  <si>
    <t xml:space="preserve">B2G02.02.02</t>
  </si>
  <si>
    <t xml:space="preserve">Local authorities must investigate and suppress prohibited practices, including arresting offenders</t>
  </si>
  <si>
    <t xml:space="preserve">B2G02.03.01</t>
  </si>
  <si>
    <t xml:space="preserve">Town and village headmen must compensate victims of theft</t>
  </si>
  <si>
    <t xml:space="preserve">B2G02.04.01</t>
  </si>
  <si>
    <t xml:space="preserve">Adjacent communities' headmen must compensate victims of inter-settlement robbery according to proximity</t>
  </si>
  <si>
    <t xml:space="preserve">B2G02.05.01</t>
  </si>
  <si>
    <t xml:space="preserve">The king prohibits chicken and pig sacrifices to field and village spirits</t>
  </si>
  <si>
    <t xml:space="preserve">B2G02.06.01</t>
  </si>
  <si>
    <t xml:space="preserve">The king punishes breaches of his prohibition</t>
  </si>
  <si>
    <t xml:space="preserve">B2G02.07.01</t>
  </si>
  <si>
    <t xml:space="preserve">The chronicle credits royal prohibition with protecting animals throughout the kingdom</t>
  </si>
  <si>
    <t xml:space="preserve">B2G02.08.01</t>
  </si>
  <si>
    <t xml:space="preserve">The king appoints Mahadan officials and clerks</t>
  </si>
  <si>
    <t xml:space="preserve">B2G02.08.02</t>
  </si>
  <si>
    <t xml:space="preserve">Mahadan officials are charged with inspecting and disciplining noncompliant monks</t>
  </si>
  <si>
    <t xml:space="preserve">B2G02.09.01</t>
  </si>
  <si>
    <t xml:space="preserve">Wrongdoers dig into and damage the Thiha Taw shrine</t>
  </si>
  <si>
    <t xml:space="preserve">B2G02.09.02</t>
  </si>
  <si>
    <t xml:space="preserve">The king directs the headman and monks to gather and preserve sacred objects for restoration</t>
  </si>
  <si>
    <t xml:space="preserve">vol1_s000618_t01_32644ff7eabc; vol1_s000618_t02_d327581d14ae</t>
  </si>
  <si>
    <t xml:space="preserve">B2G02.10.01</t>
  </si>
  <si>
    <t xml:space="preserve">The king brings sacred images to the capital and installs them in his palace for royal veneration</t>
  </si>
  <si>
    <t xml:space="preserve">B2G02.11.01</t>
  </si>
  <si>
    <t xml:space="preserve">The king grants his eldest son the title Thado Dhamma Raja</t>
  </si>
  <si>
    <t xml:space="preserve">B2G02.12.01</t>
  </si>
  <si>
    <t xml:space="preserve">The king grants his middle son the title Thado Min Saw</t>
  </si>
  <si>
    <t xml:space="preserve">B2G02.13.01</t>
  </si>
  <si>
    <t xml:space="preserve">The king grants his younger brother the title Thado Thinkha Thu</t>
  </si>
  <si>
    <t xml:space="preserve">B2G02.14.01</t>
  </si>
  <si>
    <t xml:space="preserve">The king grants new titles to Min Kyaw Pyanchi and Min Hla Shwe Taung</t>
  </si>
  <si>
    <t xml:space="preserve">vol1_s000623_t01_21e5c2df2c81; vol1_s000623_t02_a5956db205e8</t>
  </si>
  <si>
    <t xml:space="preserve">B2G02.15.01</t>
  </si>
  <si>
    <t xml:space="preserve">Banya Uparaja comes to the royal court and enters royal service</t>
  </si>
  <si>
    <t xml:space="preserve">B2G02.16.01</t>
  </si>
  <si>
    <t xml:space="preserve">Guna Ein invokes a kingship prophecy while recognizing Moksobo's emerging kingship and anticipating its threat</t>
  </si>
  <si>
    <t xml:space="preserve">The following sentences identify Moksobo as having established the throne and explain Guna Ein's decision to withdraw before an attack.</t>
  </si>
  <si>
    <t xml:space="preserve">B2G03.01.01</t>
  </si>
  <si>
    <t xml:space="preserve">Thado Min Saw receives the commanders' assessment of Mon military vulnerability</t>
  </si>
  <si>
    <t xml:space="preserve">B2G03.01.02</t>
  </si>
  <si>
    <t xml:space="preserve">Thado Min Saw acknowledges the commanders' submissions as military strategies</t>
  </si>
  <si>
    <t xml:space="preserve">B2G03.02.01</t>
  </si>
  <si>
    <t xml:space="preserve">Mon leaders place Banya Ein and Banya Kyaw in command of the Le-daung-we Nyaung-zin positions</t>
  </si>
  <si>
    <t xml:space="preserve">vol1_s000755_t01_6646fda4de65; vol1_s000755_t02_092e05be629d; vol1_s000755_t03_95c4988e97a0</t>
  </si>
  <si>
    <t xml:space="preserve">B2G03.03.01</t>
  </si>
  <si>
    <t xml:space="preserve">Thado Min Saw proposes a strike on the two Mon command positions to demoralize the rest</t>
  </si>
  <si>
    <t xml:space="preserve">vol1_s000756_t01_1ff1d0356900; vol1_s000756_t02_708128c51540</t>
  </si>
  <si>
    <t xml:space="preserve">B2G03.04.01</t>
  </si>
  <si>
    <t xml:space="preserve">The Konbaung side plans an attack on the Mon central position and a response to any supporting advance</t>
  </si>
  <si>
    <t xml:space="preserve">vol1_s000757_t01_e4ee8740ef5d; vol1_s000757_t02_a0246f52c291</t>
  </si>
  <si>
    <t xml:space="preserve">B2G03.05.01</t>
  </si>
  <si>
    <t xml:space="preserve">Thado Min Saw orders the sortie and conditional defensive strategy</t>
  </si>
  <si>
    <t xml:space="preserve">B2G03.05.02</t>
  </si>
  <si>
    <t xml:space="preserve">The named commanders participate in the ordered attack on Banya Ein's position</t>
  </si>
  <si>
    <t xml:space="preserve">B2G03.06.01</t>
  </si>
  <si>
    <t xml:space="preserve">The Konbaung sortie initially breaks Banya Ein's unit</t>
  </si>
  <si>
    <t xml:space="preserve">B2G03.07.01</t>
  </si>
  <si>
    <t xml:space="preserve">The Konbaung force also attacks and breaks the other Mon commander's unit</t>
  </si>
  <si>
    <t xml:space="preserve">B2G03.08.01</t>
  </si>
  <si>
    <t xml:space="preserve">Banya Ein and Banya Kyaw rally their troops through effective command and strong military resources</t>
  </si>
  <si>
    <t xml:space="preserve">vol1_s000761_t01_700324596588; vol1_s000761_t02_a0fb0aa1cb5a</t>
  </si>
  <si>
    <t xml:space="preserve">B2G03.08.02</t>
  </si>
  <si>
    <t xml:space="preserve">Thado Min Saw retreats when the rallied Mon forces cannot be overcome</t>
  </si>
  <si>
    <t xml:space="preserve">B2G03.09.01</t>
  </si>
  <si>
    <t xml:space="preserve">Thado Min Saw makes another unsuccessful attack on the New Palace position and retreats</t>
  </si>
  <si>
    <t xml:space="preserve">vol1_s000762_t01_97355ea9ce96; vol1_s000762_t03_fc02794ee42e</t>
  </si>
  <si>
    <t xml:space="preserve">B2G03.10.01</t>
  </si>
  <si>
    <t xml:space="preserve">Repeated Konbaung sorties fail to break the superior Mon forces, leaving the defenders confined to the city</t>
  </si>
  <si>
    <t xml:space="preserve">B2G03.11.01</t>
  </si>
  <si>
    <t xml:space="preserve">Thazi Nga Aung Nge captures two Mon horses</t>
  </si>
  <si>
    <t xml:space="preserve">B2G03.11.02</t>
  </si>
  <si>
    <t xml:space="preserve">Thazi Nga Aung Nge dies from a gunshot wound received on his sortie</t>
  </si>
  <si>
    <t xml:space="preserve">B2G03.12.01</t>
  </si>
  <si>
    <t xml:space="preserve">Alaungpaya mobilizes his royal army and marches to Kyaukmyaung</t>
  </si>
  <si>
    <t xml:space="preserve">B2G03.12.02</t>
  </si>
  <si>
    <t xml:space="preserve">Alaungpaya selects elite warriors and organizes and staffs the war-boat fleet</t>
  </si>
  <si>
    <t xml:space="preserve">vol1_s000765_t02_14040f20e020; vol1_s000765_t03_d6840ba469ad; vol1_s000765_t04_d05f67f683c4</t>
  </si>
  <si>
    <t xml:space="preserve">B2G04.01.01</t>
  </si>
  <si>
    <t xml:space="preserve">Nga Tha Aung publicly invokes and ritually tests Alaungpaya's religious legitimacy and promised conquest of Ramanya</t>
  </si>
  <si>
    <t xml:space="preserve">vol1_s000872_t01_614b11a920cb; vol1_s000872_t02_a5ac716c8009; vol1_s000872_t03_e1f6a85ce416</t>
  </si>
  <si>
    <t xml:space="preserve">B2G04.01.02</t>
  </si>
  <si>
    <t xml:space="preserve">The chronicle presents the miraculous offering as a validating sign of Alaungpaya's status</t>
  </si>
  <si>
    <t xml:space="preserve">B2G04.02.01</t>
  </si>
  <si>
    <t xml:space="preserve">Prome's leaders communicate its emergency and request rapid royal relief</t>
  </si>
  <si>
    <t xml:space="preserve">vol1_s000873_t01_d8d07ca088fc; vol1_s000873_t02_36d2b3845383</t>
  </si>
  <si>
    <t xml:space="preserve">B2G04.02.02</t>
  </si>
  <si>
    <t xml:space="preserve">Mon land and naval forces besiege Prome</t>
  </si>
  <si>
    <t xml:space="preserve">B2G04.02.03</t>
  </si>
  <si>
    <t xml:space="preserve">Mon forces advance as far as Magway and Malun</t>
  </si>
  <si>
    <t xml:space="preserve">B2G04.03.01</t>
  </si>
  <si>
    <t xml:space="preserve">Alaungpaya assesses the siege as too serious to leave solely to subordinate princes and commanders</t>
  </si>
  <si>
    <t xml:space="preserve">vol1_s000874_t01_0fb9cfde3547; vol1_s000874_t02_cc1e19c70da2</t>
  </si>
  <si>
    <t xml:space="preserve">B2G04.04.01</t>
  </si>
  <si>
    <t xml:space="preserve">Alaungpaya claims divine support for his political and military success</t>
  </si>
  <si>
    <t xml:space="preserve">B2G04.04.02</t>
  </si>
  <si>
    <t xml:space="preserve">Alaungpaya plans a campaign continuing to Hanthawaddy</t>
  </si>
  <si>
    <t xml:space="preserve">B2G04.04.03</t>
  </si>
  <si>
    <t xml:space="preserve">Alaungpaya commissions the Musketeer Minister to capture the disloyal Shwetaung lord</t>
  </si>
  <si>
    <t xml:space="preserve">vol1_s000875_t03_76458e23b7d7; vol1_s000875_t04_e56cd4ce41e7</t>
  </si>
  <si>
    <t xml:space="preserve">B2G04.04.04</t>
  </si>
  <si>
    <t xml:space="preserve">The Musketeer Minister is to secure allegiance oaths from the Shan rulers for Alaungpaya</t>
  </si>
  <si>
    <t xml:space="preserve">vol1_s000875_t05_a15bdba7308b; vol1_s000875_t07_c2a430c12d72</t>
  </si>
  <si>
    <t xml:space="preserve">B2G04.04.05</t>
  </si>
  <si>
    <t xml:space="preserve">The Shwetaung lord deserts royal allegiance and takes refuge with hostile forces</t>
  </si>
  <si>
    <t xml:space="preserve">B2G04.05.01</t>
  </si>
  <si>
    <t xml:space="preserve">Minhla Sithu volunteers to lead a small force against the Mon advance</t>
  </si>
  <si>
    <t xml:space="preserve">B2G04.05.02</t>
  </si>
  <si>
    <t xml:space="preserve">Alaungpaya entrusts the relief command to Minhla Sithu</t>
  </si>
  <si>
    <t xml:space="preserve">B2G04.05.03</t>
  </si>
  <si>
    <t xml:space="preserve">Minhla Sithu mobilizes and departs with an armed fleet and two thousand men</t>
  </si>
  <si>
    <t xml:space="preserve">vol1_s000876_t03_4a3cdb45c509; vol1_s000876_t04_8c2f8143566a</t>
  </si>
  <si>
    <t xml:space="preserve">B2G04.05.04</t>
  </si>
  <si>
    <t xml:space="preserve">The king sends sealed instructions for Thado Kyawthu and Ramathiri to secure provisions and their storage sites</t>
  </si>
  <si>
    <t xml:space="preserve">vol1_s000876_t05_fdfff903feba; vol1_s000876_t06_18993b8c1334</t>
  </si>
  <si>
    <t xml:space="preserve">B2G04.05.05</t>
  </si>
  <si>
    <t xml:space="preserve">The king instructs Thado Kyawthu and Ramathiri to maintain the defense of Prome</t>
  </si>
  <si>
    <t xml:space="preserve">vol1_s000876_t05_fdfff903feba; vol1_s000876_t07_f53d809a5cc3</t>
  </si>
  <si>
    <t xml:space="preserve">B2G05.01.01</t>
  </si>
  <si>
    <t xml:space="preserve">The Hanthawaddy king orders the capture of Dagon's Burmese garrison and assigns Dalaban and Mattara Bo Pae Kyaw naval and land commands</t>
  </si>
  <si>
    <t xml:space="preserve">vol1_s001137_t01_202bba1ad484; vol1_s001137_t02_7c878b91538a; vol1_s001137_t03_735ca067e447; vol1_s001137_t04_0d7b990a12db; vol1_s001137_t05_39295057381f</t>
  </si>
  <si>
    <t xml:space="preserve">B2G05.02.01</t>
  </si>
  <si>
    <t xml:space="preserve">Dalaban and Mattara Bo Pae Kyaw conduct the coordinated siege and bombardment of Dagon</t>
  </si>
  <si>
    <t xml:space="preserve">vol1_s001138_t01_f325f6c7cbb9; vol1_s001138_t02_d386b6ad2a2b</t>
  </si>
  <si>
    <t xml:space="preserve">B2G05.02.02</t>
  </si>
  <si>
    <t xml:space="preserve">The besiegers' artillery damages the fortifications and forces the defenders into cover</t>
  </si>
  <si>
    <t xml:space="preserve">B2G05.03.01</t>
  </si>
  <si>
    <t xml:space="preserve">Burmese commanders repair the fortifications, deploy defenders and maintain resistance</t>
  </si>
  <si>
    <t xml:space="preserve">vol1_s001139_t01_20bfca9ec7ae; vol1_s001139_t02_593240765e63</t>
  </si>
  <si>
    <t xml:space="preserve">B2G05.04.01</t>
  </si>
  <si>
    <t xml:space="preserve">Dalaban sends a demoralizing challenge to Min Hla Min Khaung and the Burmese commanders</t>
  </si>
  <si>
    <t xml:space="preserve">vol1_s001140_t01_670c07a600ce; vol1_s001140_t03_d45340f6ff3b</t>
  </si>
  <si>
    <t xml:space="preserve">B2G05.04.02</t>
  </si>
  <si>
    <t xml:space="preserve">Dalaban's message asserts the Hanthawaddy king's legitimating supremacy over Ramanya and other rulers</t>
  </si>
  <si>
    <t xml:space="preserve">B2G05.04.03</t>
  </si>
  <si>
    <t xml:space="preserve">Dalaban offers the Burmese commanders safe passage out</t>
  </si>
  <si>
    <t xml:space="preserve">B2G05.05.01</t>
  </si>
  <si>
    <t xml:space="preserve">Min Hla Min Khaung and the commanders send a rebuttal to the Mon commanders</t>
  </si>
  <si>
    <t xml:space="preserve">B2G05.05.02</t>
  </si>
  <si>
    <t xml:space="preserve">The reply asserts Alaungpaya's royal titles and supremacy over subordinate kings and the Mon regions</t>
  </si>
  <si>
    <t xml:space="preserve">vol1_s001141_t02_5742515c5538; vol1_s001141_t03_d0896640b367; vol1_s001141_t04_e4300855819d</t>
  </si>
  <si>
    <t xml:space="preserve">B2G05.05.03</t>
  </si>
  <si>
    <t xml:space="preserve">The Burmese commanders declare their service and dependence on Alaungpaya</t>
  </si>
  <si>
    <t xml:space="preserve">B2G05.05.04</t>
  </si>
  <si>
    <t xml:space="preserve">The reply acknowledges that Mon forces previously held their ground at Baung-nin-ma-lit and Thanlyin</t>
  </si>
  <si>
    <t xml:space="preserve">vol1_s001141_t06_ddaaad5454b5; vol1_s001141_t07_d6d57c0de83c</t>
  </si>
  <si>
    <t xml:space="preserve">B2G06.01.01</t>
  </si>
  <si>
    <t xml:space="preserve">Forces sent by the royal sons intercept and attack Pegu's supply convoy for Thanlyin</t>
  </si>
  <si>
    <t xml:space="preserve">vol1_s001219_t01_dab463a58813; vol1_s001219_t02_099cdbc59e30</t>
  </si>
  <si>
    <t xml:space="preserve">B2G06.02.01</t>
  </si>
  <si>
    <t xml:space="preserve">The royal side seizes the Mon grain boats and their provisions</t>
  </si>
  <si>
    <t xml:space="preserve">B2G06.03.01</t>
  </si>
  <si>
    <t xml:space="preserve">The king stations Maha Senapati and establishes a forward base south of Thanlyin</t>
  </si>
  <si>
    <t xml:space="preserve">vol1_s001221_t01_e2e44e65940c; vol1_s001221_t02_d804ccda66af</t>
  </si>
  <si>
    <t xml:space="preserve">B2G06.04.01</t>
  </si>
  <si>
    <t xml:space="preserve">Wera Kyawthu and Nanda Yawda are sent with seven hundred men to infiltrate and alarm Thanlyin at night</t>
  </si>
  <si>
    <t xml:space="preserve">vol1_s001222_t01_69a4cd7a0ee5; vol1_s001222_t02_58bec35979ef</t>
  </si>
  <si>
    <t xml:space="preserve">B2G06.05.01</t>
  </si>
  <si>
    <t xml:space="preserve">Wera Kyawthu and Nanda Yawda fight through the Mon sentries</t>
  </si>
  <si>
    <t xml:space="preserve">B2G06.06.01</t>
  </si>
  <si>
    <t xml:space="preserve">Mon control of the retractable moat bridge prevents the raiders from entering and forces their return</t>
  </si>
  <si>
    <t xml:space="preserve">The bridge-defense event is credited despite the other triple's wrong city name; no extra missing unit is manufactured for each tactical consequence.</t>
  </si>
  <si>
    <t xml:space="preserve">B2G06.07.01</t>
  </si>
  <si>
    <t xml:space="preserve">Gamani Kyaw is commissioned to mount an ambush with two hundred musketeers at Kyaik Khauk</t>
  </si>
  <si>
    <t xml:space="preserve">vol1_s001225_t01_6e3fce86265e; vol1_s001225_t02_163a7ff68398</t>
  </si>
  <si>
    <t xml:space="preserve">B2G06.08.01</t>
  </si>
  <si>
    <t xml:space="preserve">Konbaung forces inflict heavy casualties on the opposing Kala troops</t>
  </si>
  <si>
    <t xml:space="preserve">B2G06.09.01</t>
  </si>
  <si>
    <t xml:space="preserve">Konbaung forces capture horses and muskets from the defeated force</t>
  </si>
  <si>
    <t xml:space="preserve">B2G06.10.01</t>
  </si>
  <si>
    <t xml:space="preserve">The royal princes commission the armed expedition to post a challenge at Hanthawaddy's gate</t>
  </si>
  <si>
    <t xml:space="preserve">The mission's letter in s15 explicitly identifies the royal sons as the commissioning authority.</t>
  </si>
  <si>
    <t xml:space="preserve">B2G06.10.02</t>
  </si>
  <si>
    <t xml:space="preserve">Minhla Minkhaung and the other named commanders lead the mounted and armed expedition</t>
  </si>
  <si>
    <t xml:space="preserve">B2G06.11.01</t>
  </si>
  <si>
    <t xml:space="preserve">Minkyaw Tansaung and Minkyaw Yehtut accompany the expedition with a naval force</t>
  </si>
  <si>
    <t xml:space="preserve">B2G06.12.01</t>
  </si>
  <si>
    <t xml:space="preserve">The Hanthawaddy king deploys A-thi Bo with a force to intercept the expedition</t>
  </si>
  <si>
    <t xml:space="preserve">B2G06.12.02</t>
  </si>
  <si>
    <t xml:space="preserve">Minhla Minkhaung's force defeats A-thi Bo's force</t>
  </si>
  <si>
    <t xml:space="preserve">B2G06.13.01</t>
  </si>
  <si>
    <t xml:space="preserve">Minhla Minkhaung's force takes Mon prisoners and weapons</t>
  </si>
  <si>
    <t xml:space="preserve">B2G06.14.01</t>
  </si>
  <si>
    <t xml:space="preserve">Minhla Minkhaung and Minhtin Nawrahta post the letter at Hanthawaddy's Pan Taing Gate</t>
  </si>
  <si>
    <t xml:space="preserve">B2G06.15.01</t>
  </si>
  <si>
    <t xml:space="preserve">The letter asserts Alaungpaya's cosmic, moral and universal royal supremacy</t>
  </si>
  <si>
    <t xml:space="preserve">vol1_s001233_t01_1b8e3008fe1f; vol1_s001233_t02_294f68b56ea7</t>
  </si>
  <si>
    <t xml:space="preserve">B2G06.15.02</t>
  </si>
  <si>
    <t xml:space="preserve">The letter issues an intimidating military challenge to the Pegu ruler</t>
  </si>
  <si>
    <t xml:space="preserve">B2G07.01.01</t>
  </si>
  <si>
    <t xml:space="preserve">Minhla Minkhaung offers the Mon force a route out</t>
  </si>
  <si>
    <t xml:space="preserve">B2G07.02.01</t>
  </si>
  <si>
    <t xml:space="preserve">Minhla Minkhaung opens the eastern siege line</t>
  </si>
  <si>
    <t xml:space="preserve">B2G07.03.01</t>
  </si>
  <si>
    <t xml:space="preserve">The Mon commanders and soldiers decline to leave because they suspect a trap</t>
  </si>
  <si>
    <t xml:space="preserve">B2G07.03.02</t>
  </si>
  <si>
    <t xml:space="preserve">Minhla Minkhaung's men tunnel into the camp, burn its shelters and attack the Mon force</t>
  </si>
  <si>
    <t xml:space="preserve">B2G07.04.01</t>
  </si>
  <si>
    <t xml:space="preserve">The Mon force flees through the opening in the eastern siege line</t>
  </si>
  <si>
    <t xml:space="preserve">B2G07.05.01</t>
  </si>
  <si>
    <t xml:space="preserve">Royal soldiers pursue, kill and capture Mon troops, including two named commanders</t>
  </si>
  <si>
    <t xml:space="preserve">vol1_s001279_t01_040cff3ec979; vol1_s001279_t02_c9d8402109c6</t>
  </si>
  <si>
    <t xml:space="preserve">B2G07.05.02</t>
  </si>
  <si>
    <t xml:space="preserve">Zenge Bo escapes the royal soldiers on horseback</t>
  </si>
  <si>
    <t xml:space="preserve">B2G07.06.01</t>
  </si>
  <si>
    <t xml:space="preserve">Commanders present the captured people and military assets to the king</t>
  </si>
  <si>
    <t xml:space="preserve">B2G07.06.02</t>
  </si>
  <si>
    <t xml:space="preserve">The king rewards commanders and warriors according to their service</t>
  </si>
  <si>
    <t xml:space="preserve">B2G07.07.01</t>
  </si>
  <si>
    <t xml:space="preserve">A later royal commission compiles the chronicle with monastic, Brahmin and ministerial scholars</t>
  </si>
  <si>
    <t xml:space="preserve">vol1_s001281_t01_2d071207fd1b; vol1_s001281_t02_c01c58af528a</t>
  </si>
  <si>
    <t xml:space="preserve">B2G07.07.02</t>
  </si>
  <si>
    <t xml:space="preserve">The colophon presents the commissioning monarch through sovereign titles and royal patronage</t>
  </si>
  <si>
    <t xml:space="preserve">B2G08.01.01</t>
  </si>
  <si>
    <t xml:space="preserve">Dalapan and Zegai Bo fail to rally their troops and retreat by land, abandoning their boats</t>
  </si>
  <si>
    <t xml:space="preserve">vol1_s001297_t01_02c66b46893c; vol1_s001297_t02_adecfdc5cbf2</t>
  </si>
  <si>
    <t xml:space="preserve">B2G08.02.01</t>
  </si>
  <si>
    <t xml:space="preserve">Alaungpaya's forces capture the Mon boats and their rice provisions</t>
  </si>
  <si>
    <t xml:space="preserve">B2G08.03.01</t>
  </si>
  <si>
    <t xml:space="preserve">Alaungpaya's forces seize the enemy commanders' vessels, artillery and firearms</t>
  </si>
  <si>
    <t xml:space="preserve">B2G08.04.01</t>
  </si>
  <si>
    <t xml:space="preserve">The royal blockade deprives Thanlyin of supplies</t>
  </si>
  <si>
    <t xml:space="preserve">B2G08.04.02</t>
  </si>
  <si>
    <t xml:space="preserve">Starving inhabitants leave Thanlyin and enter the royal siege camps</t>
  </si>
  <si>
    <t xml:space="preserve">B2G08.05.01</t>
  </si>
  <si>
    <t xml:space="preserve">Banya Dala and the Mon commanders request a truce during Buddhist Lent</t>
  </si>
  <si>
    <t xml:space="preserve">B2G08.06.01</t>
  </si>
  <si>
    <t xml:space="preserve">Alaungpaya's first dream is presented in the sequence of conquest-legitimating omens</t>
  </si>
  <si>
    <t xml:space="preserve">B2G08.07.01</t>
  </si>
  <si>
    <t xml:space="preserve">Alaungpaya's second dream is presented in the sequence of conquest-legitimating omens</t>
  </si>
  <si>
    <t xml:space="preserve">B2G08.08.01</t>
  </si>
  <si>
    <t xml:space="preserve">Alaungpaya's third dream is presented in the sequence of conquest-legitimating omens</t>
  </si>
  <si>
    <t xml:space="preserve">B2G08.09.01</t>
  </si>
  <si>
    <t xml:space="preserve">Alaungpaya interprets his dreams as foretelling possession of the Mon regions</t>
  </si>
  <si>
    <t xml:space="preserve">B2G08.10.01</t>
  </si>
  <si>
    <t xml:space="preserve">Banya Dala consults military leaders, soldiers and wealthy townsmen</t>
  </si>
  <si>
    <t xml:space="preserve">B2G08.11.01</t>
  </si>
  <si>
    <t xml:space="preserve">Banya Dala credits his soldiers' continuing service despite hunger to their obedience to his commanders</t>
  </si>
  <si>
    <t xml:space="preserve">B2G08.11.02</t>
  </si>
  <si>
    <t xml:space="preserve">Banya Dala proposes evacuation by sea to a provisioned position, winning local agreement</t>
  </si>
  <si>
    <t xml:space="preserve">B2G08.11.03</t>
  </si>
  <si>
    <t xml:space="preserve">Refugees transmit the enemy's evacuation plan to Alaungpaya</t>
  </si>
  <si>
    <t xml:space="preserve">B2G08.11.04</t>
  </si>
  <si>
    <t xml:space="preserve">Alaungpaya completes, names and staffs the royal warship with selected gunners and warriors</t>
  </si>
  <si>
    <t xml:space="preserve">vol1_s001307_t03_2e23d0629503; vol1_s001307_t04_025b29ce408f</t>
  </si>
  <si>
    <t xml:space="preserve">B2G08.11.05</t>
  </si>
  <si>
    <t xml:space="preserve">Alaungpaya orders the naval force to destroy Thanlyin's defending fleet</t>
  </si>
  <si>
    <t xml:space="preserve">B2G08.12.01</t>
  </si>
  <si>
    <t xml:space="preserve">The royal warship and fleet deploy toward Thanlyin</t>
  </si>
  <si>
    <t xml:space="preserve">B2G09.01.01</t>
  </si>
  <si>
    <t xml:space="preserve">Dwa-zet reports his circumstances to Prince Thiri Thudhamma Raja</t>
  </si>
  <si>
    <t xml:space="preserve">B2G09.01.02</t>
  </si>
  <si>
    <t xml:space="preserve">The prince forwards Dwa-zet and his family to Alaungpaya</t>
  </si>
  <si>
    <t xml:space="preserve">The arrival/submission of the family to the king is represented, but the prince's intermediary act of forwarding them is absent.</t>
  </si>
  <si>
    <t xml:space="preserve">B2G09.02.01</t>
  </si>
  <si>
    <t xml:space="preserve">Alaungpaya questions the incoming commander and tests his account by showing him the assembled officers</t>
  </si>
  <si>
    <t xml:space="preserve">vol1_s001387_t01_721a3f8f8dac; vol1_s001387_t04_9e91ed79fe95</t>
  </si>
  <si>
    <t xml:space="preserve">B2G09.02.02</t>
  </si>
  <si>
    <t xml:space="preserve">Dwa-zet offers service to Alaungpaya after leaving Pegu</t>
  </si>
  <si>
    <t xml:space="preserve">B2G09.02.03</t>
  </si>
  <si>
    <t xml:space="preserve">Dwa-zet identifies Minhla Minkhaung as the formidable commander he faced during the earlier retreat</t>
  </si>
  <si>
    <t xml:space="preserve">vol1_s001387_t03_c7fb2a7cfa42; vol1_s001387_t05_dc5bc0b2d0cb</t>
  </si>
  <si>
    <t xml:space="preserve">B2G09.03.01</t>
  </si>
  <si>
    <t xml:space="preserve">Alaungpaya orders Minhla Minkhaung to stand and loosen his hair for identification</t>
  </si>
  <si>
    <t xml:space="preserve">B2G09.04.01</t>
  </si>
  <si>
    <t xml:space="preserve">Alaungpaya restores Dwa-zet's captured wife, children and servants</t>
  </si>
  <si>
    <t xml:space="preserve">B2G09.04.02</t>
  </si>
  <si>
    <t xml:space="preserve">The king acknowledges the battlefield recognition and Minhla Minkhaung's fearsome reputation</t>
  </si>
  <si>
    <t xml:space="preserve">B2G09.05.01</t>
  </si>
  <si>
    <t xml:space="preserve">Alaungpaya gives Dwa-zet the title Banya Dala</t>
  </si>
  <si>
    <t xml:space="preserve">vol1_s001390_t01_ecddb29d0ab8; vol1_s001390_t02_a29918f9441d</t>
  </si>
  <si>
    <t xml:space="preserve">B2G09.05.02</t>
  </si>
  <si>
    <t xml:space="preserve">Alaungpaya places Dwa-zet under Prince Thiri Thudhamma Raja for royal service</t>
  </si>
  <si>
    <t xml:space="preserve">B2G10.01.01</t>
  </si>
  <si>
    <t xml:space="preserve">Min Myat Swa receives funeral honors and white umbrellas appropriate to a great queen</t>
  </si>
  <si>
    <t xml:space="preserve">vol1_s001969_t01_9837bd8fceb0; vol1_s001969_t02_2dfc8838c909</t>
  </si>
  <si>
    <t xml:space="preserve">B2G10.02.01</t>
  </si>
  <si>
    <t xml:space="preserve">Alaungpaya orders maintenance and management of irrigation works in the nine southern districts</t>
  </si>
  <si>
    <t xml:space="preserve">B2G10.04.01</t>
  </si>
  <si>
    <t xml:space="preserve">Alaungpaya assembles and awaits the military and service contingents</t>
  </si>
  <si>
    <t xml:space="preserve">B2G10.04.02</t>
  </si>
  <si>
    <t xml:space="preserve">The chief queen, princess and concubines come to meet the king at Kyaukmyaung</t>
  </si>
  <si>
    <t xml:space="preserve">B2G10.05.01</t>
  </si>
  <si>
    <t xml:space="preserve">The royal procession to Ratanasingha displays sacred relics, regalia and elevated royal status</t>
  </si>
  <si>
    <t xml:space="preserve">vol1_s001973_t01_22f2ff599cff; vol1_s001973_t02_74893565ac77; vol1_s001973_t04_b705221651d2; vol1_s001973_t05_c31fcf9d1897</t>
  </si>
  <si>
    <t xml:space="preserve">B2G10.05.02</t>
  </si>
  <si>
    <t xml:space="preserve">Military guards and armed contingents escort the king in an ordered procession</t>
  </si>
  <si>
    <t xml:space="preserve">B2G11.01.01</t>
  </si>
  <si>
    <t xml:space="preserve">The new king organizes Alaungpaya's funeral with the court elites and universal-monarch honors at Ratanasingha</t>
  </si>
  <si>
    <t xml:space="preserve">vol1_s002326_t01_5d02f6cfe62c; vol1_s002326_t02_6a50dfafc81f; vol1_s002326_t03_999473b6efc5; vol1_s002326_t04_f07c6a913953</t>
  </si>
  <si>
    <t xml:space="preserve">B2G11.02.01</t>
  </si>
  <si>
    <t xml:space="preserve">Alaungpaya's birth is framed through the royal astrological horoscope</t>
  </si>
  <si>
    <t xml:space="preserve">B2G11.04.01</t>
  </si>
  <si>
    <t xml:space="preserve">The chronicle records Alaungpaya's period of royal rule</t>
  </si>
  <si>
    <t xml:space="preserve">B2G11.06.01</t>
  </si>
  <si>
    <t xml:space="preserve">Natural signs, learned interpretation and prophecies frame the limit and ending of Alaungpaya's reign</t>
  </si>
  <si>
    <t xml:space="preserve">vol1_s002331_t01_d433ff4f9092; vol1_s002331_t02_82fc2e332ca0; vol1_s002331_t03_44a56cba9875</t>
  </si>
  <si>
    <t xml:space="preserve">B2G11.07.01</t>
  </si>
  <si>
    <t xml:space="preserve">The chronicle credits Alaungpaya with noble and dynastic sources of power</t>
  </si>
  <si>
    <t xml:space="preserve">B2G11.07.02</t>
  </si>
  <si>
    <t xml:space="preserve">The chronicle asserts Alaungpaya's repeated victory over enemies and successful realization of his plans</t>
  </si>
  <si>
    <t xml:space="preserve">B2G11.07.03</t>
  </si>
  <si>
    <t xml:space="preserve">Alaungpaya judges and patronizes ministers and warriors according to their merits</t>
  </si>
  <si>
    <t xml:space="preserve">vol1_s002332_t02_98f514f22b6c; vol1_s002332_t03_3afd3018be70; vol1_s002332_t04_d4ac3514373e</t>
  </si>
  <si>
    <t xml:space="preserve">B2G11.08.01</t>
  </si>
  <si>
    <t xml:space="preserve">Alaungpaya's royal character is presented through faith in the Three Jewels</t>
  </si>
  <si>
    <t xml:space="preserve">B2G11.09.01</t>
  </si>
  <si>
    <t xml:space="preserve">Alaungpaya sponsors the listed pagodas, monastery, walkway and rest houses</t>
  </si>
  <si>
    <t xml:space="preserve">vol1_s002334_t01_2c02f69b101e; vol1_s002334_t02_65492157e906; vol1_s002334_t03_915ad3085322; vol1_s002334_t04_8ab1d49f32d3; vol1_s002334_t05_2735be85f520; vol1_s002334_t06_d80f5558f4dc; vol1_s002334_t07_252ca44cd3d7; vol1_s002334_t08_060043aa047d; vol1_s002334_t09_623b325eff39; vol1_s002334_t10_9ff9a37b6b19; vol1_s002334_t11_a662c089f72f</t>
  </si>
  <si>
    <t xml:space="preserve">B2G11.09.02</t>
  </si>
  <si>
    <t xml:space="preserve">Alaungpaya finances the repair of older religious monuments across the country</t>
  </si>
  <si>
    <t xml:space="preserve">B2G11.09.03</t>
  </si>
  <si>
    <t xml:space="preserve">Alaungpaya sponsors annual novice and monastic ordinations</t>
  </si>
  <si>
    <t xml:space="preserve">B2G12.01.01</t>
  </si>
  <si>
    <t xml:space="preserve">The king links prosperous rule, the flourishing Sasana and his aspiration to Buddhahood</t>
  </si>
  <si>
    <t xml:space="preserve">vol1_s002519_t01_7c58d92792ef; vol1_s002519_t02_6aea137892c5; vol1_s002519_t03_6b1290d7a601</t>
  </si>
  <si>
    <t xml:space="preserve">B2G12.01.02</t>
  </si>
  <si>
    <t xml:space="preserve">The king models the expanded capital on Vesali, incorporating religious sites and establishing its eastern gates</t>
  </si>
  <si>
    <t xml:space="preserve">vol1_s002519_t04_40365dac3722; vol1_s002519_t05_c5138a7f6223; vol1_s002519_t06_5ea4cbcfcd47</t>
  </si>
  <si>
    <t xml:space="preserve">B2G12.02.01</t>
  </si>
  <si>
    <t xml:space="preserve">The king incorporates the southern religious precincts and establishes the southern gates</t>
  </si>
  <si>
    <t xml:space="preserve">vol1_s002520_t01_94174126fa53; vol1_s002520_t02_440c271c5cc9</t>
  </si>
  <si>
    <t xml:space="preserve">B2G12.03.01</t>
  </si>
  <si>
    <t xml:space="preserve">The king incorporates the western religious precincts and establishes the western gates</t>
  </si>
  <si>
    <t xml:space="preserve">vol1_s002521_t01_dbcd8bd48526; vol1_s002521_t02_e6061a944c7d</t>
  </si>
  <si>
    <t xml:space="preserve">B2G12.04.01</t>
  </si>
  <si>
    <t xml:space="preserve">The king incorporates the northern religious precincts and establishes the northern gates</t>
  </si>
  <si>
    <t xml:space="preserve">vol1_s002522_t01_829461d64103; vol1_s002522_t02_a09081eb5de4</t>
  </si>
  <si>
    <t xml:space="preserve">B2G12.05.01</t>
  </si>
  <si>
    <t xml:space="preserve">The king establishes the stated total of twenty-three gates in the combined city</t>
  </si>
  <si>
    <t xml:space="preserve">B2G12.06.01</t>
  </si>
  <si>
    <t xml:space="preserve">The king constructs the defensive moat and founds the expanded capital at an auspicious time</t>
  </si>
  <si>
    <t xml:space="preserve">vol1_s002524_t01_5e1c2f2fa9ea; vol1_s002524_t02_3da7f911752f; vol1_s002524_t03_755badc0194c</t>
  </si>
  <si>
    <t xml:space="preserve">B2G13.01.01</t>
  </si>
  <si>
    <t xml:space="preserve">Outlying Siamese communities mobilize a relief force against the Burmese siege</t>
  </si>
  <si>
    <t xml:space="preserve">B2G13.01.02</t>
  </si>
  <si>
    <t xml:space="preserve">The two Burmese generals assign commanders and forces to intercept the relief army</t>
  </si>
  <si>
    <t xml:space="preserve">B2G13.01.03</t>
  </si>
  <si>
    <t xml:space="preserve">The Burmese commanders incorporate submitting Shan-Siamese men into a military unit</t>
  </si>
  <si>
    <t xml:space="preserve">B2G13.01.04</t>
  </si>
  <si>
    <t xml:space="preserve">The commanders place Dewa Sekkathu over the incorporated vanguard</t>
  </si>
  <si>
    <t xml:space="preserve">B2G13.02.01</t>
  </si>
  <si>
    <t xml:space="preserve">The three Burmese units make a coordinated attack, exploiting the opposing force's mistaken recognition, and rout it</t>
  </si>
  <si>
    <t xml:space="preserve">vol1_s002617_t01_3894aa75eaca; vol1_s002617_t02_159348308057</t>
  </si>
  <si>
    <t xml:space="preserve">B2G13.03.01</t>
  </si>
  <si>
    <t xml:space="preserve">Burmese forces capture people, elephants and horses and inflict casualties</t>
  </si>
  <si>
    <t xml:space="preserve">vol1_s002618_t01_76a03a40058e; vol1_s002618_t02_f1080c26a801</t>
  </si>
  <si>
    <t xml:space="preserve">B2G13.04.01</t>
  </si>
  <si>
    <t xml:space="preserve">The commanders return the captured people and resources to the siege positions</t>
  </si>
  <si>
    <t xml:space="preserve">B2G13.05.01</t>
  </si>
  <si>
    <t xml:space="preserve">The Ayutthaya king consults princes and ministers</t>
  </si>
  <si>
    <t xml:space="preserve">B2G13.06.01</t>
  </si>
  <si>
    <t xml:space="preserve">Burmese forces seize occupied territory's resources and require agricultural production</t>
  </si>
  <si>
    <t xml:space="preserve">B2G13.06.02</t>
  </si>
  <si>
    <t xml:space="preserve">Burmese forces maintain the land and water siege of Ayutthaya</t>
  </si>
  <si>
    <t xml:space="preserve">B2G13.06.03</t>
  </si>
  <si>
    <t xml:space="preserve">The Ayutthaya king proposes and mobilizes a multiethnic counteroffensive with his elites' agreement</t>
  </si>
  <si>
    <t xml:space="preserve">vol1_s002621_t03_d960075ce074; vol1_s002621_t04_930b36c7e43f</t>
  </si>
  <si>
    <t xml:space="preserve">B2G13.06.04</t>
  </si>
  <si>
    <t xml:space="preserve">Four named Ayutthaya ministers command the counteroffensive fleet</t>
  </si>
  <si>
    <t xml:space="preserve">B2G13.06.05</t>
  </si>
  <si>
    <t xml:space="preserve">Burmese river forts block the opposing fleet with iron chains</t>
  </si>
  <si>
    <t xml:space="preserve">B2G13.06.06</t>
  </si>
  <si>
    <t xml:space="preserve">Burmese positions defeat the trapped fleet with artillery</t>
  </si>
  <si>
    <t xml:space="preserve">B2G13.06.07</t>
  </si>
  <si>
    <t xml:space="preserve">The four Ayutthaya ministers escape with a small flotilla</t>
  </si>
  <si>
    <t xml:space="preserve">B2G13.06.08</t>
  </si>
  <si>
    <t xml:space="preserve">Burmese forces take ships, boats and living captives from the defeated fleet</t>
  </si>
  <si>
    <t xml:space="preserve">B2G14.01.01</t>
  </si>
  <si>
    <t xml:space="preserve">Nemyo Thihapate succeeds Maha Nawrahta in overall command of the Tavoy and Chiang Mai forces</t>
  </si>
  <si>
    <t xml:space="preserve">B2G14.01.02</t>
  </si>
  <si>
    <t xml:space="preserve">Nemyo reports the command change and military situation to the king</t>
  </si>
  <si>
    <t xml:space="preserve">B2G14.01.03</t>
  </si>
  <si>
    <t xml:space="preserve">Blockade and intended capture of Ayutthaya, its king and population</t>
  </si>
  <si>
    <t xml:space="preserve">vol1_s002626_t03_46436fd3c2ad; vol1_s002626_t04_ee4d734fa150</t>
  </si>
  <si>
    <t xml:space="preserve">B2G14.02.01</t>
  </si>
  <si>
    <t xml:space="preserve">King orders rapid conquest, demolition and removal of Ayutthaya's king and population</t>
  </si>
  <si>
    <t xml:space="preserve">vol1_s002627_t01_08af4c6d5822; vol1_s002627_t02_21bcafdd7f3e; vol1_s002627_t03_b842e3bda0fb; vol1_s002627_t04_ece49b8bc9ed</t>
  </si>
  <si>
    <t xml:space="preserve">B2G14.02.02</t>
  </si>
  <si>
    <t xml:space="preserve">King orders a ministerial funeral for Maha Nawrahta</t>
  </si>
  <si>
    <t xml:space="preserve">B2G14.02.03</t>
  </si>
  <si>
    <t xml:space="preserve">King announces his own intended campaign against China</t>
  </si>
  <si>
    <t xml:space="preserve">တရုတ်ဥဒည်ပြည်ကို ငါကိုယ်တော် ချီ၍ သိမ်းယူ တော်မူမည်; the English translation conflates this target with Ayutthaya, but the Burmese distinguishes them.</t>
  </si>
  <si>
    <t xml:space="preserve">B2G14.03.01</t>
  </si>
  <si>
    <t xml:space="preserve">King appoints the replacement commander and subordinate officers for the campaign</t>
  </si>
  <si>
    <t xml:space="preserve">vol1_s002628_t01_c43ed7fee564; vol1_s002628_t02_8fc2eb9aa1b4; vol1_s002628_t03_c4622f7c4afb; vol1_s002628_t04_1631ba9391d5</t>
  </si>
  <si>
    <t xml:space="preserve">B2G14.03.02</t>
  </si>
  <si>
    <t xml:space="preserve">King provides rewards and reinforcements and orders their rapid deployment</t>
  </si>
  <si>
    <t xml:space="preserve">vol1_s002628_t05_5fb8586aed90; vol1_s002628_t06_9a4e3ed91862</t>
  </si>
  <si>
    <t xml:space="preserve">B2G14.04.01</t>
  </si>
  <si>
    <t xml:space="preserve">Nemyo implements the royal funeral order for Maha Nawrahta</t>
  </si>
  <si>
    <t xml:space="preserve">B2G14.04.02</t>
  </si>
  <si>
    <t xml:space="preserve">Burmese construct siege forts and assign named commanders and troops to them</t>
  </si>
  <si>
    <t xml:space="preserve">vol1_s002629_t02_eb8a320c512f; vol1_s002629_t03_e7cf720723cb; vol1_s002629_t04_e02ed54de991; vol1_s002629_t05_a2b3f3b3163e</t>
  </si>
  <si>
    <t xml:space="preserve">B2G14.04.03</t>
  </si>
  <si>
    <t xml:space="preserve">Burmese employ tunneling to breach Ayutthaya</t>
  </si>
  <si>
    <t xml:space="preserve">B2G14.04.04</t>
  </si>
  <si>
    <t xml:space="preserve">Burmese blockade restricts resources and induces inhabitants to flee to their forces</t>
  </si>
  <si>
    <t xml:space="preserve">vol1_s002629_t07_4c2ca5525692; vol1_s002629_t08_954dbcfdb454</t>
  </si>
  <si>
    <t xml:space="preserve">B2G14.05.01</t>
  </si>
  <si>
    <t xml:space="preserve">Phra Mundari counsels the Ayutthayan king to launch a relief assault</t>
  </si>
  <si>
    <t xml:space="preserve">B2G14.05.02</t>
  </si>
  <si>
    <t xml:space="preserve">King and elites agree to the proposed assault</t>
  </si>
  <si>
    <t xml:space="preserve">vol1_s002630_t02_a22a5216b9d5; vol1_s002630_t03_f3bb441ea958</t>
  </si>
  <si>
    <t xml:space="preserve">B2G14.05.03</t>
  </si>
  <si>
    <t xml:space="preserve">Ayutthayan forces mobilize elephants and troops and attack the Burmese-held forts</t>
  </si>
  <si>
    <t xml:space="preserve">vol1_s002630_t04_e0c693915b39; vol1_s002630_t05_8021fe3efa28</t>
  </si>
  <si>
    <t xml:space="preserve">B2G14.05.04</t>
  </si>
  <si>
    <t xml:space="preserve">Named Burmese commanders hold the besieging forts against the assault</t>
  </si>
  <si>
    <t xml:space="preserve">vol1_s002630_t06_88490bec8019; vol1_s002630_t07_229b4a27583a; vol1_s002630_t08_7828a1c28fed</t>
  </si>
  <si>
    <t xml:space="preserve">B2G14.05.05</t>
  </si>
  <si>
    <t xml:space="preserve">Phra Mundari personally compels and directs repeated attacks despite casualties</t>
  </si>
  <si>
    <t xml:space="preserve">ဗြမုန္ဒရီ အကွပ်အညှပ် ပြင်းပြလှသောကြောင့်; his proposal is represented, but his subsequent coercive battlefield leadership is not.</t>
  </si>
  <si>
    <t xml:space="preserve">B2G15.01.01</t>
  </si>
  <si>
    <t xml:space="preserve">King accommodates and places Siamese royal women under ministerial supervision</t>
  </si>
  <si>
    <t xml:space="preserve">vol1_s002663_t01_4ea841738062; vol1_s002663_t02_1c4379061c8c</t>
  </si>
  <si>
    <t xml:space="preserve">B2G15.02.01</t>
  </si>
  <si>
    <t xml:space="preserve">King houses and supplies the captured Siamese male royals</t>
  </si>
  <si>
    <t xml:space="preserve">B2G15.02.02</t>
  </si>
  <si>
    <t xml:space="preserve">King settles Siamese captives in grouped administrative communities</t>
  </si>
  <si>
    <t xml:space="preserve">Collective coverage accepted without separate edges for every captive social rank.</t>
  </si>
  <si>
    <t xml:space="preserve">B2G15.03.01</t>
  </si>
  <si>
    <t xml:space="preserve">King undergoes consecration and assumes a royal title</t>
  </si>
  <si>
    <t xml:space="preserve">vol1_s002665_t01_593a36f633f8; vol1_s002665_t02_a57aaf4dbeec</t>
  </si>
  <si>
    <t xml:space="preserve">B2G15.04.01</t>
  </si>
  <si>
    <t xml:space="preserve">King bestows titles on the three queens</t>
  </si>
  <si>
    <t xml:space="preserve">vol1_s002666_t01_c9c95c613389; vol1_s002666_t02_656ccd2cd67a; vol1_s002666_t03_e6ea73efcef7</t>
  </si>
  <si>
    <t xml:space="preserve">B2G15.05.01</t>
  </si>
  <si>
    <t xml:space="preserve">Chinese army invades Kengtung</t>
  </si>
  <si>
    <t xml:space="preserve">B2G15.06.01</t>
  </si>
  <si>
    <t xml:space="preserve">Laoli requests permission from frontier officials to build a bridge</t>
  </si>
  <si>
    <t xml:space="preserve">B2G15.06.02</t>
  </si>
  <si>
    <t xml:space="preserve">Frontier officials insist on central approval, suspect Laoli's official status and send him to court</t>
  </si>
  <si>
    <t xml:space="preserve">vol1_s002668_t02_69e3ab91ef7e; vol1_s002668_t03_9fc7befc87ae; vol1_s002668_t04_c9017eb91972</t>
  </si>
  <si>
    <t xml:space="preserve">B2G15.06.03</t>
  </si>
  <si>
    <t xml:space="preserve">Royal administration investigates Laoli, releases him and authorizes legitimate trade and bridge building</t>
  </si>
  <si>
    <t xml:space="preserve">vol1_s002668_t05_a433de7c6ea5; vol1_s002668_t06_6b5407112d44</t>
  </si>
  <si>
    <t xml:space="preserve">Royal institutional agency accepted; the ministers carry out the investigation.</t>
  </si>
  <si>
    <t xml:space="preserve">B2G15.06.04</t>
  </si>
  <si>
    <t xml:space="preserve">Laoli requests an investigation into missing goods, but local officials refuse to interrogate residents and refer him to his own guards</t>
  </si>
  <si>
    <t xml:space="preserve">ကုန် ... ပျောက်ပျက်ခဲ့သည်၊ စစ်ကြော၍ပေးပါ ... မြို့နေ ရွာသားတို့ကို မစစ်မကြောသင့်</t>
  </si>
  <si>
    <t xml:space="preserve">B2G15.06.05</t>
  </si>
  <si>
    <t xml:space="preserve">Chinese regional governor receives and records Laoli's complaint about frontier officials</t>
  </si>
  <si>
    <t xml:space="preserve">Burmese calls this official မိုင်းဆည်စုံးတူ, not a Shan sawbwa.</t>
  </si>
  <si>
    <t xml:space="preserve">B2G16.01.01</t>
  </si>
  <si>
    <t xml:space="preserve">Maha Thihathura directs attacks on Chinese supply lines</t>
  </si>
  <si>
    <t xml:space="preserve">B2G16.01.02</t>
  </si>
  <si>
    <t xml:space="preserve">Maha Thihathura assigns Tein-gya Minkhaung an advance force</t>
  </si>
  <si>
    <t xml:space="preserve">vol1_s002727_t02_d3611e2d343e; vol1_s002727_t03_6143bab95b6e</t>
  </si>
  <si>
    <t xml:space="preserve">B2G16.01.03</t>
  </si>
  <si>
    <t xml:space="preserve">Maha Thihathura subsequently orders the advance force to retreat</t>
  </si>
  <si>
    <t xml:space="preserve">B2G16.02.01</t>
  </si>
  <si>
    <t xml:space="preserve">Tein-gya reports his decision to hold his position and requests the rear force's advance</t>
  </si>
  <si>
    <t xml:space="preserve">vol1_s002728_t01_54fccc12413f; vol1_s002728_t02_8dfc5dedca82</t>
  </si>
  <si>
    <t xml:space="preserve">Strategic report plus holding a defensive position adequately represents his contrary decision.</t>
  </si>
  <si>
    <t xml:space="preserve">B2G16.02.02</t>
  </si>
  <si>
    <t xml:space="preserve">Chinese besiege the camp and Tein-gya commands its armed defense</t>
  </si>
  <si>
    <t xml:space="preserve">vol1_s002728_t03_32a5764996a6; vol1_s002728_t04_229238ff7e84</t>
  </si>
  <si>
    <t xml:space="preserve">B2G16.03.01</t>
  </si>
  <si>
    <t xml:space="preserve">Maha Thihathura brings reinforcements that relieve Tein-gya's camp</t>
  </si>
  <si>
    <t xml:space="preserve">B2G16.03.02</t>
  </si>
  <si>
    <t xml:space="preserve">Burmese defeat the Chinese at Lashio and Kyu-shaw, forcing retreat to Hsenwi</t>
  </si>
  <si>
    <t xml:space="preserve">vol1_s002729_t02_afff0152bddd; vol1_s002729_t03_4e406979eae2; vol1_s002729_t04_b6c039d86e4c</t>
  </si>
  <si>
    <t xml:space="preserve">B2G16.04.01</t>
  </si>
  <si>
    <t xml:space="preserve">Maha Thihathura establishes a camp at the Nam-pan River</t>
  </si>
  <si>
    <t xml:space="preserve">B2G16.04.02</t>
  </si>
  <si>
    <t xml:space="preserve">Maha Thihathura orders interception of supplies at Kunlong-hta</t>
  </si>
  <si>
    <t xml:space="preserve">B2G16.04.03</t>
  </si>
  <si>
    <t xml:space="preserve">Tein-gya receives overall command of the three-unit cavalry and musketeer force</t>
  </si>
  <si>
    <t xml:space="preserve">vol1_s002730_t03_180bba47df86; vol1_s002730_t04_2faf90f5bea0</t>
  </si>
  <si>
    <t xml:space="preserve">B2G17.01.01</t>
  </si>
  <si>
    <t xml:space="preserve">Maha Thihathura leaves Sit Kaung Thiri and Udein Punya in charge of the equipped Hsenwi garrison</t>
  </si>
  <si>
    <t xml:space="preserve">vol1_s002738_t01_e2b0ca4269fa; vol1_s002738_t02_b2747b3b86a8</t>
  </si>
  <si>
    <t xml:space="preserve">B2G17.01.02</t>
  </si>
  <si>
    <t xml:space="preserve">Maha Thihathura advances via Thibaw against Myinkhonye</t>
  </si>
  <si>
    <t xml:space="preserve">B2G17.02.01</t>
  </si>
  <si>
    <t xml:space="preserve">Royal displeasure compels Maha Sithu and his commanders to renew the offensive</t>
  </si>
  <si>
    <t xml:space="preserve">vol1_s002739_t01_fe28c057483c; vol1_s002739_t02_45a3894de6ff</t>
  </si>
  <si>
    <t xml:space="preserve">B2G17.02.02</t>
  </si>
  <si>
    <t xml:space="preserve">Maha Sithu organizes and commands a three-column attack</t>
  </si>
  <si>
    <t xml:space="preserve">B2G17.02.03</t>
  </si>
  <si>
    <t xml:space="preserve">Maha Sithu sends four musketeer detachments to conduct a coordinated flanking attack</t>
  </si>
  <si>
    <t xml:space="preserve">vol1_s002739_t04_408133738508; vol1_s002739_t05_1a116a4c24eb</t>
  </si>
  <si>
    <t xml:space="preserve">B2G17.03.01</t>
  </si>
  <si>
    <t xml:space="preserve">Maha Sithu's three columns attack the Chinese in coordination with the flankers</t>
  </si>
  <si>
    <t xml:space="preserve">vol1_s002740_t01_c55e5aa9bfd2; vol1_s002740_t02_8c5704249ee0</t>
  </si>
  <si>
    <t xml:space="preserve">B2G17.03.02</t>
  </si>
  <si>
    <t xml:space="preserve">Supply failure and battlefield losses force Myinkhonye's Chinese army to retreat</t>
  </si>
  <si>
    <t xml:space="preserve">vol1_s002740_t03_7640dbf1124d; vol1_s002740_t04_423948584b47</t>
  </si>
  <si>
    <t xml:space="preserve">The valid retreat and logistical-failure triples cover the event despite T5's erroneous force-unit wording.</t>
  </si>
  <si>
    <t xml:space="preserve">B2G18.01.01</t>
  </si>
  <si>
    <t xml:space="preserve">King commissions craftsmen to carve palace rafters at an auspicious time</t>
  </si>
  <si>
    <t xml:space="preserve">vol1_s003138_t01_1e32084479f6; vol1_s003138_t02_072c64712beb</t>
  </si>
  <si>
    <t xml:space="preserve">B2G18.02.01</t>
  </si>
  <si>
    <t xml:space="preserve">King commissions the raising of palace turrets</t>
  </si>
  <si>
    <t xml:space="preserve">vol1_s003139_t01_fa7f8f3b903b; vol1_s003139_t02_d3b4e53d9650</t>
  </si>
  <si>
    <t xml:space="preserve">B2G18.03.01</t>
  </si>
  <si>
    <t xml:space="preserve">King commissions the casting of watch-tower bells</t>
  </si>
  <si>
    <t xml:space="preserve">vol1_s003140_t01_2d9b002be638; vol1_s003140_t02_b46ef4d211d5</t>
  </si>
  <si>
    <t xml:space="preserve">B2G18.04.01</t>
  </si>
  <si>
    <t xml:space="preserve">King commissions installation of royal and religious architectural furnishings</t>
  </si>
  <si>
    <t xml:space="preserve">vol1_s003141_t01_021686807395; vol1_s003141_t02_f403f591b2b9; vol1_s003141_t03_3f0ca1f8a9a2; vol1_s003141_t04_436263a7b884</t>
  </si>
  <si>
    <t xml:space="preserve">B2G18.05.01</t>
  </si>
  <si>
    <t xml:space="preserve">King commissions craftsmen to gild and finish the palace, council and religious buildings</t>
  </si>
  <si>
    <t xml:space="preserve">vol1_s003142_t01_34d140ba91fd; vol1_s003142_t02_55faf712b360; vol1_s003142_t03_66674ed8e373; vol1_s003142_t04_f854c3f66ddf</t>
  </si>
  <si>
    <t xml:space="preserve">B2G18.06.01</t>
  </si>
  <si>
    <t xml:space="preserve">King commissions finishing work on walls, gates and associated buildings</t>
  </si>
  <si>
    <t xml:space="preserve">vol1_s003143_t01_a696f00634e2; vol1_s003143_t02_72940d3f2359; vol1_s003143_t03_822020b75ae5; vol1_s003143_t04_ca88cb6d7c1b</t>
  </si>
  <si>
    <t xml:space="preserve">B2G18.07.01</t>
  </si>
  <si>
    <t xml:space="preserve">King arranges ceremonial transport of the Pitaka scriptures</t>
  </si>
  <si>
    <t xml:space="preserve">B2G18.07.02</t>
  </si>
  <si>
    <t xml:space="preserve">Four named senior monks supervise the scriptures' transport</t>
  </si>
  <si>
    <t xml:space="preserve">vol1_s003144_t02_607a44fd7c45; vol1_s003144_t03_a841308428b9; vol1_s003144_t04_4e9ea06800b9; vol1_s003144_t05_46dd208dd33c</t>
  </si>
  <si>
    <t xml:space="preserve">B2G18.08.01</t>
  </si>
  <si>
    <t xml:space="preserve">King relocates from Ava to Amarapura in a royal and military procession</t>
  </si>
  <si>
    <t xml:space="preserve">vol1_s003145_t01_a9f020de448c; vol1_s003145_t02_4a2357628753; vol1_s003145_t03_1143dca327c8; vol1_s003145_t04_b076537262cd</t>
  </si>
  <si>
    <t xml:space="preserve">B2G18.08.02</t>
  </si>
  <si>
    <t xml:space="preserve">Narrative legitimates the king through Sakra imagery and royal ceremonial splendor</t>
  </si>
  <si>
    <t xml:space="preserve">Accepted as an analytical ideological relation, not a claim that the king literally stated he was Sakra.</t>
  </si>
  <si>
    <t xml:space="preserve">B2G18.09.01</t>
  </si>
  <si>
    <t xml:space="preserve">King establishes residence in Amarapura</t>
  </si>
  <si>
    <t xml:space="preserve">B2G18.09.02</t>
  </si>
  <si>
    <t xml:space="preserve">King performs auspicious arrival, circumambulation and consecratory-water rituals with military escort</t>
  </si>
  <si>
    <t xml:space="preserve">vol1_s003146_t02_f438ec2d2074; vol1_s003146_t03_11c21d3a6933; vol1_s003146_t04_8418fb80899f; vol1_s003146_t05_665e5a0cc520</t>
  </si>
  <si>
    <t xml:space="preserve">B2G19.01.01</t>
  </si>
  <si>
    <t xml:space="preserve">Rakhine king rejects tributary submission as a lasting humiliation to his sovereignty</t>
  </si>
  <si>
    <t xml:space="preserve">Conditional objection continues from vol2_s000075 on p26; he does not actually offer tribute here.</t>
  </si>
  <si>
    <t xml:space="preserve">B2G19.02.01</t>
  </si>
  <si>
    <t xml:space="preserve">Earlier Burmese attack forces Saw Mon Gyi into exile in Pasa</t>
  </si>
  <si>
    <t xml:space="preserve">vol2_s000077_t01_06d3bfdac817; vol2_s000077_t02_ec99c6fa3cca; vol2_s000077_t03_1fb1e3aeedf2</t>
  </si>
  <si>
    <t xml:space="preserve">B2G19.03.01</t>
  </si>
  <si>
    <t xml:space="preserve">Saw Mon Gyi subsequently returns after twelve years and resumes kingship, cited as a precedent</t>
  </si>
  <si>
    <t xml:space="preserve">B2G19.04.01</t>
  </si>
  <si>
    <t xml:space="preserve">Maha Thamada Raza plans temporary refuge rather than submission</t>
  </si>
  <si>
    <t xml:space="preserve">B2G19.05.01</t>
  </si>
  <si>
    <t xml:space="preserve">Maha Thamada Raza flees with his royal household to Kun-chaung Kyun-tha-yar</t>
  </si>
  <si>
    <t xml:space="preserve">B2G19.06.01</t>
  </si>
  <si>
    <t xml:space="preserve">Maha Uparaja conquers Rakhine city and removes its sovereignty symbols</t>
  </si>
  <si>
    <t xml:space="preserve">vol2_s000081_t01_d1f4de4c7645; vol2_s000081_t02_9696ed198d72</t>
  </si>
  <si>
    <t xml:space="preserve">B2G19.07.01</t>
  </si>
  <si>
    <t xml:space="preserve">Maha Uparaja reports the conquest to his father through an envoy</t>
  </si>
  <si>
    <t xml:space="preserve">B2G19.08.01</t>
  </si>
  <si>
    <t xml:space="preserve">Maha Uparaja orders a military search for the escaped Rakhine king</t>
  </si>
  <si>
    <t xml:space="preserve">B2G19.08.02</t>
  </si>
  <si>
    <t xml:space="preserve">Maha Uparaja plans removal of Mahamuni to the capital</t>
  </si>
  <si>
    <t xml:space="preserve">B2G19.08.03</t>
  </si>
  <si>
    <t xml:space="preserve">A dream represents Mahamuni as consenting to eastward removal</t>
  </si>
  <si>
    <t xml:space="preserve">The image turning east and speaking is subsequently explicitly interpreted as willingness to accompany the prince.</t>
  </si>
  <si>
    <t xml:space="preserve">B2G19.09.01</t>
  </si>
  <si>
    <t xml:space="preserve">Maha Uparaja initiates the ritual visit for Mahamuni's appropriation</t>
  </si>
  <si>
    <t xml:space="preserve">His announced interpretation of the dream is counted with S8's single dream-legitimation unit.</t>
  </si>
  <si>
    <t xml:space="preserve">B2G19.10.01</t>
  </si>
  <si>
    <t xml:space="preserve">Maha Uparaja worships and ritually circumambulates Mahamuni before removal</t>
  </si>
  <si>
    <t xml:space="preserve">B2G19.11.01</t>
  </si>
  <si>
    <t xml:space="preserve">Maha Uparaja personally transports Mahamuni by water</t>
  </si>
  <si>
    <t xml:space="preserve">B2G19.13.01</t>
  </si>
  <si>
    <t xml:space="preserve">Named cavalry commanders capture the Rakhine king</t>
  </si>
  <si>
    <t xml:space="preserve">B2G19.13.02</t>
  </si>
  <si>
    <t xml:space="preserve">Nemyo Kyaw Htin Sithu assembles and presents the royal captives to Maha Uparaja</t>
  </si>
  <si>
    <t xml:space="preserve">vol2_s000088_t02_3f104da8073b; vol2_s000088_t03_134cfff734cc</t>
  </si>
  <si>
    <t xml:space="preserve">B2G20.01.01</t>
  </si>
  <si>
    <t xml:space="preserve">Pakkhiti preys on ferry passengers in the foundation narrative</t>
  </si>
  <si>
    <t xml:space="preserve">B2G20.02.01</t>
  </si>
  <si>
    <t xml:space="preserve">Rakkhaing preys on forest travelers</t>
  </si>
  <si>
    <t xml:space="preserve">B2G20.03.01</t>
  </si>
  <si>
    <t xml:space="preserve">Rayapu preys on people lured to his mountain</t>
  </si>
  <si>
    <t xml:space="preserve">Forest-traveler grouping is accepted for the people entering this wilderness setting.</t>
  </si>
  <si>
    <t xml:space="preserve">B2G20.04.01</t>
  </si>
  <si>
    <t xml:space="preserve">Ngapi and Ngalat prey on travelers and other living beings</t>
  </si>
  <si>
    <t xml:space="preserve">No separate human, bird and animal edges required.</t>
  </si>
  <si>
    <t xml:space="preserve">B2G20.05.01</t>
  </si>
  <si>
    <t xml:space="preserve">Rakkhini preys on people using the pond</t>
  </si>
  <si>
    <t xml:space="preserve">B2G20.06.01</t>
  </si>
  <si>
    <t xml:space="preserve">Ogre predation confines the city population</t>
  </si>
  <si>
    <t xml:space="preserve">B2G20.07.01</t>
  </si>
  <si>
    <t xml:space="preserve">Ogres enter the city to prey on inhabitants</t>
  </si>
  <si>
    <t xml:space="preserve">B2G20.08.01</t>
  </si>
  <si>
    <t xml:space="preserve">The queen and princess survive the destruction, preserving a royal line</t>
  </si>
  <si>
    <t xml:space="preserve">B2G20.09.01</t>
  </si>
  <si>
    <t xml:space="preserve">Arjuna transfers rule to Dhammasena and renounces kingship for ascetic life</t>
  </si>
  <si>
    <t xml:space="preserve">vol2_s000108_t01_f39363a21a51; vol2_s000108_t02_8211bdb0d31d</t>
  </si>
  <si>
    <t xml:space="preserve">B2G20.10.01</t>
  </si>
  <si>
    <t xml:space="preserve">The tree spirit assists Arjuna through animal service, demonstrating his ascetic potency</t>
  </si>
  <si>
    <t xml:space="preserve">Representative service relation accepted without separately expanding each animal mobilization.</t>
  </si>
  <si>
    <t xml:space="preserve">B2G20.11.01</t>
  </si>
  <si>
    <t xml:space="preserve">Arjuna partners with the doe linked to him through a previous life</t>
  </si>
  <si>
    <t xml:space="preserve">B2G20.12.01</t>
  </si>
  <si>
    <t xml:space="preserve">The doe gives birth to the child in the future ruler's origin narrative</t>
  </si>
  <si>
    <t xml:space="preserve">B2G20.13.01</t>
  </si>
  <si>
    <t xml:space="preserve">The child manifests a luminous sign of exceptional status</t>
  </si>
  <si>
    <t xml:space="preserve">B2G20.14.01</t>
  </si>
  <si>
    <t xml:space="preserve">Thingyi Aungla rescues and takes charge of the future ruler</t>
  </si>
  <si>
    <t xml:space="preserve">B2G20.15.01</t>
  </si>
  <si>
    <t xml:space="preserve">The city population honors and recognizes the future ruler</t>
  </si>
  <si>
    <t xml:space="preserve">B2G20.16.01</t>
  </si>
  <si>
    <t xml:space="preserve">The population installs the child as king when grown</t>
  </si>
  <si>
    <t xml:space="preserve">B2G20.17.01</t>
  </si>
  <si>
    <t xml:space="preserve">The population pays tribute/taxes to its new king</t>
  </si>
  <si>
    <t xml:space="preserve">B2G20.18.01</t>
  </si>
  <si>
    <t xml:space="preserve">The new king marries Thingyi Aungla's daughter</t>
  </si>
  <si>
    <t xml:space="preserve">B2G20.19.01</t>
  </si>
  <si>
    <t xml:space="preserve">Sakka grants weapons to the new king</t>
  </si>
  <si>
    <t xml:space="preserve">B2G20.20.01</t>
  </si>
  <si>
    <t xml:space="preserve">The new king kills the ogres and establishes rule in Rakhine</t>
  </si>
  <si>
    <t xml:space="preserve">vol2_s000119_t01_46f0c058b73c; vol2_s000119_t02_f9b69b2e2eeb</t>
  </si>
  <si>
    <t xml:space="preserve">B2G20.21.01</t>
  </si>
  <si>
    <t xml:space="preserve">The new king locates the surviving royal women</t>
  </si>
  <si>
    <t xml:space="preserve">B2G20.22.01</t>
  </si>
  <si>
    <t xml:space="preserve">The new king makes Rucitamala his queen</t>
  </si>
  <si>
    <t xml:space="preserve">vol2_s000121_t01_127b82634561; vol2_s000121_t02_34f2b7cda5f3</t>
  </si>
  <si>
    <t xml:space="preserve">B2G20.23.01</t>
  </si>
  <si>
    <t xml:space="preserve">Mayaru founds Dhanyawadi and rules there</t>
  </si>
  <si>
    <t xml:space="preserve">B2G20.24.01</t>
  </si>
  <si>
    <t xml:space="preserve">The chronicle records the succession and reigns of 55 kings of Dhanyawadi</t>
  </si>
  <si>
    <t xml:space="preserve">vol2_s000123_t01_712111695a66; vol2_s000123_t02_dd12c1bbbce7; vol2_s000123_t03_515eea4a0552</t>
  </si>
  <si>
    <t xml:space="preserve">The complete dynastic list may validly be represented collectively; no forced expansion into 55 succession triples.</t>
  </si>
  <si>
    <t xml:space="preserve">B2G21.01.01</t>
  </si>
  <si>
    <t xml:space="preserve">Siamese authorities interrogate Burmese prisoners for military intelligence</t>
  </si>
  <si>
    <t xml:space="preserve">ထိုသူတို့ကို စစ်လျှင်; the preceding page identifies the three Burmese captives.</t>
  </si>
  <si>
    <t xml:space="preserve">B2G21.01.02</t>
  </si>
  <si>
    <t xml:space="preserve">Pakhangyi Min commands a large force advancing by Chiang Mai</t>
  </si>
  <si>
    <t xml:space="preserve">vol2_s000296_t01_3bdeaac09c11; vol2_s000296_t02_12c2a684a34d</t>
  </si>
  <si>
    <t xml:space="preserve">B2G21.02.01</t>
  </si>
  <si>
    <t xml:space="preserve">Kinwun Mingyi commands the Mergui-route force</t>
  </si>
  <si>
    <t xml:space="preserve">vol2_s000297_t01_c7fafcc1f72c; vol2_s000297_t02_07914d9df8f5</t>
  </si>
  <si>
    <t xml:space="preserve">B2G21.03.01</t>
  </si>
  <si>
    <t xml:space="preserve">Anauk-bet Taikwun commands the Tavoy-route force</t>
  </si>
  <si>
    <t xml:space="preserve">vol2_s000298_t01_8b31d7978043; vol2_s000298_t02_85f88814da3a</t>
  </si>
  <si>
    <t xml:space="preserve">B2G21.04.01</t>
  </si>
  <si>
    <t xml:space="preserve">Nawrahta Kyawgaung commands the Ra-haing-route force</t>
  </si>
  <si>
    <t xml:space="preserve">vol2_s000299_t01_86aac81bb938; vol2_s000299_t02_6b91fcaca75a</t>
  </si>
  <si>
    <t xml:space="preserve">B2G21.05.01</t>
  </si>
  <si>
    <t xml:space="preserve">King of Ava commands the large force on the Three Pagodas route</t>
  </si>
  <si>
    <t xml:space="preserve">vol2_s000300_t01_abf7b754ecc1; vol2_s000300_t02_340a7d597ab5</t>
  </si>
  <si>
    <t xml:space="preserve">B2G21.06.01</t>
  </si>
  <si>
    <t xml:space="preserve">Sagu prince's troops provide riverborne supplies and are intercepted by Karen captors</t>
  </si>
  <si>
    <t xml:space="preserve">vol2_s000301_t01_4e9cb4d2adf6; vol2_s000301_t02_7cc9846482db; vol2_s000301_t03_b9fe1fba3efb</t>
  </si>
  <si>
    <t xml:space="preserve">B2G21.07.01</t>
  </si>
  <si>
    <t xml:space="preserve">Siamese king consults his elites, who assess the scale of the invasion</t>
  </si>
  <si>
    <t xml:space="preserve">vol2_s000302_t01_b95c84882823; vol2_s000302_t02_39c211eb6931</t>
  </si>
  <si>
    <t xml:space="preserve">B2G21.08.01</t>
  </si>
  <si>
    <t xml:space="preserve">King of Ava deploys a mass army in five columns</t>
  </si>
  <si>
    <t xml:space="preserve">vol2_s000303_t01_b86a03cde4dc; vol2_s000303_t02_50faf8e0a75f</t>
  </si>
  <si>
    <t xml:space="preserve">B2G21.09.01</t>
  </si>
  <si>
    <t xml:space="preserve">Four additional Burmese columns each contain large forces</t>
  </si>
  <si>
    <t xml:space="preserve">B2G21.10.01</t>
  </si>
  <si>
    <t xml:space="preserve">Elites recommend strategic ingenuity and the Siamese king acknowledges the military imbalance</t>
  </si>
  <si>
    <t xml:space="preserve">vol2_s000305_t01_4291f9081359; vol2_s000305_t02_69a76a22dbe9</t>
  </si>
  <si>
    <t xml:space="preserve">B2G21.11.01</t>
  </si>
  <si>
    <t xml:space="preserve">Siamese king consolidates defense at a fortified river camp and the capital</t>
  </si>
  <si>
    <t xml:space="preserve">vol2_s000306_t01_fb5962ea5bf7; vol2_s000306_t02_2abe9a970f6d; vol2_s000306_t03_1ed39d55ae44</t>
  </si>
  <si>
    <t xml:space="preserve">B2G21.11.02</t>
  </si>
  <si>
    <t xml:space="preserve">Siamese king retains negotiation as a contingency</t>
  </si>
  <si>
    <t xml:space="preserve">B2G21.12.01</t>
  </si>
  <si>
    <t xml:space="preserve">Siamese king equips the river camp with artillery</t>
  </si>
  <si>
    <t xml:space="preserve">B2G21.13.01</t>
  </si>
  <si>
    <t xml:space="preserve">Siamese king equips the capital with artillery</t>
  </si>
  <si>
    <t xml:space="preserve">B2G21.14.01</t>
  </si>
  <si>
    <t xml:space="preserve">Siamese king concentrates military manpower in the capital and river camps</t>
  </si>
  <si>
    <t xml:space="preserve">B2G21.15.01</t>
  </si>
  <si>
    <t xml:space="preserve">Siamese king builds and mans the extensive defensive camp system</t>
  </si>
  <si>
    <t xml:space="preserve">vol2_s000310_t01_87de8c8a0797; vol2_s000310_t02_d3a5f258130e</t>
  </si>
  <si>
    <t xml:space="preserve">Rounded upper-end spatial shorthand is not treated as a substantive error.</t>
  </si>
  <si>
    <t xml:space="preserve">B2G21.16.01</t>
  </si>
  <si>
    <t xml:space="preserve">Siamese king posts an interception force at Kanchanaburi</t>
  </si>
  <si>
    <t xml:space="preserve">vol2_s000311_t01_a509da521be5; vol2_s000311_t02_80d774c89c86</t>
  </si>
  <si>
    <t xml:space="preserve">B2G21.17.01</t>
  </si>
  <si>
    <t xml:space="preserve">Siamese king mobilizes a fleet with Kala/Panthay personnel south of the city</t>
  </si>
  <si>
    <t xml:space="preserve">vol2_s000312_t01_1cace3bebc48; vol2_s000312_t02_aa7ffea1c00c; vol2_s000312_t03_8c173eb0f4f0</t>
  </si>
  <si>
    <t xml:space="preserve">Generic King correctly refers to the Siamese sovereign throughout this report.</t>
  </si>
  <si>
    <t xml:space="preserve">B2G22.01.01</t>
  </si>
  <si>
    <t xml:space="preserve">King donates requisites to the Sangha and sponsors a religious celebration</t>
  </si>
  <si>
    <t xml:space="preserve">vol2_s000552_t01_567945b5cc30; vol2_s000552_t02_76c7b13f5e72</t>
  </si>
  <si>
    <t xml:space="preserve">B2G22.02.01</t>
  </si>
  <si>
    <t xml:space="preserve">Chinese emperor sends sacred objects which the king ceremonially receives and transports</t>
  </si>
  <si>
    <t xml:space="preserve">vol2_s000553_t01_5bbddac9727a; vol2_s000553_t02_64c7cebab71b; vol2_s000553_t03_1a2e7422b127</t>
  </si>
  <si>
    <t xml:space="preserve">B2G22.03.01</t>
  </si>
  <si>
    <t xml:space="preserve">King grants regalia to the Prince of Kawlin</t>
  </si>
  <si>
    <t xml:space="preserve">B2G22.04.01</t>
  </si>
  <si>
    <t xml:space="preserve">King withdraws the Pyigimon royal barge from service</t>
  </si>
  <si>
    <t xml:space="preserve">B2G22.05.01</t>
  </si>
  <si>
    <t xml:space="preserve">King arranges the Middle Palace Queen's funeral and palace burial</t>
  </si>
  <si>
    <t xml:space="preserve">vol2_s000556_t01_3f4032cb7e03; vol2_s000556_t02_56fc8b4451bd</t>
  </si>
  <si>
    <t xml:space="preserve">B2G22.06.01</t>
  </si>
  <si>
    <t xml:space="preserve">King grants the additional appanage of Thamyintun to the Prince of Pathein</t>
  </si>
  <si>
    <t xml:space="preserve">B2G22.07.01</t>
  </si>
  <si>
    <t xml:space="preserve">King exchanges the Prince of Laing's existing appanage for Pindale</t>
  </si>
  <si>
    <t xml:space="preserve">The new grant is correct, but the replacement of Laing rather than an additional grant is not expressed.</t>
  </si>
  <si>
    <t xml:space="preserve">B2G22.09.01</t>
  </si>
  <si>
    <t xml:space="preserve">King commissions named officers to supervise ceremonial transport of the Shwemawdaw umbrella</t>
  </si>
  <si>
    <t xml:space="preserve">vol2_s000560_t01_4fc34381fd6d; vol2_s000560_t02_97126b6ea4c2; vol2_s000560_t03_a5ef5386ccce</t>
  </si>
  <si>
    <t xml:space="preserve">B2G22.10.01</t>
  </si>
  <si>
    <t xml:space="preserve">King grants titles to the five named royal sons</t>
  </si>
  <si>
    <t xml:space="preserve">vol2_s000561_t01_83d9d1864ab7; vol2_s000561_t02_9fbd7d424f37; vol2_s000561_t03_ea43c21f42eb; vol2_s000561_t04_57efcd742ed3; vol2_s000561_t05_6c7fd908d418</t>
  </si>
  <si>
    <t xml:space="preserve">B2G22.11.01</t>
  </si>
  <si>
    <t xml:space="preserve">Kale sawbwa offers a white elephant and the king appoints its retrieval officials</t>
  </si>
  <si>
    <t xml:space="preserve">vol2_s000562_t01_484f64e6547c; vol2_s000562_t02_f81fdec5ab37</t>
  </si>
  <si>
    <t xml:space="preserve">B2G22.12.01</t>
  </si>
  <si>
    <t xml:space="preserve">Named officials construct the ceremonial transport vessel for the white elephant</t>
  </si>
  <si>
    <t xml:space="preserve">vol2_s000563_t01_cd8769f3725d; vol2_s000563_t02_a95deeefe9c7; vol2_s000563_t03_d1e446560539</t>
  </si>
  <si>
    <t xml:space="preserve">B2G22.13.01</t>
  </si>
  <si>
    <t xml:space="preserve">King travels out to receive the white elephant ceremonially</t>
  </si>
  <si>
    <t xml:space="preserve">B2G23.01.01</t>
  </si>
  <si>
    <t xml:space="preserve">King grants head regalia to Minye Thiha and Minye Thinkha</t>
  </si>
  <si>
    <t xml:space="preserve">vol2_s000734_t01_ce1536f3934c; vol2_s000734_t02_c0d33cb87299</t>
  </si>
  <si>
    <t xml:space="preserve">B2G23.02.01</t>
  </si>
  <si>
    <t xml:space="preserve">King reallocates or grants seven appanages to royal sons</t>
  </si>
  <si>
    <t xml:space="preserve">vol2_s000735_t01_3e378fcaf3e7; vol2_s000735_t02_ed4765a3f73c; vol2_s000735_t03_dc8713a6f9ea; vol2_s000735_t04_8428de598f88; vol2_s000735_t05_ccc0667fa841; vol2_s000735_t06_41f8c391e8ed; vol2_s000735_t07_e2173ee5f74e</t>
  </si>
  <si>
    <t xml:space="preserve">Five destinations are represented correctly. Pakhan Gyi and Myawaddy are mislabeled; the two exchanges are also rendered simply as grants.</t>
  </si>
  <si>
    <t xml:space="preserve">B2G23.03.01</t>
  </si>
  <si>
    <t xml:space="preserve">King grants luxury regalia to the Prince of Pathein</t>
  </si>
  <si>
    <t xml:space="preserve">B2G23.04.01</t>
  </si>
  <si>
    <t xml:space="preserve">King replaces damaged religious buildings and inscriptions</t>
  </si>
  <si>
    <t xml:space="preserve">B2G23.05.01</t>
  </si>
  <si>
    <t xml:space="preserve">King personally attends and treats the heir apparent's ill queen</t>
  </si>
  <si>
    <t xml:space="preserve">B2G23.06.01</t>
  </si>
  <si>
    <t xml:space="preserve">King gives her a chief-queen funeral within the heir apparent's compound</t>
  </si>
  <si>
    <t xml:space="preserve">B2G23.08.01</t>
  </si>
  <si>
    <t xml:space="preserve">King leaves Maha Uparaja in charge of the capital</t>
  </si>
  <si>
    <t xml:space="preserve">B2G23.08.02</t>
  </si>
  <si>
    <t xml:space="preserve">King personally directs construction of Mingun Pagoda</t>
  </si>
  <si>
    <t xml:space="preserve">B2G23.09.01</t>
  </si>
  <si>
    <t xml:space="preserve">King commissions two monumental lions for the pagoda</t>
  </si>
  <si>
    <t xml:space="preserve">B2G23.10.01</t>
  </si>
  <si>
    <t xml:space="preserve">King grants Mekkhaya to Maung Phyo</t>
  </si>
  <si>
    <t xml:space="preserve">B2G23.11.01</t>
  </si>
  <si>
    <t xml:space="preserve">Chinese emperor sends diplomatic gifts which the Konbaung king receives at Mingun</t>
  </si>
  <si>
    <t xml:space="preserve">vol2_s000744_t01_552943ea09eb; vol2_s000744_t02_73b719c3f512</t>
  </si>
  <si>
    <t xml:space="preserve">B2G24.02.01</t>
  </si>
  <si>
    <t xml:space="preserve">Northern Shweraesaung Queen's consort status and death are recorded</t>
  </si>
  <si>
    <t xml:space="preserve">vol2_s001374_t01_ba7f5bf1a8da; vol2_s001374_t02_edfe7e20f1ab</t>
  </si>
  <si>
    <t xml:space="preserve">B2G24.03.01</t>
  </si>
  <si>
    <t xml:space="preserve">Danubyu office/appanage holder's status and death are recorded</t>
  </si>
  <si>
    <t xml:space="preserve">vol2_s001375_t01_777f696b87f4; vol2_s001375_t02_020eb9db6682</t>
  </si>
  <si>
    <t xml:space="preserve">B2G24.04.01</t>
  </si>
  <si>
    <t xml:space="preserve">Rakhine Tansaung Queen's consort status and death are recorded</t>
  </si>
  <si>
    <t xml:space="preserve">vol2_s001376_t01_98090ae18a03; vol2_s001376_t02_295603964764</t>
  </si>
  <si>
    <t xml:space="preserve">B2G24.05.01</t>
  </si>
  <si>
    <t xml:space="preserve">Galle and Colombo rulers send religious and diplomatic gifts through named monks</t>
  </si>
  <si>
    <t xml:space="preserve">vol2_s001377_t01_fb3245d84cbb; vol2_s001377_t02_7ce0c18bbb3f</t>
  </si>
  <si>
    <t xml:space="preserve">B2G24.05.02</t>
  </si>
  <si>
    <t xml:space="preserve">King appoints their reception and worships the sacred objects</t>
  </si>
  <si>
    <t xml:space="preserve">vol2_s001377_t03_d7928ea29439; vol2_s001377_t04_00558babe1db</t>
  </si>
  <si>
    <t xml:space="preserve">B2G24.06.01</t>
  </si>
  <si>
    <t xml:space="preserve">King plants the received Bodhi trees in Shinbyu Pagoda's enclosure</t>
  </si>
  <si>
    <t xml:space="preserve">vol2_s001378_t01_98faefe0b183; vol2_s001378_t02_dc4445f76339</t>
  </si>
  <si>
    <t xml:space="preserve">B2G24.07.01</t>
  </si>
  <si>
    <t xml:space="preserve">King grants Kalay and a grouped set of regalia to Prince Yanaung</t>
  </si>
  <si>
    <t xml:space="preserve">vol2_s001379_t01_078d1f439d17; vol2_s001379_t02_4fe21a0e656f; vol2_s001379_t03_2597c3d0181d</t>
  </si>
  <si>
    <t xml:space="preserve">Broad office/appanage representation accepted without inferring specific local administrative duties.</t>
  </si>
  <si>
    <t xml:space="preserve">B2G24.08.01</t>
  </si>
  <si>
    <t xml:space="preserve">Fire spreads from the Chinese quarter and destroys the royal palace</t>
  </si>
  <si>
    <t xml:space="preserve">vol2_s001380_t01_13d28c3df670; vol2_s001380_t02_8da68195d6a6</t>
  </si>
  <si>
    <t xml:space="preserve">B2G24.09.01</t>
  </si>
  <si>
    <t xml:space="preserve">King arranges the marriage of Prince Lain and the named princess</t>
  </si>
  <si>
    <t xml:space="preserve">vol2_s001381_t01_671d0d873e7c; vol2_s001381_t02_fc02924855a5</t>
  </si>
  <si>
    <t xml:space="preserve">B2G24.10.01</t>
  </si>
  <si>
    <t xml:space="preserve">King sends a named Brahmin-official mission to visit the Maha Bodhi and obtain scriptures, passing through Rakhine</t>
  </si>
  <si>
    <t xml:space="preserve">vol2_s001382_t01_7701a2a11602; vol2_s001382_t02_20dace790f25; vol2_s001382_t03_3d8257534005</t>
  </si>
  <si>
    <t xml:space="preserve">Royal dispatch and the first leg are captured, but the substantive religious destination and manuscript-gathering purpose are absent.</t>
  </si>
  <si>
    <t xml:space="preserve">B2G25.01.01</t>
  </si>
  <si>
    <t xml:space="preserve">Converging Burmese columns under Naymyo Zeya Thura and others conquer Manipur</t>
  </si>
  <si>
    <t xml:space="preserve">vol2_s001545_t01_b238ddd58e6d; vol2_s001545_t02_e8f5d5aaa86b; vol2_s001545_t03_a90a6b0eecfd</t>
  </si>
  <si>
    <t xml:space="preserve">B2G25.02.01</t>
  </si>
  <si>
    <t xml:space="preserve">Kathe Maharaja evacuates his household and escapes to Akkaphat</t>
  </si>
  <si>
    <t xml:space="preserve">vol2_s001546_t01_d9637ef55a25; vol2_s001546_t02_a19f9033bf6e; vol2_s001546_t03_ac726c91d1b6</t>
  </si>
  <si>
    <t xml:space="preserve">B2G25.03.01</t>
  </si>
  <si>
    <t xml:space="preserve">General Naymyo Min Hla Maha Nawrahta reorganizes Manipur under royal orders and installs Zupraza as subordinate ruler</t>
  </si>
  <si>
    <t xml:space="preserve">vol2_s001547_t01_43043968f064; vol2_s001547_t02_9e9bbde9c046; vol2_s001547_t03_fe6ed08fb478; vol2_s001547_t04_53081b4c5dd5</t>
  </si>
  <si>
    <t xml:space="preserve">B2G25.03.02</t>
  </si>
  <si>
    <t xml:space="preserve">General withdraws his army to the royal center after the settlement</t>
  </si>
  <si>
    <t xml:space="preserve">B2G25.04.01</t>
  </si>
  <si>
    <t xml:space="preserve">Lai prince's dynastic status and death are recorded</t>
  </si>
  <si>
    <t xml:space="preserve">vol2_s001548_t01_2324d56c3eca; vol2_s001548_t02_2266288fd7ab</t>
  </si>
  <si>
    <t xml:space="preserve">B2G25.05.01</t>
  </si>
  <si>
    <t xml:space="preserve">King sponsors two completed bridges</t>
  </si>
  <si>
    <t xml:space="preserve">vol2_s001549_t01_0faeb7f0bf9e; vol2_s001549_t02_a7a051896a3f</t>
  </si>
  <si>
    <t xml:space="preserve">B2G25.05.02</t>
  </si>
  <si>
    <t xml:space="preserve">King dedicates the works through donations and merit-making with the Sangha</t>
  </si>
  <si>
    <t xml:space="preserve">vol2_s001549_t03_b9aa14d8d04b; vol2_s001549_t04_3455cfdb4704</t>
  </si>
  <si>
    <t xml:space="preserve">B2G25.06.01</t>
  </si>
  <si>
    <t xml:space="preserve">King distributes extensive alms to officials, soldiers, the public and vulnerable people</t>
  </si>
  <si>
    <t xml:space="preserve">vol2_s001550_t01_fe6d5847c2a2; vol2_s001550_t02_a97e273f5896; vol2_s001550_t03_286d2f01af1b</t>
  </si>
  <si>
    <t xml:space="preserve">B2G25.06.02</t>
  </si>
  <si>
    <t xml:space="preserve">Varanasi royal embassy presents texts, goods and a princess, accepted by the king</t>
  </si>
  <si>
    <t xml:space="preserve">vol2_s001550_t04_cb4bbb4c5c5d; vol2_s001550_t05_ddd104fe25aa; vol2_s001550_t06_6f5717a3b838</t>
  </si>
  <si>
    <t xml:space="preserve">B2G25.06.03</t>
  </si>
  <si>
    <t xml:space="preserve">Govinda and Varanasi ministers supervise the diplomatic-religious mission</t>
  </si>
  <si>
    <t xml:space="preserve">ပုရောဟိတ်ပုဏ္ဏားကြီး ဂေါဝိန္ဒ ... ဗာရာဏသီအမတ်ကြီးတို့ ကြပ်မ၍ ... ရောက်</t>
  </si>
  <si>
    <t xml:space="preserve">B2G25.08.01</t>
  </si>
  <si>
    <t xml:space="preserve">Bagan prince's dynastic status and death are recorded</t>
  </si>
  <si>
    <t xml:space="preserve">vol2_s001552_t01_0c71707feb9e; vol2_s001552_t02_a5215361a97c</t>
  </si>
  <si>
    <t xml:space="preserve">B2G25.09.01</t>
  </si>
  <si>
    <t xml:space="preserve">King arranges the marriage of Laikaing prince and Thiri Hirivati</t>
  </si>
  <si>
    <t xml:space="preserve">vol2_s001553_t01_acf868ad440f; vol2_s001553_t02_081b1e51c53f</t>
  </si>
  <si>
    <t xml:space="preserve">The two participant-specific rows jointly express the marriage; not marked wrong for a noncanonical binary construction.</t>
  </si>
  <si>
    <t xml:space="preserve">B2G26.01.01</t>
  </si>
  <si>
    <t xml:space="preserve">Prince of Dwaravati and Maha Bandula exercise the command delegated to them over the main and advance formations</t>
  </si>
  <si>
    <t xml:space="preserve">vol2_s002049_t01_98d22e9e18ea; vol2_s002049_t02_91946b374d3c; vol2_s002049_t03_fd0bd210044e; vol2_s002049_t04_4b93268c4322</t>
  </si>
  <si>
    <t xml:space="preserve">Royal appointments are explicitly established on p188 and accepted as context.</t>
  </si>
  <si>
    <t xml:space="preserve">B2G26.01.02</t>
  </si>
  <si>
    <t xml:space="preserve">Prince's field command sends Bandula's vanguard along the Chin-village route and follows with the main force</t>
  </si>
  <si>
    <t xml:space="preserve">The operational deployment occurs after the army reaches Tamu, under the prince's command.</t>
  </si>
  <si>
    <t xml:space="preserve">B2G26.02.01</t>
  </si>
  <si>
    <t xml:space="preserve">Royal forces disperse along the Malin Khwepu, Supon and Tamu routes</t>
  </si>
  <si>
    <t xml:space="preserve">The route movement is correct even though T1 assigns its immediate direction to the wrong actor.</t>
  </si>
  <si>
    <t xml:space="preserve">B2G26.03.01</t>
  </si>
  <si>
    <t xml:space="preserve">Manipuri ruler holds the mountain chokepoint against the converging Burmese formations</t>
  </si>
  <si>
    <t xml:space="preserve">vol2_s002051_t01_387993894e95; vol2_s002051_t02_fd798dfea272; vol2_s002051_t03_74375d06dce4</t>
  </si>
  <si>
    <t xml:space="preserve">B2G26.04.01</t>
  </si>
  <si>
    <t xml:space="preserve">Manipuri losses force retreat to Alaungpaya's old earthwork</t>
  </si>
  <si>
    <t xml:space="preserve">vol2_s002052_t01_b57df5c6253f; vol2_s002052_t02_fae84a8408fc</t>
  </si>
  <si>
    <t xml:space="preserve">B2G26.05.01</t>
  </si>
  <si>
    <t xml:space="preserve">Burmese forces pursue and attack that earthwork</t>
  </si>
  <si>
    <t xml:space="preserve">vol2_s002053_t01_e009f4b55eb6; vol2_s002053_t02_1757aac4db40</t>
  </si>
  <si>
    <t xml:space="preserve">B2G26.06.01</t>
  </si>
  <si>
    <t xml:space="preserve">Manipuri ruler retreats and directs defense of the next earthwork near Ketsin</t>
  </si>
  <si>
    <t xml:space="preserve">vol2_s002054_t01_5defc16c6922; vol2_s002054_t02_837e81faeefb</t>
  </si>
  <si>
    <t xml:space="preserve">B2G26.06.02</t>
  </si>
  <si>
    <t xml:space="preserve">Burmese forces establish a siege position opposite it</t>
  </si>
  <si>
    <t xml:space="preserve">B2G26.07.01</t>
  </si>
  <si>
    <t xml:space="preserve">Manipuri artillery disrupts Burmese camp establishment</t>
  </si>
  <si>
    <t xml:space="preserve">B2G26.08.01</t>
  </si>
  <si>
    <t xml:space="preserve">Manipuri cavalry attacks the Burmese formations</t>
  </si>
  <si>
    <t xml:space="preserve">B2G26.09.01</t>
  </si>
  <si>
    <t xml:space="preserve">Manipuri cavalry circles the foothills to attack the Burmese rear</t>
  </si>
  <si>
    <t xml:space="preserve">vol2_s002057_t01_b176d1f99c39; vol2_s002057_t02_1e39045f9f0a</t>
  </si>
  <si>
    <t xml:space="preserve">B2G27.01.01</t>
  </si>
  <si>
    <t xml:space="preserve">Prince of Dwaravati deploys four musketeer units along the Htawpan route</t>
  </si>
  <si>
    <t xml:space="preserve">vol2_s002078_t01_db23dee8f31b; vol2_s002078_t02_b951ee52c383; vol2_s002078_t03_e628ffa297cd; vol2_s002078_t04_4ba3687e3660</t>
  </si>
  <si>
    <t xml:space="preserve">B2G27.01.02</t>
  </si>
  <si>
    <t xml:space="preserve">Prince places Mingyi Minkhaungkyaw of Pakhan Gyi and associated units in the vanguard</t>
  </si>
  <si>
    <t xml:space="preserve">B2G27.01.03</t>
  </si>
  <si>
    <t xml:space="preserve">Royally appointed Prince of Dwaravati leads the main advance on Manipur</t>
  </si>
  <si>
    <t xml:space="preserve">vol2_s002078_t06_b5220956de4d; vol2_s002078_t07_15c2ab384822</t>
  </si>
  <si>
    <t xml:space="preserve">His original royal appointment is explicitly established on p188.</t>
  </si>
  <si>
    <t xml:space="preserve">B2G27.02.01</t>
  </si>
  <si>
    <t xml:space="preserve">Meithei ruler avoids capture by flight and the Prince of Dwaravati occupies Manipur</t>
  </si>
  <si>
    <t xml:space="preserve">vol2_s002079_t01_b17927086de2; vol2_s002079_t02_f1d5fd94428c; vol2_s002079_t03_903dc340dbff</t>
  </si>
  <si>
    <t xml:space="preserve">Continuing resistance to Konbaung authority is supported by the surrounding military narrative.</t>
  </si>
  <si>
    <t xml:space="preserve">B2G27.03.01</t>
  </si>
  <si>
    <t xml:space="preserve">Prince of Rammawadi's royally deployed column, including Kale's sawbwa, fights through Meithei resistance</t>
  </si>
  <si>
    <t xml:space="preserve">vol2_s002080_t01_076ed486efac; vol2_s002080_t02_1913ac93eb67; vol2_s002080_t03_41aff6d00c4c</t>
  </si>
  <si>
    <t xml:space="preserve">B2G27.04.01</t>
  </si>
  <si>
    <t xml:space="preserve">Burmese attack defeats Meithei resistance at the pass and forces retreat to Helaungwa</t>
  </si>
  <si>
    <t xml:space="preserve">The retreat is captured but not the attack that forces it.</t>
  </si>
  <si>
    <t xml:space="preserve">B2G27.04.02</t>
  </si>
  <si>
    <t xml:space="preserve">Htwetsaungmandali commands the Helaungwa defensive position</t>
  </si>
  <si>
    <t xml:space="preserve">B2G27.05.01</t>
  </si>
  <si>
    <t xml:space="preserve">Htwetsaungmandali fortifies and mans Helaungwa</t>
  </si>
  <si>
    <t xml:space="preserve">vol2_s002082_t01_0bd23b75d615; vol2_s002082_t02_69f83857c0f4</t>
  </si>
  <si>
    <t xml:space="preserve">B2G27.06.01</t>
  </si>
  <si>
    <t xml:space="preserve">Royal forces pursue and attack Helaungwa</t>
  </si>
  <si>
    <t xml:space="preserve">B2G27.07.01</t>
  </si>
  <si>
    <t xml:space="preserve">News of Kasein's defeat induces Htwetsaungmandali's withdrawal</t>
  </si>
  <si>
    <t xml:space="preserve">vol2_s002084_t01_29c500688439; vol2_s002084_t02_750361357c24</t>
  </si>
  <si>
    <t xml:space="preserve">B2G27.07.02</t>
  </si>
  <si>
    <t xml:space="preserve">Prince of Rammawadi's column pursues the retreating force</t>
  </si>
  <si>
    <t xml:space="preserve">ရမ္မာဝတီမင်းသား ... တစ်ဆယ့်ငါးတပ်လည်း လိုက်ထပ်ချီတက်သည်</t>
  </si>
  <si>
    <t xml:space="preserve">B2G27.08.01</t>
  </si>
  <si>
    <t xml:space="preserve">Prince of Rammawadi joins the victorious main army at Manipur</t>
  </si>
  <si>
    <t xml:space="preserve">B2G27.09.01</t>
  </si>
  <si>
    <t xml:space="preserve">Meithei ruler flees the victorious royal forces rather than submitting</t>
  </si>
  <si>
    <t xml:space="preserve">B2G27.09.02</t>
  </si>
  <si>
    <t xml:space="preserve">Prince of Dwaravati orders a six-thousand-musketeer pursuit to capture the ruler</t>
  </si>
  <si>
    <t xml:space="preserve">T2 correctly captures the order despite T3's incorrect attribution.</t>
  </si>
  <si>
    <t xml:space="preserve">B2G28.01.01</t>
  </si>
  <si>
    <t xml:space="preserve">King sends rewards for the Manipur garrison commander and officers</t>
  </si>
  <si>
    <t xml:space="preserve">vol2_s002208_t01_73da9e967b0a; vol2_s002208_t02_a01afc50bc1e</t>
  </si>
  <si>
    <t xml:space="preserve">B2G28.02.01</t>
  </si>
  <si>
    <t xml:space="preserve">Manipuri leaders receive intelligence from their scouts about the advancing relief army</t>
  </si>
  <si>
    <t xml:space="preserve">အထောက်အထောက် ကင်းထောက်လှမ်းစေသူတို့ ဆင့်ပြောကြား</t>
  </si>
  <si>
    <t xml:space="preserve">B2G28.02.02</t>
  </si>
  <si>
    <t xml:space="preserve">Manipuri leaders maintain the siege and block the relief army's approaches</t>
  </si>
  <si>
    <t xml:space="preserve">vol2_s002209_t01_0fa5aa0edf9d; vol2_s002209_t02_f69e6917ed09</t>
  </si>
  <si>
    <t xml:space="preserve">B2G28.03.01</t>
  </si>
  <si>
    <t xml:space="preserve">Pakhan Gyi commander assigns Minhla Minhtin the twelve-unit vanguard</t>
  </si>
  <si>
    <t xml:space="preserve">vol2_s002210_t01_2d96b4fae8ea; vol2_s002210_t02_0d40eb47a170</t>
  </si>
  <si>
    <t xml:space="preserve">B2G28.04.01</t>
  </si>
  <si>
    <t xml:space="preserve">Pakhan Gyi commander leads the seven-unit supporting rear force</t>
  </si>
  <si>
    <t xml:space="preserve">B2G28.05.01</t>
  </si>
  <si>
    <t xml:space="preserve">Royal forces attack Helasandaw's fortified mountain-pass defense</t>
  </si>
  <si>
    <t xml:space="preserve">vol2_s002212_t01_5a371902a7d2; vol2_s002212_t02_cab61df43c87; vol2_s002213_t01_eca2d79c915e</t>
  </si>
  <si>
    <t xml:space="preserve">Adjacent sentence's Royal Army Attack object corroborates combat, so no artificial attack-verb omission is counted.</t>
  </si>
  <si>
    <t xml:space="preserve">B2G28.06.01</t>
  </si>
  <si>
    <t xml:space="preserve">Helasandaw and his officers fail to hold against the royal attack</t>
  </si>
  <si>
    <t xml:space="preserve">B2G29.02.01</t>
  </si>
  <si>
    <t xml:space="preserve">Konbaung royal lineage is legitimated through Mahasammata, the Adicca Kshatriyas and the Sakya clan</t>
  </si>
  <si>
    <t xml:space="preserve">vol2_s002450_t01_780f26a9ddb2; vol2_s002451_t01_4d0893bf63c7; vol2_s002452_t01_52607a988c80</t>
  </si>
  <si>
    <t xml:space="preserve">One continuous dynastic-origin claim across fragments S2–5.</t>
  </si>
  <si>
    <t xml:space="preserve">B2G29.03.01</t>
  </si>
  <si>
    <t xml:space="preserve">Bodawpaya founds Amarapura's city and palace</t>
  </si>
  <si>
    <t xml:space="preserve">B2G29.06.01</t>
  </si>
  <si>
    <t xml:space="preserve">Bagyidaw establishes the royal center at Ratanapura</t>
  </si>
  <si>
    <t xml:space="preserve">The next fragment supplies his identity; generic Konbaung monarchy is acceptable.</t>
  </si>
  <si>
    <t xml:space="preserve">vol2_s002456</t>
  </si>
  <si>
    <t xml:space="preserve">B2G29.08.01</t>
  </si>
  <si>
    <t xml:space="preserve">Bagyidaw orders compilation of the First Great Royal Chronicle</t>
  </si>
  <si>
    <t xml:space="preserve">S6–12 form one sentence: ဘကြီးတော် ... အမိန့်တော်မြတ်နှင့် ... စီရင်ရေးသားသော. His commissioning action is not represented elsewhere in the passage.</t>
  </si>
  <si>
    <t xml:space="preserve">အမိန့်တော်မြတ်နှင့်။</t>
  </si>
  <si>
    <t xml:space="preserve">By royal command.</t>
  </si>
  <si>
    <t xml:space="preserve">B2G29.10.01</t>
  </si>
  <si>
    <t xml:space="preserve">Learned men consult and compile the First Great Royal Chronicle</t>
  </si>
  <si>
    <t xml:space="preserve">vol2_s002458_t01_e8bdbc6bdd92; vol2_s002459_t01_2d235d8f19b8</t>
  </si>
  <si>
    <t xml:space="preserve">B2G29.14.01</t>
  </si>
  <si>
    <t xml:space="preserve">First Great Royal Chronicle's coverage ends at 1183</t>
  </si>
  <si>
    <t xml:space="preserve">B2G29.17.01</t>
  </si>
  <si>
    <t xml:space="preserve">Mindon commissions continuation as the Second Great Royal Chronicle</t>
  </si>
  <si>
    <t xml:space="preserve">B2G29.18.01</t>
  </si>
  <si>
    <t xml:space="preserve">Mindon is identified as founder of Mandalay and convener of the Fifth Council</t>
  </si>
  <si>
    <t xml:space="preserve">vol2_s002466_t01_84ce376a797d; vol2_s002466_t02_83fb8e1de158</t>
  </si>
  <si>
    <t xml:space="preserve">B2G29.21.01</t>
  </si>
  <si>
    <t xml:space="preserve">Learned monks, Brahmins, ministers and officials jointly consult and compile the Second Great Royal Chronicle</t>
  </si>
  <si>
    <t xml:space="preserve">vol2_s002469_t01_122b1efc8f20; vol2_s002470_t01_167b7bced5db; vol2_s002472_t01_ed541c21f30b</t>
  </si>
  <si>
    <t xml:space="preserve">B2G29.28.01</t>
  </si>
  <si>
    <t xml:space="preserve">The First Great Royal Chronicle circulates widely</t>
  </si>
  <si>
    <t xml:space="preserve">B2G29.31.01</t>
  </si>
  <si>
    <t xml:space="preserve">Second Great Royal Chronicle is represented as inaccessible, like buried treasure</t>
  </si>
  <si>
    <t xml:space="preserve">vol2_s002479_t01_8b783a762605; vol2_s002480_t01_6adab218db19; vol2_s002481_t01_1b41adf10165</t>
  </si>
  <si>
    <t xml:space="preserve">B2G29.35.01</t>
  </si>
  <si>
    <t xml:space="preserve">Younger generations lack knowledge of the four reigns and undervalue or doubt their significance</t>
  </si>
  <si>
    <t xml:space="preserve">vol2_s002483_t01_97336d93496e; vol2_s002485_t01_85af84756396; vol2_s002486_t01_c3511eacd5fd</t>
  </si>
  <si>
    <t xml:space="preserve">B2G29.44.01</t>
  </si>
  <si>
    <t xml:space="preserve">The preface represents the former royal reigns as providing peace and abundance</t>
  </si>
  <si>
    <t xml:space="preserve">B2G29.45.01</t>
  </si>
  <si>
    <t xml:space="preserve">Elder witnesses recall royal ceremonies and splendor with nostalgia</t>
  </si>
  <si>
    <t xml:space="preserve">vol2_s002493_t01_a8a756c4741b; vol2_s002488_t01_0ff307f36165; vol2_s002490_t01_cc8ca45a06b7; vol2_s002496_t01_9370a3963885</t>
  </si>
  <si>
    <t xml:space="preserve">B2G29.49.01</t>
  </si>
  <si>
    <t xml:space="preserve">Elders seek access to the chronicle but cannot obtain it</t>
  </si>
  <si>
    <t xml:space="preserve">vol2_s002497_t01_6243ebbcb7cf; vol2_s002499_t01_e838f90e0907; vol2_s002500_t01_8ba1cffc141a</t>
  </si>
  <si>
    <t xml:space="preserve">B2G29.54.01</t>
  </si>
  <si>
    <t xml:space="preserve">The chronicle is promoted as a means of understanding and admiring the Burmese state and royal-national glory</t>
  </si>
  <si>
    <t xml:space="preserve">vol2_s002502_t01_b483e521c934; vol2_s002505_t01_326ddb739171</t>
  </si>
  <si>
    <t xml:space="preserve">vol2_s002506</t>
  </si>
  <si>
    <t xml:space="preserve">B2G29.58.01</t>
  </si>
  <si>
    <t xml:space="preserve">The preface describes the monarchy as furnished with learned ministers, officials and armies</t>
  </si>
  <si>
    <t xml:space="preserve">ပညာရှိမှူးမတ်ဗိုလ်ပါ သေနင်္ဂါ အပေါင်းနှင့်ပြည့်စုံခြင်း</t>
  </si>
  <si>
    <t xml:space="preserve">ပညာရှိမှူးမတ်ဗိုလ်ပါ သေနင်္ဂါ အပေါင်းနှင့်ပြည့်စုံခြင်း။</t>
  </si>
  <si>
    <t xml:space="preserve">Being complete with wise ministers, officials, and armies.</t>
  </si>
  <si>
    <t xml:space="preserve">B2G29.59.01</t>
  </si>
  <si>
    <t xml:space="preserve">The chronicle presents foreign alliances and diplomatic disagreements</t>
  </si>
  <si>
    <t xml:space="preserve">Foreign relations are represented, but the contrasting disagreements in S60 are absent.</t>
  </si>
  <si>
    <t xml:space="preserve">B2G29.61.01</t>
  </si>
  <si>
    <t xml:space="preserve">The monarchy patronizes the Sasana</t>
  </si>
  <si>
    <t xml:space="preserve">B2G29.62.01</t>
  </si>
  <si>
    <t xml:space="preserve">The chronicle teaches impermanence and spiritual urgency to readers</t>
  </si>
  <si>
    <t xml:space="preserve">vol2_s002510_t01_9c388a3f80a8; vol2_s002511_t01_56940f593373; vol2_s002512_t01_7e98164c1e43</t>
  </si>
  <si>
    <t xml:space="preserve">B2G29.68.01</t>
  </si>
  <si>
    <t xml:space="preserve">Editors undertake to print and distribute the Second Great Royal Chronicle</t>
  </si>
  <si>
    <t xml:space="preserve">vol2_s002516_t01_db1ee7bb747e; vol2_s002526_t01_153c5e294083</t>
  </si>
  <si>
    <t xml:space="preserve">B2G29.69.01</t>
  </si>
  <si>
    <t xml:space="preserve">Scholarly and social elites urge publication</t>
  </si>
  <si>
    <t xml:space="preserve">B2G29.74.01</t>
  </si>
  <si>
    <t xml:space="preserve">The text presents itself as the record of four royal reigns</t>
  </si>
  <si>
    <t xml:space="preserve">B2G29.75.01</t>
  </si>
  <si>
    <t xml:space="preserve">The publication is justified as serving worldly and spiritual benefits for its readers</t>
  </si>
  <si>
    <t xml:space="preserve">vol2_s002523_t01_06b41eb1b320; vol2_s002525_t01_16358b47b47a</t>
  </si>
  <si>
    <t xml:space="preserve">B2G30.01.01</t>
  </si>
  <si>
    <t xml:space="preserve">Royal forces pursue and defeat Candragandhsin's resistance, driving him to English refuge</t>
  </si>
  <si>
    <t xml:space="preserve">vol2_s002696_t01_fe4594c35516; vol2_s002696_t02_c27ef7d7716c; vol2_s002696_t03_da07980ba25b</t>
  </si>
  <si>
    <t xml:space="preserve">B2G30.02.01</t>
  </si>
  <si>
    <t xml:space="preserve">Burmese conquer Assam and subdue Yani and Jayanta</t>
  </si>
  <si>
    <t xml:space="preserve">vol2_s002697_t01_52be081e99f8; vol2_s002697_t02_d22f0ee9e34d; vol2_s002697_t03_cc1cc8cd8f9b</t>
  </si>
  <si>
    <t xml:space="preserve">B2G30.02.02</t>
  </si>
  <si>
    <t xml:space="preserve">Burmese impose annual tribute/tax obligations on Assam's subordinate rulers</t>
  </si>
  <si>
    <t xml:space="preserve">vol2_s002697_t04_60acd7589b0b; vol2_s002697_t05_a86b2f8da23f; vol2_s002697_t06_05b74827549c</t>
  </si>
  <si>
    <t xml:space="preserve">B2G30.02.03</t>
  </si>
  <si>
    <t xml:space="preserve">Burmese subdue Akkaphat and confirm a legitimate dynastic ruler</t>
  </si>
  <si>
    <t xml:space="preserve">vol2_s002697_t07_39eb0b52561d; vol2_s002697_t08_25e93965281d</t>
  </si>
  <si>
    <t xml:space="preserve">Appointment wording is accepted as confirmation of local dynastic rule.</t>
  </si>
  <si>
    <t xml:space="preserve">B2G30.03.01</t>
  </si>
  <si>
    <t xml:space="preserve">Akkaphat ruler presents two daughters and gifts in submission</t>
  </si>
  <si>
    <t xml:space="preserve">B2G30.04.01</t>
  </si>
  <si>
    <t xml:space="preserve">Commanders install Zaw Rahan in Assam with royal title and regalia under royal orders</t>
  </si>
  <si>
    <t xml:space="preserve">vol2_s002699_t01_7766534f01f2; vol2_s002699_t02_4ad6a19537c3</t>
  </si>
  <si>
    <t xml:space="preserve">B2G30.04.02</t>
  </si>
  <si>
    <t xml:space="preserve">Maha Thilawa and other appointed administrators are charged with governing and securing Assam</t>
  </si>
  <si>
    <t xml:space="preserve">vol2_s002699_t03_e6b5d4868b11; vol2_s002699_t04_e421c290c949</t>
  </si>
  <si>
    <t xml:space="preserve">B2G30.04.03</t>
  </si>
  <si>
    <t xml:space="preserve">Assam's rulers send daughters and tribute back through Maha Bandula's expedition</t>
  </si>
  <si>
    <t xml:space="preserve">Same-page repeated report supplies coverage; no duplicate omission for collective indirect presentation.</t>
  </si>
  <si>
    <t xml:space="preserve">B2G30.05.01</t>
  </si>
  <si>
    <t xml:space="preserve">Chief Queen sponsors a brick monastery at Ratanapura</t>
  </si>
  <si>
    <t xml:space="preserve">B2G30.06.01</t>
  </si>
  <si>
    <t xml:space="preserve">Returning Chinese envoys report to regional officials, who relay their report to the emperor</t>
  </si>
  <si>
    <t xml:space="preserve">သံတို့ ... မိုင်းဆည်စုန်းတူ, မိုးမျဉ်းမြို့ဝန်တို့ထံ ပြန်ပြော ... ဥဒည်မင်းထံ တင်လျှောက်</t>
  </si>
  <si>
    <t xml:space="preserve">B2G30.06.02</t>
  </si>
  <si>
    <t xml:space="preserve">Chinese emperor sends renewed royal letters and gifts through the returning embassy</t>
  </si>
  <si>
    <t xml:space="preserve">B2G30.07.01</t>
  </si>
  <si>
    <t xml:space="preserve">Maha Bandula's successful Assam conquest and return with tribute are recorded</t>
  </si>
  <si>
    <t xml:space="preserve">vol2_s002702_t01_23b32696ffce; vol2_s002702_t02_8a07c6be219e</t>
  </si>
  <si>
    <t xml:space="preserve">B2G30.07.02</t>
  </si>
  <si>
    <t xml:space="preserve">Maha Bandula investigates the Chinese embassy at Bhamo</t>
  </si>
  <si>
    <t xml:space="preserve">တရုတ်သံတို့ အကြောင်းအရာများကို ကြည့်ရှုမေးမြန်း စုံစမ်း</t>
  </si>
  <si>
    <t xml:space="preserve">B2G30.07.03</t>
  </si>
  <si>
    <t xml:space="preserve">Maha Bandula instructs Bhamo's governor</t>
  </si>
  <si>
    <t xml:space="preserve">B2G30.07.04</t>
  </si>
  <si>
    <t xml:space="preserve">Maha Bandula's victorious army impresses the Chinese envoys</t>
  </si>
  <si>
    <t xml:space="preserve">B2G30.07.05</t>
  </si>
  <si>
    <t xml:space="preserve">Narrative likens Maha Bandula's military command to Kuvera's command of celestial troops</t>
  </si>
  <si>
    <t xml:space="preserve">သေနာဂုတ္တကုဝေရနတ်အတူ ... အုပ်ချုပ်စည်းကြပ်</t>
  </si>
  <si>
    <t xml:space="preserve">B2G31.01.01</t>
  </si>
  <si>
    <t xml:space="preserve">British superiority in arms and manpower forces Pathein's defenders to retreat</t>
  </si>
  <si>
    <t xml:space="preserve">vol2_s002886_t01_8d2485282791; vol2_s002886_t02_af8d7e935720; vol2_s002886_t03_82910ae1699a; vol2_s002886_t04_702e26f50d11</t>
  </si>
  <si>
    <t xml:space="preserve">B2G31.02.01</t>
  </si>
  <si>
    <t xml:space="preserve">King mobilizes seven units from service groups and equips them</t>
  </si>
  <si>
    <t xml:space="preserve">B2G31.02.02</t>
  </si>
  <si>
    <t xml:space="preserve">King appoints Maha Uzana and the expedition's military staff</t>
  </si>
  <si>
    <t xml:space="preserve">vol2_s002887_t02_cae3eb7feebc; vol2_s002887_t03_eb3b07410697; vol2_s002887_t04_3413b3b64eea; vol2_s002887_t05_138b6d9f949c</t>
  </si>
  <si>
    <t xml:space="preserve">B2G31.02.03</t>
  </si>
  <si>
    <t xml:space="preserve">King sends the force to reinforce Maha Bandula</t>
  </si>
  <si>
    <t xml:space="preserve">B2G31.03.01</t>
  </si>
  <si>
    <t xml:space="preserve">Cotton and Campbell command the naval and land columns</t>
  </si>
  <si>
    <t xml:space="preserve">vol2_s002888_t01_ac859674b1db; vol2_s002888_t02_6d7e73b97a1f</t>
  </si>
  <si>
    <t xml:space="preserve">B2G31.03.02</t>
  </si>
  <si>
    <t xml:space="preserve">British attack the named Burmese defensive position, where Nemyo Yahtin is killed</t>
  </si>
  <si>
    <t xml:space="preserve">vol2_s002888_t03_61692a0eeaec; vol2_s002888_t04_d8299d729440; vol2_s002888_t05_da59199abb55</t>
  </si>
  <si>
    <t xml:space="preserve">B2G31.04.01</t>
  </si>
  <si>
    <t xml:space="preserve">Burmese commanders organize defensive fire that repels the renewed British attack</t>
  </si>
  <si>
    <t xml:space="preserve">vol2_s002889_t01_c0e44a56b19d; vol2_s002889_t02_a7f8c7f8d66e; vol2_s002889_t03_e91e852ce680; vol2_s002889_t04_f178d8db855d</t>
  </si>
  <si>
    <t xml:space="preserve">B2G31.05.01</t>
  </si>
  <si>
    <t xml:space="preserve">Burmese defensive fire kills English officers and Gora personnel</t>
  </si>
  <si>
    <t xml:space="preserve">B2G31.06.01</t>
  </si>
  <si>
    <t xml:space="preserve">Cotton's costly attack leads him to report inability to continue to Campbell</t>
  </si>
  <si>
    <t xml:space="preserve">vol2_s002891_t01_8569576aa1a6; vol2_s002891_t02_c711387c077a; vol2_s002891_t03_404cb3005585; vol2_s002891_t04_15f212dd0dd8</t>
  </si>
  <si>
    <t xml:space="preserve">B2G31.06.02</t>
  </si>
  <si>
    <t xml:space="preserve">Campbell joins Cotton's forces</t>
  </si>
  <si>
    <t xml:space="preserve">B2G31.06.03</t>
  </si>
  <si>
    <t xml:space="preserve">British land and naval forces establish new positions around Danubyu</t>
  </si>
  <si>
    <t xml:space="preserve">vol2_s002891_t06_33ad81813db2; vol2_s002891_t07_6543db0cf110</t>
  </si>
  <si>
    <t xml:space="preserve">B2G32.01.01</t>
  </si>
  <si>
    <t xml:space="preserve">Princes, sawbwas and governors display royal insignia and ordered attendance in the procession</t>
  </si>
  <si>
    <t xml:space="preserve">vol2_s003209_t01_7301a9fd8cd1; vol2_s003209_t02_479ca3190d2b; vol2_s003209_t03_a368300891d8</t>
  </si>
  <si>
    <t xml:space="preserve">B2G32.02.01</t>
  </si>
  <si>
    <t xml:space="preserve">Ministers wear royal insignia and accompany the king's litter in rank order</t>
  </si>
  <si>
    <t xml:space="preserve">vol2_s003210_t01_7f0af0869023; vol2_s003210_t02_a65ea215f17c</t>
  </si>
  <si>
    <t xml:space="preserve">B2G32.02.02</t>
  </si>
  <si>
    <t xml:space="preserve">White-elephant officers supervise and surround the royal white elephant's procession</t>
  </si>
  <si>
    <t xml:space="preserve">B2G32.03.01</t>
  </si>
  <si>
    <t xml:space="preserve">Queens and officials' wives participate with royally granted conveyances and ceremonial display</t>
  </si>
  <si>
    <t xml:space="preserve">vol2_s003211_t01_1ebd5e4c777f; vol2_s003211_t02_6d8236ab9651</t>
  </si>
  <si>
    <t xml:space="preserve">B2G32.04.01</t>
  </si>
  <si>
    <t xml:space="preserve">King sponsors the festival's performances</t>
  </si>
  <si>
    <t xml:space="preserve">B2G32.04.02</t>
  </si>
  <si>
    <t xml:space="preserve">King and queen jointly dedicate requisites and the Maha Aungmye Bontha monastery to the Sangha and presiding Sayadaw</t>
  </si>
  <si>
    <t xml:space="preserve">vol2_s003212_t02_0c7a6a4d7941; vol2_s003212_t03_e7561f68ac1f; vol2_s003212_t04_e6e5179edb7d</t>
  </si>
  <si>
    <t xml:space="preserve">The king's participation is correct, but the explicit joint donor အရှင်နှစ်ပါး is reduced to the king alone.</t>
  </si>
  <si>
    <t xml:space="preserve">B2G32.05.01</t>
  </si>
  <si>
    <t xml:space="preserve">King distributes gifts to princes, officials and subjects according to rank</t>
  </si>
  <si>
    <t xml:space="preserve">B2G32.06.01</t>
  </si>
  <si>
    <t xml:space="preserve">King pardons and releases prisoners</t>
  </si>
  <si>
    <t xml:space="preserve">B2G32.07.01</t>
  </si>
  <si>
    <t xml:space="preserve">King, princes and ministers sponsor the celebratory firework display</t>
  </si>
  <si>
    <t xml:space="preserve">vol2_s003215_t01_0cee9bf9930b; vol2_s003215_t02_8ceb5da2de32</t>
  </si>
  <si>
    <t xml:space="preserve">B2G32.08.01</t>
  </si>
  <si>
    <t xml:space="preserve">King attends the firework display</t>
  </si>
  <si>
    <t xml:space="preserve">B2G32.09.01</t>
  </si>
  <si>
    <t xml:space="preserve">Alaungpaya campaigns against Pegu and establishes Myanaung</t>
  </si>
  <si>
    <t xml:space="preserve">vol2_s003217_t01_f247d4071b3e; vol2_s003217_t02_2444a31afd39</t>
  </si>
  <si>
    <t xml:space="preserve">B2G32.09.02</t>
  </si>
  <si>
    <t xml:space="preserve">Local headmen submit elephants, horses, children and weapons to Alaungpaya</t>
  </si>
  <si>
    <t xml:space="preserve">B2G32.09.03</t>
  </si>
  <si>
    <t xml:space="preserve">Alaungpaya assigns pagoda brickmaking to his personal guards rather than local soldiers</t>
  </si>
  <si>
    <t xml:space="preserve">vol2_s003217_t04_308ac4c5c947; vol2_s003217_t05_a007a711d945</t>
  </si>
  <si>
    <t xml:space="preserve">Use of his guards is recognized, but the extraction turns the exclusion from brickmaking into exclusion from military service.</t>
  </si>
  <si>
    <t xml:space="preserve">B2G32.09.04</t>
  </si>
  <si>
    <t xml:space="preserve">Alaungpaya deposits relics and royal treasures in the pagoda as religious merit</t>
  </si>
  <si>
    <t xml:space="preserve">vol2_s003217_t06_8ef913f3f34f; vol2_s003217_t08_567b6e44a012</t>
  </si>
  <si>
    <t xml:space="preserve">B2G32.09.05</t>
  </si>
  <si>
    <t xml:space="preserve">Alaungpaya's inscription instructs royal descendants to repair and maintain the pagoda</t>
  </si>
  <si>
    <t xml:space="preserve">B2G33.01.01</t>
  </si>
  <si>
    <t xml:space="preserve">Yun visitors request and perform an authorized diplomatic gun salute, with a shore response</t>
  </si>
  <si>
    <t xml:space="preserve">vol2_s003258_t02_35cb19f7e635; vol2_s003258_t03_aba05931e36d; vol2_s003258_t04_ee22c446504e; vol2_s003259_t01_6d984c50d7e7</t>
  </si>
  <si>
    <t xml:space="preserve">The ceremony is clearly supported; the specific recipient of the shore reply is uncertain.</t>
  </si>
  <si>
    <t xml:space="preserve">B2G33.03.01</t>
  </si>
  <si>
    <t xml:space="preserve">Hanthawaddy authorities provide food and lodging to the Yun mission</t>
  </si>
  <si>
    <t xml:space="preserve">vol2_s003260_t01_4dff687f357c; vol2_s003260_t02_c055ff97758a</t>
  </si>
  <si>
    <t xml:space="preserve">B2G33.04.01</t>
  </si>
  <si>
    <t xml:space="preserve">Hanthawaddy officials question the mission and interpreter</t>
  </si>
  <si>
    <t xml:space="preserve">B2G33.04.02</t>
  </si>
  <si>
    <t xml:space="preserve">Officials send the proceedings and reports to the king through Min Nge Sithu</t>
  </si>
  <si>
    <t xml:space="preserve">vol2_s003261_t02_9c572a2aded6; vol2_s003261_t03_314a2cdefa5a</t>
  </si>
  <si>
    <t xml:space="preserve">B2G33.05.01</t>
  </si>
  <si>
    <t xml:space="preserve">King orders Hanthawaddy's minister to arrange a diplomatic reply, gifts and the visitors' return</t>
  </si>
  <si>
    <t xml:space="preserve">vol2_s003262_t01_3fc4248f1d40; vol2_s003262_t02_cd548143ac17</t>
  </si>
  <si>
    <t xml:space="preserve">B2G33.05.02</t>
  </si>
  <si>
    <t xml:space="preserve">Letter invokes the king's elephant titles and extensive territorial supremacy</t>
  </si>
  <si>
    <t xml:space="preserve">vol2_s003262_t03_80d621ecd0f4; vol2_s003262_t04_4cc2b1a204ce; vol2_s003262_t05_f3d7e235ca1c; vol2_s003262_t06_e7733eb6b383; vol2_s003262_t07_b007c956171f</t>
  </si>
  <si>
    <t xml:space="preserve">B2G33.05.03</t>
  </si>
  <si>
    <t xml:space="preserve">Hanthawaddy minister declares his delegated governance of Hanthawaddy and its 32 surrounding towns</t>
  </si>
  <si>
    <t xml:space="preserve">နိုင်ငံတော်တောင်မျက်နှာ အရံသုံးဆယ့်နှစ်မြို့နှင့်တကွ ဟံသာဝတီပြည်ကြီးကို အုပ်ချုပ် ... ဝန့်ရှင်တော်</t>
  </si>
  <si>
    <t xml:space="preserve">B2G33.05.04</t>
  </si>
  <si>
    <t xml:space="preserve">Burmese court's continuing effort to establish friendship with the Yun ruler is recalled</t>
  </si>
  <si>
    <t xml:space="preserve">B2G33.06.01</t>
  </si>
  <si>
    <t xml:space="preserve">Don Naing minister sends envoys and the Burmese king sends a return mission with gifts</t>
  </si>
  <si>
    <t xml:space="preserve">vol2_s003263_t01_94f621282768; vol2_s003263_t02_d11576550ceb</t>
  </si>
  <si>
    <t xml:space="preserve">B2G33.06.02</t>
  </si>
  <si>
    <t xml:space="preserve">Royal court questions the visiting envoys about their affairs</t>
  </si>
  <si>
    <t xml:space="preserve">ရွှေပြည်တော်သို့ ဆန်တက်စေ၍ အကြောင်းအရာ အလုံးစုံမျိုးကို မေးမြန်း</t>
  </si>
  <si>
    <t xml:space="preserve">B2G33.07.01</t>
  </si>
  <si>
    <t xml:space="preserve">Yun king sends a return embassy to sustain friendship with Burma, but it fails to arrive</t>
  </si>
  <si>
    <t xml:space="preserve">vol2_s003264_t01_6bf733548b9d; vol2_s003264_t02_310684e76722</t>
  </si>
  <si>
    <t xml:space="preserve">Alliance purpose is correct; T1 mistakes the preceding meeting with Don Naing for the return embassy's destination.</t>
  </si>
  <si>
    <t xml:space="preserve">B2G34.01.01</t>
  </si>
  <si>
    <t xml:space="preserve">The king's failing health prevents effective administration and destabilizes the realm.</t>
  </si>
  <si>
    <t xml:space="preserve">vol2_s003546_t01_030b40d79c12; vol2_s003546_t04_ee8ef4c261ed</t>
  </si>
  <si>
    <t xml:space="preserve">B2G34.01.02</t>
  </si>
  <si>
    <t xml:space="preserve">The king transfers the realm and sovereignty to his younger brother.</t>
  </si>
  <si>
    <t xml:space="preserve">vol2_s003546_t02_63e9c41292b9; vol2_s003546_t03_661a5c5e1695</t>
  </si>
  <si>
    <t xml:space="preserve">B2G34.02.01</t>
  </si>
  <si>
    <t xml:space="preserve">The crown prince's marriage links him to the Prince of Pyi's daughter.</t>
  </si>
  <si>
    <t xml:space="preserve">vol2_s003547_t02_a8b444da2b5d; vol2_s003547_t03_327dbef7b66b</t>
  </si>
  <si>
    <t xml:space="preserve">B2G34.02.02</t>
  </si>
  <si>
    <t xml:space="preserve">Maha Thihathura Dhamma Yaza holds the Nyaungyan appanage.</t>
  </si>
  <si>
    <t xml:space="preserve">B2G34.02.03</t>
  </si>
  <si>
    <t xml:space="preserve">Maha Thihathura Dhamma Yaza is the son born to the crown prince and Thiri Maha Sanda Dewi.</t>
  </si>
  <si>
    <t xml:space="preserve">The output names the parents' marriage and the son's title, but does not connect the son to either parent.</t>
  </si>
  <si>
    <t xml:space="preserve">B2G34.03.01</t>
  </si>
  <si>
    <t xml:space="preserve">The Palaing prince and the later Middle Palace Queen belong to the king's offspring.</t>
  </si>
  <si>
    <t xml:space="preserve">vol2_s003548_t01_439d3fbd80e1; vol2_s003548_t02_4178b6a2d440</t>
  </si>
  <si>
    <t xml:space="preserve">B2G34.03.02</t>
  </si>
  <si>
    <t xml:space="preserve">The king's daughter becomes the Middle Palace Queen of the later sovereign identified by his white-elephant title.</t>
  </si>
  <si>
    <t xml:space="preserve">B2G34.03.03</t>
  </si>
  <si>
    <t xml:space="preserve">The later sovereign is represented through the Great Lord of Life title.</t>
  </si>
  <si>
    <t xml:space="preserve">B2G34.04.01</t>
  </si>
  <si>
    <t xml:space="preserve">Phwar Taw Phwar is the king's daughter and Lady of Chyipa.</t>
  </si>
  <si>
    <t xml:space="preserve">vol2_s003549_t01_5c8d364e7b4a; vol2_s003549_t02_8f15660ec94c</t>
  </si>
  <si>
    <t xml:space="preserve">B2G34.04.02</t>
  </si>
  <si>
    <t xml:space="preserve">The king's consort is the daughter of minister Thiri Maha Uzana.</t>
  </si>
  <si>
    <t xml:space="preserve">B2G34.05.01</t>
  </si>
  <si>
    <t xml:space="preserve">Khin Min Myit is the king's daughter and Lady of Khin-U.</t>
  </si>
  <si>
    <t xml:space="preserve">vol2_s003550_t01_26c743313131; vol2_s003550_t02_7d1893ec38f5</t>
  </si>
  <si>
    <t xml:space="preserve">B2G34.05.02</t>
  </si>
  <si>
    <t xml:space="preserve">The king's consort comes from chief clerk Thiri Nanda Mit's family.</t>
  </si>
  <si>
    <t xml:space="preserve">B2G34.05.03</t>
  </si>
  <si>
    <t xml:space="preserve">Khin Min Myit marries Thado Minye Thihathu, son of the Lord of Malun.</t>
  </si>
  <si>
    <t xml:space="preserve">vol2_s003550_t04_2c3dd20b2efd; vol2_s003550_t05_cf87fc166bec</t>
  </si>
  <si>
    <t xml:space="preserve">B2G34.06.01</t>
  </si>
  <si>
    <t xml:space="preserve">Khin Min Kauk is the king's daughter and Lady of Magway.</t>
  </si>
  <si>
    <t xml:space="preserve">vol2_s003551_t01_d4229269e5e1; vol2_s003551_t02_44032e9062cd</t>
  </si>
  <si>
    <t xml:space="preserve">B2G34.06.02</t>
  </si>
  <si>
    <t xml:space="preserve">The king's consort comes from the royal Lamain minister Maha Thiri Uzana's family.</t>
  </si>
  <si>
    <t xml:space="preserve">B2G35.01.01</t>
  </si>
  <si>
    <t xml:space="preserve">The king commissions the Left Guard Commander with 1,000 men and the Ava governor with 500 to reinforce the Front Guard Commander's expedition.</t>
  </si>
  <si>
    <t xml:space="preserve">vol2_s003856_t01_834c1f343fd1; vol2_s003856_t02_23d6bd3b08b1; vol2_s003856_t03_fa6fab28005f; vol2_s003856_t04_7dfa5aa6558d; vol2_s003856_t05_5232ee2692c3</t>
  </si>
  <si>
    <t xml:space="preserve">B2G35.02.01</t>
  </si>
  <si>
    <t xml:space="preserve">The Front Guard Commander leads the royal army, defeats the rebels near Madaya, and causes their flight.</t>
  </si>
  <si>
    <t xml:space="preserve">vol2_s003857_t01_a17124418301; vol2_s003857_t02_7fcf1f9ca5c4; vol2_s003857_t03_70ffaeff16e8</t>
  </si>
  <si>
    <t xml:space="preserve">B2G35.03.01</t>
  </si>
  <si>
    <t xml:space="preserve">Royal forces inflict casualties on Shan and Burmese rebels.</t>
  </si>
  <si>
    <t xml:space="preserve">B2G35.04.01</t>
  </si>
  <si>
    <t xml:space="preserve">Royal forces take rebel prisoners.</t>
  </si>
  <si>
    <t xml:space="preserve">B2G35.05.01</t>
  </si>
  <si>
    <t xml:space="preserve">The royal advance causes local service personnel and villagers to abandon the rebels and return home.</t>
  </si>
  <si>
    <t xml:space="preserve">vol2_s003860_t01_879f46ceb0c5; vol2_s003860_t02_39d4a8caecf1; vol2_s003860_t03_2ec571e2db14</t>
  </si>
  <si>
    <t xml:space="preserve">B2G35.06.01</t>
  </si>
  <si>
    <t xml:space="preserve">The Shwe Da claimant and two rebel leaders evade capture during the fighting.</t>
  </si>
  <si>
    <t xml:space="preserve">vol2_s003861_t01_d49858cd1344; vol2_s003861_t02_7005ab545a5e; vol2_s003861_t03_1bf75773c38d</t>
  </si>
  <si>
    <t xml:space="preserve">B2G35.07.01</t>
  </si>
  <si>
    <t xml:space="preserve">The Front and Left Guard Commanders report pacification to the king.</t>
  </si>
  <si>
    <t xml:space="preserve">vol2_s003862_t01_7016f45070d0; vol2_s003862_t02_601b60a1a3b9</t>
  </si>
  <si>
    <t xml:space="preserve">B2G35.08.01</t>
  </si>
  <si>
    <t xml:space="preserve">The king removes Mingyi Minhla Maha Thiha Thu from military command.</t>
  </si>
  <si>
    <t xml:space="preserve">B2G35.08.02</t>
  </si>
  <si>
    <t xml:space="preserve">The king appoints his son Thado Min Saw to the Mongnai military command.</t>
  </si>
  <si>
    <t xml:space="preserve">B2G35.09.01</t>
  </si>
  <si>
    <t xml:space="preserve">The king recalls the Left Guard Commander from Madaya.</t>
  </si>
  <si>
    <t xml:space="preserve">B2G35.10.01</t>
  </si>
  <si>
    <t xml:space="preserve">The king sends Thanak-wun Mingyi Maha Zeyathu to pacify and administer Madaya.</t>
  </si>
  <si>
    <t xml:space="preserve">vol2_s003865_t01_b719909a23b0; vol2_s003865_t02_9b2501625abb</t>
  </si>
  <si>
    <t xml:space="preserve">B2G35.11.01</t>
  </si>
  <si>
    <t xml:space="preserve">Maha Zeyathu takes command of the existing armed personnel while the king recalls the Front Guard Commander.</t>
  </si>
  <si>
    <t xml:space="preserve">vol2_s003866_t01_27350dc947c2; vol2_s003866_t02_f7b150c6a230</t>
  </si>
  <si>
    <t xml:space="preserve">B2G35.12.01</t>
  </si>
  <si>
    <t xml:space="preserve">The state repairs the cracked Thiha-taw Buddha image.</t>
  </si>
  <si>
    <t xml:space="preserve">B2G35.13.01</t>
  </si>
  <si>
    <t xml:space="preserve">The king sustains the annual cycle of royal festivals and donations.</t>
  </si>
  <si>
    <t xml:space="preserve">B2G35.16.01</t>
  </si>
  <si>
    <t xml:space="preserve">The Chief Queen invites and feeds 600 monks, providing religious patronage.</t>
  </si>
  <si>
    <t xml:space="preserve">vol2_s003871_t01_f9391b4fb73a; vol2_s003871_t02_ce140f407bf7</t>
  </si>
  <si>
    <t xml:space="preserve">B2G35.17.01</t>
  </si>
  <si>
    <t xml:space="preserve">The king grants clemency to the former Pindale prince and his son after their confinement during the rebellion.</t>
  </si>
  <si>
    <t xml:space="preserve">vol2_s003872_t01_d0820eb30de6; vol2_s003872_t02_0953584cec34</t>
  </si>
  <si>
    <t xml:space="preserve">B2G36.01.01</t>
  </si>
  <si>
    <t xml:space="preserve">The king assigns four consorts to palace chambers and grants their corresponding titles.</t>
  </si>
  <si>
    <t xml:space="preserve">vol3_s000270_t01_99a1c7e069f7; vol3_s000270_t02_473eec3912a1; vol3_s000270_t03_a048bae4a315; vol3_s000270_t04_a4e77445584d; vol3_s000270_t05_f483a3b29e8f; vol3_s000270_t06_c2847951e28c; vol3_s000270_t07_58b9e5a263e2; vol3_s000270_t08_b14b0d625904</t>
  </si>
  <si>
    <t xml:space="preserve">B2G36.02.01</t>
  </si>
  <si>
    <t xml:space="preserve">The king grants titles to the listed royal women, including the daughter of the Kha-paung titleholder.</t>
  </si>
  <si>
    <t xml:space="preserve">vol3_s000271_t01_b15a443bbb8d; vol3_s000271_t02_103fb78cbffc; vol3_s000271_t03_12db90f737b5; vol3_s000271_t04_f9cdcd10059f; vol3_s000271_t05_96c18cba43bd; vol3_s000271_t06_a8d86c3b8859</t>
  </si>
  <si>
    <t xml:space="preserve">Five recipients are represented correctly; the final daughter is replaced by her parent.</t>
  </si>
  <si>
    <t xml:space="preserve">B2G36.03.01</t>
  </si>
  <si>
    <t xml:space="preserve">The king grants new titles to Mindon, Kanaung, Hlaing, Mohnyin, and Mekkhara/Htilin princes.</t>
  </si>
  <si>
    <t xml:space="preserve">vol3_s000272_t01_bc687b1d7dd6; vol3_s000272_t02_ecd6e319b92a; vol3_s000272_t03_83311b892d1a; vol3_s000272_t04_59d98c22f2d6; vol3_s000272_t05_4225a7466320</t>
  </si>
  <si>
    <t xml:space="preserve">B2G36.03.02</t>
  </si>
  <si>
    <t xml:space="preserve">These princes are assigned senior-prince rank and attendance positions.</t>
  </si>
  <si>
    <t xml:space="preserve">B2G36.04.01</t>
  </si>
  <si>
    <t xml:space="preserve">The Kha-paung prince and Mohnyin prince's son receive titles and middle-prince positions.</t>
  </si>
  <si>
    <t xml:space="preserve">vol3_s000273_t01_3b7a3fe2cc69; vol3_s000273_t02_b117172fab6b; vol3_s000273_t03_9d8f906eabfb</t>
  </si>
  <si>
    <t xml:space="preserve">B2G36.05.01</t>
  </si>
  <si>
    <t xml:space="preserve">The three named princes receive titles and cavalry-command positions.</t>
  </si>
  <si>
    <t xml:space="preserve">vol3_s000274_t01_c0200fb64eeb; vol3_s000274_t02_174446be70ce; vol3_s000274_t03_64924caef029; vol3_s000274_t04_a5c9ab5a7bff</t>
  </si>
  <si>
    <t xml:space="preserve">B2G36.06.01</t>
  </si>
  <si>
    <t xml:space="preserve">The remaining officials, royal relatives, and service personnel receive appropriate titles.</t>
  </si>
  <si>
    <t xml:space="preserve">B2G36.07.01</t>
  </si>
  <si>
    <t xml:space="preserve">The king publicly announces his lawful accession and directs inhabitants to continue peaceful trade and everyday activity.</t>
  </si>
  <si>
    <t xml:space="preserve">vol3_s000276_t01_e3c154da0689; vol3_s000276_t02_4280d6dd3493</t>
  </si>
  <si>
    <t xml:space="preserve">B2G36.08.01</t>
  </si>
  <si>
    <t xml:space="preserve">The king arranges palace and city-gate guards for security.</t>
  </si>
  <si>
    <t xml:space="preserve">B2G36.09.01</t>
  </si>
  <si>
    <t xml:space="preserve">Royal relatives, officials, commanders, and servants take the royal oath of allegiance.</t>
  </si>
  <si>
    <t xml:space="preserve">B2G36.10.01</t>
  </si>
  <si>
    <t xml:space="preserve">The king appoints and dispatches provincial rulers and officers and requires their allegiance oaths.</t>
  </si>
  <si>
    <t xml:space="preserve">vol3_s000279_t01_8f2b2417cd56; vol3_s000279_t02_09eea18eb4a9</t>
  </si>
  <si>
    <t xml:space="preserve">B2G36.11.01</t>
  </si>
  <si>
    <t xml:space="preserve">The king delegates state and judicial business at the Hluttaw to Prince Mindon.</t>
  </si>
  <si>
    <t xml:space="preserve">vol3_s000280_t01_6e17e191bd0c; vol3_s000280_t02_dc5eb5e82e42</t>
  </si>
  <si>
    <t xml:space="preserve">B2G36.12.01</t>
  </si>
  <si>
    <t xml:space="preserve">The king also commissions Prince Mekkhara to adjudicate at the Hluttaw alongside Mindon.</t>
  </si>
  <si>
    <t xml:space="preserve">vol3_s000281_t01_83423500a7e3; vol3_s000281_t02_f42d8eb9d62e</t>
  </si>
  <si>
    <t xml:space="preserve">B2G37.01.01</t>
  </si>
  <si>
    <t xml:space="preserve">Shan rebels and Htamun headmen attack and disrupt Hsipaw.</t>
  </si>
  <si>
    <t xml:space="preserve">B2G37.01.02</t>
  </si>
  <si>
    <t xml:space="preserve">The king sends the Taungdwingyi governor with 3,000 service personnel to suppress the Hsipaw rebellion.</t>
  </si>
  <si>
    <t xml:space="preserve">vol3_s000356_t01_3b3c5747185c; vol3_s000356_t02_62636cb77fe5; vol3_s000356_t03_c90e7124e5c0</t>
  </si>
  <si>
    <t xml:space="preserve">B2G37.02.01</t>
  </si>
  <si>
    <t xml:space="preserve">Mutta officials present two elephants to the king.</t>
  </si>
  <si>
    <t xml:space="preserve">vol3_s000357_t01_8d2b7c49b7ed; vol3_s000357_t02_a84d0f7ecec6</t>
  </si>
  <si>
    <t xml:space="preserve">B2G37.03.01</t>
  </si>
  <si>
    <t xml:space="preserve">The presented elephants receive differentiated royal classifications.</t>
  </si>
  <si>
    <t xml:space="preserve">vol3_s000358_t01_824658ba777b; vol3_s000358_t02_845cf90b8556</t>
  </si>
  <si>
    <t xml:space="preserve">B2G37.04.01</t>
  </si>
  <si>
    <t xml:space="preserve">The four Pyi companies' royal elephant keepers capture an extraordinary elephant for the court.</t>
  </si>
  <si>
    <t xml:space="preserve">vol3_s000359_t01_d6cb85a384e7; vol3_s000359_t02_bb59c584793f</t>
  </si>
  <si>
    <t xml:space="preserve">B2G37.05.01</t>
  </si>
  <si>
    <t xml:space="preserve">The king mobilizes officials and 3,000 boat-service personnel to transport and re-enshrine the Kyauktawgyi image, using the royal steamship.</t>
  </si>
  <si>
    <t xml:space="preserve">vol3_s000360_t01_07f6cf6f4538; vol3_s000360_t02_6f7198f44fec; vol3_s000360_t03_7d7d7bf9642a; vol3_s000360_t04_6fe53ecbb771</t>
  </si>
  <si>
    <t xml:space="preserve">B2G37.05.02</t>
  </si>
  <si>
    <t xml:space="preserve">The responsible officials report the image's arrival at the transport raft to the king.</t>
  </si>
  <si>
    <t xml:space="preserve">B2G37.06.01</t>
  </si>
  <si>
    <t xml:space="preserve">Mogaung/Hkamti sawbwas bring tribute, including a daughter, and the king reciprocates with gifts.</t>
  </si>
  <si>
    <t xml:space="preserve">vol3_s000361_t01_996db18f8600; vol3_s000361_t02_818540af7999; vol3_s000361_t03_9229c9220e58; vol3_s000362_t01_c60e0399ef75</t>
  </si>
  <si>
    <t xml:space="preserve">B2G37.07.01</t>
  </si>
  <si>
    <t xml:space="preserve">The daughter is received according to the established ceremonial precedent for sawbwas' daughters.</t>
  </si>
  <si>
    <t xml:space="preserve">B2G37.08.01</t>
  </si>
  <si>
    <t xml:space="preserve">The king and surrounding court undertake a royal pilgrimage to Shinpin-seippauk.</t>
  </si>
  <si>
    <t xml:space="preserve">vol3_s000363_t01_b8e959215312; vol3_s000363_t02_6dba4eac2597</t>
  </si>
  <si>
    <t xml:space="preserve">B2G37.09.01</t>
  </si>
  <si>
    <t xml:space="preserve">The king undertakes pilgrimages to the Sagaing pagodas.</t>
  </si>
  <si>
    <t xml:space="preserve">B2G37.09.02</t>
  </si>
  <si>
    <t xml:space="preserve">The heading records the king's release of prisoners in connection with these observances.</t>
  </si>
  <si>
    <t xml:space="preserve">B2G37.10.01</t>
  </si>
  <si>
    <t xml:space="preserve">The king brings a locally revealed relic into royal religious patronage, enshrines it, and calls for kingdom-wide veneration.</t>
  </si>
  <si>
    <t xml:space="preserve">vol3_s000365_t01_517811fe1d58; vol3_s000365_t02_0fc298e9fb91; vol3_s000365_t03_e98fe86cda67</t>
  </si>
  <si>
    <t xml:space="preserve">B2G38.01.01</t>
  </si>
  <si>
    <t xml:space="preserve">Nga Waing, Nga Thaing, and their kin join the royal brothers with armed support.</t>
  </si>
  <si>
    <t xml:space="preserve">vol3_s000546_t01_437ba7fbaed2; vol3_s000546_t02_763198921a5c</t>
  </si>
  <si>
    <t xml:space="preserve">B2G38.02.01</t>
  </si>
  <si>
    <t xml:space="preserve">Shan leaders and merchants at Shwe-khon-taing bring followers, arms, a horse, and service to the brothers.</t>
  </si>
  <si>
    <t xml:space="preserve">vol3_s000547_t01_2c5dacda4be5; vol3_s000547_t02_2cd9b5960875</t>
  </si>
  <si>
    <t xml:space="preserve">B2G38.03.01</t>
  </si>
  <si>
    <t xml:space="preserve">Shwe-ton merchants and leaders offer armed support and service to the brothers.</t>
  </si>
  <si>
    <t xml:space="preserve">vol3_s000548_t01_c04b1df3da43; vol3_s000548_t02_132b91a72bc6</t>
  </si>
  <si>
    <t xml:space="preserve">B2G38.04.01</t>
  </si>
  <si>
    <t xml:space="preserve">The Sajin headman and officials join with men and weapons.</t>
  </si>
  <si>
    <t xml:space="preserve">vol3_s000549_t01_01ae9e56bf74; vol3_s000549_t02_29bdd49b54cb</t>
  </si>
  <si>
    <t xml:space="preserve">B2G38.05.01</t>
  </si>
  <si>
    <t xml:space="preserve">Nga Kyi joins the brothers with over thirty kinsmen.</t>
  </si>
  <si>
    <t xml:space="preserve">vol3_s000550_t01_f468ababd04b; vol3_s000550_t02_4047fccc71d2</t>
  </si>
  <si>
    <t xml:space="preserve">B2G38.06.01</t>
  </si>
  <si>
    <t xml:space="preserve">Nga Shwe-aye presents gifts and victory-symbolizing thabye flowers.</t>
  </si>
  <si>
    <t xml:space="preserve">vol3_s000551_t01_6b7517c93aeb; vol3_s000551_t02_670b82c5cfd7</t>
  </si>
  <si>
    <t xml:space="preserve">B2G38.07.01</t>
  </si>
  <si>
    <t xml:space="preserve">Kanaung assigns Nga Kyi and Nga Waing a sixty-man rearguard and controls the river-crossing boats.</t>
  </si>
  <si>
    <t xml:space="preserve">vol3_s000552_t01_197deb7d71cc; vol3_s000552_t02_215f6ee58f5b</t>
  </si>
  <si>
    <t xml:space="preserve">B2G38.07.02</t>
  </si>
  <si>
    <t xml:space="preserve">Kanaung advises his elder brother to cross first with his children and household for protection.</t>
  </si>
  <si>
    <t xml:space="preserve">B2G38.08.01</t>
  </si>
  <si>
    <t xml:space="preserve">Kanaung binds and takes Singu governor Nga Bo.</t>
  </si>
  <si>
    <t xml:space="preserve">B2G38.08.02</t>
  </si>
  <si>
    <t xml:space="preserve">Kanaung uses Kyaukmyaung governor Nga Yay's house as his lodging/base.</t>
  </si>
  <si>
    <t xml:space="preserve">B2G38.09.01</t>
  </si>
  <si>
    <t xml:space="preserve">Kanaung deploys fires and drum signals to deter pursuing Amarapura troops from crossing.</t>
  </si>
  <si>
    <t xml:space="preserve">vol3_s000554_t01_ff9c7df6e162; vol3_s000554_t02_ed16b3da6934</t>
  </si>
  <si>
    <t xml:space="preserve">B2G38.10.01</t>
  </si>
  <si>
    <t xml:space="preserve">The Amarapura troops avoid the apparent defenses and cross farther downstream.</t>
  </si>
  <si>
    <t xml:space="preserve">B2G38.11.01</t>
  </si>
  <si>
    <t xml:space="preserve">The future king treats his dream as a promise of success through organizing his followers.</t>
  </si>
  <si>
    <t xml:space="preserve">vol3_s000556_t01_e36783749b3e; vol3_s000556_t02_421af0580703</t>
  </si>
  <si>
    <t xml:space="preserve">B2G38.12.01</t>
  </si>
  <si>
    <t xml:space="preserve">The future king invokes Alaungpaya's military precedent to organize his own force.</t>
  </si>
  <si>
    <t xml:space="preserve">B2G38.12.02</t>
  </si>
  <si>
    <t xml:space="preserve">He selects and equips 130 men, appoints two commanders, and posts them for an ambush.</t>
  </si>
  <si>
    <t xml:space="preserve">vol3_s000557_t02_c4a0b23fba27; vol3_s000557_t03_0c8f10cef27a; vol3_s000557_t04_7564438d268a; vol3_s000557_t05_d5234ae6aae3</t>
  </si>
  <si>
    <t xml:space="preserve">B2G39.01.01</t>
  </si>
  <si>
    <t xml:space="preserve">The king commissions an accurately inscribed royal iron seal, made by the inner blacksmiths' head.</t>
  </si>
  <si>
    <t xml:space="preserve">vol3_s000826_t01_e7510e206c92; vol3_s000826_t02_90a1632afaa4</t>
  </si>
  <si>
    <t xml:space="preserve">vol3_s000827</t>
  </si>
  <si>
    <t xml:space="preserve">B2G39.02.01</t>
  </si>
  <si>
    <t xml:space="preserve">A son is born to the king and the Hlaing-kyun consort, establishing royal parentage.</t>
  </si>
  <si>
    <t xml:space="preserve">Explicit royal parentage is included consistently with other genealogy records; no separate unit is created for the infant's death.</t>
  </si>
  <si>
    <t xml:space="preserve">သက္ကရာဇ် (၁၂၁၆) တစ်ထောင့်နှစ်ရာ့တစ်ဆယ့်ခြောက်ခု နယုန်လဆန်းသုံးရက်နေ့ လှိုင်ကျွန်းစားတွင် သားတော်ဖွားမြင်သည်။</t>
  </si>
  <si>
    <t xml:space="preserve">In the year 1216, on the third day of the waxing moon of Nayon, a son was born to the Hlaing Kyun Prince.</t>
  </si>
  <si>
    <t xml:space="preserve">B2G39.04.01</t>
  </si>
  <si>
    <t xml:space="preserve">The Bangkok ruler's brother and associated northern rulers raid or harass the eastern frontier villages.</t>
  </si>
  <si>
    <t xml:space="preserve">The report of incursions is captured, but the attacking coalition and its action are not represented.</t>
  </si>
  <si>
    <t xml:space="preserve">B2G39.04.02</t>
  </si>
  <si>
    <t xml:space="preserve">Mongnai commanders report frontier incursions to the king.</t>
  </si>
  <si>
    <t xml:space="preserve">B2G39.04.03</t>
  </si>
  <si>
    <t xml:space="preserve">The king appoints and equips Prince Chuntaung with over 3,000 men for the Mongnai command and his strategic camp.</t>
  </si>
  <si>
    <t xml:space="preserve">vol3_s000829_t02_cef244e9206d; vol3_s000829_t03_608f404435c9; vol3_s000829_t04_9d5cb6de30e0</t>
  </si>
  <si>
    <t xml:space="preserve">B2G39.05.01</t>
  </si>
  <si>
    <t xml:space="preserve">The royal bathing/consecration ceremony involves invited monks and blessed regalia.</t>
  </si>
  <si>
    <t xml:space="preserve">vol3_s000830_t01_3668eef00567; vol3_s000830_t02_cfccef1dff9f; vol3_s000830_t03_c90c50bda90f</t>
  </si>
  <si>
    <t xml:space="preserve">B2G39.06.01</t>
  </si>
  <si>
    <t xml:space="preserve">The crown prince, princes, and ministers wear royal gifts and participate in the prescribed ritual hierarchy.</t>
  </si>
  <si>
    <t xml:space="preserve">vol3_s000831_t01_10620769bbbf; vol3_s000831_t02_37403954d3cd</t>
  </si>
  <si>
    <t xml:space="preserve">B2G39.07.01</t>
  </si>
  <si>
    <t xml:space="preserve">Queens and officials receive royal ceremonial clothing and ornaments.</t>
  </si>
  <si>
    <t xml:space="preserve">B2G39.08.01</t>
  </si>
  <si>
    <t xml:space="preserve">The king releases animals and prisoners under royal protection/amnesty.</t>
  </si>
  <si>
    <t xml:space="preserve">B2G39.09.01</t>
  </si>
  <si>
    <t xml:space="preserve">The Inle revenue officer presents an exceptional horse and the king bestows a royal name.</t>
  </si>
  <si>
    <t xml:space="preserve">vol3_s000834_t01_1e849db2f434; vol3_s000834_t02_d76102dc7136</t>
  </si>
  <si>
    <t xml:space="preserve">B2G39.10.01</t>
  </si>
  <si>
    <t xml:space="preserve">The king and Chief Queen appear ceremonially on the Lion Throne with royal regalia, attended by the court.</t>
  </si>
  <si>
    <t xml:space="preserve">vol3_s000835_t01_c9c8b6417e94; vol3_s000831_t02_37403954d3cd</t>
  </si>
  <si>
    <t xml:space="preserve">B2G39.10.02</t>
  </si>
  <si>
    <t xml:space="preserve">Offerings for the Three Gems and royal images are presented at the royal ceremony.</t>
  </si>
  <si>
    <t xml:space="preserve">B2G40.01.01</t>
  </si>
  <si>
    <t xml:space="preserve">The king confers the listed titles on eight ministerial offices.</t>
  </si>
  <si>
    <t xml:space="preserve">vol3_s000848_t01_abe0e0e50217; vol3_s000848_t02_c0ca2d67877b; vol3_s000848_t03_950162ee2ca8; vol3_s000848_t04_e104f928bdba; vol3_s000848_t05_ff42e8ab429b; vol3_s000848_t06_58e0a455b121; vol3_s000848_t07_3f7de1caf9da; vol3_s000848_t08_964fba92f669</t>
  </si>
  <si>
    <t xml:space="preserve">B2G40.02.01</t>
  </si>
  <si>
    <t xml:space="preserve">Other officials and service groups receive appropriate titles and ranks.</t>
  </si>
  <si>
    <t xml:space="preserve">B2G40.03.01</t>
  </si>
  <si>
    <t xml:space="preserve">The king bestows auspicious names on the twelve listed royal elephants.</t>
  </si>
  <si>
    <t xml:space="preserve">vol3_s000850_t01_403d227681f5; vol3_s000850_t02_400069a2a558; vol3_s000850_t03_1113ec5ebc31; vol3_s000850_t04_38c77169853a; vol3_s000850_t05_f9b4ab9a2822; vol3_s000850_t06_72c3f81f108c; vol3_s000850_t07_ccc3e905fac4; vol3_s000850_t08_dd104f3bed7d; vol3_s000850_t09_fc0f70aaf56a; vol3_s000850_t10_c386c9e16880; vol3_s000850_t11_5afdbd1a0e54; vol3_s000850_t12_6f461c552e51</t>
  </si>
  <si>
    <t xml:space="preserve">B2G40.04.01</t>
  </si>
  <si>
    <t xml:space="preserve">The king bestows auspicious names on the thirteen listed royal horses.</t>
  </si>
  <si>
    <t xml:space="preserve">vol3_s000851_t01_1790741e557c; vol3_s000851_t02_27de2440af09; vol3_s000851_t03_5fba21d4df15; vol3_s000851_t04_353838cd0699; vol3_s000851_t05_42864df2768c; vol3_s000851_t06_f34c62f10848; vol3_s000851_t07_bb194012627c; vol3_s000851_t08_0b42695b911a; vol3_s000851_t09_c693201b5a1a; vol3_s000851_t10_4f3097b693bc; vol3_s000851_t11_c9fbed23f608; vol3_s000851_t12_a534ae7065ba; vol3_s000851_t13_de5498e02505</t>
  </si>
  <si>
    <t xml:space="preserve">B2G40.05.01</t>
  </si>
  <si>
    <t xml:space="preserve">The Sinhalese prince Maha Thiri Saddhatissa is admitted to service inside the palace.</t>
  </si>
  <si>
    <t xml:space="preserve">B2G40.06.01</t>
  </si>
  <si>
    <t xml:space="preserve">The Sinhalese prince and retinue receive royal maintenance and salary.</t>
  </si>
  <si>
    <t xml:space="preserve">B2G40.07.01</t>
  </si>
  <si>
    <t xml:space="preserve">The hostile Yun/Kalon coalition again raids the Kengtung frontier.</t>
  </si>
  <si>
    <t xml:space="preserve">B2G40.07.02</t>
  </si>
  <si>
    <t xml:space="preserve">The Kengtung and other sawbwas and Mongnai forces defeat the invaders and take leaders and resources.</t>
  </si>
  <si>
    <t xml:space="preserve">vol3_s000854_t02_94f37043ead7; vol3_s000854_t04_a0316a52ebde; vol3_s000854_t05_0039049a238f</t>
  </si>
  <si>
    <t xml:space="preserve">B2G40.07.03</t>
  </si>
  <si>
    <t xml:space="preserve">The Mongnai prince and headquarters report their victory to the king.</t>
  </si>
  <si>
    <t xml:space="preserve">B2G41.01.01</t>
  </si>
  <si>
    <t xml:space="preserve">The king rewards 827 people observing the Uposatha.</t>
  </si>
  <si>
    <t xml:space="preserve">B2G41.02.01</t>
  </si>
  <si>
    <t xml:space="preserve">The king increases provisions for the monastic examinations and has officials supervise their distribution.</t>
  </si>
  <si>
    <t xml:space="preserve">vol3_s000933_t01_773357889523; vol3_s000933_t02_21aecafb239a</t>
  </si>
  <si>
    <t xml:space="preserve">B2G41.03.01</t>
  </si>
  <si>
    <t xml:space="preserve">The crown prince, princes, and ministers provide robes and food to the Sangha.</t>
  </si>
  <si>
    <t xml:space="preserve">vol3_s000934_t01_b30d8d3d73bf; vol3_s000934_t02_63e7d763d9f5</t>
  </si>
  <si>
    <t xml:space="preserve">B2G41.04.01</t>
  </si>
  <si>
    <t xml:space="preserve">Chinese and other non-Burmese residents donate to the Buddha and Sangha.</t>
  </si>
  <si>
    <t xml:space="preserve">B2G41.05.01</t>
  </si>
  <si>
    <t xml:space="preserve">The crown prince receives and ceremonially conveys captured royal elephants for inspection by the king and Chief Queen.</t>
  </si>
  <si>
    <t xml:space="preserve">vol3_s000936_t01_e6f2d4bf491e; vol3_s000936_t02_757128faaf8b</t>
  </si>
  <si>
    <t xml:space="preserve">The king's inspection is represented, but the Chief Queen's expressly joint participation is absent.</t>
  </si>
  <si>
    <t xml:space="preserve">B2G41.06.01</t>
  </si>
  <si>
    <t xml:space="preserve">The king rewards the elephant catchers and elephant officials.</t>
  </si>
  <si>
    <t xml:space="preserve">B2G41.07.01</t>
  </si>
  <si>
    <t xml:space="preserve">The Queen Mother, king, and Chief Queen visit the Sudhamma Zayat.</t>
  </si>
  <si>
    <t xml:space="preserve">B2G41.08.01</t>
  </si>
  <si>
    <t xml:space="preserve">The Western Palace Queen gives birth to a royal son.</t>
  </si>
  <si>
    <t xml:space="preserve">Dynastic heir is accepted in the broad sense of royal offspring, not as a claim that he was formally designated crown prince.</t>
  </si>
  <si>
    <t xml:space="preserve">B2G41.09.01</t>
  </si>
  <si>
    <t xml:space="preserve">The same queen gives birth to a royal daughter.</t>
  </si>
  <si>
    <t xml:space="preserve">B2G41.10.01</t>
  </si>
  <si>
    <t xml:space="preserve">Tapauk-tha personnel carry out the royal daughter's burial.</t>
  </si>
  <si>
    <t xml:space="preserve">B2G41.11.01</t>
  </si>
  <si>
    <t xml:space="preserve">Tapauk-tha personnel bury the royal son under Western Wun officials' and clerks' supervision.</t>
  </si>
  <si>
    <t xml:space="preserve">vol3_s000942_t01_5aaa0dfb9fc1; vol3_s000942_t02_2cf5458ae7ec; vol3_s000942_t03_4f4879bf160d; vol3_s000942_t04_652b3c467985</t>
  </si>
  <si>
    <t xml:space="preserve">B2G42.01.01</t>
  </si>
  <si>
    <t xml:space="preserve">The king maintains the annual ritual cycle through monthly ceremonies and donations.</t>
  </si>
  <si>
    <t xml:space="preserve">vol3_s001024_t01_1f8c862eb7e5; vol3_s001024_t02_709c83d5ee67</t>
  </si>
  <si>
    <t xml:space="preserve">B2G42.04.01</t>
  </si>
  <si>
    <t xml:space="preserve">The king undertakes a supervised correction and copying of the Tripitaka in the tradition of earlier Buddhist councils.</t>
  </si>
  <si>
    <t xml:space="preserve">vol3_s001027_t01_156828483160; vol3_s001027_t04_1d97c7403129</t>
  </si>
  <si>
    <t xml:space="preserve">B2G42.04.02</t>
  </si>
  <si>
    <t xml:space="preserve">The king petitions the senior monks, receives their approval, and proceeds on that approval.</t>
  </si>
  <si>
    <t xml:space="preserve">The extracted relationship reverses the direction of the explicit request and authorization.</t>
  </si>
  <si>
    <t xml:space="preserve">B2G42.04.03</t>
  </si>
  <si>
    <t xml:space="preserve">The king provides decorated pavilions and a ceremonial setting for the project.</t>
  </si>
  <si>
    <t xml:space="preserve">B2G42.05.01</t>
  </si>
  <si>
    <t xml:space="preserve">The king equips the scripture-writing hall and prepares its ritual and material setting.</t>
  </si>
  <si>
    <t xml:space="preserve">vol3_s001028_t01_8a6a5c9aafbe; vol3_s001028_t02_ed00c05aee31</t>
  </si>
  <si>
    <t xml:space="preserve">B2G42.06.01</t>
  </si>
  <si>
    <t xml:space="preserve">The king organizes scribal personnel and learned officials for the scripture project.</t>
  </si>
  <si>
    <t xml:space="preserve">vol3_s001029_t01_22f080d19b2f; vol3_s001029_t03_d1bf3838d077</t>
  </si>
  <si>
    <t xml:space="preserve">B2G42.06.02</t>
  </si>
  <si>
    <t xml:space="preserve">Prescribed clothing differentiates the personnel's ranks and roles.</t>
  </si>
  <si>
    <t xml:space="preserve">B2G42.07.01</t>
  </si>
  <si>
    <t xml:space="preserve">The king uses Mahadan scribes to invite the designated senior monks and scholarly monastic personnel.</t>
  </si>
  <si>
    <t xml:space="preserve">vol3_s001030_t01_d9deca86b9ad; vol3_s001030_t02_5f88511f5fef</t>
  </si>
  <si>
    <t xml:space="preserve">B2G43.01.01</t>
  </si>
  <si>
    <t xml:space="preserve">The king and queen inspect the relic-deposition ceremony, with ranked court and wealthy participants and precedents from earlier kings.</t>
  </si>
  <si>
    <t xml:space="preserve">vol3_s001391_t01_8f83de1118ac; vol3_s001391_t02_11ad4c16bc2c; vol3_s001391_t03_6b45bf466183; vol3_s001391_t04_3dfcf28ab5a3</t>
  </si>
  <si>
    <t xml:space="preserve">Foundation-laying is accepted as a broad label for this first pagoda relic-deposition/consecration ceremony.</t>
  </si>
  <si>
    <t xml:space="preserve">B2G43.02.01</t>
  </si>
  <si>
    <t xml:space="preserve">The Kale sawbwa presents an exceptional elephant as tribute, received by the king.</t>
  </si>
  <si>
    <t xml:space="preserve">vol3_s001392_t01_63bc712e399c; vol3_s001392_t02_c8f236ed8bff</t>
  </si>
  <si>
    <t xml:space="preserve">B2G43.03.01</t>
  </si>
  <si>
    <t xml:space="preserve">The Nyaungkan Sayadaw holds the stated title and receives the funeral honors prescribed for titled monks.</t>
  </si>
  <si>
    <t xml:space="preserve">vol3_s001393_t01_cf29e082c740; vol3_s001393_t02_bd9de9f084fa</t>
  </si>
  <si>
    <t xml:space="preserve">B2G43.04.01</t>
  </si>
  <si>
    <t xml:space="preserve">The Tawngpeng sawbwa Nga Khun Tha rebels and attacks the surrounding settlements.</t>
  </si>
  <si>
    <t xml:space="preserve">B2G43.04.02</t>
  </si>
  <si>
    <t xml:space="preserve">Tawngpeng officials and the Hsipaw sawbwa report Nga Khun Tha's fortified position.</t>
  </si>
  <si>
    <t xml:space="preserve">B2G43.04.03</t>
  </si>
  <si>
    <t xml:space="preserve">The king sends named commanders, service personnel, and Shan forces to suppress the rising.</t>
  </si>
  <si>
    <t xml:space="preserve">vol3_s001394_t02_85b152fac55a; vol3_s001394_t03_9cdcd6484a8b; vol3_s001394_t04_7e4338bd1de6</t>
  </si>
  <si>
    <t xml:space="preserve">B2G43.04.04</t>
  </si>
  <si>
    <t xml:space="preserve">The royal force defeats the rebels and kills Nga Khun Tha.</t>
  </si>
  <si>
    <t xml:space="preserve">vol3_s001394_t05_8063fd044069; vol3_s001394_t06_411035bbd3dd</t>
  </si>
  <si>
    <t xml:space="preserve">B2G43.05.01</t>
  </si>
  <si>
    <t xml:space="preserve">Rewards secure retrieval of Nga Khun Tha's body and officials establish its identity through witnesses.</t>
  </si>
  <si>
    <t xml:space="preserve">vol3_s001395_t01_331d4a43358c; vol3_s001395_t02_13966d928798; vol3_s001395_t03_ac7a3396c961</t>
  </si>
  <si>
    <t xml:space="preserve">B2G43.05.02</t>
  </si>
  <si>
    <t xml:space="preserve">Officials report the pacification of Tawngpeng to the king.</t>
  </si>
  <si>
    <t xml:space="preserve">B2G43.06.01</t>
  </si>
  <si>
    <t xml:space="preserve">The king recalls the campaign's service personnel and soldiers.</t>
  </si>
  <si>
    <t xml:space="preserve">B2G43.07.01</t>
  </si>
  <si>
    <t xml:space="preserve">The royal household conducts the six-year-old Mogaung prince's high-status funeral.</t>
  </si>
  <si>
    <t xml:space="preserve">vol3_s001397_t01_28a952aa2930; vol3_s001397_t02_137c26d11eed</t>
  </si>
  <si>
    <t xml:space="preserve">B2G43.07.02</t>
  </si>
  <si>
    <t xml:space="preserve">The funeral displays royal rank through white umbrellas and an adorned coffin.</t>
  </si>
  <si>
    <t xml:space="preserve">B2G43.08.01</t>
  </si>
  <si>
    <t xml:space="preserve">The Patu Sayadaw holds the specified religious title.</t>
  </si>
  <si>
    <t xml:space="preserve">B2G43.08.02</t>
  </si>
  <si>
    <t xml:space="preserve">The Pakhan-gyi minister conducts the Patu Sayadaw's funeral.</t>
  </si>
  <si>
    <t xml:space="preserve">B2G43.08.03</t>
  </si>
  <si>
    <t xml:space="preserve">The funeral follows the Salin Sayadaw's ceremonial precedent.</t>
  </si>
  <si>
    <t xml:space="preserve">vol3_s001427</t>
  </si>
  <si>
    <t xml:space="preserve">B2G44.01.01</t>
  </si>
  <si>
    <t xml:space="preserve">Prince Pyinzi composes the courtly songs and poetic forms listed across this passage.</t>
  </si>
  <si>
    <t xml:space="preserve">The list's many fragments are one authorship/cultural-status unit, not separate power relationships.</t>
  </si>
  <si>
    <t xml:space="preserve">ပတ်ပျိုး, ယိုးဒယား, လူးတား, အဲ, အန်, ရကန်, ရတု စပ်ဆိုမှု ဟူသမျှသော အနည်းနည်း အဖုံဖုံ အမျိုးစုံတို့ကို ရေးသားခဲ့သည် ဖြစ်သောကြောင့်- ရွေ, နှင်း, တော, မြိုင်, ပန်း, ခိုင်, မှော်, မှိုင်း, ခြားပိုင်းရှစ်သံ၊ ဖရံတင်, ညွှန်၊ ခက်မွန်, ခမိန်၊ တနောက်, ချိန်ငြား၊ ဖိန်းချား, ထပ်တွန့်၊ ချွတ်ချန့်, ငုငစ်၊ အသံရှစ်၊ မှတ်လစ်စဉ်ကမာ။</t>
  </si>
  <si>
    <t xml:space="preserve">Because he wrote all manner of various compositions including Patpyo, Yodaya, Luta, Ae, An, Rakan, and Ratu, [the following verse was composed]: Rwe, Hnin, Taw, Myaing, Pan, Khaing, Hmaw, Hmaing, the eight distinct sounds; Pharantin, Ngun, Khetmun, Khamin, Tanauk, Cheingnya, Phinchar, Htatton, Chutchant, Ngungit, the eight sounds, to be noted in order.</t>
  </si>
  <si>
    <t xml:space="preserve">B2G44.13.01</t>
  </si>
  <si>
    <t xml:space="preserve">The king invites successive monastic communities to the palace and provides meals.</t>
  </si>
  <si>
    <t xml:space="preserve">B2G44.14.01</t>
  </si>
  <si>
    <t xml:space="preserve">The court sponsors an honored funeral for the Taungtha ascetic/scholar.</t>
  </si>
  <si>
    <t xml:space="preserve">B2G44.15.01</t>
  </si>
  <si>
    <t xml:space="preserve">Religious communities and observance groups attend that court-sponsored funeral.</t>
  </si>
  <si>
    <t xml:space="preserve">B2G44.16.01</t>
  </si>
  <si>
    <t xml:space="preserve">The king receives Phayre and the British delegation and exchanges gifts with them.</t>
  </si>
  <si>
    <t xml:space="preserve">vol3_s001442_t01_6aebe844aaf5; vol3_s001442_t03_3aa1b7c36489</t>
  </si>
  <si>
    <t xml:space="preserve">B2G44.16.02</t>
  </si>
  <si>
    <t xml:space="preserve">The king grants ranked salwe insignia to Phayre and the customs officer.</t>
  </si>
  <si>
    <t xml:space="preserve">B2G44.17.01</t>
  </si>
  <si>
    <t xml:space="preserve">The Thathanabaing mediates the British approach to the king concerning trade.</t>
  </si>
  <si>
    <t xml:space="preserve">B2G44.17.02</t>
  </si>
  <si>
    <t xml:space="preserve">The king authorizes a commercial agreement for the merchants of both countries.</t>
  </si>
  <si>
    <t xml:space="preserve">B2G44.18.01</t>
  </si>
  <si>
    <t xml:space="preserve">The treaty requires a reduction of British-side border customs after one year.</t>
  </si>
  <si>
    <t xml:space="preserve">A treaty-centered rather than government-centered formulation receives credit.</t>
  </si>
  <si>
    <t xml:space="preserve">B2G44.19.01</t>
  </si>
  <si>
    <t xml:space="preserve">The Burmese government is correspondingly required to reduce customs duties after about one year.</t>
  </si>
  <si>
    <t xml:space="preserve">B2G44.20.01</t>
  </si>
  <si>
    <t xml:space="preserve">The Burmese government permits British subjects to trade throughout its territory.</t>
  </si>
  <si>
    <t xml:space="preserve">B2G44.21.01</t>
  </si>
  <si>
    <t xml:space="preserve">The Burmese government permits a British representative at the royal capital.</t>
  </si>
  <si>
    <t xml:space="preserve">B2G45.01.01</t>
  </si>
  <si>
    <t xml:space="preserve">The king sends a non-hostility order to the rebel princes through their mother, the Taungshwewei Queen.</t>
  </si>
  <si>
    <t xml:space="preserve">vol3_s001628_t01_3dbf996d6ae1; vol3_s001628_t02_fb2ddf5f10ff; vol3_s001628_t03_d26b27143db9</t>
  </si>
  <si>
    <t xml:space="preserve">B2G45.02.01</t>
  </si>
  <si>
    <t xml:space="preserve">The rebel princes station guards and hold the Hluttaw.</t>
  </si>
  <si>
    <t xml:space="preserve">B2G45.02.02</t>
  </si>
  <si>
    <t xml:space="preserve">Crown Prince's attendants and royal musketeers attack the rebels, kill their guards, and drive the princes out.</t>
  </si>
  <si>
    <t xml:space="preserve">vol3_s001629_t01_daf5881a3a1b; vol3_s001629_t02_7eb84a6a89a6; vol3_s001629_t04_cd60b12e3ce3; vol3_s001629_t05_cd0bd004f354</t>
  </si>
  <si>
    <t xml:space="preserve">B2G45.04.01</t>
  </si>
  <si>
    <t xml:space="preserve">The rebel brothers gather men and renew their attack on the western palace gate.</t>
  </si>
  <si>
    <t xml:space="preserve">vol3_s001631_t01_555c4c510d38; vol3_s001631_t02_4be374fe7760</t>
  </si>
  <si>
    <t xml:space="preserve">B2G45.04.02</t>
  </si>
  <si>
    <t xml:space="preserve">Ministers and designated royal officers organize the palace defense.</t>
  </si>
  <si>
    <t xml:space="preserve">vol3_s001631_t03_94bf3bcd9502; vol3_s001631_t04_2996ae197292; vol3_s001631_t05_b28e9ab01049</t>
  </si>
  <si>
    <t xml:space="preserve">B2G45.05.01</t>
  </si>
  <si>
    <t xml:space="preserve">Crown Prince's personnel and the cavalry and musketeer commanders counterattack from outside the stockade.</t>
  </si>
  <si>
    <t xml:space="preserve">vol3_s001632_t02_74617bc2fc09; vol3_s001632_t03_7f9ca3717346; vol3_s001629_t01_daf5881a3a1b</t>
  </si>
  <si>
    <t xml:space="preserve">The correct named cavalry commander is preserved in T2 despite the erroneous appanage alias in T1.</t>
  </si>
  <si>
    <t xml:space="preserve">B2G45.06.01</t>
  </si>
  <si>
    <t xml:space="preserve">The rebel princes forcibly seize a royal steamship and its crew's service.</t>
  </si>
  <si>
    <t xml:space="preserve">B2G45.06.02</t>
  </si>
  <si>
    <t xml:space="preserve">They seize resources and conscript people along the Irrawaddy.</t>
  </si>
  <si>
    <t xml:space="preserve">vol3_s001633_t02_2cdec2e671b6; vol3_s001633_t05_adb70ed342c4</t>
  </si>
  <si>
    <t xml:space="preserve">B2G45.06.03</t>
  </si>
  <si>
    <t xml:space="preserve">They establish a Myingyan base and appoint commanders over the recruited force.</t>
  </si>
  <si>
    <t xml:space="preserve">vol3_s001633_t03_ef543d4a5099; vol3_s001633_t04_2619c433da44</t>
  </si>
  <si>
    <t xml:space="preserve">B2G45.06.04</t>
  </si>
  <si>
    <t xml:space="preserve">They order the newly organized forces to advance upstream and attack the royal capital.</t>
  </si>
  <si>
    <t xml:space="preserve">B2G45.07.01</t>
  </si>
  <si>
    <t xml:space="preserve">The king commissions Yenangyaung's minister to govern from Bagan and a musketeer officer to organize the nine southern districts.</t>
  </si>
  <si>
    <t xml:space="preserve">vol3_s001634_t01_aacd7d5a7bd4; vol3_s001634_t02_e24584724984; vol3_s001634_t03_a51891de2ed6; vol3_s001634_t04_328e620df20a</t>
  </si>
  <si>
    <t xml:space="preserve">B2G45.08.01</t>
  </si>
  <si>
    <t xml:space="preserve">The king commissions the Natmauk minister to govern, mobilize people, and remain at Taungdwingyi.</t>
  </si>
  <si>
    <t xml:space="preserve">vol3_s001635_t01_da85561e70c3; vol3_s001635_t02_c842800d9a71</t>
  </si>
  <si>
    <t xml:space="preserve">B2G46.01.01</t>
  </si>
  <si>
    <t xml:space="preserve">Crown Prince Kanaung donates requisites to the Sangha.</t>
  </si>
  <si>
    <t xml:space="preserve">B2G46.02.01</t>
  </si>
  <si>
    <t xml:space="preserve">Crown Prince Kanaung distributes gifts to ministers and servants.</t>
  </si>
  <si>
    <t xml:space="preserve">B2G46.03.01</t>
  </si>
  <si>
    <t xml:space="preserve">Crown Prince Kanaung provides clothing and necessities to the poor and elderly.</t>
  </si>
  <si>
    <t xml:space="preserve">B2G46.04.01</t>
  </si>
  <si>
    <t xml:space="preserve">The prince born to the Crown Princess holds the Htantabin appanage.</t>
  </si>
  <si>
    <t xml:space="preserve">B2G46.04.02</t>
  </si>
  <si>
    <t xml:space="preserve">The genealogy connects Crown Prince Kanaung and the listed consorts to their children across this page.</t>
  </si>
  <si>
    <t xml:space="preserve">One grouped parentage omission for the whole genealogy, not a separate demand for every child or sibling connection.</t>
  </si>
  <si>
    <t xml:space="preserve">B2G46.05.01</t>
  </si>
  <si>
    <t xml:space="preserve">The listed royal children hold their named appanages.</t>
  </si>
  <si>
    <t xml:space="preserve">vol3_s001739_t01_284397e7943b; vol3_s001739_t03_1cf9042e99c4; vol3_s001739_t04_79da0adb1b85; vol3_s001739_t05_4495639f2603</t>
  </si>
  <si>
    <t xml:space="preserve">The Sampanagol princess is absent; the other four named children/appanages are represented.</t>
  </si>
  <si>
    <t xml:space="preserve">B2G46.05.02</t>
  </si>
  <si>
    <t xml:space="preserve">The Panhteim prince is executed following the Hluttaw's decision, not an execution ordered by Mindon.</t>
  </si>
  <si>
    <t xml:space="preserve">Page 269 explicitly records the king's lack of knowledge and his attempted clemency.</t>
  </si>
  <si>
    <t xml:space="preserve">B2G46.05.03</t>
  </si>
  <si>
    <t xml:space="preserve">The Taungnyo and Yan Aung Myin princesses marry Mindon's Myingun and Thonze sons.</t>
  </si>
  <si>
    <t xml:space="preserve">vol3_s001739_t03_1cf9042e99c4; vol3_s001739_t04_79da0adb1b85</t>
  </si>
  <si>
    <t xml:space="preserve">B2G46.06.01</t>
  </si>
  <si>
    <t xml:space="preserve">The Salingyi princess holds that appanage and marries Prince Malun.</t>
  </si>
  <si>
    <t xml:space="preserve">vol3_s001740_t01_eec7f09cfc21; vol3_s001740_t02_150fb79f0baa</t>
  </si>
  <si>
    <t xml:space="preserve">B2G46.08.01</t>
  </si>
  <si>
    <t xml:space="preserve">The Elazeyathein princess holds the named appanage.</t>
  </si>
  <si>
    <t xml:space="preserve">B2G46.08.02</t>
  </si>
  <si>
    <t xml:space="preserve">The Zalan interior minister's daughters connect his family to the royal lineage.</t>
  </si>
  <si>
    <t xml:space="preserve">The broad family-link edge covers the two nearby consort entries without requiring separate permutations.</t>
  </si>
  <si>
    <t xml:space="preserve">B2G46.11.01</t>
  </si>
  <si>
    <t xml:space="preserve">Prince Kyemyint rebels and flees with the Panhteim prince.</t>
  </si>
  <si>
    <t xml:space="preserve">vol3_s001745_t01_a137e72ce2ba; vol3_s001745_t02_35519734c7dd</t>
  </si>
  <si>
    <t xml:space="preserve">B2G46.15.01</t>
  </si>
  <si>
    <t xml:space="preserve">The Kwetywa minister's daughter links his family to the royal household.</t>
  </si>
  <si>
    <t xml:space="preserve">B2G46.16.01</t>
  </si>
  <si>
    <t xml:space="preserve">City/Lamain minister Maung Kho's and chief clerk Minhla Minhtin Kyaw's daughters link their families to the royal household.</t>
  </si>
  <si>
    <t xml:space="preserve">vol3_s001750_t01_92eadffea9d0; vol3_s001750_t02_a8fd6fd4fa6b</t>
  </si>
  <si>
    <t xml:space="preserve">B2G47.01.01</t>
  </si>
  <si>
    <t xml:space="preserve">Mindon charges Thibaw with righteous kingship, protection of the Sasana, and the people's prosperity.</t>
  </si>
  <si>
    <t xml:space="preserve">vol3_s002273_t01_511d00bb7a1e; vol3_s002273_t02_d44af96be4aa; vol3_s002273_t03_58226e11fe47; vol3_s002273_t04_1ce7eb6e5acc; vol3_s002274_t01_fd1fb9a0eb10; vol3_s002274_t02_ddcc0644ab22</t>
  </si>
  <si>
    <t xml:space="preserve">B2G47.02.01</t>
  </si>
  <si>
    <t xml:space="preserve">Ministers and secretaries record the royal instructions and draft the crown-prince appointment edict.</t>
  </si>
  <si>
    <t xml:space="preserve">vol3_s002274_t03_7f6d82ce685b; vol3_s002274_t04_bba3bda4ffdb</t>
  </si>
  <si>
    <t xml:space="preserve">B2G47.03.01</t>
  </si>
  <si>
    <t xml:space="preserve">Mindon invokes his founding of Yadanabon as part of his royal authority.</t>
  </si>
  <si>
    <t xml:space="preserve">B2G47.03.02</t>
  </si>
  <si>
    <t xml:space="preserve">Mindon invokes his sponsorship of the Fifth Buddhist Council and its associated title.</t>
  </si>
  <si>
    <t xml:space="preserve">vol3_s002275_t01_a5b24171e497; vol3_s002275_t03_8ed108e5f07c</t>
  </si>
  <si>
    <t xml:space="preserve">B2G47.03.03</t>
  </si>
  <si>
    <t xml:space="preserve">Mindon claims righteous protection of the Sasana and people.</t>
  </si>
  <si>
    <t xml:space="preserve">vol3_s002275_t04_bbf77e3581de; vol3_s002275_t05_cb82951a38b1</t>
  </si>
  <si>
    <t xml:space="preserve">B2G47.04.01</t>
  </si>
  <si>
    <t xml:space="preserve">Thibaw is legitimated through Konbaung and Sakya ancestry.</t>
  </si>
  <si>
    <t xml:space="preserve">vol3_s002276_t01_65660abca671; vol3_s002276_t02_339ca02e8b4a</t>
  </si>
  <si>
    <t xml:space="preserve">B2G47.04.02</t>
  </si>
  <si>
    <t xml:space="preserve">Thibaw's repeated Tipitaka recitation establishes religious merit and fitness.</t>
  </si>
  <si>
    <t xml:space="preserve">B2G47.04.03</t>
  </si>
  <si>
    <t xml:space="preserve">Mindon invests Thibaw as heir apparent with the associated forces and ceremonial status.</t>
  </si>
  <si>
    <t xml:space="preserve">vol3_s002276_t04_04e9cf787b90; vol3_s002276_t05_19557e95e53e</t>
  </si>
  <si>
    <t xml:space="preserve">B2G48.01.01</t>
  </si>
  <si>
    <t xml:space="preserve">Sinphyumashin, the crown prince, and ministers perform longevity and religious rites for the sick king.</t>
  </si>
  <si>
    <t xml:space="preserve">vol3_s002287_t01_148a99626f79; vol3_s002287_t02_70776fb422a6; vol3_s002287_t03_dbe381fe2865</t>
  </si>
  <si>
    <t xml:space="preserve">B2G48.01.02</t>
  </si>
  <si>
    <t xml:space="preserve">The state grants indiscriminate amnesty to prisoners.</t>
  </si>
  <si>
    <t xml:space="preserve">B2G48.01.03</t>
  </si>
  <si>
    <t xml:space="preserve">The state purchases and releases animals from danger.</t>
  </si>
  <si>
    <t xml:space="preserve">B2G48.01.04</t>
  </si>
  <si>
    <t xml:space="preserve">King Mindon's sovereign life ends on the recorded date.</t>
  </si>
  <si>
    <t xml:space="preserve">vol3_s002287_t06_03ae9607b95f; vol3_s002287_t07_910c27feecde</t>
  </si>
  <si>
    <t xml:space="preserve">B2G48.02.01</t>
  </si>
  <si>
    <t xml:space="preserve">Mindon admonishes the attending queens and officials before his death.</t>
  </si>
  <si>
    <t xml:space="preserve">B2G48.02.02</t>
  </si>
  <si>
    <t xml:space="preserve">Mindon hears the account of his lifetime donations and dies after reviewing his merit.</t>
  </si>
  <si>
    <t xml:space="preserve">vol3_s002288_t02_c3dd081f61fb; vol3_s002288_t03_c43c5d2fe7ac; vol3_s002288_t04_e5f8204a6a02</t>
  </si>
  <si>
    <t xml:space="preserve">The existence and review of the record are captured; its extracted numerical total is separately flagged in precision.</t>
  </si>
  <si>
    <t xml:space="preserve">B2G48.03.01</t>
  </si>
  <si>
    <t xml:space="preserve">Designated service officials and the queens perform the royal body's cleansing and attendant rites.</t>
  </si>
  <si>
    <t xml:space="preserve">vol3_s002289_t01_0c0709a122af; vol3_s002289_t02_5f4754c9b224; vol3_s002289_t03_05eb00aeffb7; vol3_s002289_t04_5ff41b281809</t>
  </si>
  <si>
    <t xml:space="preserve">B2G48.04.01</t>
  </si>
  <si>
    <t xml:space="preserve">Queens, ministers, and royal daughters prepare, convey, honor, and attend the body with rank-specific regalia.</t>
  </si>
  <si>
    <t xml:space="preserve">vol3_s002290_t01_55e560b3cf14; vol3_s002290_t02_4687989b3714; vol3_s002290_t03_c3e5629b8e21; vol3_s002290_t04_7c30614ceedb; vol3_s002290_t05_86f2a31eff3f</t>
  </si>
  <si>
    <t xml:space="preserve">B2G48.05.01</t>
  </si>
  <si>
    <t xml:space="preserve">Mindon is commemorated by his full sovereign title and sponsorship of the Fifth Buddhist Council.</t>
  </si>
  <si>
    <t xml:space="preserve">vol3_s002291_t01_5b9c16cdcd36; vol3_s002291_t02_8dc67c63114a</t>
  </si>
  <si>
    <t xml:space="preserve">B2G48.05.02</t>
  </si>
  <si>
    <t xml:space="preserve">The royal biography situates his birth in a specified calendrical and astrological setting.</t>
  </si>
  <si>
    <t xml:space="preserve">vol3_s002291_t03_dd3b97ef75bd; vol3_s002291_t04_65dfe591f3ff</t>
  </si>
  <si>
    <t xml:space="preserve">B2G49.01.01</t>
  </si>
  <si>
    <t xml:space="preserve">Mindon sponsors Tripitaka copying and a scripture library at Ratanasingha.</t>
  </si>
  <si>
    <t xml:space="preserve">vol3_s002357_t01_4250c99a1044; vol3_s002357_t02_8b31bc0a26e7; vol3_s002357_t03_6fd6bb1c0cf8</t>
  </si>
  <si>
    <t xml:space="preserve">B2G49.02.01</t>
  </si>
  <si>
    <t xml:space="preserve">Mindon sponsors Tripitaka copying and a scripture library at Amarapura.</t>
  </si>
  <si>
    <t xml:space="preserve">vol3_s002358_t01_1d716dd915ca; vol3_s002358_t02_c1ad536d6d70; vol3_s002358_t03_57f19f43284c</t>
  </si>
  <si>
    <t xml:space="preserve">B2G49.03.01</t>
  </si>
  <si>
    <t xml:space="preserve">Mindon sponsors copying of the canonical texts and their commentaries and subcommentaries.</t>
  </si>
  <si>
    <t xml:space="preserve">vol3_s002359_t01_2386aa8a089a; vol3_s002359_t02_087bdc991dc6</t>
  </si>
  <si>
    <t xml:space="preserve">B2G49.04.01</t>
  </si>
  <si>
    <t xml:space="preserve">Mindon has the canon inscribed on marble and installed in 729 shrines at the Mahalokamarajin complex.</t>
  </si>
  <si>
    <t xml:space="preserve">vol3_s002360_t01_ec55c987705e; vol3_s002360_t02_5ef4238f8c85; vol3_s002360_t03_48e372a3cb55</t>
  </si>
  <si>
    <t xml:space="preserve">B2G49.04.02</t>
  </si>
  <si>
    <t xml:space="preserve">Mindon convenes the Fifth Buddhist Council.</t>
  </si>
  <si>
    <t xml:space="preserve">B2G49.05.01</t>
  </si>
  <si>
    <t xml:space="preserve">Mindon establishes the listed ordination halls, religious pavilion, library, and great monastery.</t>
  </si>
  <si>
    <t xml:space="preserve">vol3_s002361_t01_9dd066af82f4; vol3_s002361_t02_c70f243798ab; vol3_s002361_t03_ef7e9e3012f8; vol3_s002361_t04_36d518221277; vol3_s002361_t05_eb66f43af9b5</t>
  </si>
  <si>
    <t xml:space="preserve">B2G49.06.01</t>
  </si>
  <si>
    <t xml:space="preserve">Mindon builds a monastery for the titled missionary Sayadaw.</t>
  </si>
  <si>
    <t xml:space="preserve">vol3_s002362_t01_87ac5b3c8513; vol3_s002362_t02_76a9e82e50ff; vol3_s002362_t03_96bcddfbd984</t>
  </si>
  <si>
    <t xml:space="preserve">B2G49.07.01</t>
  </si>
  <si>
    <t xml:space="preserve">Mindon re-excavates the former Shwelaung canal route as the Ratananadi waterway to restore water flow.</t>
  </si>
  <si>
    <t xml:space="preserve">vol3_s002363_t01_f80ddda01beb; vol3_s002363_t02_62b2420bd24d</t>
  </si>
  <si>
    <t xml:space="preserve">B2G49.08.01</t>
  </si>
  <si>
    <t xml:space="preserve">Mindon constructs the Maha Adhikara reservoir in Taungbyon-gyi.</t>
  </si>
  <si>
    <t xml:space="preserve">vol3_s002364_t01_08548aa1ee07; vol3_s002364_t02_30f2efb28265</t>
  </si>
  <si>
    <t xml:space="preserve">B2G49.09.01</t>
  </si>
  <si>
    <t xml:space="preserve">Mindon repairs Meiktila Lake and the associated named dams.</t>
  </si>
  <si>
    <t xml:space="preserve">vol3_s002365_t01_59c0dc19d9e5; vol3_s002365_t02_e889e10c5a9b; vol3_s002365_t03_4530296e42c5; vol3_s002365_t04_323ed82f89c3</t>
  </si>
  <si>
    <t xml:space="preserve">B2G49.10.01</t>
  </si>
  <si>
    <t xml:space="preserve">Mindon restores the damaged Mu waterway.</t>
  </si>
  <si>
    <t xml:space="preserve">B2G49.11.01</t>
  </si>
  <si>
    <t xml:space="preserve">Mindon grants legally distinguished Visungama land and donates/consecrates monastic ordination sites.</t>
  </si>
  <si>
    <t xml:space="preserve">vol3_s002367_t01_d367457003b6; vol3_s002367_t02_5ca54de434d3</t>
  </si>
  <si>
    <t xml:space="preserve">B2G49.12.01</t>
  </si>
  <si>
    <t xml:space="preserve">Mindon donates precious ritual objects to the Sri Lankan Tooth Relic and Anuradhapura shrines.</t>
  </si>
  <si>
    <t xml:space="preserve">vol3_s002368_t01_43e64f7beb08; vol3_s002368_t02_f3e551868550</t>
  </si>
  <si>
    <t xml:space="preserve">B2G49.13.01</t>
  </si>
  <si>
    <t xml:space="preserve">Mindon constructs and donates the Mahajotikarama monastery to the titled Thilon Sayadaw.</t>
  </si>
  <si>
    <t xml:space="preserve">vol3_s002369_t01_b3469d6147f8; vol3_s002369_t02_b8d4fecbbfc9; vol3_s002369_t03_4df6eba3b8f9</t>
  </si>
  <si>
    <t xml:space="preserve">B2G49.14.01</t>
  </si>
  <si>
    <t xml:space="preserve">Mindon constructs the Shankale Island monastery and donates it to the Khawtaw Sayadaw.</t>
  </si>
  <si>
    <t xml:space="preserve">vol3_s002370_t01_2919f0e333c7; vol3_s002370_t02_2e1baa30882c</t>
  </si>
  <si>
    <t xml:space="preserve">B2G50.01.01</t>
  </si>
  <si>
    <t xml:space="preserve">The king donates a monastery complex to the Ratanathutkhaung Sayadaw.</t>
  </si>
  <si>
    <t xml:space="preserve">B2G50.02.01</t>
  </si>
  <si>
    <t xml:space="preserve">The king restores the Shinbyu pagoda associated with an earlier royal founder.</t>
  </si>
  <si>
    <t xml:space="preserve">vol3_s002387_t01_848c347ac193; vol3_s002387_t02_604e9c07259e</t>
  </si>
  <si>
    <t xml:space="preserve">B2G50.03.01</t>
  </si>
  <si>
    <t xml:space="preserve">Supayagyi, princess of Bagan and Mongnawng, builds and donates a monastery to Shin Tiloka.</t>
  </si>
  <si>
    <t xml:space="preserve">B2G50.04.01</t>
  </si>
  <si>
    <t xml:space="preserve">The Northern Palace Queen constructs and donates a monastery for the titled Pyi Sayadaw.</t>
  </si>
  <si>
    <t xml:space="preserve">vol3_s002389_t01_6c602a5c625c; vol3_s002389_t02_0d35168a9127</t>
  </si>
  <si>
    <t xml:space="preserve">B2G50.05.01</t>
  </si>
  <si>
    <t xml:space="preserve">The Salin princess constructs and donates a monastery to the Northern Salin Sayadaw.</t>
  </si>
  <si>
    <t xml:space="preserve">B2G50.06.01</t>
  </si>
  <si>
    <t xml:space="preserve">The Chief Queen associated with the former Amarapura founder donates a monastery to the titled Hlahtwe Sayadaw.</t>
  </si>
  <si>
    <t xml:space="preserve">vol3_s002391_t01_74b203899c25; vol3_s002391_t02_829976ad1d4f</t>
  </si>
  <si>
    <t xml:space="preserve">The correct queen and recipient are represented, but whether the former king should also be an active donor is unresolved in the extracted compound subject.</t>
  </si>
  <si>
    <t xml:space="preserve">B2G50.07.01</t>
  </si>
  <si>
    <t xml:space="preserve">The preceding donor's list continues with the Thitsint monastery and its titled Sayadaw.</t>
  </si>
  <si>
    <t xml:space="preserve">B2G50.07.02</t>
  </si>
  <si>
    <t xml:space="preserve">The Western Palace Queen's separately introduced list begins with the Khinkankan monastery complex.</t>
  </si>
  <si>
    <t xml:space="preserve">B2G50.09.01</t>
  </si>
  <si>
    <t xml:space="preserve">The royal household constructs the listed Khinkankan and Mahajotikarama monastic buildings.</t>
  </si>
  <si>
    <t xml:space="preserve">vol3_s002394_t01_b3b4299ca4df; vol3_s002394_t02_546ed2c3ddf5</t>
  </si>
  <si>
    <t xml:space="preserve">B2G50.10.01</t>
  </si>
  <si>
    <t xml:space="preserve">The royal household constructs a pavilion at Sinkyo Shwegu.</t>
  </si>
  <si>
    <t xml:space="preserve">B2G50.11.01</t>
  </si>
  <si>
    <t xml:space="preserve">The royal household provides the listed religious buildings and facilities at the Ratanathutkhaung retreat.</t>
  </si>
  <si>
    <t xml:space="preserve">B2G50.12.01</t>
  </si>
  <si>
    <t xml:space="preserve">The royal household provides the buildings and water facilities at the Dakkhinabuddha compound.</t>
  </si>
  <si>
    <t xml:space="preserve">B2G51.01.01</t>
  </si>
  <si>
    <t xml:space="preserve">On Thibaw's accession, royal relatives, officials, and local elites take the royal oath.</t>
  </si>
  <si>
    <t xml:space="preserve">vol3_s002523_t01_07bbd91374e6; vol3_s002523_t02_bd1bfcdf48f6; vol3_s002523_t03_4c99455ec203; vol3_s002523_t04_151159f5e4fe</t>
  </si>
  <si>
    <t xml:space="preserve">B2G51.02.01</t>
  </si>
  <si>
    <t xml:space="preserve">The king dispatches officials and instructions to secure provincial rulers' allegiance.</t>
  </si>
  <si>
    <t xml:space="preserve">vol3_s002524_t01_9810b1632915; vol3_s002524_t02_c256d516bf03; vol3_s002524_t03_8218b0179220</t>
  </si>
  <si>
    <t xml:space="preserve">B2G51.03.01</t>
  </si>
  <si>
    <t xml:space="preserve">The king appoints and directs guards/administrators to secure palace, gates, and urban quarters.</t>
  </si>
  <si>
    <t xml:space="preserve">vol3_s002525_t01_27f735013f7b; vol3_s002525_t02_32abb660e9f9</t>
  </si>
  <si>
    <t xml:space="preserve">B2G51.04.01</t>
  </si>
  <si>
    <t xml:space="preserve">The king's proclamation reassures the population and promises peaceful royal protection.</t>
  </si>
  <si>
    <t xml:space="preserve">vol3_s002526_t01_ea57be678e31; vol3_s002526_t02_781a35ba553e; vol3_s002526_t03_d44386ff03cf</t>
  </si>
  <si>
    <t xml:space="preserve">B2G51.05.01</t>
  </si>
  <si>
    <t xml:space="preserve">The king regulates palace drumming during the transition.</t>
  </si>
  <si>
    <t xml:space="preserve">B2G51.06.01</t>
  </si>
  <si>
    <t xml:space="preserve">The king has Pagan Min informed of the predecessor's death.</t>
  </si>
  <si>
    <t xml:space="preserve">B2G51.07.01</t>
  </si>
  <si>
    <t xml:space="preserve">The successor organizes the late king's funeral.</t>
  </si>
  <si>
    <t xml:space="preserve">B2G51.07.02</t>
  </si>
  <si>
    <t xml:space="preserve">The funeral discourse compares the late king with ancient universal monarchs.</t>
  </si>
  <si>
    <t xml:space="preserve">B2G51.07.03</t>
  </si>
  <si>
    <t xml:space="preserve">Those ancient monarchs wield extraordinary merit-based power but lack access to the Buddha's Dhamma in a pre-Sasana age.</t>
  </si>
  <si>
    <t xml:space="preserve">B2G51.08.01</t>
  </si>
  <si>
    <t xml:space="preserve">The late king undergoes exceptional royal consecrations and practices royal virtues.</t>
  </si>
  <si>
    <t xml:space="preserve">vol3_s002530_t01_26d4e6a6b02e; vol3_s002530_t02_a1233cd4df9d</t>
  </si>
  <si>
    <t xml:space="preserve">B2G51.08.02</t>
  </si>
  <si>
    <t xml:space="preserve">He sponsors religious buildings and infrastructure.</t>
  </si>
  <si>
    <t xml:space="preserve">B2G51.08.03</t>
  </si>
  <si>
    <t xml:space="preserve">He commissions durable inscribed scriptures.</t>
  </si>
  <si>
    <t xml:space="preserve">B2G51.08.04</t>
  </si>
  <si>
    <t xml:space="preserve">He convenes the Fifth Buddhist Council.</t>
  </si>
  <si>
    <t xml:space="preserve">B2G51.08.05</t>
  </si>
  <si>
    <t xml:space="preserve">He donates continually to both titled and untitled monks.</t>
  </si>
  <si>
    <t xml:space="preserve">The output retains only titled monks.</t>
  </si>
  <si>
    <t xml:space="preserve">B2G51.08.06</t>
  </si>
  <si>
    <t xml:space="preserve">He teaches and promotes Vipassana practice among court and populace.</t>
  </si>
  <si>
    <t xml:space="preserve">vol3_s002530_t07_3890f643465f; vol3_s002530_t08_d3b1ab586ff0</t>
  </si>
  <si>
    <t xml:space="preserve">B2G52.01.01</t>
  </si>
  <si>
    <t xml:space="preserve">The king grants Kyauk-ye as an appanage/office to Phaung-wun Mingyi Maha Minhtin.</t>
  </si>
  <si>
    <t xml:space="preserve">B2G52.02.01</t>
  </si>
  <si>
    <t xml:space="preserve">The king observes cavalry exercises and rewards skilled performers.</t>
  </si>
  <si>
    <t xml:space="preserve">vol3_s002695_t01_bf2389bbc5e2; vol3_s002695_t02_771524538e8f</t>
  </si>
  <si>
    <t xml:space="preserve">B2G52.03.01</t>
  </si>
  <si>
    <t xml:space="preserve">The king grants Minye Minhla Minkhaung middle-prince status and Mingala market revenue rights.</t>
  </si>
  <si>
    <t xml:space="preserve">vol3_s002696_t01_581babf5b4b1; vol3_s002696_t02_560f2cf0f2d0</t>
  </si>
  <si>
    <t xml:space="preserve">B2G52.04.01</t>
  </si>
  <si>
    <t xml:space="preserve">The king allows local headmen and administrators to retain judicial-fee revenue previously remitted upward.</t>
  </si>
  <si>
    <t xml:space="preserve">Stopping remittances and granting the proceeds is not a ban on collecting the fees.</t>
  </si>
  <si>
    <t xml:space="preserve">B2G52.04.02</t>
  </si>
  <si>
    <t xml:space="preserve">The king directs the headmen to exert themselves in local administration and service.</t>
  </si>
  <si>
    <t xml:space="preserve">B2G52.05.01</t>
  </si>
  <si>
    <t xml:space="preserve">The king makes the listed eight administrative and military appointments.</t>
  </si>
  <si>
    <t xml:space="preserve">vol3_s002698_t01_657fa8a88379; vol3_s002698_t02_e6327a712a79; vol3_s002698_t03_0d5eccac7ebc; vol3_s002698_t04_041c87c92317; vol3_s002698_t05_e8bd56d041d4; vol3_s002698_t06_4d84d5f6be51; vol3_s002698_t07_4b697c52b261; vol3_s002698_t08_7b283f765972</t>
  </si>
  <si>
    <t xml:space="preserve">B2G52.06.01</t>
  </si>
  <si>
    <t xml:space="preserve">The Mong Mit sawbwa and Mongkaing titleholder present horses to the king.</t>
  </si>
  <si>
    <t xml:space="preserve">vol3_s002699_t01_736d8e262086; vol3_s002699_t02_9458863c6238</t>
  </si>
  <si>
    <t xml:space="preserve">Mong Mit is correct; the second donor is mislabeled Mong Nai.</t>
  </si>
  <si>
    <t xml:space="preserve">B2G52.07.01</t>
  </si>
  <si>
    <t xml:space="preserve">The king commissions a residence for the Queen Mother.</t>
  </si>
  <si>
    <t xml:space="preserve">B2G52.08.01</t>
  </si>
  <si>
    <t xml:space="preserve">The Sinhalese minister petitions the Burmese king for support of the Sasana.</t>
  </si>
  <si>
    <t xml:space="preserve">B2G52.08.02</t>
  </si>
  <si>
    <t xml:space="preserve">Mindon dispatches Ne-myo Minhla Zeyathu on the religious mission.</t>
  </si>
  <si>
    <t xml:space="preserve">B2G52.08.03</t>
  </si>
  <si>
    <t xml:space="preserve">Sinhalese ministers and elders ceremonially welcome the envoy.</t>
  </si>
  <si>
    <t xml:space="preserve">B2G52.08.04</t>
  </si>
  <si>
    <t xml:space="preserve">The envoy distributes royal religious and diplomatic gifts to Sinhalese monks and officials.</t>
  </si>
  <si>
    <t xml:space="preserve">B2G52.08.05</t>
  </si>
  <si>
    <t xml:space="preserve">The envoy inspects and records suitable sites for housing the Pitaka.</t>
  </si>
  <si>
    <t xml:space="preserve">B2G52.08.06</t>
  </si>
  <si>
    <t xml:space="preserve">Hindridi-sila-wa-guna Saw-ka-ra sends a relic back to the Burmese court.</t>
  </si>
  <si>
    <t xml:space="preserve">B2G53.01.01</t>
  </si>
  <si>
    <t xml:space="preserve">The king builds, furnishes with relics, and crowns the Mara-aung Ratana pagoda.</t>
  </si>
  <si>
    <t xml:space="preserve">vol3_s002806_t01_92f4baa6ab2a; vol3_s002806_t02_5d3e0ffc1d77; vol3_s002806_t03_7de57a661c5d</t>
  </si>
  <si>
    <t xml:space="preserve">B2G53.01.02</t>
  </si>
  <si>
    <t xml:space="preserve">Benevolent deities are said to reveal the relics through the king's royal glory.</t>
  </si>
  <si>
    <t xml:space="preserve">A distinct divine-royal causal relationship is stated but not extracted.</t>
  </si>
  <si>
    <t xml:space="preserve">B2G53.01.03</t>
  </si>
  <si>
    <t xml:space="preserve">The king donates offerings to the Sangha at the consecration.</t>
  </si>
  <si>
    <t xml:space="preserve">B2G53.02.01</t>
  </si>
  <si>
    <t xml:space="preserve">The king and Chief Queen ceremonially take possession of the palace, surrounded by court and armed forces.</t>
  </si>
  <si>
    <t xml:space="preserve">vol3_s002807_t01_afea2036061b; vol3_s002807_t02_6e79eca3f650</t>
  </si>
  <si>
    <t xml:space="preserve">B2G53.03.01</t>
  </si>
  <si>
    <t xml:space="preserve">The king appoints the Yaw and Taungkhwin titleholders as Wungyi ministers.</t>
  </si>
  <si>
    <t xml:space="preserve">vol3_s002808_t01_2d5ea3e04d71; vol3_s002808_t02_bf645154a957</t>
  </si>
  <si>
    <t xml:space="preserve">B2G53.04.01</t>
  </si>
  <si>
    <t xml:space="preserve">The king transfers the Mota titleholder to the great cavalry-corps ministry.</t>
  </si>
  <si>
    <t xml:space="preserve">B2G53.05.01</t>
  </si>
  <si>
    <t xml:space="preserve">The king orders childbirth ceremonies modeled on universal monarchs and prepares the Chief Queen's palace.</t>
  </si>
  <si>
    <t xml:space="preserve">vol3_s002810_t01_9402492e49b9; vol3_s002810_t02_10417c9809ab; vol3_s002810_t03_31236a6d43f5</t>
  </si>
  <si>
    <t xml:space="preserve">B2G53.06.01</t>
  </si>
  <si>
    <t xml:space="preserve">The royal household prepares symbolic materials and regalia for the royal birth, using religious precedents.</t>
  </si>
  <si>
    <t xml:space="preserve">vol3_s002811_t01_19e3c8188d0a; vol3_s002811_t02_a3aab902adc7; vol3_s002811_t03_2bfe6c157cac</t>
  </si>
  <si>
    <t xml:space="preserve">The multiple precedents and individual objects remain a grouped ritual-preparation unit.</t>
  </si>
  <si>
    <t xml:space="preserve">B2G54.01.01</t>
  </si>
  <si>
    <t xml:space="preserve">The king and Chief Queen undertake the Mandalay Hill pilgrimage with a ceremonial military escort.</t>
  </si>
  <si>
    <t xml:space="preserve">vol3_s002857_t01_7558a9f47330; vol3_s002857_t03_471dffe0a999; vol3_s002857_t04_b8d37d4ad465; vol3_s002857_t05_cdf17f95d61d</t>
  </si>
  <si>
    <t xml:space="preserve">The king's role is captured but the queen's expressly joint participation is absent.</t>
  </si>
  <si>
    <t xml:space="preserve">B2G54.01.02</t>
  </si>
  <si>
    <t xml:space="preserve">The king commissions the staging pavilions for the pilgrimage.</t>
  </si>
  <si>
    <t xml:space="preserve">B2G54.02.01</t>
  </si>
  <si>
    <t xml:space="preserve">Maha Minhtin Sithu receives promotion to Wundauk, associated insignia, and the Kyaukye appanage.</t>
  </si>
  <si>
    <t xml:space="preserve">vol3_s002858_t01_dede1758805b; vol3_s002858_t02_4d584d3b0d55; vol3_s002858_t03_6b8e8d7a4bde</t>
  </si>
  <si>
    <t xml:space="preserve">B2G54.03.01</t>
  </si>
  <si>
    <t xml:space="preserve">The king retires the aged interior minister and Saw titleholder.</t>
  </si>
  <si>
    <t xml:space="preserve">vol3_s002859_t01_2c677824705e; vol3_s002859_t02_a2f39fb66327</t>
  </si>
  <si>
    <t xml:space="preserve">Removed from office is accepted as neutral wording, not automatically treated as punitive dismissal.</t>
  </si>
  <si>
    <t xml:space="preserve">B2G54.04.01</t>
  </si>
  <si>
    <t xml:space="preserve">Minhtin Raza is appointed Mongnai sitke with 100 guards and stationed at Kengtung.</t>
  </si>
  <si>
    <t xml:space="preserve">vol3_s002860_t01_b68cf2888337; vol3_s002860_t02_3e0620f1119c; vol3_s002860_t03_c74e7b5c7b30</t>
  </si>
  <si>
    <t xml:space="preserve">B2G54.05.01</t>
  </si>
  <si>
    <t xml:space="preserve">The king conducts the late Pagan Min's grand royal funeral at his residence.</t>
  </si>
  <si>
    <t xml:space="preserve">vol3_s002861_t01_068d1a2ac936; vol3_s002861_t02_e21b0a13526b; vol3_s002861_t03_0c86b03fbe86</t>
  </si>
  <si>
    <t xml:space="preserve">Bagyidaw is accepted here as the source's royal-uncle honorific qualifying Pagan Min, not assumed to identify the earlier sovereign named Bagyidaw.</t>
  </si>
  <si>
    <t xml:space="preserve">B2G54.06.01</t>
  </si>
  <si>
    <t xml:space="preserve">The king and Chief Queen conduct their son's funeral and provide his royal burial monument.</t>
  </si>
  <si>
    <t xml:space="preserve">vol3_s002862_t01_2b7bd4de7925; vol3_s002862_t02_d1cfdc791bb1; vol3_s002862_t03_32b5eb0c720d</t>
  </si>
  <si>
    <t xml:space="preserve">The king's actions and monument are captured, but the Queen's joint funeral participation is absent.</t>
  </si>
  <si>
    <t xml:space="preserve">B2G55.01.01</t>
  </si>
  <si>
    <t xml:space="preserve">Kwet-ywa Wundauk failed to resist the Mong Nai insurgents and retreated through successive towns.</t>
  </si>
  <si>
    <t xml:space="preserve">B2G55.01.02</t>
  </si>
  <si>
    <t xml:space="preserve">The king stripped Kwet-ywa Wundauk of rank and ordered his imprisonment for that failure.</t>
  </si>
  <si>
    <t xml:space="preserve">vol3_s003336_t02_4137ee1cde97; vol3_s003336_t03_6354a0cb510b; vol3_s003336_t04_3a4c239462c0</t>
  </si>
  <si>
    <t xml:space="preserve">B2G55.02.01</t>
  </si>
  <si>
    <t xml:space="preserve">State agents captured the royal elephant brought from the Thonze region.</t>
  </si>
  <si>
    <t xml:space="preserve">vol3_s003337_t01_527338cbb817; vol3_s003337_t02_c43d49bef955</t>
  </si>
  <si>
    <t xml:space="preserve">B2G55.03.01</t>
  </si>
  <si>
    <t xml:space="preserve">The ill Sankyaung Sayadaw was moved into and presented with a newly built monastery for his recovery.</t>
  </si>
  <si>
    <t xml:space="preserve">vol3_s003338_t01_282244c33c9d; vol3_s003338_t02_e9ed67daa02d; vol3_s003338_t03_7fded15ed560</t>
  </si>
  <si>
    <t xml:space="preserve">B2G55.04.01</t>
  </si>
  <si>
    <t xml:space="preserve">The king pardoned and released the former Khanpat Wungyi but kept him under guard.</t>
  </si>
  <si>
    <t xml:space="preserve">vol3_s003339_t01_af77eefd61f7; vol3_s003339_t02_0745e747fef6; vol3_s003339_t03_3795f743620e</t>
  </si>
  <si>
    <t xml:space="preserve">B2G55.05.01</t>
  </si>
  <si>
    <t xml:space="preserve">Over a thousand monks from the Tainta Min-gyi monastery were invited to the palace for the annual royal alms distribution.</t>
  </si>
  <si>
    <t xml:space="preserve">vol3_s003340_t01_e134dd44c81a; vol3_s003340_t02_0117d3bd828c</t>
  </si>
  <si>
    <t xml:space="preserve">B2G55.06.01</t>
  </si>
  <si>
    <t xml:space="preserve">Court officers were assigned to supervise birthday offerings at Mahamuni, Mahalokamarazein and the Sagaing pagodas and monasteries.</t>
  </si>
  <si>
    <t xml:space="preserve">vol3_s003341_t01_17c8026a8907; vol3_s003341_t02_428202c58ec2; vol3_s003341_t03_f6cc74f197f7; vol3_s003341_t04_93a28260a224; vol3_s003341_t05_68eea2814eb4; vol3_s003341_t06_4e599a274603; vol3_s003341_t07_cc0338f6a6b3; vol3_s003341_t08_78beda994dfa</t>
  </si>
  <si>
    <t xml:space="preserve">The several officer-specific and shrine-specific edges together cover one organized distribution; no extra pairwise inventory is required.</t>
  </si>
  <si>
    <t xml:space="preserve">B2G55.07.01</t>
  </si>
  <si>
    <t xml:space="preserve">A named/listed group of prisoners received release from imprisonment.</t>
  </si>
  <si>
    <t xml:space="preserve">The coordination of the named prisoners and the list of 32 admits more than one count reading; no hard numerical error imposed.</t>
  </si>
  <si>
    <t xml:space="preserve">B2G55.08.01</t>
  </si>
  <si>
    <t xml:space="preserve">The king removed Nga Bo Gyi and Nga Be from their positions as the queen's chief clerks.</t>
  </si>
  <si>
    <t xml:space="preserve">vol3_s003343_t01_49d49edc9a62; vol3_s003343_t02_84166c54a4db</t>
  </si>
  <si>
    <t xml:space="preserve">B2G55.08.02</t>
  </si>
  <si>
    <t xml:space="preserve">The king appointed Nemyo Minhtin Kyawzwa as the queen's chief clerk.</t>
  </si>
  <si>
    <t xml:space="preserve">B2G55.09.01</t>
  </si>
  <si>
    <t xml:space="preserve">The king planned a Minwun pilgrimage and ordered land and river escorts and royal pavilions prepared.</t>
  </si>
  <si>
    <t xml:space="preserve">vol3_s003344_t01_242db29438ae; vol3_s003344_t02_b08df9580d17; vol3_s003344_t03_22fff7ae2c95</t>
  </si>
  <si>
    <t xml:space="preserve">B2G55.09.02</t>
  </si>
  <si>
    <t xml:space="preserve">Officials distributed the king's offerings to the Minwun shrines and to monks, novices, ascetics and poor people before his departure.</t>
  </si>
  <si>
    <t xml:space="preserve">vol3_s003344_t04_4e689554a106; vol3_s003344_t05_d978ff507e7a</t>
  </si>
  <si>
    <t xml:space="preserve">B2G56.01.01</t>
  </si>
  <si>
    <t xml:space="preserve">The king distributed textiles and money to the royal escort, princes and officials, royal women and service groups.</t>
  </si>
  <si>
    <t xml:space="preserve">vol3_s003349_t01_3875a6d4a5d2; vol3_s003349_t02_2eb822aa558d; vol3_s003349_t03_40819caf4e92; vol3_s003349_t04_978771d5483b</t>
  </si>
  <si>
    <t xml:space="preserve">B2G56.02.01</t>
  </si>
  <si>
    <t xml:space="preserve">The former Kwet-ywa Wundauk remained in state custody.</t>
  </si>
  <si>
    <t xml:space="preserve">B2G56.02.02</t>
  </si>
  <si>
    <t xml:space="preserve">A telegram reporting the captive former Wundauk's death was submitted through the Hluttaw to the inner court.</t>
  </si>
  <si>
    <t xml:space="preserve">B2G56.03.01</t>
  </si>
  <si>
    <t xml:space="preserve">The British commissioner communicated with the Burmese court concerning the fugitive former Linbin prince and possible arrest.</t>
  </si>
  <si>
    <t xml:space="preserve">vol3_s003351_t01_6fbb799ba29a; vol3_s003351_t02_497aaa52d6cc</t>
  </si>
  <si>
    <t xml:space="preserve">B2G56.04.01</t>
  </si>
  <si>
    <t xml:space="preserve">The king promoted Nemyo Min Hla Kyaw Thu from Byedaik Thansin to Thandawsint.</t>
  </si>
  <si>
    <t xml:space="preserve">B2G56.05.01</t>
  </si>
  <si>
    <t xml:space="preserve">Royal elephants underwent noise and combat tests under state supervision.</t>
  </si>
  <si>
    <t xml:space="preserve">vol3_s003353_t01_b4e198691968; vol3_s003353_t02_7bedf38cfcae</t>
  </si>
  <si>
    <t xml:space="preserve">B2G56.06.01</t>
  </si>
  <si>
    <t xml:space="preserve">The chief queen ordered a status-appropriate funeral for the deceased Myingun Myosa, supervised by court ministers and officials.</t>
  </si>
  <si>
    <t xml:space="preserve">vol3_s003354_t01_f3a33037cb5c; vol3_s003354_t02_df746f249369; vol3_s003354_t03_213801a18e62</t>
  </si>
  <si>
    <t xml:space="preserve">B2G56.07.01</t>
  </si>
  <si>
    <t xml:space="preserve">Military service groups received their customary annual firearms, artillery and mounted martial training.</t>
  </si>
  <si>
    <t xml:space="preserve">vol3_s003355_t01_69f57846cc15; vol3_s003355_t02_59251b68fe27</t>
  </si>
  <si>
    <t xml:space="preserve">B2G56.08.01</t>
  </si>
  <si>
    <t xml:space="preserve">Princes and officials supervised the Myingun princess's procession and burial at the royal cemetery.</t>
  </si>
  <si>
    <t xml:space="preserve">B2G56.09.01</t>
  </si>
  <si>
    <t xml:space="preserve">The king required princes and officials to master mounted techniques for the equestrian festival.</t>
  </si>
  <si>
    <t xml:space="preserve">vol3_s003357_t01_343d1e4f0d47; vol3_s003357_t02_40540eb4896a</t>
  </si>
  <si>
    <t xml:space="preserve">B2G56.09.02</t>
  </si>
  <si>
    <t xml:space="preserve">The court prescribed and staffed punishment for failed performance at the festival.</t>
  </si>
  <si>
    <t xml:space="preserve">vol3_s003357_t03_abbaf541c631; vol3_s003357_t04_8b806260fb15</t>
  </si>
  <si>
    <t xml:space="preserve">B2G56.09.03</t>
  </si>
  <si>
    <t xml:space="preserve">The king and chief queen jointly presided over the equestrian festival.</t>
  </si>
  <si>
    <t xml:space="preserve">B2G57.01.01</t>
  </si>
  <si>
    <t xml:space="preserve">Fire destroyed the compounds of named high officers and surrounding royal-city residential infrastructure.</t>
  </si>
  <si>
    <t xml:space="preserve">vol3_s003426_t01_0d03fde84a46; vol3_s003426_t02_a1979348ecc0; vol3_s003426_t03_9ab751730d16; vol3_s003426_t04_c2dee318f59c; vol3_s003426_t05_fa68e7d3ce97</t>
  </si>
  <si>
    <t xml:space="preserve">B2G57.02.01</t>
  </si>
  <si>
    <t xml:space="preserve">The deceased Hteik-su Myat Paya was the fourth royal daughter.</t>
  </si>
  <si>
    <t xml:space="preserve">B2G57.02.02</t>
  </si>
  <si>
    <t xml:space="preserve">Named court officers carried, escorted and managed the fourth princess's burial according to royal precedent.</t>
  </si>
  <si>
    <t xml:space="preserve">vol3_s003427_t02_1e15e0b70f1a; vol3_s003427_t03_14026464e1b7; vol3_s003427_t04_308b6e078d21; vol3_s003427_t05_5476bab92406; vol3_s003427_t06_4b4b790ea0f3</t>
  </si>
  <si>
    <t xml:space="preserve">B2G57.03.01</t>
  </si>
  <si>
    <t xml:space="preserve">The court completed the princess's mausoleum and sponsored the associated monastic funeral observance.</t>
  </si>
  <si>
    <t xml:space="preserve">vol3_s003428_t01_cb00dcc89387; vol3_s003428_t02_6723523d54bf</t>
  </si>
  <si>
    <t xml:space="preserve">B2G57.04.01</t>
  </si>
  <si>
    <t xml:space="preserve">The court arranged a supervised visit concerning the ill mother of the royal-associated monks and novice, with clerks and armed attendants.</t>
  </si>
  <si>
    <t xml:space="preserve">The state-assistance edge receives semantic credit, with a soft correction to the nature of the assistance.</t>
  </si>
  <si>
    <t xml:space="preserve">B2G57.05.01</t>
  </si>
  <si>
    <t xml:space="preserve">Fire destroyed more than a hundred houses in the Malun market quarter.</t>
  </si>
  <si>
    <t xml:space="preserve">B2G57.06.01</t>
  </si>
  <si>
    <t xml:space="preserve">The state executed Maung Bhone and other rebellion participants in prison.</t>
  </si>
  <si>
    <t xml:space="preserve">vol3_s003431_t01_096841048b11; vol3_s003431_t02_203bef581325</t>
  </si>
  <si>
    <t xml:space="preserve">B2G57.07.01</t>
  </si>
  <si>
    <t xml:space="preserve">Fires destroyed royal granaries, city-wall structures, the Lay-thein gate structure and 54 monasteries.</t>
  </si>
  <si>
    <t xml:space="preserve">vol3_s003432_t01_ae766af9d6fe; vol3_s003432_t02_68f22ed78fd8; vol3_s003432_t03_1186bf117300; vol3_s003432_t04_cd3b309f5582</t>
  </si>
  <si>
    <t xml:space="preserve">B2G58.01.01</t>
  </si>
  <si>
    <t xml:space="preserve">Princes/princesses and court officers participated in the New Year offering ceremony and donation-list reading at the Southern Palace.</t>
  </si>
  <si>
    <t xml:space="preserve">vol3_s003445_t01_31aa2b6352a4; vol3_s003445_t02_0fa52f6b7739; vol3_s003445_t03_7fdf14c4cad3; vol3_s003445_t04_b2740e369a90</t>
  </si>
  <si>
    <t xml:space="preserve">B2G58.02.01</t>
  </si>
  <si>
    <t xml:space="preserve">The ceremony included royal coin gifts, auspicious recitation/consecration and the princess Hteik-su Myat Phaya Gyi's Atar observance.</t>
  </si>
  <si>
    <t xml:space="preserve">vol3_s003446_t01_3ceeceb3b69c; vol3_s003446_t02_3b41a2802396; vol3_s003446_t03_3864c2fd1bda</t>
  </si>
  <si>
    <t xml:space="preserve">The recitation and princess's observance are covered; the recipient attached to the gifts is not securely supported.</t>
  </si>
  <si>
    <t xml:space="preserve">B2G58.03.01</t>
  </si>
  <si>
    <t xml:space="preserve">Thai, inner-palace and Mon performers were stationed to perform at the designated royal halls.</t>
  </si>
  <si>
    <t xml:space="preserve">vol3_s003447_t01_c33c9b66a9e2; vol3_s003447_t02_af0a4a0d7ed5; vol3_s003447_t03_c624ce2b9179</t>
  </si>
  <si>
    <t xml:space="preserve">B2G58.04.01</t>
  </si>
  <si>
    <t xml:space="preserve">The royal party, including Sinphyumashin and the named royal women, performed scented-water homage at the brick royal mausoleum.</t>
  </si>
  <si>
    <t xml:space="preserve">vol3_s003448_t01_a820ede38a02; vol3_s003448_t02_de7de9f9bc79; vol3_s003448_t03_1defa1d62993; vol3_s003448_t04_57069c3a880f</t>
  </si>
  <si>
    <t xml:space="preserve">The contextual royal actor is accepted; the passage is not scored as separate pairwise co-attendance for every attendee.</t>
  </si>
  <si>
    <t xml:space="preserve">B2G58.05.01</t>
  </si>
  <si>
    <t xml:space="preserve">Wetmasut Wundauk and Hluttaw officers mobilized and supervised the ritual water supply for the four images.</t>
  </si>
  <si>
    <t xml:space="preserve">vol3_s003449_t01_f1c7869cbf83; vol3_s003449_t02_07e82719e008; vol3_s003449_t03_862537c16364</t>
  </si>
  <si>
    <t xml:space="preserve">B2G58.06.01</t>
  </si>
  <si>
    <t xml:space="preserve">Fire damaged the royal-city compounds of the queen's minister and the Pinle city governor and surrounding houses.</t>
  </si>
  <si>
    <t xml:space="preserve">vol3_s003450_t01_a0717fed335f; vol3_s003450_t02_6fc6681fe6fb; vol3_s003450_t03_b4a981cd40c7</t>
  </si>
  <si>
    <t xml:space="preserve">B2G58.07.01</t>
  </si>
  <si>
    <t xml:space="preserve">The king and queen jointly viewed the ritual scenes and poured customary offerings on four Buddha images.</t>
  </si>
  <si>
    <t xml:space="preserve">vol3_s003451_t01_b5b29a9e319d; vol3_s003451_t02_23bf78f22324</t>
  </si>
  <si>
    <t xml:space="preserve">The king's participation is accurately retained, but the explicit second sovereign is omitted.</t>
  </si>
  <si>
    <t xml:space="preserve">B2G58.08.01</t>
  </si>
  <si>
    <t xml:space="preserve">The king allocated 18,360 silver for interim Mahamuni shrine and covered-walkway construction to permit public worship.</t>
  </si>
  <si>
    <t xml:space="preserve">vol3_s003452_t01_f62a2cf1aeeb; vol3_s003452_t02_bcdb7b2d371d; vol3_s003452_t03_2b4fd832c2f8</t>
  </si>
  <si>
    <t xml:space="preserve">B2G58.09.01</t>
  </si>
  <si>
    <t xml:space="preserve">The court sought and received a royal order for the Katha Myosa's funeral following the earlier musketeer minister's wife's precedent.</t>
  </si>
  <si>
    <t xml:space="preserve">vol3_s003453_t01_e780c5bca36a; vol3_s003453_t02_b00b8a5ed06d; vol3_s003453_t03_3e3bd93f833c</t>
  </si>
  <si>
    <t xml:space="preserve">The deceased Katha Myosa is the minister's wife. The Burmese controls over the misleading English possessive syntax; the triples do not make that translation's error.</t>
  </si>
  <si>
    <t xml:space="preserve">B2G59.01.01</t>
  </si>
  <si>
    <t xml:space="preserve">The royal authority bestowed the recorded ecclesiastical title on U Thagara of Sinte.</t>
  </si>
  <si>
    <t xml:space="preserve">vol3_s003546_t01_4e172d6c6be3; vol3_s003546_t02_ba2a4131b16e</t>
  </si>
  <si>
    <t xml:space="preserve">B2G59.02.01</t>
  </si>
  <si>
    <t xml:space="preserve">The royal authority bestowed the recorded ecclesiastical title on U Ketu of Mahawizitarama.</t>
  </si>
  <si>
    <t xml:space="preserve">vol3_s003547_t01_3351c1a1f055; vol3_s003547_t02_debd00c07b07</t>
  </si>
  <si>
    <t xml:space="preserve">B2G59.03.01</t>
  </si>
  <si>
    <t xml:space="preserve">The royal authority bestowed the recorded ecclesiastical title on U Nyanawuntha of Hman-kyaung.</t>
  </si>
  <si>
    <t xml:space="preserve">vol3_s003548_t01_0e5af4d709f0; vol3_s003548_t02_2909ede00045</t>
  </si>
  <si>
    <t xml:space="preserve">B2G59.05.01</t>
  </si>
  <si>
    <t xml:space="preserve">The royal authority bestowed the recorded ecclesiastical title on U Pandi of Dakhinarama.</t>
  </si>
  <si>
    <t xml:space="preserve">vol3_s003550_t01_324590e39eea; vol3_s003550_t02_ee022734eae5</t>
  </si>
  <si>
    <t xml:space="preserve">B2G59.06.01</t>
  </si>
  <si>
    <t xml:space="preserve">The royal authority bestowed the recorded ecclesiastical title on U Wizeitta of Mandalarama.</t>
  </si>
  <si>
    <t xml:space="preserve">vol3_s003551_t01_0c6d7b596f1e; vol3_s003551_t02_8ed9fbf1d7ed</t>
  </si>
  <si>
    <t xml:space="preserve">B2G59.07.01</t>
  </si>
  <si>
    <t xml:space="preserve">The royal authority bestowed the recorded ecclesiastical title on U Thuzata of Chittararama.</t>
  </si>
  <si>
    <t xml:space="preserve">vol3_s003552_t01_850eb16920af; vol3_s003552_t02_25db03b7d650</t>
  </si>
  <si>
    <t xml:space="preserve">B2G59.08.01</t>
  </si>
  <si>
    <t xml:space="preserve">The royal authority bestowed the recorded ecclesiastical title on U Wimala of Bon-kyaw.</t>
  </si>
  <si>
    <t xml:space="preserve">vol3_s003553_t01_5dcade5678bc; vol3_s003553_t02_6c7b28483448</t>
  </si>
  <si>
    <t xml:space="preserve">B2G59.09.01</t>
  </si>
  <si>
    <t xml:space="preserve">The royal authority bestowed the recorded ecclesiastical title on U Thuzata of Moetha.</t>
  </si>
  <si>
    <t xml:space="preserve">vol3_s003554_t01_dabf178867de; vol3_s003554_t02_788d5ff36979</t>
  </si>
  <si>
    <t xml:space="preserve">B2G59.10.01</t>
  </si>
  <si>
    <t xml:space="preserve">The royal authority bestowed the recorded ecclesiastical title on U Withuddha of Mahawithuddharama.</t>
  </si>
  <si>
    <t xml:space="preserve">vol3_s003555_t01_8c6a0741840d; vol3_s003555_t02_34054449f2da</t>
  </si>
  <si>
    <t xml:space="preserve">B2G59.11.01</t>
  </si>
  <si>
    <t xml:space="preserve">The royal authority bestowed the recorded ecclesiastical title on U Zaninda of Meghawati.</t>
  </si>
  <si>
    <t xml:space="preserve">vol3_s003556_t01_97359d05faf8; vol3_s003556_t02_7d7a79147479</t>
  </si>
  <si>
    <t xml:space="preserve">B2G59.12.01</t>
  </si>
  <si>
    <t xml:space="preserve">The royal authority bestowed the recorded ecclesiastical title on U Wiriya of Hlatwe.</t>
  </si>
  <si>
    <t xml:space="preserve">vol3_s003557_t01_84b8b93fb1f1; vol3_s003557_t02_230d75ee37a0</t>
  </si>
  <si>
    <t xml:space="preserve">B2G59.13.01</t>
  </si>
  <si>
    <t xml:space="preserve">The royal authority bestowed the recorded ecclesiastical title on U Nanda of Pakhang.</t>
  </si>
  <si>
    <t xml:space="preserve">vol3_s003558_t01_29af9f8b39d2; vol3_s003558_t02_65d0e2a9d3dc</t>
  </si>
  <si>
    <t xml:space="preserve">B2G59.14.01</t>
  </si>
  <si>
    <t xml:space="preserve">The royal authority bestowed the recorded ecclesiastical title on U Nyaninda of Nan-u.</t>
  </si>
  <si>
    <t xml:space="preserve">vol3_s003559_t01_94808451b8bc; vol3_s003559_t02_ffead02c564e</t>
  </si>
  <si>
    <t xml:space="preserve">B2G59.15.01</t>
  </si>
  <si>
    <t xml:space="preserve">The royal authority bestowed the recorded ecclesiastical title on U Dhammathami of Depayin.</t>
  </si>
  <si>
    <t xml:space="preserve">vol3_s003560_t01_56bd2dcda4a2; vol3_s003560_t02_12f05273eeb2</t>
  </si>
  <si>
    <t xml:space="preserve">B2G59.16.01</t>
  </si>
  <si>
    <t xml:space="preserve">The royal authority bestowed the recorded ecclesiastical title on U Asara of Makkaya.</t>
  </si>
  <si>
    <t xml:space="preserve">vol3_s003561_t01_692d1e254771; vol3_s003561_t02_e186ab247fc7</t>
  </si>
  <si>
    <t xml:space="preserve">B2G60.01.01</t>
  </si>
  <si>
    <t xml:space="preserve">Royal regiments under the preceding Hluttaw deployment order occupied the Ava and associated defensive stations.</t>
  </si>
  <si>
    <t xml:space="preserve">vol3_s003898_t01_3d457385d7ff; vol3_s003898_t02_84e198bd9c3c; vol3_s003898_t03_9a5bd4b6466a; vol3_s003898_t04_1dca52cc0adf</t>
  </si>
  <si>
    <t xml:space="preserve">B2G60.02.01</t>
  </si>
  <si>
    <t xml:space="preserve">The Htaran-ga commander and his left select service force were stationed on Shwekyetyet hill.</t>
  </si>
  <si>
    <t xml:space="preserve">vol3_s003899_t01_6053e2e7865a; vol3_s003899_t02_48da5560ae30</t>
  </si>
  <si>
    <t xml:space="preserve">Command is captured, but Thapyedan is attached to the wrong contingent.</t>
  </si>
  <si>
    <t xml:space="preserve">B2G60.02.02</t>
  </si>
  <si>
    <t xml:space="preserve">The Ratanathinga cavalry officers and front-guard commander took charge of the other force at Thapyedan.</t>
  </si>
  <si>
    <t xml:space="preserve">vol3_s003899_t03_6668090f4252; vol3_s003899_t04_c04d7ad056cb</t>
  </si>
  <si>
    <t xml:space="preserve">Several command relationships are retained, but the full officer group and its correct deployment are incompletely represented.</t>
  </si>
  <si>
    <t xml:space="preserve">B2G60.03.01</t>
  </si>
  <si>
    <t xml:space="preserve">The Hluttaw ordered the Lord of Pin to carry out the military deployment.</t>
  </si>
  <si>
    <t xml:space="preserve">B2G60.03.02</t>
  </si>
  <si>
    <t xml:space="preserve">The Lord of Pin led the composite force across to occupy the Sagaing, Nwachay and Kanpani defensive stations.</t>
  </si>
  <si>
    <t xml:space="preserve">vol3_s003900_t02_a3864cf584b0; vol3_s003900_t03_71e2e7f765f0; vol3_s003900_t04_8130de90998c; vol3_s003900_t05_11a0c1b30b4a; vol3_s003900_t06_8a9287538b19; vol3_s003900_t07_f4b9a802f614; vol3_s003900_t08_ec5913d90c9e</t>
  </si>
  <si>
    <t xml:space="preserve">Representative unit-specific command edges plus the full deployment cover this coordinated event; each regiment is not separately required.</t>
  </si>
  <si>
    <t xml:space="preserve">B2G60.04.01</t>
  </si>
  <si>
    <t xml:space="preserve">The Taungkhwin minister organized a sunken-vessel obstruction of the river route.</t>
  </si>
  <si>
    <t xml:space="preserve">vol3_s003901_t01_49a0f09e0c88; vol3_s003901_t02_7cee7faefce7; vol3_s003901_t03_0d65cfdeca0a</t>
  </si>
  <si>
    <t xml:space="preserve">B2G60.04.02</t>
  </si>
  <si>
    <t xml:space="preserve">British warships bypassed the obstruction and defeated its purpose.</t>
  </si>
  <si>
    <t xml:space="preserve">B2G60.05.01</t>
  </si>
  <si>
    <t xml:space="preserve">British naval forces advanced upstream through the named towns toward Myingyan.</t>
  </si>
  <si>
    <t xml:space="preserve">B2G60.05.02</t>
  </si>
  <si>
    <t xml:space="preserve">The Sale commander resisted the British, whose combined attack forced an orderly Burmese retreat to Kyauk-yon.</t>
  </si>
  <si>
    <t xml:space="preserve">vol3_s003902_t02_7a6d34dbe878; vol3_s003902_t03_53c8b2dbd9c8; vol3_s003902_t04_ee96dc3ca672</t>
  </si>
  <si>
    <t xml:space="preserve">Calling this a defeat is acceptable despite the source's emphasis on intact formations.</t>
  </si>
  <si>
    <t xml:space="preserve">B2G60.06.01</t>
  </si>
  <si>
    <t xml:space="preserve">The Myothit and Sale commanders held their named ministerial and military offices.</t>
  </si>
  <si>
    <t xml:space="preserve">vol3_s003903_t01_f2599b88a927; vol3_s003903_t02_7d7434eecdda; vol3_s003903_t03_f3eed4cf1878; vol3_s003903_t04_434843c87813</t>
  </si>
  <si>
    <t xml:space="preserve">B2G60.06.02</t>
  </si>
  <si>
    <t xml:space="preserve">The report's opening assessed the British advance and the Sale commander's inability to hold his position.</t>
  </si>
  <si>
    <t xml:space="preserve">vol3_s003903_t05_692d17173317; vol3_s003903_t06_5b98862858d5</t>
  </si>
  <si>
    <t xml:space="preserve">The military facts in this opening are captured. The report continues on page 503; its later proposal and debate are context, not additional sampled source units.</t>
  </si>
  <si>
    <t xml:space="preserve">vol3_s003997</t>
  </si>
  <si>
    <t xml:space="preserve">B2G61.03.01</t>
  </si>
  <si>
    <t xml:space="preserve">Thibaw and his chief queen are identified as parents of the seven royal children listed across this sentence and the following entries.</t>
  </si>
  <si>
    <t xml:space="preserve">no</t>
  </si>
  <si>
    <t xml:space="preserve">Grouped dynasty/parentage unit spanning S3-S10. Do not expand the seven children into every parental and sibling pair. These sentences have annotation_status=v3_unavailable, not a Gemini skip decision.</t>
  </si>
  <si>
    <t xml:space="preserve">သားတော် သမီးတော်တို့ကား ရတနာပုံ နေပြည်တော်ကြီး၌ စံတော်မူစဉ် သီရိပဝရ တိလောက မဟာ ရာဇိန္ဒာဓိပတိ ပဒုမရတနာဒေဝီ- အသျှင်မိဖုရားခေါင်ကြီးဘုရားတွင် မြင်တော်မူသည့် သားတော် ရွှေကိုယ်တော် မြတ်ဘုရားကြီး-ငယ်ကလွန် တစ်ပါး။</t>
  </si>
  <si>
    <t xml:space="preserve">As for the sons and daughters, while residing in the great royal capital of Yadanabon, the son born to the Chief Queen, Sri Pavara Tiloka Maha Rajindadhipati Paduma Ratana Devi—the Royal Prince [who] passed away young—is one.</t>
  </si>
  <si>
    <t xml:space="preserve">vol3_s004005</t>
  </si>
  <si>
    <t xml:space="preserve">B2G61.11.01</t>
  </si>
  <si>
    <t xml:space="preserve">Thibaw elevated the chief queen's younger sister, Ramethin Su Phaya Thusingha Ratana Devi, to queenship.</t>
  </si>
  <si>
    <t xml:space="preserve">The appointment and family-marriage connection are grouped. The statement that the union had no children is not expanded into negative parentage triples.</t>
  </si>
  <si>
    <t xml:space="preserve">အသျှင် နန်းမတော်မိဖုရားခေါင်ကြီးဘုရား ညီမတော် ရမည်းသင်းစုဘုရား သုသိင်္ဂါရတနာဒေဝီကို နန်းတင် တော်မူရာတွင် သားတော် သမီးတော် ထွန်းကားခြင်း မရှိ။</t>
  </si>
  <si>
    <t xml:space="preserve">When the Chief Queen's younger sister, Ramethin Su Phaya Thusingha Ratana Devi, was elevated to the position of queen, no sons or daughters were born.</t>
  </si>
  <si>
    <t xml:space="preserve">vol3_s004007</t>
  </si>
  <si>
    <t xml:space="preserve">B2G61.13.01</t>
  </si>
  <si>
    <t xml:space="preserve">The state collected recurring market, festival, checkpoint and ferry revenues under Thibaw, grouped into 76 revenue heads.</t>
  </si>
  <si>
    <t xml:space="preserve">Fiscal collection is a substantive power relationship. The Burmese annual total is 4,679,802 kyats; the supplied English has a transposed ending.</t>
  </si>
  <si>
    <t xml:space="preserve">ရတနာပုံရွှေမြို့တော်-ဒုတိယနန်းစံ မာရ်အောင်ရတနာစေတီတော် ဒါယကာ မင်းတရားကြီးလက်ထက် ကောက်ခံရရှိသည့် အခွန်တော်ငွေနှင့် အသုံးတော်ငွေများ၏- အချုပ်စာရင်း (၁) အရပ်ရပ် ဈေး, ပွဲ, ကင်း, ကူးတို့ အကောက်အခွန်တော်ငွေ လစဉ်သွင်း၊ သုံးလ တစ်ကြိမ်သွင်း၊ လေးလ တစ်ကြိမ်သွင်း၊ ခြောက်လတစ်ကြိမ်သွင်း၊ တစ်နှစ်တစ်ကြိမ်သွင်း၊ အခွန်တော်ဦးရေပေါင်း ခုနစ်ဆယ့်ခြောက်, တစ်နှစ်သင့် အခွန်တော်ငွေ လေးသန်းခြောက်သိန်းခုနစ်သောင်းကိုးထောင့်ရှစ်ရာ့နှစ်ကျပ်-တစ်ရပ်။</t>
  </si>
  <si>
    <t xml:space="preserve">Summary of tax revenue and expenditures collected during the reign of the King, the second monarch of the golden city of Yadanabon and patron of the Mar Aung Ratana Pagoda: (1) Revenue from various markets, festivals, outposts, and ferries, paid monthly, quarterly, every four months, every six months, or annually, totaling seventy-six tax categories, with an annual tax revenue of four million six hundred seventy-nine thousand eight hundred and twenty kyats—one item.</t>
  </si>
  <si>
    <t xml:space="preserve">vol3_s004008</t>
  </si>
  <si>
    <t xml:space="preserve">B2G61.14.01</t>
  </si>
  <si>
    <t xml:space="preserve">The state assessed and collected annual thathameda household taxation through the local assessment arrangements.</t>
  </si>
  <si>
    <t xml:space="preserve">(၂) နိုင်ငံတော်အတွင်း ရွှေမြို့တော်ဆင်ခြေဖုံး ရှမ်းပြည်နယ် မြေလပ် မြို့ကျေးရွာများပြင် ကျန်မြို့ကျေးရွာများက စစ်ဆေးရအိမ် လေးသိန်းခုနစ်သောင်းလေးထောင့်နှစ်ရာ့သုံးဆယ်အနက် အိုနာကျိုးကန်း အတိဒုက္ခိတ, ပထမ စာတော်ပြန်မှစ၍ လွှတ်တော်စာချွန်ရပါ စုစုကြေးလွတ်အိမ် ခြောက်သောင်းရှစ်ထောင့်သုံးရာ့ငါးပြင် ကျန်ကြေးခံအိမ် လေးသိန်းငါးထောင့်ကိုးရာ့နှစ်ဆယ့်ငါးမှာ သဘောတူ သမာဓိရန်ထားစေ၍ ဆူကြုံနိမ့်မြင့် တစ်အိမ်လျှင် ငွေ တစ်ဆယ်ကျ တစ်နှစ်တစ်ကြိမ် သဿမေဓအခွန်တော် ကောက်ခံရငွေ လေးသန်းငါးသောင်းကိုးထောင့်နှစ်ရာ့ ငါးဆယ်အနက် သူကြီးရွာအုပ်တို့သို့ ဆယ်ခိုင်နုတ်ပေးငွေ လေးသိန်းငါးထောင့်ကိုးရာ့နှစ်ဆယ့်ငါးပြင် ကျန်ဆက် သွင်းရန် ငွေအနက် ကျောင်းဘုရားကျွန်သီးတော် တွက်ကောက်ခံရငွေ နှစ်သောင်းကိုးထောင့်ခုနစ်ရာ့ခြောက်ဆယ့် လေးကို အတွင်းတော်သို့ မဆက်မသွင်းစေရ၊ လွှတ်တော်က ကျောင်းဘုရားအရံစောင့် ထောင်လက်မထောက် အမှုထမ်းလူတို့ကို လစာပေးကမ်းစေ၍ ကျန်ဆက်သွင်းရအခွန်တော်ငွေ သုံးသန့်းခြောက်သိန့်းနှစ်သောင်းသုံးထောင့် ငါးရာ့ခြောက်ဆယ့်တစ်ပါ စုစုရငွေ သုံးသန်းခြောက်သိန်းငါးသောင်းသုံးထောင့်သုံးရာ့နှစ်ဆယ့်ငါးကျပ်-တစ်ရပ်။</t>
  </si>
  <si>
    <t xml:space="preserve">(2) Within the state, excluding the golden city's suburbs, the Shan States, and the middle lands, from the remaining towns and villages, out of 474,230 households checked, excluding 68,305 tax-exempt households—including the elderly, infirm, destitute, and those holding royal decrees starting from the first royal scribe—the remaining 405,925 tax-paying households were assessed a Thathameda tax of 10 kyats per household, regardless of size or status, collected once a year, totaling 4,059,250 kyats; from this, 405,925 kyats were deducted as a ten-percent share for village headmen, and from the remaining tax to be paid, 29,764 kyats collected from monastery and pagoda slaves were not to be submitted to the inner palace, but were to be used by the Hluttaw to pay salaries to the monastery and pagoda guards and service personnel, leaving a remaining tax to be submitted of 3,623,561 kyats, for a total collected amount of 3,653,325 kyats—one item.</t>
  </si>
  <si>
    <t xml:space="preserve">B2G61.14.02</t>
  </si>
  <si>
    <t xml:space="preserve">The state exempted specified distressed households and holders of Hluttaw-authorized exemptions from the household levy.</t>
  </si>
  <si>
    <t xml:space="preserve">B2G61.14.03</t>
  </si>
  <si>
    <t xml:space="preserve">Village headmen and village administrators retained a ten-percent share of the collected household tax.</t>
  </si>
  <si>
    <t xml:space="preserve">B2G61.14.04</t>
  </si>
  <si>
    <t xml:space="preserve">The Hluttaw retained the religious-service tax allocation to pay temple/monastery guards and service personnel instead of remitting that portion to the inner treasury.</t>
  </si>
  <si>
    <t xml:space="preserve">vol3_s004009</t>
  </si>
  <si>
    <t xml:space="preserve">B2G61.15.01</t>
  </si>
  <si>
    <t xml:space="preserve">Shan sawbwas and town lords coordinated the collection and remittance of the Shan States' thathameda revenue.</t>
  </si>
  <si>
    <t xml:space="preserve">(၃) ရှမ်းပြည်နယ် မြို့ ရွာနယ်မြေများက စော်ဘွားမြို့ စားတို့ အချင်းချင်း ညှိနှိုင်းကောက်ခံ ဆက်သွင်းရသော ရှမ်းပြည်နယ်အတွက် သဿမေဓ အခွန်တော်ငွေ ခြောက်သိန်း-တစ်ရပ်။</t>
  </si>
  <si>
    <t xml:space="preserve">(3) Thathameda tax revenue for the Shan States, collected and submitted by the Sawbwas and Myosas through mutual negotiation among themselves, amounting to 600,000 kyats—one item.</t>
  </si>
  <si>
    <t xml:space="preserve">Triples extracted</t>
  </si>
  <si>
    <t xml:space="preserve">Extractor decision</t>
  </si>
  <si>
    <t xml:space="preserve">Annotation status</t>
  </si>
  <si>
    <t xml:space="preserve">annotate</t>
  </si>
  <si>
    <t xml:space="preserve">canonical_v3</t>
  </si>
  <si>
    <t xml:space="preserve">vol1_s001042</t>
  </si>
  <si>
    <t xml:space="preserve">skip</t>
  </si>
  <si>
    <t xml:space="preserve">… ။</t>
  </si>
  <si>
    <t xml:space="preserve">...</t>
  </si>
  <si>
    <t xml:space="preserve">vol1_s002866</t>
  </si>
  <si>
    <t xml:space="preserve">“။</t>
  </si>
  <si>
    <t xml:space="preserve">“.</t>
  </si>
  <si>
    <t xml:space="preserve">vol1_s002961</t>
  </si>
  <si>
    <t xml:space="preserve">- ။</t>
  </si>
  <si>
    <t xml:space="preserve">-.</t>
  </si>
  <si>
    <t xml:space="preserve">vol1_s002963</t>
  </si>
  <si>
    <t xml:space="preserve">..။</t>
  </si>
  <si>
    <t xml:space="preserve">..</t>
  </si>
  <si>
    <t xml:space="preserve">vol1_s002995</t>
  </si>
  <si>
    <t xml:space="preserve">.. ။</t>
  </si>
  <si>
    <t xml:space="preserve">vol2_s000571</t>
  </si>
  <si>
    <t xml:space="preserve">ကျောင်းတော်စမြင်ခန်း ခုနစ်ဆယ့် ခြောက် မုခ်တံခါးတိုင်း ပိတ်ထားသော်လည်း မှောင် မရှိ၊ တောင်မြောက် ရှေ့နောက် အကာ မှန်အိမ်တိုင်စဉ်၊ အမိုးရနယ် မျက်နှာကြက်များက ရွှေရောင်ချင်းကူး၍ ထွန်းလင်းလေ၏။</t>
  </si>
  <si>
    <t xml:space="preserve">Although all seventy-six entrance doors of the monastery are closed, there is no darkness; the south-north and east-west partitions, the pillar rows of the glass lamps, and the roof ceilings reflect the golden light, making it bright.</t>
  </si>
  <si>
    <t xml:space="preserve">vol2_s000772</t>
  </si>
  <si>
    <t xml:space="preserve">ရေအနက် တစ်ဆယ့်ရှစ်တောင့် နှစ်မိုက်လေးသစ် ရှိသည်။</t>
  </si>
  <si>
    <t xml:space="preserve">The depth of the water is eighteen taung, two maik, and four thit.</t>
  </si>
  <si>
    <t xml:space="preserve">vol2_s001918</t>
  </si>
  <si>
    <t xml:space="preserve">မူသည်။</t>
  </si>
  <si>
    <t xml:space="preserve">He bestowed.</t>
  </si>
  <si>
    <t xml:space="preserve">vol2_s001919</t>
  </si>
  <si>
    <t xml:space="preserve">vol3_s001318</t>
  </si>
  <si>
    <t xml:space="preserve">* သက္ကရာဇ် (၁၂၂၁) တစ်ထောင့်နှစ်ရာ့နှစ်ဆယ့်တစ်ခု နှောင်းတန်ခူးလပြည့်ကျော် ခြောက်ရက်” ဗုဒ္ဓဟူးနေ့ နေတစ်ချက်တီးကျော် ခြောက်နာရီ နှစ်ပါဒ်အချိန် သင်္ကြန်ကျသည်။</t>
  </si>
  <si>
    <t xml:space="preserve">* In the year 1221, on the 6th day of the waning moon of late Tagu, Wednesday, at 6 hours and 2 parts past the first strike of the sun, the Thingyan festival began.</t>
  </si>
  <si>
    <t xml:space="preserve">vol3_s001319</t>
  </si>
  <si>
    <t xml:space="preserve">၎င်းလပြည့်ကျော် ရှစ်ရက်J သောကြာနေ့ နေသုံးချက်တီးကျော် တစ်နာရီသုံးပါဒ် အချိန်တွင် အတာနှစ်သစ် သက္ကရာဇ် (၁၂၂၂) တစ်ထောင့်နှစ်ရာ့နှစ်ဆယ့်နှစ်ခုနှစ်သို့ တက်သည်။</t>
  </si>
  <si>
    <t xml:space="preserve">On the 8th day of the waning moon of that month, Friday, at 1 hour and 3 parts past the third strike of the sun, the new year of 1222 ascended.</t>
  </si>
  <si>
    <t xml:space="preserve">vol1_s001971</t>
  </si>
  <si>
    <t xml:space="preserve">တော်သလင်းလဆန်း တစ်ဆယ့်ငါးရက်ဒီ တနင်္ဂနွေနေ့ နှစ်ချက်တီးကျော်အချိန်တွင် မင်္ဂလာကျောက်မြောင်း မြို့တော်သို့ ရောက်တော်မူသည်။</t>
  </si>
  <si>
    <t xml:space="preserve">On the fifteenth day of the waxing moon of Tawthalin, a Sunday, at the time past the second hour, [he] arrived at the royal city of Mingala Kyaukmyaung.</t>
  </si>
  <si>
    <t xml:space="preserve">vol1_s002328</t>
  </si>
  <si>
    <t xml:space="preserve">သက္ကရာဇ် (၁၁၂၂) တစ်ထောင့်တစ်ရာ့နှစ်ဆယ့်နှစ်ခု၊ ကဆုန်လပြည့်ကျော် တစ်ဆယ့်နှစ်ရက် တနင်္ဂနွေနေ့ မိုးသောက်ယံအချိန်တွင် နတ်ရွာစံတော်မူသည်။</t>
  </si>
  <si>
    <t xml:space="preserve">He passed away to the abode of the nats in the year 1122, on the twelfth day after the full moon of Kason, Sunday, at dawn.</t>
  </si>
  <si>
    <t xml:space="preserve">vol1_s002330</t>
  </si>
  <si>
    <t xml:space="preserve">နံတော် သောကြာသားတည်း။</t>
  </si>
  <si>
    <t xml:space="preserve">His birth day was Friday.</t>
  </si>
  <si>
    <t xml:space="preserve">vol2_s000559</t>
  </si>
  <si>
    <t xml:space="preserve">သည်။</t>
  </si>
  <si>
    <t xml:space="preserve">.</t>
  </si>
  <si>
    <t xml:space="preserve">vol2_s000740</t>
  </si>
  <si>
    <t xml:space="preserve">အလွန်လည်း ကြေကွဲတော်မူ၏။</t>
  </si>
  <si>
    <t xml:space="preserve">He was also deeply grieved.</t>
  </si>
  <si>
    <t xml:space="preserve">vol2_s001373</t>
  </si>
  <si>
    <t xml:space="preserve">(* အိမ်ရှေ့တော် အဆောက်အလုပ်၊ အိမ်ရှေ့တော်နှင်း အစီအရင် အခမ်းအနားများမှာ ရွှေနန်းစဉ်စာတမ်း ရှိပြီး ဖြစ်၍ အကျယ်မဆိုသည်။</t>
  </si>
  <si>
    <t xml:space="preserve">(* As the records of the Golden Palace already contain the construction work of the Heir Apparent and the ceremonies for the appointment of the Heir Apparent, they are not described in detail.)</t>
  </si>
  <si>
    <t xml:space="preserve">vol2_s002449</t>
  </si>
  <si>
    <t xml:space="preserve">အချပ်ပို (ခ) နိဒါန်း ကပ်ဦးမင်းဦး ရှေးဦးအစ။</t>
  </si>
  <si>
    <t xml:space="preserve">Appendix (B) Introduction, the very beginning.</t>
  </si>
  <si>
    <t xml:space="preserve">vol2_s002453</t>
  </si>
  <si>
    <t xml:space="preserve">ကုန်းဘောင်ဝံသ အနွယ်အဆက်တော်တို့ကို။</t>
  </si>
  <si>
    <t xml:space="preserve">The Konbaung dynasty and its descendants.</t>
  </si>
  <si>
    <t xml:space="preserve">vol2_s002455</t>
  </si>
  <si>
    <t xml:space="preserve">ဘကြီးတော်မင်းတရားကြီး လက်ထက်။</t>
  </si>
  <si>
    <t xml:space="preserve">During the reign of the Great King Bagyidaw.</t>
  </si>
  <si>
    <t xml:space="preserve">vol2_s002457</t>
  </si>
  <si>
    <t xml:space="preserve">မှန်နန်းဆောင်တော်တွင်။</t>
  </si>
  <si>
    <t xml:space="preserve">In the Glass Palace.</t>
  </si>
  <si>
    <t xml:space="preserve">vol2_s002460</t>
  </si>
  <si>
    <t xml:space="preserve">ပဋ္ဌမ မဟာရာဇဝင်တော်ကြီးသည်။</t>
  </si>
  <si>
    <t xml:space="preserve">The First Great Royal Chronicle.</t>
  </si>
  <si>
    <t xml:space="preserve">vol2_s002461</t>
  </si>
  <si>
    <t xml:space="preserve">၎င်းဘကြီးတော်မင်းတရားကြီးလက်ထက်။</t>
  </si>
  <si>
    <t xml:space="preserve">During the reign of that same Great King Bagyidaw.</t>
  </si>
  <si>
    <t xml:space="preserve">vol2_s002463</t>
  </si>
  <si>
    <t xml:space="preserve">၎င်းဘကြီးတော်နှင့်။</t>
  </si>
  <si>
    <t xml:space="preserve">And from that Bagyidaw.</t>
  </si>
  <si>
    <t xml:space="preserve">vol2_s002464</t>
  </si>
  <si>
    <t xml:space="preserve">ခမည်းတော် နောင်တော် မင်းတရားကြီးတို့မှ။</t>
  </si>
  <si>
    <t xml:space="preserve">And the father and elder brother kings.</t>
  </si>
  <si>
    <t xml:space="preserve">vol2_s002467</t>
  </si>
  <si>
    <t xml:space="preserve">မှန်နန်းတော်ရှေ့။</t>
  </si>
  <si>
    <t xml:space="preserve">In front of the Glass Palace.</t>
  </si>
  <si>
    <t xml:space="preserve">vol2_s002468</t>
  </si>
  <si>
    <t xml:space="preserve">ဇေတဝန်ဆောင်တော်တွင်။</t>
  </si>
  <si>
    <t xml:space="preserve">In the Jetavana Hall.</t>
  </si>
  <si>
    <t xml:space="preserve">vol2_s002471</t>
  </si>
  <si>
    <t xml:space="preserve">မှူးမတ်ပညာရှိအများတို့။</t>
  </si>
  <si>
    <t xml:space="preserve">Many wise ministers and officials.</t>
  </si>
  <si>
    <t xml:space="preserve">vol2_s002473</t>
  </si>
  <si>
    <t xml:space="preserve">ထိုမဟာရာဇဝင်တော်နှစ်မျိုးအနက်။</t>
  </si>
  <si>
    <t xml:space="preserve">Among those two types of Great Royal Chronicles.</t>
  </si>
  <si>
    <t xml:space="preserve">vol2_s002474</t>
  </si>
  <si>
    <t xml:space="preserve">ပဋ္ဌမမဟာရာဇဝင်တော်ကြီးမှာ။</t>
  </si>
  <si>
    <t xml:space="preserve">vol2_s002475</t>
  </si>
  <si>
    <t xml:space="preserve">မြို့ရွာနိုင်ငံအရပ်ရပ်။</t>
  </si>
  <si>
    <t xml:space="preserve">In all cities, villages, and countries.</t>
  </si>
  <si>
    <t xml:space="preserve">vol2_s002477</t>
  </si>
  <si>
    <t xml:space="preserve">ဒုတိယမဟာရာဇဝင်တော်ကြီးမှာ။</t>
  </si>
  <si>
    <t xml:space="preserve">As for the Second Great Royal Chronicle.</t>
  </si>
  <si>
    <t xml:space="preserve">vol2_s002478</t>
  </si>
  <si>
    <t xml:space="preserve">ကမ္ဘာမြေကြီးအတွင်း။</t>
  </si>
  <si>
    <t xml:space="preserve">Inside the earth.</t>
  </si>
  <si>
    <t xml:space="preserve">vol2_s002482</t>
  </si>
  <si>
    <t xml:space="preserve">ထိုမင်းတရားကြီးလေးပါးတို့လက်ထက် ကာလကို။</t>
  </si>
  <si>
    <t xml:space="preserve">The period of the reigns of those four great kings.</t>
  </si>
  <si>
    <t xml:space="preserve">vol2_s002484</t>
  </si>
  <si>
    <t xml:space="preserve">နောက်သမီးနောက်သား။</t>
  </si>
  <si>
    <t xml:space="preserve">The later descendants.</t>
  </si>
  <si>
    <t xml:space="preserve">vol2_s002487</t>
  </si>
  <si>
    <t xml:space="preserve">သိမီလိုက်သူ။</t>
  </si>
  <si>
    <t xml:space="preserve">Those who lived through it.</t>
  </si>
  <si>
    <t xml:space="preserve">vol2_s002489</t>
  </si>
  <si>
    <t xml:space="preserve">ကမ္ဘာအသစ်။</t>
  </si>
  <si>
    <t xml:space="preserve">A new world.</t>
  </si>
  <si>
    <t xml:space="preserve">vol2_s002491</t>
  </si>
  <si>
    <t xml:space="preserve">ထိုမင်းတရား ကြီးတို့၏ လက်ထက်တော်များမှာ။</t>
  </si>
  <si>
    <t xml:space="preserve">In the reigns of those great kings.</t>
  </si>
  <si>
    <t xml:space="preserve">vol2_s002494</t>
  </si>
  <si>
    <t xml:space="preserve">မင်းခမ်းမင်းနား မင်းကြက်သရေတော်များကို၎င်း။</t>
  </si>
  <si>
    <t xml:space="preserve">The royal ceremonies and royal splendors.</t>
  </si>
  <si>
    <t xml:space="preserve">vol2_s002495</t>
  </si>
  <si>
    <t xml:space="preserve">ခေါ်မှားစိုက်စက်ဖြစ်ပျက်စုံစေ့။</t>
  </si>
  <si>
    <t xml:space="preserve">Everything that happened, from beginning to end.</t>
  </si>
  <si>
    <t xml:space="preserve">vol2_s002498</t>
  </si>
  <si>
    <t xml:space="preserve">ဤဒုတိယမဟာရာဇဝင်တော်ကျမ်းစာကို။</t>
  </si>
  <si>
    <t xml:space="preserve">This Second Great Royal Chronicle text.</t>
  </si>
  <si>
    <t xml:space="preserve">vol2_s002501</t>
  </si>
  <si>
    <t xml:space="preserve">ဤဒုတိယမဟာရာဇဝင်တော်ကြီးကို။</t>
  </si>
  <si>
    <t xml:space="preserve">Only by reading and listening to this Second Great Royal Chronicle.</t>
  </si>
  <si>
    <t xml:space="preserve">vol2_s002503</t>
  </si>
  <si>
    <t xml:space="preserve">မြန်မာနိုင်ငံတော်ကြီး၏အခြေအနေ။</t>
  </si>
  <si>
    <t xml:space="preserve">The state of the great Myanmar nation.</t>
  </si>
  <si>
    <t xml:space="preserve">vol2_s002504</t>
  </si>
  <si>
    <t xml:space="preserve">မြန်မာမင်းဧကရာဇ်မြန်မာတို့ ဂုဏ်ကြက်သရေများကို။</t>
  </si>
  <si>
    <t xml:space="preserve">The honor and splendor of the Myanmar emperors and the Myanmar people.</t>
  </si>
  <si>
    <t xml:space="preserve">vol2_s002508</t>
  </si>
  <si>
    <t xml:space="preserve">မသင့်မတင့်အရေး ဖြစ်ပွားခြင်း။</t>
  </si>
  <si>
    <t xml:space="preserve">The occurrence of inappropriate affairs.</t>
  </si>
  <si>
    <t xml:space="preserve">vol2_s002513</t>
  </si>
  <si>
    <t xml:space="preserve">ထိုသို့သောအကြောင်းများကြောင့်။</t>
  </si>
  <si>
    <t xml:space="preserve">Because of such reasons.</t>
  </si>
  <si>
    <t xml:space="preserve">vol2_s002514</t>
  </si>
  <si>
    <t xml:space="preserve">ဒုတိယမဟာရာဇဝင်တော်ကြီး မြေနှိုက်မြှုပ်နှံသိုမှီးသော။</t>
  </si>
  <si>
    <t xml:space="preserve">The Second Great Royal Chronicle, which was buried and stored in the earth.</t>
  </si>
  <si>
    <t xml:space="preserve">vol2_s002515</t>
  </si>
  <si>
    <t xml:space="preserve">ရွှေအိုးကြီး ရတနာကို။</t>
  </si>
  <si>
    <t xml:space="preserve">The great golden pot of treasure.</t>
  </si>
  <si>
    <t xml:space="preserve">vol2_s002518</t>
  </si>
  <si>
    <t xml:space="preserve">တောင်းပန်တိုက်တွန်းနှိုးဆော်ရှိသည့် အတိုင်း။</t>
  </si>
  <si>
    <t xml:space="preserve">As requested and urged.</t>
  </si>
  <si>
    <t xml:space="preserve">vol2_s002520</t>
  </si>
  <si>
    <t xml:space="preserve">ဆိုအပ်ခဲ့ပြီးသော။</t>
  </si>
  <si>
    <t xml:space="preserve">As mentioned before.</t>
  </si>
  <si>
    <t xml:space="preserve">vol2_s002521</t>
  </si>
  <si>
    <t xml:space="preserve">မင်းတရားကြီးလေးပါးတို့လက်ထက်။</t>
  </si>
  <si>
    <t xml:space="preserve">The reigns of the four great kings.</t>
  </si>
  <si>
    <t xml:space="preserve">vol2_s002524</t>
  </si>
  <si>
    <t xml:space="preserve">လိုလားရှာမှီးတော်မူကြသော။</t>
  </si>
  <si>
    <t xml:space="preserve">For those who desire and seek it.</t>
  </si>
  <si>
    <t xml:space="preserve">vol2_s003869</t>
  </si>
  <si>
    <t xml:space="preserve">* သက္ကရာဇ် (၁၂ဝ၁) တစ်ထောင့်နှစ်ရာ့တစ်ခုနှစ်နှောင်းတန်ခူးလဆန်း ဆယ်ရက်? စနေနေ့ နံနက် လေးချက်တီးကျော် လေးနာရီ ပါဒ်ပြည့်၊ ခုနစ်ဗီဇနာ၊ သုံးပြန်အချိန် သင်္ကြန်ကျသည်။</t>
  </si>
  <si>
    <t xml:space="preserve">* In the year 1201, on the tenth day of the waxing moon of late Tagu, Saturday, at the time of four hours and seven minutes past the fourth watch of the morning, the Thingyan (New Year) began.</t>
  </si>
  <si>
    <t xml:space="preserve">vol2_s003870</t>
  </si>
  <si>
    <t xml:space="preserve">၎င်းလဆန်း တစ်ဆယ့်နှစ်ရက်˚ တနင်္လာနေ့၊ နေ တစ်ချက်တီးကျော်၊ ခြောက်နာရီ တစ်ပါဒ်၊ သုံးဗီဇနာ၊ သုံးပြန်၊ ခုနစ်ခရာအချိန် အတာ နှစ်သစ် သက္ကရာဇ် (၁၂ဝ၂) တစ်ထောင့်နှစ်ရာ့နှစ်ခုနစ်” သို့ တက်သည်။</t>
  </si>
  <si>
    <t xml:space="preserve">On the twelfth day of the waxing moon of that month, Monday, at the time of six hours, one pada, three bizana, and seven khaya past the first watch of the day, the Atar (New Year) ascended to the new year 1202.</t>
  </si>
  <si>
    <t xml:space="preserve">vol3_s000828</t>
  </si>
  <si>
    <t xml:space="preserve">၎င်းလဆန်းခြောက်ရက်-နေ့ သားတော်ကံကုန်သည်။</t>
  </si>
  <si>
    <t xml:space="preserve">On the sixth day of the waxing moon of the same month, the son passed away.</t>
  </si>
  <si>
    <t xml:space="preserve">vol3_s001025</t>
  </si>
  <si>
    <t xml:space="preserve">သက္ကရာဇ် (၁၂၁၇) တစ်ထောင့်နှစ်ရာ့တစ်ဆယ့်ခုနစ်ခု နှောင်းတန်ခူးလဆန်းခုနစ်ရက် သောကြာနေ့ နေတစ်ချက်တီးကျော် ငါးနာရီ ပါဒ်ပြည့် တစ်ဗီဇနာအချိန်တွင် သင်္ကြန်ကျသည်။</t>
  </si>
  <si>
    <t xml:space="preserve">The Thingyan festival fell on Friday, the 7th day of the waxing moon of the late Tagu month in the year 1217, at the time of one hour and five minutes past the first gong, and one full pad.</t>
  </si>
  <si>
    <t xml:space="preserve">vol3_s001026</t>
  </si>
  <si>
    <t xml:space="preserve">၎င်းလဆန်းကိုးရက်၃ တနင်္ဂနွေနေ့ နေနှစ်ချက်တီးကျော် လေးနာရီနှစ်ပါဒ် ဗီဇနာပြည့်အချိန်တွင် အတာနှစ်သစ် သက္ကရာဇ် (၁၂၁၈) တစ်ထောင့်နှစ်ရာ့တစ်ဆယ့်ရှစ်ခုသို့ တက်သည်။</t>
  </si>
  <si>
    <t xml:space="preserve">The new year of the Ata festival ascended to the year 1218 on Sunday, the 9th day of the waxing moon of that month, at the time of four hours and two pads past the second gong.</t>
  </si>
  <si>
    <t xml:space="preserve">vol3_s001428</t>
  </si>
  <si>
    <t xml:space="preserve">ဟူသော လင်္ကာ ဖွဲ့ဆိုထားရှိသည့်အတိုင်း ၁-ရွေတညာ၊ ဖရံတင်။</t>
  </si>
  <si>
    <t xml:space="preserve">As composed in the verse: 1-Rwetanya, Pharantin.</t>
  </si>
  <si>
    <t xml:space="preserve">vol3_s001429</t>
  </si>
  <si>
    <t xml:space="preserve">၂-နှင်းယွန်းခါဟေမန်၊ ခက်မွန်။</t>
  </si>
  <si>
    <t xml:space="preserve">2-Hninyunkhaheman, Khetmun.</t>
  </si>
  <si>
    <t xml:space="preserve">vol3_s001430</t>
  </si>
  <si>
    <t xml:space="preserve">၃-တောတောင်စွယ်၊ ခမိန်။</t>
  </si>
  <si>
    <t xml:space="preserve">3-Tawtaungswel, Khamin.</t>
  </si>
  <si>
    <t xml:space="preserve">vol3_s001431</t>
  </si>
  <si>
    <t xml:space="preserve">၄-တောမြိုင်ခြေ၊ တနောက်။</t>
  </si>
  <si>
    <t xml:space="preserve">4-Tawmyaingchay, Tanauk.</t>
  </si>
  <si>
    <t xml:space="preserve">vol3_s001432</t>
  </si>
  <si>
    <t xml:space="preserve">၅-ပန်းမြိုင်လယ်၊ ဖိန်းချား။</t>
  </si>
  <si>
    <t xml:space="preserve">5-Panmyainglal, Phinchar.</t>
  </si>
  <si>
    <t xml:space="preserve">vol3_s001433</t>
  </si>
  <si>
    <t xml:space="preserve">၆-ခိုင်ပန်းစုံ၊ ထပ်တွန့်။</t>
  </si>
  <si>
    <t xml:space="preserve">6-Khaingpanzon, Htatton.</t>
  </si>
  <si>
    <t xml:space="preserve">vol3_s001434</t>
  </si>
  <si>
    <t xml:space="preserve">၇-မှော်ရုံဟေဝန်၊ ချွတ်ချန့်။</t>
  </si>
  <si>
    <t xml:space="preserve">7-Hmawyonhewan, Chutchant.</t>
  </si>
  <si>
    <t xml:space="preserve">vol3_s001435</t>
  </si>
  <si>
    <t xml:space="preserve">၈-မှိုင်းမှုံပြာ၊ ရီမှောင်ဝေ၊ငုငစ်။</t>
  </si>
  <si>
    <t xml:space="preserve">8-Hmainghmompyar, Rihmaungwe, Ngungit.</t>
  </si>
  <si>
    <t xml:space="preserve">vol3_s001437</t>
  </si>
  <si>
    <t xml:space="preserve">ဤပြင်စည်မင်းသားကြီး အတ္ထုပ္ပတ္တိမှာ ရာဇဝင်တော်နှင့်ကား မဆိုင်ပေ။</t>
  </si>
  <si>
    <t xml:space="preserve">The biography of this great Prince of Pyinzi is not related to the royal chronicles.</t>
  </si>
  <si>
    <t xml:space="preserve">vol3_s001438</t>
  </si>
  <si>
    <t xml:space="preserve">သို့သော်လည်း နောက်သားနောင်လာ သုတေသနပုဂ္ဂိုလ်တို့ အစဉ် သိမှတ်ရစ်ကြစေခြင်းငှာ အရာအခွင့် အားလျော်စွာ ထည့်သွင်းလိုက်ပါသည်။</t>
  </si>
  <si>
    <t xml:space="preserve">However, I have included it as appropriate so that future researchers may always know and remember it.</t>
  </si>
  <si>
    <t xml:space="preserve">vol3_s001630</t>
  </si>
  <si>
    <t xml:space="preserve">အိမ်ရှေ့တော်ထမ်း လူတို့လည်း ညဉ့်လေးချက်တီးကျော် အချိန်ရှိလျှင် အိမ်ရှေ့အိမ်တော်သို့ ပြန်သွားကြသည်။</t>
  </si>
  <si>
    <t xml:space="preserve">The Crown Prince's attendants also returned to the Crown Prince's residence when the time was past four bells of the night.</t>
  </si>
  <si>
    <t xml:space="preserve">vol3_s001741</t>
  </si>
  <si>
    <t xml:space="preserve">တစ်ပါး။</t>
  </si>
  <si>
    <t xml:space="preserve">One.</t>
  </si>
  <si>
    <t xml:space="preserve">vol3_s001748</t>
  </si>
  <si>
    <t xml:space="preserve">vol3_s002393</t>
  </si>
  <si>
    <t xml:space="preserve">တစ်။</t>
  </si>
  <si>
    <t xml:space="preserve">vol3_s003549</t>
  </si>
  <si>
    <t xml:space="preserve">ပေါင်း-ခုနစ်။</t>
  </si>
  <si>
    <t xml:space="preserve">Total: Seven.</t>
  </si>
  <si>
    <t xml:space="preserve">vol3_s003562</t>
  </si>
  <si>
    <t xml:space="preserve">ပေါင်း တစ်ဆယ့်နှစ်။</t>
  </si>
  <si>
    <t xml:space="preserve">Total: Twelve.</t>
  </si>
  <si>
    <t xml:space="preserve">vol3_s003995</t>
  </si>
  <si>
    <t xml:space="preserve">v3_unavailable</t>
  </si>
  <si>
    <t xml:space="preserve">သက္ကရာဇ် (၁၂၇၈) တစ်ထောင့်နှစ်ရာ့ ခုနစ်ဆယ့်ရှစ်ခု နတ်တော်လပြည့်ကျော်ခြောက်ရက် ညဉ့်နှစ်ချက်တီးကျော် ခုနစ်ရက်- စနေနေ့သို့ အဝင်တွင် နတ်ပြည်စံတော်မူသည်။</t>
  </si>
  <si>
    <t xml:space="preserve">In the year 1278, on the sixth day after the full moon of Natdaw, past the second stroke of the night, entering the seventh day—Saturday, [he] passed away to the celestial realm.</t>
  </si>
  <si>
    <t xml:space="preserve">vol3_s003996</t>
  </si>
  <si>
    <t xml:space="preserve">သက်တော် ငါးဆယ့်ရှစ်နှစ်နှင့် တစ်ဆယ့်တစ်လ နှစ်ဆယ့်လေးရက် ဖြစ်သတည်း။</t>
  </si>
  <si>
    <t xml:space="preserve">[His] age was fifty-eight years, eleven months, and twenty-four days.</t>
  </si>
  <si>
    <t xml:space="preserve">vol3_s003998</t>
  </si>
  <si>
    <t xml:space="preserve">နှမတော်-ထိပ်စုမြတ်ဘုရားကြီး တစ်ပါး။</t>
  </si>
  <si>
    <t xml:space="preserve">The elder sister, Hteik Su Myat Phaya Gyi, is one.</t>
  </si>
  <si>
    <t xml:space="preserve">vol3_s003999</t>
  </si>
  <si>
    <t xml:space="preserve">ညီမတော်-ထိပ်စုမြတ်ဘုရားလတ် တစ်ပါး။</t>
  </si>
  <si>
    <t xml:space="preserve">The younger sister, Hteik Su Myat Phaya Lat, is one.</t>
  </si>
  <si>
    <t xml:space="preserve">vol3_s004000</t>
  </si>
  <si>
    <t xml:space="preserve">ညီမတော်-ငယ်ကလွန် တစ်ပါး။</t>
  </si>
  <si>
    <t xml:space="preserve">The younger sister [who] passed away young is one.</t>
  </si>
  <si>
    <t xml:space="preserve">vol3_s004001</t>
  </si>
  <si>
    <t xml:space="preserve">vol3_s004002</t>
  </si>
  <si>
    <t xml:space="preserve">အိန္ဒိယနိုင်ငံ၌ စံတော်မူစဉ် မြင်တော် မူသည့် သမီးတော် ထိပ်စုမြတ်ဘုရားကလေး တစ်ပါး။</t>
  </si>
  <si>
    <t xml:space="preserve">The daughter born while residing in India, Hteik Su Myat Phaya Gale, is one.</t>
  </si>
  <si>
    <t xml:space="preserve">vol3_s004003</t>
  </si>
  <si>
    <t xml:space="preserve">ညီမတော် ထိပ်စုမြတ်ဘုရားထွေး တစ်ပါး။</t>
  </si>
  <si>
    <t xml:space="preserve">The younger sister, Hteik Su Myat Phaya Htwe, is one.</t>
  </si>
  <si>
    <t xml:space="preserve">vol3_s004004</t>
  </si>
  <si>
    <t xml:space="preserve">ပေါင်း ခုနစ်ပါးတည်း။</t>
  </si>
  <si>
    <t xml:space="preserve">Totaling seven.</t>
  </si>
  <si>
    <t xml:space="preserve">vol3_s004006</t>
  </si>
  <si>
    <t xml:space="preserve">သားတော် တစ်ပါး၊ သမီးတော် ခြောက်ပါး၊ ပေါင်း ခုနစ်ပါးတည်း။</t>
  </si>
  <si>
    <t xml:space="preserve">One son, six daughters, totaling seven.</t>
  </si>
</sst>
</file>

<file path=xl/styles.xml><?xml version="1.0" encoding="utf-8"?>
<styleSheet xmlns="http://schemas.openxmlformats.org/spreadsheetml/2006/main">
  <numFmts count="3">
    <numFmt numFmtId="164" formatCode="General"/>
    <numFmt numFmtId="165" formatCode="0"/>
    <numFmt numFmtId="166" formatCode="0.0%"/>
  </numFmts>
  <fonts count="9">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b val="true"/>
      <sz val="11"/>
      <color rgb="FFFFFFFF"/>
      <name val="Arial"/>
      <family val="0"/>
      <charset val="1"/>
    </font>
    <font>
      <b val="true"/>
      <sz val="11"/>
      <name val="Arial"/>
      <family val="0"/>
      <charset val="1"/>
    </font>
    <font>
      <sz val="10"/>
      <name val="Arial"/>
      <family val="0"/>
      <charset val="1"/>
    </font>
    <font>
      <i val="true"/>
      <sz val="9"/>
      <name val="Arial"/>
      <family val="0"/>
      <charset val="1"/>
    </font>
  </fonts>
  <fills count="3">
    <fill>
      <patternFill patternType="none"/>
    </fill>
    <fill>
      <patternFill patternType="gray125"/>
    </fill>
    <fill>
      <patternFill patternType="solid">
        <fgColor rgb="FF305496"/>
        <bgColor rgb="FF666699"/>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general" vertical="bottom" textRotation="0" wrapText="true" indent="0" shrinkToFit="false"/>
      <protection locked="true" hidden="false"/>
    </xf>
    <xf numFmtId="164" fontId="5" fillId="2"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true" indent="0" shrinkToFit="false"/>
      <protection locked="true" hidden="false"/>
    </xf>
    <xf numFmtId="166" fontId="7"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5" fillId="2"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305496"/>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05496"/>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4" min="2" style="0" width="13"/>
    <col collapsed="false" customWidth="true" hidden="false" outlineLevel="0" max="5" min="5" style="0" width="70"/>
  </cols>
  <sheetData>
    <row r="1" customFormat="false" ht="17.35" hidden="false" customHeight="false" outlineLevel="0" collapsed="false">
      <c r="A1" s="1" t="s">
        <v>0</v>
      </c>
    </row>
    <row r="2" customFormat="false" ht="48" hidden="false" customHeight="true" outlineLevel="0" collapsed="false">
      <c r="A2" s="2" t="s">
        <v>1</v>
      </c>
      <c r="B2" s="2"/>
      <c r="C2" s="2"/>
      <c r="D2" s="2"/>
      <c r="E2" s="2"/>
    </row>
    <row r="4" customFormat="false" ht="15" hidden="false" customHeight="false" outlineLevel="0" collapsed="false">
      <c r="A4" s="3" t="s">
        <v>2</v>
      </c>
      <c r="B4" s="3" t="s">
        <v>3</v>
      </c>
      <c r="C4" s="3" t="s">
        <v>4</v>
      </c>
      <c r="D4" s="3" t="s">
        <v>5</v>
      </c>
      <c r="E4" s="3" t="s">
        <v>6</v>
      </c>
    </row>
    <row r="5" customFormat="false" ht="15" hidden="false" customHeight="false" outlineLevel="0" collapsed="false">
      <c r="A5" s="4" t="s">
        <v>7</v>
      </c>
      <c r="B5" s="5" t="n">
        <f aca="false">COUNTIF(Triples!$A$2:$A$2809,"First 5%")</f>
        <v>1423</v>
      </c>
      <c r="C5" s="5" t="n">
        <f aca="false">COUNTIF(Triples!$A$2:$A$2809,"Second 5%")</f>
        <v>1385</v>
      </c>
      <c r="D5" s="5" t="n">
        <f aca="false">COUNTA(Triples!$A$2:$A$2809)</f>
        <v>2808</v>
      </c>
      <c r="E5" s="6" t="s">
        <v>8</v>
      </c>
    </row>
    <row r="6" customFormat="false" ht="15" hidden="false" customHeight="false" outlineLevel="0" collapsed="false">
      <c r="A6" s="4" t="s">
        <v>9</v>
      </c>
      <c r="B6" s="5" t="n">
        <f aca="false">COUNTIFS(Triples!$A$2:$A$2809,"First 5%",Triples!$I$2:$I$2809,"supported")</f>
        <v>1339</v>
      </c>
      <c r="C6" s="5" t="n">
        <f aca="false">COUNTIFS(Triples!$A$2:$A$2809,"Second 5%",Triples!$I$2:$I$2809,"supported")</f>
        <v>1285</v>
      </c>
      <c r="D6" s="5" t="n">
        <f aca="false">COUNTIF(Triples!$I$2:$I$2809,"supported")</f>
        <v>2624</v>
      </c>
      <c r="E6" s="6" t="s">
        <v>10</v>
      </c>
    </row>
    <row r="7" customFormat="false" ht="15" hidden="false" customHeight="false" outlineLevel="0" collapsed="false">
      <c r="A7" s="4" t="s">
        <v>11</v>
      </c>
      <c r="B7" s="5" t="n">
        <f aca="false">COUNTIFS(Triples!$A$2:$A$2809,"First 5%",Triples!$I$2:$I$2809,"soft")</f>
        <v>37</v>
      </c>
      <c r="C7" s="5" t="n">
        <f aca="false">COUNTIFS(Triples!$A$2:$A$2809,"Second 5%",Triples!$I$2:$I$2809,"soft")</f>
        <v>48</v>
      </c>
      <c r="D7" s="5" t="n">
        <f aca="false">COUNTIF(Triples!$I$2:$I$2809,"soft")</f>
        <v>85</v>
      </c>
      <c r="E7" s="6" t="s">
        <v>12</v>
      </c>
    </row>
    <row r="8" customFormat="false" ht="23.85" hidden="false" customHeight="false" outlineLevel="0" collapsed="false">
      <c r="A8" s="4" t="s">
        <v>13</v>
      </c>
      <c r="B8" s="5" t="n">
        <f aca="false">COUNTIFS(Triples!$A$2:$A$2809,"First 5%",Triples!$I$2:$I$2809,"hard")</f>
        <v>45</v>
      </c>
      <c r="C8" s="5" t="n">
        <f aca="false">COUNTIFS(Triples!$A$2:$A$2809,"Second 5%",Triples!$I$2:$I$2809,"hard")</f>
        <v>48</v>
      </c>
      <c r="D8" s="5" t="n">
        <f aca="false">COUNTIF(Triples!$I$2:$I$2809,"hard")</f>
        <v>93</v>
      </c>
      <c r="E8" s="6" t="s">
        <v>14</v>
      </c>
    </row>
    <row r="9" customFormat="false" ht="15" hidden="false" customHeight="false" outlineLevel="0" collapsed="false">
      <c r="A9" s="4" t="s">
        <v>15</v>
      </c>
      <c r="B9" s="5" t="n">
        <f aca="false">COUNTIFS(Triples!$A$2:$A$2809,"First 5%",Triples!$I$2:$I$2809,"uncertain")</f>
        <v>2</v>
      </c>
      <c r="C9" s="5" t="n">
        <f aca="false">COUNTIFS(Triples!$A$2:$A$2809,"Second 5%",Triples!$I$2:$I$2809,"uncertain")</f>
        <v>4</v>
      </c>
      <c r="D9" s="5" t="n">
        <f aca="false">COUNTIF(Triples!$I$2:$I$2809,"uncertain")</f>
        <v>6</v>
      </c>
      <c r="E9" s="6" t="s">
        <v>16</v>
      </c>
    </row>
    <row r="10" customFormat="false" ht="15" hidden="false" customHeight="false" outlineLevel="0" collapsed="false">
      <c r="A10" s="4" t="s">
        <v>17</v>
      </c>
      <c r="B10" s="7" t="n">
        <f aca="false">(B6+B7)/B5</f>
        <v>0.966971187631764</v>
      </c>
      <c r="C10" s="7" t="n">
        <f aca="false">(C6+C7)/C5</f>
        <v>0.962454873646209</v>
      </c>
      <c r="D10" s="7" t="n">
        <f aca="false">(D6+D7)/D5</f>
        <v>0.96474358974359</v>
      </c>
      <c r="E10" s="6" t="s">
        <v>18</v>
      </c>
    </row>
    <row r="11" customFormat="false" ht="15" hidden="false" customHeight="false" outlineLevel="0" collapsed="false">
      <c r="A11" s="4" t="s">
        <v>19</v>
      </c>
      <c r="B11" s="7" t="n">
        <f aca="false">B6/B5</f>
        <v>0.940969782150387</v>
      </c>
      <c r="C11" s="7" t="n">
        <f aca="false">C6/C5</f>
        <v>0.927797833935018</v>
      </c>
      <c r="D11" s="7" t="n">
        <f aca="false">D6/D5</f>
        <v>0.934472934472934</v>
      </c>
      <c r="E11" s="6" t="s">
        <v>20</v>
      </c>
    </row>
    <row r="12" customFormat="false" ht="15" hidden="false" customHeight="false" outlineLevel="0" collapsed="false">
      <c r="A12" s="4" t="s">
        <v>21</v>
      </c>
      <c r="B12" s="7" t="n">
        <f aca="false">B8/B5</f>
        <v>0.0316233309908644</v>
      </c>
      <c r="C12" s="7" t="n">
        <f aca="false">C8/C5</f>
        <v>0.0346570397111913</v>
      </c>
      <c r="D12" s="7" t="n">
        <f aca="false">D8/D5</f>
        <v>0.0331196581196581</v>
      </c>
      <c r="E12" s="6" t="s">
        <v>22</v>
      </c>
    </row>
    <row r="13" customFormat="false" ht="15" hidden="false" customHeight="false" outlineLevel="0" collapsed="false">
      <c r="A13" s="4" t="s">
        <v>23</v>
      </c>
      <c r="B13" s="5" t="n">
        <f aca="false">COUNTIFS(Recall!$A$2:$A$1523,"First 5%",Recall!$H$2:$H$1523,"yes")</f>
        <v>757</v>
      </c>
      <c r="C13" s="5" t="n">
        <f aca="false">COUNTIFS(Recall!$A$2:$A$1523,"Second 5%",Recall!$H$2:$H$1523,"yes")</f>
        <v>757</v>
      </c>
      <c r="D13" s="5" t="n">
        <f aca="false">COUNTIF(Recall!$H$2:$H$1523,"yes")</f>
        <v>1514</v>
      </c>
      <c r="E13" s="6" t="s">
        <v>24</v>
      </c>
    </row>
    <row r="14" customFormat="false" ht="15" hidden="false" customHeight="false" outlineLevel="0" collapsed="false">
      <c r="A14" s="4" t="s">
        <v>25</v>
      </c>
      <c r="B14" s="5" t="n">
        <f aca="false">COUNTIFS(Recall!$A$2:$A$1523,"First 5%",Recall!$G$2:$G$1523,"covered",Recall!$H$2:$H$1523,"yes")</f>
        <v>677</v>
      </c>
      <c r="C14" s="5" t="n">
        <f aca="false">COUNTIFS(Recall!$A$2:$A$1523,"Second 5%",Recall!$G$2:$G$1523,"covered",Recall!$H$2:$H$1523,"yes")</f>
        <v>675</v>
      </c>
      <c r="D14" s="5" t="n">
        <f aca="false">COUNTIFS(Recall!$G$2:$G$1523,"covered",Recall!$H$2:$H$1523,"yes")</f>
        <v>1352</v>
      </c>
      <c r="E14" s="6" t="s">
        <v>26</v>
      </c>
    </row>
    <row r="15" customFormat="false" ht="15" hidden="false" customHeight="false" outlineLevel="0" collapsed="false">
      <c r="A15" s="4" t="s">
        <v>27</v>
      </c>
      <c r="B15" s="5" t="n">
        <f aca="false">COUNTIFS(Recall!$A$2:$A$1523,"First 5%",Recall!$G$2:$G$1523,"partial",Recall!$H$2:$H$1523,"yes")</f>
        <v>24</v>
      </c>
      <c r="C15" s="5" t="n">
        <f aca="false">COUNTIFS(Recall!$A$2:$A$1523,"Second 5%",Recall!$G$2:$G$1523,"partial",Recall!$H$2:$H$1523,"yes")</f>
        <v>22</v>
      </c>
      <c r="D15" s="5" t="n">
        <f aca="false">COUNTIFS(Recall!$G$2:$G$1523,"partial",Recall!$H$2:$H$1523,"yes")</f>
        <v>46</v>
      </c>
      <c r="E15" s="6" t="s">
        <v>28</v>
      </c>
    </row>
    <row r="16" customFormat="false" ht="15" hidden="false" customHeight="false" outlineLevel="0" collapsed="false">
      <c r="A16" s="4" t="s">
        <v>29</v>
      </c>
      <c r="B16" s="5" t="n">
        <f aca="false">COUNTIFS(Recall!$A$2:$A$1523,"First 5%",Recall!$G$2:$G$1523,"incorrect",Recall!$H$2:$H$1523,"yes")</f>
        <v>17</v>
      </c>
      <c r="C16" s="5" t="n">
        <f aca="false">COUNTIFS(Recall!$A$2:$A$1523,"Second 5%",Recall!$G$2:$G$1523,"incorrect",Recall!$H$2:$H$1523,"yes")</f>
        <v>27</v>
      </c>
      <c r="D16" s="5" t="n">
        <f aca="false">COUNTIFS(Recall!$G$2:$G$1523,"incorrect",Recall!$H$2:$H$1523,"yes")</f>
        <v>44</v>
      </c>
      <c r="E16" s="6" t="s">
        <v>30</v>
      </c>
    </row>
    <row r="17" customFormat="false" ht="15" hidden="false" customHeight="false" outlineLevel="0" collapsed="false">
      <c r="A17" s="4" t="s">
        <v>31</v>
      </c>
      <c r="B17" s="5" t="n">
        <f aca="false">COUNTIFS(Recall!$A$2:$A$1523,"First 5%",Recall!$G$2:$G$1523,"missing",Recall!$H$2:$H$1523,"yes")</f>
        <v>39</v>
      </c>
      <c r="C17" s="5" t="n">
        <f aca="false">COUNTIFS(Recall!$A$2:$A$1523,"Second 5%",Recall!$G$2:$G$1523,"missing",Recall!$H$2:$H$1523,"yes")</f>
        <v>33</v>
      </c>
      <c r="D17" s="5" t="n">
        <f aca="false">COUNTIFS(Recall!$G$2:$G$1523,"missing",Recall!$H$2:$H$1523,"yes")</f>
        <v>72</v>
      </c>
      <c r="E17" s="6" t="s">
        <v>32</v>
      </c>
    </row>
    <row r="18" customFormat="false" ht="15" hidden="false" customHeight="false" outlineLevel="0" collapsed="false">
      <c r="A18" s="4" t="s">
        <v>33</v>
      </c>
      <c r="B18" s="7" t="n">
        <f aca="false">(B14+B15)/B13</f>
        <v>0.926023778071334</v>
      </c>
      <c r="C18" s="7" t="n">
        <f aca="false">(C14+C15)/C13</f>
        <v>0.920739762219287</v>
      </c>
      <c r="D18" s="7" t="n">
        <f aca="false">(D14+D15)/D13</f>
        <v>0.92338177014531</v>
      </c>
      <c r="E18" s="6" t="s">
        <v>34</v>
      </c>
    </row>
    <row r="19" customFormat="false" ht="15" hidden="false" customHeight="false" outlineLevel="0" collapsed="false">
      <c r="A19" s="4" t="s">
        <v>35</v>
      </c>
      <c r="B19" s="7" t="n">
        <f aca="false">B14/B13</f>
        <v>0.894319682959049</v>
      </c>
      <c r="C19" s="7" t="n">
        <f aca="false">C14/C13</f>
        <v>0.891677675033025</v>
      </c>
      <c r="D19" s="7" t="n">
        <f aca="false">D14/D13</f>
        <v>0.892998678996037</v>
      </c>
      <c r="E19" s="6" t="s">
        <v>36</v>
      </c>
    </row>
    <row r="21" customFormat="false" ht="15" hidden="false" customHeight="false" outlineLevel="0" collapsed="false">
      <c r="A21" s="4" t="s">
        <v>37</v>
      </c>
    </row>
    <row r="22" customFormat="false" ht="15" hidden="false" customHeight="false" outlineLevel="0" collapsed="false">
      <c r="A22" s="8" t="s">
        <v>17</v>
      </c>
      <c r="B22" s="8" t="s">
        <v>38</v>
      </c>
      <c r="C22" s="8" t="s">
        <v>39</v>
      </c>
      <c r="D22" s="8" t="s">
        <v>40</v>
      </c>
    </row>
    <row r="23" customFormat="false" ht="15" hidden="false" customHeight="false" outlineLevel="0" collapsed="false">
      <c r="A23" s="8" t="s">
        <v>33</v>
      </c>
      <c r="B23" s="8" t="s">
        <v>41</v>
      </c>
      <c r="C23" s="8" t="s">
        <v>42</v>
      </c>
      <c r="D23" s="8" t="s">
        <v>43</v>
      </c>
    </row>
    <row r="24" customFormat="false" ht="15" hidden="false" customHeight="false" outlineLevel="0" collapsed="false">
      <c r="A24" s="8" t="s">
        <v>35</v>
      </c>
      <c r="B24" s="8" t="s">
        <v>44</v>
      </c>
      <c r="C24" s="8" t="s">
        <v>45</v>
      </c>
      <c r="D24" s="8" t="s">
        <v>46</v>
      </c>
    </row>
    <row r="25" customFormat="false" ht="15" hidden="false" customHeight="false" outlineLevel="0" collapsed="false">
      <c r="A25" s="9" t="s">
        <v>47</v>
      </c>
    </row>
    <row r="27" customFormat="false" ht="15" hidden="false" customHeight="false" outlineLevel="0" collapsed="false">
      <c r="A27" s="10" t="s">
        <v>48</v>
      </c>
    </row>
    <row r="28" customFormat="false" ht="30" hidden="false" customHeight="true" outlineLevel="0" collapsed="false">
      <c r="A28" s="11" t="s">
        <v>49</v>
      </c>
      <c r="B28" s="11"/>
      <c r="C28" s="11"/>
      <c r="D28" s="11"/>
      <c r="E28" s="11"/>
    </row>
    <row r="29" customFormat="false" ht="30" hidden="false" customHeight="true" outlineLevel="0" collapsed="false">
      <c r="A29" s="11" t="s">
        <v>50</v>
      </c>
      <c r="B29" s="11"/>
      <c r="C29" s="11"/>
      <c r="D29" s="11"/>
      <c r="E29" s="11"/>
    </row>
    <row r="30" customFormat="false" ht="30" hidden="false" customHeight="true" outlineLevel="0" collapsed="false">
      <c r="A30" s="11" t="s">
        <v>51</v>
      </c>
      <c r="B30" s="11"/>
      <c r="C30" s="11"/>
      <c r="D30" s="11"/>
      <c r="E30" s="11"/>
    </row>
    <row r="31" customFormat="false" ht="30" hidden="false" customHeight="true" outlineLevel="0" collapsed="false">
      <c r="A31" s="11" t="s">
        <v>52</v>
      </c>
      <c r="B31" s="11"/>
      <c r="C31" s="11"/>
      <c r="D31" s="11"/>
      <c r="E31" s="11"/>
    </row>
    <row r="32" customFormat="false" ht="30" hidden="false" customHeight="true" outlineLevel="0" collapsed="false">
      <c r="A32" s="11" t="s">
        <v>53</v>
      </c>
      <c r="B32" s="11"/>
      <c r="C32" s="11"/>
      <c r="D32" s="11"/>
      <c r="E32" s="11"/>
    </row>
    <row r="33" customFormat="false" ht="30" hidden="false" customHeight="true" outlineLevel="0" collapsed="false">
      <c r="A33" s="11" t="s">
        <v>54</v>
      </c>
      <c r="B33" s="11"/>
      <c r="C33" s="11"/>
      <c r="D33" s="11"/>
      <c r="E33" s="11"/>
    </row>
  </sheetData>
  <mergeCells count="7">
    <mergeCell ref="A2:E2"/>
    <mergeCell ref="A28:E28"/>
    <mergeCell ref="A29:E29"/>
    <mergeCell ref="A30:E30"/>
    <mergeCell ref="A31:E31"/>
    <mergeCell ref="A32:E32"/>
    <mergeCell ref="A33:E3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80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8"/>
    <col collapsed="false" customWidth="true" hidden="false" outlineLevel="0" max="3" min="3" style="0" width="7"/>
    <col collapsed="false" customWidth="true" hidden="false" outlineLevel="0" max="4" min="4" style="0" width="15"/>
    <col collapsed="false" customWidth="true" hidden="false" outlineLevel="0" max="5" min="5" style="0" width="30"/>
    <col collapsed="false" customWidth="true" hidden="false" outlineLevel="0" max="6" min="6" style="0" width="24"/>
    <col collapsed="false" customWidth="true" hidden="false" outlineLevel="0" max="7" min="7" style="0" width="30"/>
    <col collapsed="false" customWidth="true" hidden="false" outlineLevel="0" max="8" min="8" style="0" width="26"/>
    <col collapsed="false" customWidth="true" hidden="false" outlineLevel="0" max="9" min="9" style="0" width="11"/>
    <col collapsed="false" customWidth="true" hidden="false" outlineLevel="0" max="10" min="10" style="0" width="60"/>
    <col collapsed="false" customWidth="true" hidden="false" outlineLevel="0" max="11" min="11" style="0" width="36"/>
    <col collapsed="false" customWidth="true" hidden="false" outlineLevel="0" max="13" min="12" style="0" width="70"/>
  </cols>
  <sheetData>
    <row r="1" customFormat="false" ht="26.85" hidden="false" customHeight="false" outlineLevel="0" collapsed="false">
      <c r="A1" s="12" t="s">
        <v>55</v>
      </c>
      <c r="B1" s="12" t="s">
        <v>56</v>
      </c>
      <c r="C1" s="12" t="s">
        <v>57</v>
      </c>
      <c r="D1" s="12" t="s">
        <v>58</v>
      </c>
      <c r="E1" s="12" t="s">
        <v>59</v>
      </c>
      <c r="F1" s="12" t="s">
        <v>60</v>
      </c>
      <c r="G1" s="12" t="s">
        <v>61</v>
      </c>
      <c r="H1" s="12" t="s">
        <v>62</v>
      </c>
      <c r="I1" s="12" t="s">
        <v>63</v>
      </c>
      <c r="J1" s="12" t="s">
        <v>64</v>
      </c>
      <c r="K1" s="12" t="s">
        <v>65</v>
      </c>
      <c r="L1" s="12" t="s">
        <v>66</v>
      </c>
      <c r="M1" s="12" t="s">
        <v>67</v>
      </c>
    </row>
    <row r="2" customFormat="false" ht="124.6" hidden="false" customHeight="false" outlineLevel="0" collapsed="false">
      <c r="A2" s="13" t="s">
        <v>3</v>
      </c>
      <c r="B2" s="13" t="s">
        <v>68</v>
      </c>
      <c r="C2" s="13" t="n">
        <v>71</v>
      </c>
      <c r="D2" s="13" t="s">
        <v>69</v>
      </c>
      <c r="E2" s="13" t="s">
        <v>70</v>
      </c>
      <c r="F2" s="13" t="s">
        <v>71</v>
      </c>
      <c r="G2" s="13" t="s">
        <v>72</v>
      </c>
      <c r="H2" s="13" t="s">
        <v>73</v>
      </c>
      <c r="I2" s="13" t="s">
        <v>74</v>
      </c>
      <c r="J2" s="13" t="s">
        <v>75</v>
      </c>
      <c r="K2" s="13" t="s">
        <v>76</v>
      </c>
      <c r="L2" s="13" t="s">
        <v>77</v>
      </c>
      <c r="M2" s="13" t="s">
        <v>78</v>
      </c>
    </row>
    <row r="3" customFormat="false" ht="124.6" hidden="false" customHeight="false" outlineLevel="0" collapsed="false">
      <c r="A3" s="13" t="s">
        <v>3</v>
      </c>
      <c r="B3" s="13" t="s">
        <v>68</v>
      </c>
      <c r="C3" s="13" t="n">
        <v>71</v>
      </c>
      <c r="D3" s="13" t="s">
        <v>69</v>
      </c>
      <c r="E3" s="13" t="s">
        <v>79</v>
      </c>
      <c r="F3" s="13" t="s">
        <v>71</v>
      </c>
      <c r="G3" s="13" t="s">
        <v>80</v>
      </c>
      <c r="H3" s="13" t="s">
        <v>81</v>
      </c>
      <c r="I3" s="13" t="s">
        <v>82</v>
      </c>
      <c r="J3" s="13" t="s">
        <v>83</v>
      </c>
      <c r="K3" s="13"/>
      <c r="L3" s="13" t="s">
        <v>77</v>
      </c>
      <c r="M3" s="13" t="s">
        <v>78</v>
      </c>
    </row>
    <row r="4" customFormat="false" ht="124.6" hidden="false" customHeight="false" outlineLevel="0" collapsed="false">
      <c r="A4" s="13" t="s">
        <v>3</v>
      </c>
      <c r="B4" s="13" t="s">
        <v>68</v>
      </c>
      <c r="C4" s="13" t="n">
        <v>71</v>
      </c>
      <c r="D4" s="13" t="s">
        <v>69</v>
      </c>
      <c r="E4" s="13" t="s">
        <v>84</v>
      </c>
      <c r="F4" s="13" t="s">
        <v>71</v>
      </c>
      <c r="G4" s="13" t="s">
        <v>85</v>
      </c>
      <c r="H4" s="13" t="s">
        <v>86</v>
      </c>
      <c r="I4" s="13" t="s">
        <v>82</v>
      </c>
      <c r="J4" s="13" t="s">
        <v>83</v>
      </c>
      <c r="K4" s="13"/>
      <c r="L4" s="13" t="s">
        <v>77</v>
      </c>
      <c r="M4" s="13" t="s">
        <v>78</v>
      </c>
    </row>
    <row r="5" customFormat="false" ht="124.6" hidden="false" customHeight="false" outlineLevel="0" collapsed="false">
      <c r="A5" s="13" t="s">
        <v>3</v>
      </c>
      <c r="B5" s="13" t="s">
        <v>68</v>
      </c>
      <c r="C5" s="13" t="n">
        <v>71</v>
      </c>
      <c r="D5" s="13" t="s">
        <v>69</v>
      </c>
      <c r="E5" s="13" t="s">
        <v>87</v>
      </c>
      <c r="F5" s="13" t="s">
        <v>71</v>
      </c>
      <c r="G5" s="13" t="s">
        <v>88</v>
      </c>
      <c r="H5" s="13" t="s">
        <v>89</v>
      </c>
      <c r="I5" s="13" t="s">
        <v>82</v>
      </c>
      <c r="J5" s="13" t="s">
        <v>83</v>
      </c>
      <c r="K5" s="13"/>
      <c r="L5" s="13" t="s">
        <v>77</v>
      </c>
      <c r="M5" s="13" t="s">
        <v>78</v>
      </c>
    </row>
    <row r="6" customFormat="false" ht="124.6" hidden="false" customHeight="false" outlineLevel="0" collapsed="false">
      <c r="A6" s="13" t="s">
        <v>3</v>
      </c>
      <c r="B6" s="13" t="s">
        <v>68</v>
      </c>
      <c r="C6" s="13" t="n">
        <v>71</v>
      </c>
      <c r="D6" s="13" t="s">
        <v>69</v>
      </c>
      <c r="E6" s="13" t="s">
        <v>90</v>
      </c>
      <c r="F6" s="13" t="s">
        <v>91</v>
      </c>
      <c r="G6" s="13" t="s">
        <v>92</v>
      </c>
      <c r="H6" s="13" t="s">
        <v>71</v>
      </c>
      <c r="I6" s="13" t="s">
        <v>82</v>
      </c>
      <c r="J6" s="13" t="s">
        <v>83</v>
      </c>
      <c r="K6" s="13"/>
      <c r="L6" s="13" t="s">
        <v>77</v>
      </c>
      <c r="M6" s="13" t="s">
        <v>78</v>
      </c>
    </row>
    <row r="7" customFormat="false" ht="124.6" hidden="false" customHeight="false" outlineLevel="0" collapsed="false">
      <c r="A7" s="13" t="s">
        <v>3</v>
      </c>
      <c r="B7" s="13" t="s">
        <v>68</v>
      </c>
      <c r="C7" s="13" t="n">
        <v>71</v>
      </c>
      <c r="D7" s="13" t="s">
        <v>69</v>
      </c>
      <c r="E7" s="13" t="s">
        <v>93</v>
      </c>
      <c r="F7" s="13" t="s">
        <v>94</v>
      </c>
      <c r="G7" s="13" t="s">
        <v>95</v>
      </c>
      <c r="H7" s="13" t="s">
        <v>71</v>
      </c>
      <c r="I7" s="13" t="s">
        <v>82</v>
      </c>
      <c r="J7" s="13" t="s">
        <v>83</v>
      </c>
      <c r="K7" s="13"/>
      <c r="L7" s="13" t="s">
        <v>77</v>
      </c>
      <c r="M7" s="13" t="s">
        <v>78</v>
      </c>
    </row>
    <row r="8" customFormat="false" ht="147" hidden="false" customHeight="false" outlineLevel="0" collapsed="false">
      <c r="A8" s="13" t="s">
        <v>3</v>
      </c>
      <c r="B8" s="13" t="s">
        <v>68</v>
      </c>
      <c r="C8" s="13" t="n">
        <v>71</v>
      </c>
      <c r="D8" s="13" t="s">
        <v>96</v>
      </c>
      <c r="E8" s="13" t="s">
        <v>97</v>
      </c>
      <c r="F8" s="13" t="s">
        <v>71</v>
      </c>
      <c r="G8" s="13" t="s">
        <v>98</v>
      </c>
      <c r="H8" s="13" t="s">
        <v>99</v>
      </c>
      <c r="I8" s="13" t="s">
        <v>82</v>
      </c>
      <c r="J8" s="13" t="s">
        <v>83</v>
      </c>
      <c r="K8" s="13"/>
      <c r="L8" s="13" t="s">
        <v>100</v>
      </c>
      <c r="M8" s="13" t="s">
        <v>101</v>
      </c>
    </row>
    <row r="9" customFormat="false" ht="147" hidden="false" customHeight="false" outlineLevel="0" collapsed="false">
      <c r="A9" s="13" t="s">
        <v>3</v>
      </c>
      <c r="B9" s="13" t="s">
        <v>68</v>
      </c>
      <c r="C9" s="13" t="n">
        <v>71</v>
      </c>
      <c r="D9" s="13" t="s">
        <v>96</v>
      </c>
      <c r="E9" s="13" t="s">
        <v>102</v>
      </c>
      <c r="F9" s="13" t="s">
        <v>71</v>
      </c>
      <c r="G9" s="13" t="s">
        <v>103</v>
      </c>
      <c r="H9" s="13" t="s">
        <v>104</v>
      </c>
      <c r="I9" s="13" t="s">
        <v>82</v>
      </c>
      <c r="J9" s="13" t="s">
        <v>83</v>
      </c>
      <c r="K9" s="13"/>
      <c r="L9" s="13" t="s">
        <v>100</v>
      </c>
      <c r="M9" s="13" t="s">
        <v>101</v>
      </c>
    </row>
    <row r="10" customFormat="false" ht="147" hidden="false" customHeight="false" outlineLevel="0" collapsed="false">
      <c r="A10" s="13" t="s">
        <v>3</v>
      </c>
      <c r="B10" s="13" t="s">
        <v>68</v>
      </c>
      <c r="C10" s="13" t="n">
        <v>71</v>
      </c>
      <c r="D10" s="13" t="s">
        <v>96</v>
      </c>
      <c r="E10" s="13" t="s">
        <v>105</v>
      </c>
      <c r="F10" s="13" t="s">
        <v>71</v>
      </c>
      <c r="G10" s="13" t="s">
        <v>106</v>
      </c>
      <c r="H10" s="13" t="s">
        <v>107</v>
      </c>
      <c r="I10" s="13" t="s">
        <v>82</v>
      </c>
      <c r="J10" s="13" t="s">
        <v>83</v>
      </c>
      <c r="K10" s="13"/>
      <c r="L10" s="13" t="s">
        <v>100</v>
      </c>
      <c r="M10" s="13" t="s">
        <v>101</v>
      </c>
    </row>
    <row r="11" customFormat="false" ht="147" hidden="false" customHeight="false" outlineLevel="0" collapsed="false">
      <c r="A11" s="13" t="s">
        <v>3</v>
      </c>
      <c r="B11" s="13" t="s">
        <v>68</v>
      </c>
      <c r="C11" s="13" t="n">
        <v>71</v>
      </c>
      <c r="D11" s="13" t="s">
        <v>96</v>
      </c>
      <c r="E11" s="13" t="s">
        <v>108</v>
      </c>
      <c r="F11" s="13" t="s">
        <v>71</v>
      </c>
      <c r="G11" s="13" t="s">
        <v>109</v>
      </c>
      <c r="H11" s="13" t="s">
        <v>110</v>
      </c>
      <c r="I11" s="13" t="s">
        <v>82</v>
      </c>
      <c r="J11" s="13" t="s">
        <v>83</v>
      </c>
      <c r="K11" s="13"/>
      <c r="L11" s="13" t="s">
        <v>100</v>
      </c>
      <c r="M11" s="13" t="s">
        <v>101</v>
      </c>
    </row>
    <row r="12" customFormat="false" ht="147" hidden="false" customHeight="false" outlineLevel="0" collapsed="false">
      <c r="A12" s="13" t="s">
        <v>3</v>
      </c>
      <c r="B12" s="13" t="s">
        <v>68</v>
      </c>
      <c r="C12" s="13" t="n">
        <v>71</v>
      </c>
      <c r="D12" s="13" t="s">
        <v>96</v>
      </c>
      <c r="E12" s="13" t="s">
        <v>111</v>
      </c>
      <c r="F12" s="13" t="s">
        <v>71</v>
      </c>
      <c r="G12" s="13" t="s">
        <v>112</v>
      </c>
      <c r="H12" s="13" t="s">
        <v>113</v>
      </c>
      <c r="I12" s="13" t="s">
        <v>114</v>
      </c>
      <c r="J12" s="13" t="s">
        <v>115</v>
      </c>
      <c r="K12" s="13" t="s">
        <v>116</v>
      </c>
      <c r="L12" s="13" t="s">
        <v>100</v>
      </c>
      <c r="M12" s="13" t="s">
        <v>101</v>
      </c>
    </row>
    <row r="13" customFormat="false" ht="147" hidden="false" customHeight="false" outlineLevel="0" collapsed="false">
      <c r="A13" s="13" t="s">
        <v>3</v>
      </c>
      <c r="B13" s="13" t="s">
        <v>68</v>
      </c>
      <c r="C13" s="13" t="n">
        <v>71</v>
      </c>
      <c r="D13" s="13" t="s">
        <v>96</v>
      </c>
      <c r="E13" s="13" t="s">
        <v>117</v>
      </c>
      <c r="F13" s="13" t="s">
        <v>113</v>
      </c>
      <c r="G13" s="13" t="s">
        <v>118</v>
      </c>
      <c r="H13" s="13" t="s">
        <v>119</v>
      </c>
      <c r="I13" s="13" t="s">
        <v>82</v>
      </c>
      <c r="J13" s="13" t="s">
        <v>83</v>
      </c>
      <c r="K13" s="13"/>
      <c r="L13" s="13" t="s">
        <v>100</v>
      </c>
      <c r="M13" s="13" t="s">
        <v>101</v>
      </c>
    </row>
    <row r="14" customFormat="false" ht="57.45" hidden="false" customHeight="false" outlineLevel="0" collapsed="false">
      <c r="A14" s="13" t="s">
        <v>3</v>
      </c>
      <c r="B14" s="13" t="s">
        <v>68</v>
      </c>
      <c r="C14" s="13" t="n">
        <v>71</v>
      </c>
      <c r="D14" s="13" t="s">
        <v>120</v>
      </c>
      <c r="E14" s="13" t="s">
        <v>121</v>
      </c>
      <c r="F14" s="13" t="s">
        <v>71</v>
      </c>
      <c r="G14" s="13" t="s">
        <v>122</v>
      </c>
      <c r="H14" s="13" t="s">
        <v>123</v>
      </c>
      <c r="I14" s="13" t="s">
        <v>82</v>
      </c>
      <c r="J14" s="13" t="s">
        <v>83</v>
      </c>
      <c r="K14" s="13"/>
      <c r="L14" s="13" t="s">
        <v>124</v>
      </c>
      <c r="M14" s="13" t="s">
        <v>125</v>
      </c>
    </row>
    <row r="15" customFormat="false" ht="57.45" hidden="false" customHeight="false" outlineLevel="0" collapsed="false">
      <c r="A15" s="13" t="s">
        <v>3</v>
      </c>
      <c r="B15" s="13" t="s">
        <v>68</v>
      </c>
      <c r="C15" s="13" t="n">
        <v>71</v>
      </c>
      <c r="D15" s="13" t="s">
        <v>120</v>
      </c>
      <c r="E15" s="13" t="s">
        <v>126</v>
      </c>
      <c r="F15" s="13" t="s">
        <v>127</v>
      </c>
      <c r="G15" s="13" t="s">
        <v>128</v>
      </c>
      <c r="H15" s="13" t="s">
        <v>129</v>
      </c>
      <c r="I15" s="13" t="s">
        <v>82</v>
      </c>
      <c r="J15" s="13" t="s">
        <v>83</v>
      </c>
      <c r="K15" s="13"/>
      <c r="L15" s="13" t="s">
        <v>124</v>
      </c>
      <c r="M15" s="13" t="s">
        <v>125</v>
      </c>
    </row>
    <row r="16" customFormat="false" ht="57.45" hidden="false" customHeight="false" outlineLevel="0" collapsed="false">
      <c r="A16" s="13" t="s">
        <v>3</v>
      </c>
      <c r="B16" s="13" t="s">
        <v>68</v>
      </c>
      <c r="C16" s="13" t="n">
        <v>71</v>
      </c>
      <c r="D16" s="13" t="s">
        <v>120</v>
      </c>
      <c r="E16" s="13" t="s">
        <v>130</v>
      </c>
      <c r="F16" s="13" t="s">
        <v>127</v>
      </c>
      <c r="G16" s="13" t="s">
        <v>131</v>
      </c>
      <c r="H16" s="13" t="s">
        <v>132</v>
      </c>
      <c r="I16" s="13" t="s">
        <v>82</v>
      </c>
      <c r="J16" s="13" t="s">
        <v>83</v>
      </c>
      <c r="K16" s="13"/>
      <c r="L16" s="13" t="s">
        <v>124</v>
      </c>
      <c r="M16" s="13" t="s">
        <v>125</v>
      </c>
    </row>
    <row r="17" customFormat="false" ht="124.6" hidden="false" customHeight="false" outlineLevel="0" collapsed="false">
      <c r="A17" s="13" t="s">
        <v>3</v>
      </c>
      <c r="B17" s="13" t="s">
        <v>68</v>
      </c>
      <c r="C17" s="13" t="n">
        <v>71</v>
      </c>
      <c r="D17" s="13" t="s">
        <v>133</v>
      </c>
      <c r="E17" s="13" t="s">
        <v>134</v>
      </c>
      <c r="F17" s="13" t="s">
        <v>135</v>
      </c>
      <c r="G17" s="13" t="s">
        <v>136</v>
      </c>
      <c r="H17" s="13" t="s">
        <v>71</v>
      </c>
      <c r="I17" s="13" t="s">
        <v>82</v>
      </c>
      <c r="J17" s="13" t="s">
        <v>83</v>
      </c>
      <c r="K17" s="13"/>
      <c r="L17" s="13" t="s">
        <v>137</v>
      </c>
      <c r="M17" s="13" t="s">
        <v>138</v>
      </c>
    </row>
    <row r="18" customFormat="false" ht="124.6" hidden="false" customHeight="false" outlineLevel="0" collapsed="false">
      <c r="A18" s="13" t="s">
        <v>3</v>
      </c>
      <c r="B18" s="13" t="s">
        <v>68</v>
      </c>
      <c r="C18" s="13" t="n">
        <v>71</v>
      </c>
      <c r="D18" s="13" t="s">
        <v>133</v>
      </c>
      <c r="E18" s="13" t="s">
        <v>139</v>
      </c>
      <c r="F18" s="13" t="s">
        <v>71</v>
      </c>
      <c r="G18" s="13" t="s">
        <v>140</v>
      </c>
      <c r="H18" s="13" t="s">
        <v>141</v>
      </c>
      <c r="I18" s="13" t="s">
        <v>82</v>
      </c>
      <c r="J18" s="13" t="s">
        <v>83</v>
      </c>
      <c r="K18" s="13"/>
      <c r="L18" s="13" t="s">
        <v>137</v>
      </c>
      <c r="M18" s="13" t="s">
        <v>138</v>
      </c>
    </row>
    <row r="19" customFormat="false" ht="124.6" hidden="false" customHeight="false" outlineLevel="0" collapsed="false">
      <c r="A19" s="13" t="s">
        <v>3</v>
      </c>
      <c r="B19" s="13" t="s">
        <v>68</v>
      </c>
      <c r="C19" s="13" t="n">
        <v>71</v>
      </c>
      <c r="D19" s="13" t="s">
        <v>133</v>
      </c>
      <c r="E19" s="13" t="s">
        <v>142</v>
      </c>
      <c r="F19" s="13" t="s">
        <v>143</v>
      </c>
      <c r="G19" s="13" t="s">
        <v>144</v>
      </c>
      <c r="H19" s="13" t="s">
        <v>141</v>
      </c>
      <c r="I19" s="13" t="s">
        <v>82</v>
      </c>
      <c r="J19" s="13" t="s">
        <v>83</v>
      </c>
      <c r="K19" s="13"/>
      <c r="L19" s="13" t="s">
        <v>137</v>
      </c>
      <c r="M19" s="13" t="s">
        <v>138</v>
      </c>
    </row>
    <row r="20" customFormat="false" ht="124.6" hidden="false" customHeight="false" outlineLevel="0" collapsed="false">
      <c r="A20" s="13" t="s">
        <v>3</v>
      </c>
      <c r="B20" s="13" t="s">
        <v>68</v>
      </c>
      <c r="C20" s="13" t="n">
        <v>71</v>
      </c>
      <c r="D20" s="13" t="s">
        <v>133</v>
      </c>
      <c r="E20" s="13" t="s">
        <v>145</v>
      </c>
      <c r="F20" s="13" t="s">
        <v>143</v>
      </c>
      <c r="G20" s="13" t="s">
        <v>146</v>
      </c>
      <c r="H20" s="13" t="s">
        <v>141</v>
      </c>
      <c r="I20" s="13" t="s">
        <v>82</v>
      </c>
      <c r="J20" s="13" t="s">
        <v>83</v>
      </c>
      <c r="K20" s="13"/>
      <c r="L20" s="13" t="s">
        <v>137</v>
      </c>
      <c r="M20" s="13" t="s">
        <v>138</v>
      </c>
    </row>
    <row r="21" customFormat="false" ht="124.6" hidden="false" customHeight="false" outlineLevel="0" collapsed="false">
      <c r="A21" s="13" t="s">
        <v>3</v>
      </c>
      <c r="B21" s="13" t="s">
        <v>68</v>
      </c>
      <c r="C21" s="13" t="n">
        <v>71</v>
      </c>
      <c r="D21" s="13" t="s">
        <v>133</v>
      </c>
      <c r="E21" s="13" t="s">
        <v>147</v>
      </c>
      <c r="F21" s="13" t="s">
        <v>148</v>
      </c>
      <c r="G21" s="13" t="s">
        <v>149</v>
      </c>
      <c r="H21" s="13" t="s">
        <v>150</v>
      </c>
      <c r="I21" s="13" t="s">
        <v>82</v>
      </c>
      <c r="J21" s="13" t="s">
        <v>83</v>
      </c>
      <c r="K21" s="13"/>
      <c r="L21" s="13" t="s">
        <v>137</v>
      </c>
      <c r="M21" s="13" t="s">
        <v>138</v>
      </c>
    </row>
    <row r="22" customFormat="false" ht="23.85" hidden="false" customHeight="false" outlineLevel="0" collapsed="false">
      <c r="A22" s="13" t="s">
        <v>3</v>
      </c>
      <c r="B22" s="13" t="s">
        <v>68</v>
      </c>
      <c r="C22" s="13" t="n">
        <v>71</v>
      </c>
      <c r="D22" s="13" t="s">
        <v>151</v>
      </c>
      <c r="E22" s="13" t="s">
        <v>152</v>
      </c>
      <c r="F22" s="13" t="s">
        <v>153</v>
      </c>
      <c r="G22" s="13" t="s">
        <v>154</v>
      </c>
      <c r="H22" s="13" t="s">
        <v>155</v>
      </c>
      <c r="I22" s="13" t="s">
        <v>82</v>
      </c>
      <c r="J22" s="13" t="s">
        <v>83</v>
      </c>
      <c r="K22" s="13"/>
      <c r="L22" s="13" t="s">
        <v>156</v>
      </c>
      <c r="M22" s="13" t="s">
        <v>157</v>
      </c>
    </row>
    <row r="23" customFormat="false" ht="23.85" hidden="false" customHeight="false" outlineLevel="0" collapsed="false">
      <c r="A23" s="13" t="s">
        <v>3</v>
      </c>
      <c r="B23" s="13" t="s">
        <v>68</v>
      </c>
      <c r="C23" s="13" t="n">
        <v>71</v>
      </c>
      <c r="D23" s="13" t="s">
        <v>151</v>
      </c>
      <c r="E23" s="13" t="s">
        <v>158</v>
      </c>
      <c r="F23" s="13" t="s">
        <v>159</v>
      </c>
      <c r="G23" s="13" t="s">
        <v>154</v>
      </c>
      <c r="H23" s="13" t="s">
        <v>155</v>
      </c>
      <c r="I23" s="13" t="s">
        <v>82</v>
      </c>
      <c r="J23" s="13" t="s">
        <v>83</v>
      </c>
      <c r="K23" s="13"/>
      <c r="L23" s="13" t="s">
        <v>156</v>
      </c>
      <c r="M23" s="13" t="s">
        <v>157</v>
      </c>
    </row>
    <row r="24" customFormat="false" ht="46.25" hidden="false" customHeight="false" outlineLevel="0" collapsed="false">
      <c r="A24" s="13" t="s">
        <v>3</v>
      </c>
      <c r="B24" s="13" t="s">
        <v>68</v>
      </c>
      <c r="C24" s="13" t="n">
        <v>71</v>
      </c>
      <c r="D24" s="13" t="s">
        <v>160</v>
      </c>
      <c r="E24" s="13" t="s">
        <v>161</v>
      </c>
      <c r="F24" s="13" t="s">
        <v>162</v>
      </c>
      <c r="G24" s="13" t="s">
        <v>163</v>
      </c>
      <c r="H24" s="13" t="s">
        <v>164</v>
      </c>
      <c r="I24" s="13" t="s">
        <v>82</v>
      </c>
      <c r="J24" s="13" t="s">
        <v>83</v>
      </c>
      <c r="K24" s="13"/>
      <c r="L24" s="13" t="s">
        <v>165</v>
      </c>
      <c r="M24" s="13" t="s">
        <v>166</v>
      </c>
    </row>
    <row r="25" customFormat="false" ht="46.25" hidden="false" customHeight="false" outlineLevel="0" collapsed="false">
      <c r="A25" s="13" t="s">
        <v>3</v>
      </c>
      <c r="B25" s="13" t="s">
        <v>68</v>
      </c>
      <c r="C25" s="13" t="n">
        <v>71</v>
      </c>
      <c r="D25" s="13" t="s">
        <v>160</v>
      </c>
      <c r="E25" s="13" t="s">
        <v>167</v>
      </c>
      <c r="F25" s="13" t="s">
        <v>127</v>
      </c>
      <c r="G25" s="13" t="s">
        <v>168</v>
      </c>
      <c r="H25" s="13" t="s">
        <v>164</v>
      </c>
      <c r="I25" s="13" t="s">
        <v>82</v>
      </c>
      <c r="J25" s="13" t="s">
        <v>83</v>
      </c>
      <c r="K25" s="13"/>
      <c r="L25" s="13" t="s">
        <v>165</v>
      </c>
      <c r="M25" s="13" t="s">
        <v>166</v>
      </c>
    </row>
    <row r="26" customFormat="false" ht="46.25" hidden="false" customHeight="false" outlineLevel="0" collapsed="false">
      <c r="A26" s="13" t="s">
        <v>3</v>
      </c>
      <c r="B26" s="13" t="s">
        <v>68</v>
      </c>
      <c r="C26" s="13" t="n">
        <v>71</v>
      </c>
      <c r="D26" s="13" t="s">
        <v>160</v>
      </c>
      <c r="E26" s="13" t="s">
        <v>169</v>
      </c>
      <c r="F26" s="13" t="s">
        <v>127</v>
      </c>
      <c r="G26" s="13" t="s">
        <v>170</v>
      </c>
      <c r="H26" s="13" t="s">
        <v>164</v>
      </c>
      <c r="I26" s="13" t="s">
        <v>82</v>
      </c>
      <c r="J26" s="13" t="s">
        <v>83</v>
      </c>
      <c r="K26" s="13"/>
      <c r="L26" s="13" t="s">
        <v>165</v>
      </c>
      <c r="M26" s="13" t="s">
        <v>166</v>
      </c>
    </row>
    <row r="27" customFormat="false" ht="57.45" hidden="false" customHeight="false" outlineLevel="0" collapsed="false">
      <c r="A27" s="13" t="s">
        <v>3</v>
      </c>
      <c r="B27" s="13" t="s">
        <v>68</v>
      </c>
      <c r="C27" s="13" t="n">
        <v>77</v>
      </c>
      <c r="D27" s="13" t="s">
        <v>171</v>
      </c>
      <c r="E27" s="13" t="s">
        <v>172</v>
      </c>
      <c r="F27" s="13" t="s">
        <v>173</v>
      </c>
      <c r="G27" s="13" t="s">
        <v>174</v>
      </c>
      <c r="H27" s="13" t="s">
        <v>175</v>
      </c>
      <c r="I27" s="13" t="s">
        <v>82</v>
      </c>
      <c r="J27" s="13" t="s">
        <v>83</v>
      </c>
      <c r="K27" s="13"/>
      <c r="L27" s="13" t="s">
        <v>176</v>
      </c>
      <c r="M27" s="13" t="s">
        <v>177</v>
      </c>
    </row>
    <row r="28" customFormat="false" ht="57.45" hidden="false" customHeight="false" outlineLevel="0" collapsed="false">
      <c r="A28" s="13" t="s">
        <v>3</v>
      </c>
      <c r="B28" s="13" t="s">
        <v>68</v>
      </c>
      <c r="C28" s="13" t="n">
        <v>77</v>
      </c>
      <c r="D28" s="13" t="s">
        <v>171</v>
      </c>
      <c r="E28" s="13" t="s">
        <v>178</v>
      </c>
      <c r="F28" s="13" t="s">
        <v>175</v>
      </c>
      <c r="G28" s="13" t="s">
        <v>179</v>
      </c>
      <c r="H28" s="13" t="s">
        <v>180</v>
      </c>
      <c r="I28" s="13" t="s">
        <v>82</v>
      </c>
      <c r="J28" s="13" t="s">
        <v>83</v>
      </c>
      <c r="K28" s="13"/>
      <c r="L28" s="13" t="s">
        <v>176</v>
      </c>
      <c r="M28" s="13" t="s">
        <v>177</v>
      </c>
    </row>
    <row r="29" customFormat="false" ht="57.45" hidden="false" customHeight="false" outlineLevel="0" collapsed="false">
      <c r="A29" s="13" t="s">
        <v>3</v>
      </c>
      <c r="B29" s="13" t="s">
        <v>68</v>
      </c>
      <c r="C29" s="13" t="n">
        <v>77</v>
      </c>
      <c r="D29" s="13" t="s">
        <v>171</v>
      </c>
      <c r="E29" s="13" t="s">
        <v>181</v>
      </c>
      <c r="F29" s="13" t="s">
        <v>182</v>
      </c>
      <c r="G29" s="13" t="s">
        <v>183</v>
      </c>
      <c r="H29" s="13" t="s">
        <v>184</v>
      </c>
      <c r="I29" s="13" t="s">
        <v>82</v>
      </c>
      <c r="J29" s="13" t="s">
        <v>83</v>
      </c>
      <c r="K29" s="13"/>
      <c r="L29" s="13" t="s">
        <v>176</v>
      </c>
      <c r="M29" s="13" t="s">
        <v>177</v>
      </c>
    </row>
    <row r="30" customFormat="false" ht="79.85" hidden="false" customHeight="false" outlineLevel="0" collapsed="false">
      <c r="A30" s="13" t="s">
        <v>3</v>
      </c>
      <c r="B30" s="13" t="s">
        <v>68</v>
      </c>
      <c r="C30" s="13" t="n">
        <v>77</v>
      </c>
      <c r="D30" s="13" t="s">
        <v>185</v>
      </c>
      <c r="E30" s="13" t="s">
        <v>186</v>
      </c>
      <c r="F30" s="13" t="s">
        <v>187</v>
      </c>
      <c r="G30" s="13" t="s">
        <v>188</v>
      </c>
      <c r="H30" s="13" t="s">
        <v>189</v>
      </c>
      <c r="I30" s="13" t="s">
        <v>82</v>
      </c>
      <c r="J30" s="13" t="s">
        <v>83</v>
      </c>
      <c r="K30" s="13"/>
      <c r="L30" s="13" t="s">
        <v>190</v>
      </c>
      <c r="M30" s="13" t="s">
        <v>191</v>
      </c>
    </row>
    <row r="31" customFormat="false" ht="79.85" hidden="false" customHeight="false" outlineLevel="0" collapsed="false">
      <c r="A31" s="13" t="s">
        <v>3</v>
      </c>
      <c r="B31" s="13" t="s">
        <v>68</v>
      </c>
      <c r="C31" s="13" t="n">
        <v>77</v>
      </c>
      <c r="D31" s="13" t="s">
        <v>185</v>
      </c>
      <c r="E31" s="13" t="s">
        <v>192</v>
      </c>
      <c r="F31" s="13" t="s">
        <v>187</v>
      </c>
      <c r="G31" s="13" t="s">
        <v>193</v>
      </c>
      <c r="H31" s="13" t="s">
        <v>194</v>
      </c>
      <c r="I31" s="13" t="s">
        <v>82</v>
      </c>
      <c r="J31" s="13" t="s">
        <v>83</v>
      </c>
      <c r="K31" s="13"/>
      <c r="L31" s="13" t="s">
        <v>190</v>
      </c>
      <c r="M31" s="13" t="s">
        <v>191</v>
      </c>
    </row>
    <row r="32" customFormat="false" ht="79.85" hidden="false" customHeight="false" outlineLevel="0" collapsed="false">
      <c r="A32" s="13" t="s">
        <v>3</v>
      </c>
      <c r="B32" s="13" t="s">
        <v>68</v>
      </c>
      <c r="C32" s="13" t="n">
        <v>77</v>
      </c>
      <c r="D32" s="13" t="s">
        <v>185</v>
      </c>
      <c r="E32" s="13" t="s">
        <v>195</v>
      </c>
      <c r="F32" s="13" t="s">
        <v>187</v>
      </c>
      <c r="G32" s="13" t="s">
        <v>196</v>
      </c>
      <c r="H32" s="13" t="s">
        <v>197</v>
      </c>
      <c r="I32" s="13" t="s">
        <v>74</v>
      </c>
      <c r="J32" s="13" t="s">
        <v>198</v>
      </c>
      <c r="K32" s="13" t="s">
        <v>199</v>
      </c>
      <c r="L32" s="13" t="s">
        <v>190</v>
      </c>
      <c r="M32" s="13" t="s">
        <v>191</v>
      </c>
    </row>
    <row r="33" customFormat="false" ht="79.85" hidden="false" customHeight="false" outlineLevel="0" collapsed="false">
      <c r="A33" s="13" t="s">
        <v>3</v>
      </c>
      <c r="B33" s="13" t="s">
        <v>68</v>
      </c>
      <c r="C33" s="13" t="n">
        <v>77</v>
      </c>
      <c r="D33" s="13" t="s">
        <v>185</v>
      </c>
      <c r="E33" s="13" t="s">
        <v>200</v>
      </c>
      <c r="F33" s="13" t="s">
        <v>187</v>
      </c>
      <c r="G33" s="13" t="s">
        <v>196</v>
      </c>
      <c r="H33" s="13" t="s">
        <v>201</v>
      </c>
      <c r="I33" s="13" t="s">
        <v>74</v>
      </c>
      <c r="J33" s="13" t="s">
        <v>198</v>
      </c>
      <c r="K33" s="13" t="s">
        <v>202</v>
      </c>
      <c r="L33" s="13" t="s">
        <v>190</v>
      </c>
      <c r="M33" s="13" t="s">
        <v>191</v>
      </c>
    </row>
    <row r="34" customFormat="false" ht="113.4" hidden="false" customHeight="false" outlineLevel="0" collapsed="false">
      <c r="A34" s="13" t="s">
        <v>3</v>
      </c>
      <c r="B34" s="13" t="s">
        <v>68</v>
      </c>
      <c r="C34" s="13" t="n">
        <v>77</v>
      </c>
      <c r="D34" s="13" t="s">
        <v>203</v>
      </c>
      <c r="E34" s="13" t="s">
        <v>204</v>
      </c>
      <c r="F34" s="13" t="s">
        <v>187</v>
      </c>
      <c r="G34" s="13" t="s">
        <v>196</v>
      </c>
      <c r="H34" s="13" t="s">
        <v>205</v>
      </c>
      <c r="I34" s="13" t="s">
        <v>74</v>
      </c>
      <c r="J34" s="13" t="s">
        <v>198</v>
      </c>
      <c r="K34" s="13" t="s">
        <v>206</v>
      </c>
      <c r="L34" s="13" t="s">
        <v>207</v>
      </c>
      <c r="M34" s="13" t="s">
        <v>208</v>
      </c>
    </row>
    <row r="35" customFormat="false" ht="113.4" hidden="false" customHeight="false" outlineLevel="0" collapsed="false">
      <c r="A35" s="13" t="s">
        <v>3</v>
      </c>
      <c r="B35" s="13" t="s">
        <v>68</v>
      </c>
      <c r="C35" s="13" t="n">
        <v>77</v>
      </c>
      <c r="D35" s="13" t="s">
        <v>203</v>
      </c>
      <c r="E35" s="13" t="s">
        <v>209</v>
      </c>
      <c r="F35" s="13" t="s">
        <v>187</v>
      </c>
      <c r="G35" s="13" t="s">
        <v>210</v>
      </c>
      <c r="H35" s="13" t="s">
        <v>211</v>
      </c>
      <c r="I35" s="13" t="s">
        <v>74</v>
      </c>
      <c r="J35" s="13" t="s">
        <v>212</v>
      </c>
      <c r="K35" s="13" t="s">
        <v>213</v>
      </c>
      <c r="L35" s="13" t="s">
        <v>207</v>
      </c>
      <c r="M35" s="13" t="s">
        <v>208</v>
      </c>
    </row>
    <row r="36" customFormat="false" ht="113.4" hidden="false" customHeight="false" outlineLevel="0" collapsed="false">
      <c r="A36" s="13" t="s">
        <v>3</v>
      </c>
      <c r="B36" s="13" t="s">
        <v>68</v>
      </c>
      <c r="C36" s="13" t="n">
        <v>77</v>
      </c>
      <c r="D36" s="13" t="s">
        <v>203</v>
      </c>
      <c r="E36" s="13" t="s">
        <v>214</v>
      </c>
      <c r="F36" s="13" t="s">
        <v>187</v>
      </c>
      <c r="G36" s="13" t="s">
        <v>193</v>
      </c>
      <c r="H36" s="13" t="s">
        <v>215</v>
      </c>
      <c r="I36" s="13" t="s">
        <v>74</v>
      </c>
      <c r="J36" s="13" t="s">
        <v>216</v>
      </c>
      <c r="K36" s="13" t="s">
        <v>217</v>
      </c>
      <c r="L36" s="13" t="s">
        <v>207</v>
      </c>
      <c r="M36" s="13" t="s">
        <v>208</v>
      </c>
    </row>
    <row r="37" customFormat="false" ht="23.85" hidden="false" customHeight="false" outlineLevel="0" collapsed="false">
      <c r="A37" s="13" t="s">
        <v>3</v>
      </c>
      <c r="B37" s="13" t="s">
        <v>68</v>
      </c>
      <c r="C37" s="13" t="n">
        <v>77</v>
      </c>
      <c r="D37" s="13" t="s">
        <v>218</v>
      </c>
      <c r="E37" s="13" t="s">
        <v>219</v>
      </c>
      <c r="F37" s="13" t="s">
        <v>201</v>
      </c>
      <c r="G37" s="13" t="s">
        <v>220</v>
      </c>
      <c r="H37" s="13" t="s">
        <v>221</v>
      </c>
      <c r="I37" s="13" t="s">
        <v>82</v>
      </c>
      <c r="J37" s="13" t="s">
        <v>83</v>
      </c>
      <c r="K37" s="13"/>
      <c r="L37" s="13" t="s">
        <v>222</v>
      </c>
      <c r="M37" s="13" t="s">
        <v>223</v>
      </c>
    </row>
    <row r="38" customFormat="false" ht="46.25" hidden="false" customHeight="false" outlineLevel="0" collapsed="false">
      <c r="A38" s="13" t="s">
        <v>3</v>
      </c>
      <c r="B38" s="13" t="s">
        <v>68</v>
      </c>
      <c r="C38" s="13" t="n">
        <v>77</v>
      </c>
      <c r="D38" s="13" t="s">
        <v>224</v>
      </c>
      <c r="E38" s="13" t="s">
        <v>225</v>
      </c>
      <c r="F38" s="13" t="s">
        <v>187</v>
      </c>
      <c r="G38" s="13" t="s">
        <v>196</v>
      </c>
      <c r="H38" s="13" t="s">
        <v>197</v>
      </c>
      <c r="I38" s="13" t="s">
        <v>74</v>
      </c>
      <c r="J38" s="13" t="s">
        <v>226</v>
      </c>
      <c r="K38" s="13" t="s">
        <v>227</v>
      </c>
      <c r="L38" s="13" t="s">
        <v>228</v>
      </c>
      <c r="M38" s="13" t="s">
        <v>229</v>
      </c>
    </row>
    <row r="39" customFormat="false" ht="23.85" hidden="false" customHeight="false" outlineLevel="0" collapsed="false">
      <c r="A39" s="13" t="s">
        <v>3</v>
      </c>
      <c r="B39" s="13" t="s">
        <v>68</v>
      </c>
      <c r="C39" s="13" t="n">
        <v>77</v>
      </c>
      <c r="D39" s="13" t="s">
        <v>224</v>
      </c>
      <c r="E39" s="13" t="s">
        <v>230</v>
      </c>
      <c r="F39" s="13" t="s">
        <v>197</v>
      </c>
      <c r="G39" s="13" t="s">
        <v>231</v>
      </c>
      <c r="H39" s="13" t="s">
        <v>232</v>
      </c>
      <c r="I39" s="13" t="s">
        <v>82</v>
      </c>
      <c r="J39" s="13" t="s">
        <v>83</v>
      </c>
      <c r="K39" s="13"/>
      <c r="L39" s="13" t="s">
        <v>228</v>
      </c>
      <c r="M39" s="13" t="s">
        <v>229</v>
      </c>
    </row>
    <row r="40" customFormat="false" ht="46.25" hidden="false" customHeight="false" outlineLevel="0" collapsed="false">
      <c r="A40" s="13" t="s">
        <v>3</v>
      </c>
      <c r="B40" s="13" t="s">
        <v>68</v>
      </c>
      <c r="C40" s="13" t="n">
        <v>77</v>
      </c>
      <c r="D40" s="13" t="s">
        <v>233</v>
      </c>
      <c r="E40" s="13" t="s">
        <v>234</v>
      </c>
      <c r="F40" s="13" t="s">
        <v>173</v>
      </c>
      <c r="G40" s="13" t="s">
        <v>235</v>
      </c>
      <c r="H40" s="13" t="s">
        <v>236</v>
      </c>
      <c r="I40" s="13" t="s">
        <v>82</v>
      </c>
      <c r="J40" s="13" t="s">
        <v>83</v>
      </c>
      <c r="K40" s="13"/>
      <c r="L40" s="13" t="s">
        <v>237</v>
      </c>
      <c r="M40" s="13" t="s">
        <v>238</v>
      </c>
    </row>
    <row r="41" customFormat="false" ht="46.25" hidden="false" customHeight="false" outlineLevel="0" collapsed="false">
      <c r="A41" s="13" t="s">
        <v>3</v>
      </c>
      <c r="B41" s="13" t="s">
        <v>68</v>
      </c>
      <c r="C41" s="13" t="n">
        <v>77</v>
      </c>
      <c r="D41" s="13" t="s">
        <v>233</v>
      </c>
      <c r="E41" s="13" t="s">
        <v>239</v>
      </c>
      <c r="F41" s="13" t="s">
        <v>173</v>
      </c>
      <c r="G41" s="13" t="s">
        <v>240</v>
      </c>
      <c r="H41" s="13" t="s">
        <v>241</v>
      </c>
      <c r="I41" s="13" t="s">
        <v>82</v>
      </c>
      <c r="J41" s="13" t="s">
        <v>83</v>
      </c>
      <c r="K41" s="13"/>
      <c r="L41" s="13" t="s">
        <v>237</v>
      </c>
      <c r="M41" s="13" t="s">
        <v>238</v>
      </c>
    </row>
    <row r="42" customFormat="false" ht="169.4" hidden="false" customHeight="false" outlineLevel="0" collapsed="false">
      <c r="A42" s="13" t="s">
        <v>3</v>
      </c>
      <c r="B42" s="13" t="s">
        <v>68</v>
      </c>
      <c r="C42" s="13" t="n">
        <v>77</v>
      </c>
      <c r="D42" s="13" t="s">
        <v>242</v>
      </c>
      <c r="E42" s="13" t="s">
        <v>243</v>
      </c>
      <c r="F42" s="13" t="s">
        <v>244</v>
      </c>
      <c r="G42" s="13" t="s">
        <v>245</v>
      </c>
      <c r="H42" s="13" t="s">
        <v>211</v>
      </c>
      <c r="I42" s="13" t="s">
        <v>82</v>
      </c>
      <c r="J42" s="13" t="s">
        <v>83</v>
      </c>
      <c r="K42" s="13"/>
      <c r="L42" s="13" t="s">
        <v>246</v>
      </c>
      <c r="M42" s="13" t="s">
        <v>247</v>
      </c>
    </row>
    <row r="43" customFormat="false" ht="169.4" hidden="false" customHeight="false" outlineLevel="0" collapsed="false">
      <c r="A43" s="13" t="s">
        <v>3</v>
      </c>
      <c r="B43" s="13" t="s">
        <v>68</v>
      </c>
      <c r="C43" s="13" t="n">
        <v>77</v>
      </c>
      <c r="D43" s="13" t="s">
        <v>242</v>
      </c>
      <c r="E43" s="13" t="s">
        <v>248</v>
      </c>
      <c r="F43" s="13" t="s">
        <v>173</v>
      </c>
      <c r="G43" s="13" t="s">
        <v>249</v>
      </c>
      <c r="H43" s="13" t="s">
        <v>250</v>
      </c>
      <c r="I43" s="13" t="s">
        <v>82</v>
      </c>
      <c r="J43" s="13" t="s">
        <v>83</v>
      </c>
      <c r="K43" s="13"/>
      <c r="L43" s="13" t="s">
        <v>246</v>
      </c>
      <c r="M43" s="13" t="s">
        <v>247</v>
      </c>
    </row>
    <row r="44" customFormat="false" ht="169.4" hidden="false" customHeight="false" outlineLevel="0" collapsed="false">
      <c r="A44" s="13" t="s">
        <v>3</v>
      </c>
      <c r="B44" s="13" t="s">
        <v>68</v>
      </c>
      <c r="C44" s="13" t="n">
        <v>77</v>
      </c>
      <c r="D44" s="13" t="s">
        <v>242</v>
      </c>
      <c r="E44" s="13" t="s">
        <v>251</v>
      </c>
      <c r="F44" s="13" t="s">
        <v>173</v>
      </c>
      <c r="G44" s="13" t="s">
        <v>252</v>
      </c>
      <c r="H44" s="13" t="s">
        <v>253</v>
      </c>
      <c r="I44" s="13" t="s">
        <v>82</v>
      </c>
      <c r="J44" s="13" t="s">
        <v>83</v>
      </c>
      <c r="K44" s="13"/>
      <c r="L44" s="13" t="s">
        <v>246</v>
      </c>
      <c r="M44" s="13" t="s">
        <v>247</v>
      </c>
    </row>
    <row r="45" customFormat="false" ht="169.4" hidden="false" customHeight="false" outlineLevel="0" collapsed="false">
      <c r="A45" s="13" t="s">
        <v>3</v>
      </c>
      <c r="B45" s="13" t="s">
        <v>68</v>
      </c>
      <c r="C45" s="13" t="n">
        <v>77</v>
      </c>
      <c r="D45" s="13" t="s">
        <v>242</v>
      </c>
      <c r="E45" s="13" t="s">
        <v>254</v>
      </c>
      <c r="F45" s="13" t="s">
        <v>173</v>
      </c>
      <c r="G45" s="13" t="s">
        <v>255</v>
      </c>
      <c r="H45" s="13" t="s">
        <v>175</v>
      </c>
      <c r="I45" s="13" t="s">
        <v>82</v>
      </c>
      <c r="J45" s="13" t="s">
        <v>83</v>
      </c>
      <c r="K45" s="13"/>
      <c r="L45" s="13" t="s">
        <v>246</v>
      </c>
      <c r="M45" s="13" t="s">
        <v>247</v>
      </c>
    </row>
    <row r="46" customFormat="false" ht="169.4" hidden="false" customHeight="false" outlineLevel="0" collapsed="false">
      <c r="A46" s="13" t="s">
        <v>3</v>
      </c>
      <c r="B46" s="13" t="s">
        <v>68</v>
      </c>
      <c r="C46" s="13" t="n">
        <v>77</v>
      </c>
      <c r="D46" s="13" t="s">
        <v>242</v>
      </c>
      <c r="E46" s="13" t="s">
        <v>256</v>
      </c>
      <c r="F46" s="13" t="s">
        <v>175</v>
      </c>
      <c r="G46" s="13" t="s">
        <v>257</v>
      </c>
      <c r="H46" s="13" t="s">
        <v>258</v>
      </c>
      <c r="I46" s="13" t="s">
        <v>82</v>
      </c>
      <c r="J46" s="13" t="s">
        <v>83</v>
      </c>
      <c r="K46" s="13"/>
      <c r="L46" s="13" t="s">
        <v>246</v>
      </c>
      <c r="M46" s="13" t="s">
        <v>247</v>
      </c>
    </row>
    <row r="47" customFormat="false" ht="23.85" hidden="false" customHeight="false" outlineLevel="0" collapsed="false">
      <c r="A47" s="13" t="s">
        <v>3</v>
      </c>
      <c r="B47" s="13" t="s">
        <v>68</v>
      </c>
      <c r="C47" s="13" t="n">
        <v>77</v>
      </c>
      <c r="D47" s="13" t="s">
        <v>259</v>
      </c>
      <c r="E47" s="13" t="s">
        <v>260</v>
      </c>
      <c r="F47" s="13" t="s">
        <v>175</v>
      </c>
      <c r="G47" s="13" t="s">
        <v>261</v>
      </c>
      <c r="H47" s="13" t="s">
        <v>258</v>
      </c>
      <c r="I47" s="13" t="s">
        <v>82</v>
      </c>
      <c r="J47" s="13" t="s">
        <v>83</v>
      </c>
      <c r="K47" s="13"/>
      <c r="L47" s="13" t="s">
        <v>262</v>
      </c>
      <c r="M47" s="13" t="s">
        <v>263</v>
      </c>
    </row>
    <row r="48" customFormat="false" ht="23.85" hidden="false" customHeight="false" outlineLevel="0" collapsed="false">
      <c r="A48" s="13" t="s">
        <v>3</v>
      </c>
      <c r="B48" s="13" t="s">
        <v>68</v>
      </c>
      <c r="C48" s="13" t="n">
        <v>77</v>
      </c>
      <c r="D48" s="13" t="s">
        <v>259</v>
      </c>
      <c r="E48" s="13" t="s">
        <v>264</v>
      </c>
      <c r="F48" s="13" t="s">
        <v>265</v>
      </c>
      <c r="G48" s="13" t="s">
        <v>266</v>
      </c>
      <c r="H48" s="13" t="s">
        <v>211</v>
      </c>
      <c r="I48" s="13" t="s">
        <v>82</v>
      </c>
      <c r="J48" s="13" t="s">
        <v>83</v>
      </c>
      <c r="K48" s="13"/>
      <c r="L48" s="13" t="s">
        <v>262</v>
      </c>
      <c r="M48" s="13" t="s">
        <v>263</v>
      </c>
    </row>
    <row r="49" customFormat="false" ht="23.85" hidden="false" customHeight="false" outlineLevel="0" collapsed="false">
      <c r="A49" s="13" t="s">
        <v>3</v>
      </c>
      <c r="B49" s="13" t="s">
        <v>68</v>
      </c>
      <c r="C49" s="13" t="n">
        <v>77</v>
      </c>
      <c r="D49" s="13" t="s">
        <v>267</v>
      </c>
      <c r="E49" s="13" t="s">
        <v>268</v>
      </c>
      <c r="F49" s="13" t="s">
        <v>175</v>
      </c>
      <c r="G49" s="13" t="s">
        <v>261</v>
      </c>
      <c r="H49" s="13" t="s">
        <v>269</v>
      </c>
      <c r="I49" s="13" t="s">
        <v>82</v>
      </c>
      <c r="J49" s="13" t="s">
        <v>83</v>
      </c>
      <c r="K49" s="13"/>
      <c r="L49" s="13" t="s">
        <v>270</v>
      </c>
      <c r="M49" s="13" t="s">
        <v>271</v>
      </c>
    </row>
    <row r="50" customFormat="false" ht="23.85" hidden="false" customHeight="false" outlineLevel="0" collapsed="false">
      <c r="A50" s="13" t="s">
        <v>3</v>
      </c>
      <c r="B50" s="13" t="s">
        <v>68</v>
      </c>
      <c r="C50" s="13" t="n">
        <v>77</v>
      </c>
      <c r="D50" s="13" t="s">
        <v>272</v>
      </c>
      <c r="E50" s="13" t="s">
        <v>273</v>
      </c>
      <c r="F50" s="13" t="s">
        <v>175</v>
      </c>
      <c r="G50" s="13" t="s">
        <v>261</v>
      </c>
      <c r="H50" s="13" t="s">
        <v>274</v>
      </c>
      <c r="I50" s="13" t="s">
        <v>82</v>
      </c>
      <c r="J50" s="13" t="s">
        <v>83</v>
      </c>
      <c r="K50" s="13"/>
      <c r="L50" s="13" t="s">
        <v>275</v>
      </c>
      <c r="M50" s="13" t="s">
        <v>276</v>
      </c>
    </row>
    <row r="51" customFormat="false" ht="23.85" hidden="false" customHeight="false" outlineLevel="0" collapsed="false">
      <c r="A51" s="13" t="s">
        <v>3</v>
      </c>
      <c r="B51" s="13" t="s">
        <v>68</v>
      </c>
      <c r="C51" s="13" t="n">
        <v>77</v>
      </c>
      <c r="D51" s="13" t="s">
        <v>277</v>
      </c>
      <c r="E51" s="13" t="s">
        <v>278</v>
      </c>
      <c r="F51" s="13" t="s">
        <v>175</v>
      </c>
      <c r="G51" s="13" t="s">
        <v>261</v>
      </c>
      <c r="H51" s="13" t="s">
        <v>279</v>
      </c>
      <c r="I51" s="13" t="s">
        <v>82</v>
      </c>
      <c r="J51" s="13" t="s">
        <v>83</v>
      </c>
      <c r="K51" s="13"/>
      <c r="L51" s="13" t="s">
        <v>280</v>
      </c>
      <c r="M51" s="13" t="s">
        <v>281</v>
      </c>
    </row>
    <row r="52" customFormat="false" ht="23.85" hidden="false" customHeight="false" outlineLevel="0" collapsed="false">
      <c r="A52" s="13" t="s">
        <v>3</v>
      </c>
      <c r="B52" s="13" t="s">
        <v>68</v>
      </c>
      <c r="C52" s="13" t="n">
        <v>77</v>
      </c>
      <c r="D52" s="13" t="s">
        <v>282</v>
      </c>
      <c r="E52" s="13" t="s">
        <v>283</v>
      </c>
      <c r="F52" s="13" t="s">
        <v>284</v>
      </c>
      <c r="G52" s="13" t="s">
        <v>285</v>
      </c>
      <c r="H52" s="13" t="s">
        <v>211</v>
      </c>
      <c r="I52" s="13" t="s">
        <v>82</v>
      </c>
      <c r="J52" s="13" t="s">
        <v>83</v>
      </c>
      <c r="K52" s="13"/>
      <c r="L52" s="13" t="s">
        <v>286</v>
      </c>
      <c r="M52" s="13" t="s">
        <v>287</v>
      </c>
    </row>
    <row r="53" customFormat="false" ht="35.05" hidden="false" customHeight="false" outlineLevel="0" collapsed="false">
      <c r="A53" s="13" t="s">
        <v>3</v>
      </c>
      <c r="B53" s="13" t="s">
        <v>68</v>
      </c>
      <c r="C53" s="13" t="n">
        <v>77</v>
      </c>
      <c r="D53" s="13" t="s">
        <v>288</v>
      </c>
      <c r="E53" s="13" t="s">
        <v>289</v>
      </c>
      <c r="F53" s="13" t="s">
        <v>175</v>
      </c>
      <c r="G53" s="13" t="s">
        <v>290</v>
      </c>
      <c r="H53" s="13" t="s">
        <v>291</v>
      </c>
      <c r="I53" s="13" t="s">
        <v>82</v>
      </c>
      <c r="J53" s="13" t="s">
        <v>83</v>
      </c>
      <c r="K53" s="13"/>
      <c r="L53" s="13" t="s">
        <v>292</v>
      </c>
      <c r="M53" s="13" t="s">
        <v>293</v>
      </c>
    </row>
    <row r="54" customFormat="false" ht="35.05" hidden="false" customHeight="false" outlineLevel="0" collapsed="false">
      <c r="A54" s="13" t="s">
        <v>3</v>
      </c>
      <c r="B54" s="13" t="s">
        <v>68</v>
      </c>
      <c r="C54" s="13" t="n">
        <v>77</v>
      </c>
      <c r="D54" s="13" t="s">
        <v>288</v>
      </c>
      <c r="E54" s="13" t="s">
        <v>294</v>
      </c>
      <c r="F54" s="13" t="s">
        <v>175</v>
      </c>
      <c r="G54" s="13" t="s">
        <v>295</v>
      </c>
      <c r="H54" s="13" t="s">
        <v>296</v>
      </c>
      <c r="I54" s="13" t="s">
        <v>82</v>
      </c>
      <c r="J54" s="13" t="s">
        <v>83</v>
      </c>
      <c r="K54" s="13"/>
      <c r="L54" s="13" t="s">
        <v>292</v>
      </c>
      <c r="M54" s="13" t="s">
        <v>293</v>
      </c>
    </row>
    <row r="55" customFormat="false" ht="35.05" hidden="false" customHeight="false" outlineLevel="0" collapsed="false">
      <c r="A55" s="13" t="s">
        <v>3</v>
      </c>
      <c r="B55" s="13" t="s">
        <v>68</v>
      </c>
      <c r="C55" s="13" t="n">
        <v>85</v>
      </c>
      <c r="D55" s="13" t="s">
        <v>297</v>
      </c>
      <c r="E55" s="13" t="s">
        <v>298</v>
      </c>
      <c r="F55" s="13" t="s">
        <v>299</v>
      </c>
      <c r="G55" s="13" t="s">
        <v>300</v>
      </c>
      <c r="H55" s="13" t="s">
        <v>301</v>
      </c>
      <c r="I55" s="13" t="s">
        <v>82</v>
      </c>
      <c r="J55" s="13" t="s">
        <v>83</v>
      </c>
      <c r="K55" s="13"/>
      <c r="L55" s="13" t="s">
        <v>302</v>
      </c>
      <c r="M55" s="13" t="s">
        <v>303</v>
      </c>
    </row>
    <row r="56" customFormat="false" ht="35.05" hidden="false" customHeight="false" outlineLevel="0" collapsed="false">
      <c r="A56" s="13" t="s">
        <v>3</v>
      </c>
      <c r="B56" s="13" t="s">
        <v>68</v>
      </c>
      <c r="C56" s="13" t="n">
        <v>85</v>
      </c>
      <c r="D56" s="13" t="s">
        <v>297</v>
      </c>
      <c r="E56" s="13" t="s">
        <v>304</v>
      </c>
      <c r="F56" s="13" t="s">
        <v>301</v>
      </c>
      <c r="G56" s="13" t="s">
        <v>305</v>
      </c>
      <c r="H56" s="13" t="s">
        <v>306</v>
      </c>
      <c r="I56" s="13" t="s">
        <v>82</v>
      </c>
      <c r="J56" s="13" t="s">
        <v>83</v>
      </c>
      <c r="K56" s="13"/>
      <c r="L56" s="13" t="s">
        <v>302</v>
      </c>
      <c r="M56" s="13" t="s">
        <v>303</v>
      </c>
    </row>
    <row r="57" customFormat="false" ht="46.25" hidden="false" customHeight="false" outlineLevel="0" collapsed="false">
      <c r="A57" s="13" t="s">
        <v>3</v>
      </c>
      <c r="B57" s="13" t="s">
        <v>68</v>
      </c>
      <c r="C57" s="13" t="n">
        <v>85</v>
      </c>
      <c r="D57" s="13" t="s">
        <v>307</v>
      </c>
      <c r="E57" s="13" t="s">
        <v>308</v>
      </c>
      <c r="F57" s="13" t="s">
        <v>301</v>
      </c>
      <c r="G57" s="13" t="s">
        <v>309</v>
      </c>
      <c r="H57" s="13" t="s">
        <v>310</v>
      </c>
      <c r="I57" s="13" t="s">
        <v>82</v>
      </c>
      <c r="J57" s="13" t="s">
        <v>83</v>
      </c>
      <c r="K57" s="13"/>
      <c r="L57" s="13" t="s">
        <v>311</v>
      </c>
      <c r="M57" s="13" t="s">
        <v>312</v>
      </c>
    </row>
    <row r="58" customFormat="false" ht="46.25" hidden="false" customHeight="false" outlineLevel="0" collapsed="false">
      <c r="A58" s="13" t="s">
        <v>3</v>
      </c>
      <c r="B58" s="13" t="s">
        <v>68</v>
      </c>
      <c r="C58" s="13" t="n">
        <v>85</v>
      </c>
      <c r="D58" s="13" t="s">
        <v>307</v>
      </c>
      <c r="E58" s="13" t="s">
        <v>313</v>
      </c>
      <c r="F58" s="13" t="s">
        <v>314</v>
      </c>
      <c r="G58" s="13" t="s">
        <v>315</v>
      </c>
      <c r="H58" s="13" t="s">
        <v>316</v>
      </c>
      <c r="I58" s="13" t="s">
        <v>82</v>
      </c>
      <c r="J58" s="13" t="s">
        <v>83</v>
      </c>
      <c r="K58" s="13"/>
      <c r="L58" s="13" t="s">
        <v>311</v>
      </c>
      <c r="M58" s="13" t="s">
        <v>312</v>
      </c>
    </row>
    <row r="59" customFormat="false" ht="46.25" hidden="false" customHeight="false" outlineLevel="0" collapsed="false">
      <c r="A59" s="13" t="s">
        <v>3</v>
      </c>
      <c r="B59" s="13" t="s">
        <v>68</v>
      </c>
      <c r="C59" s="13" t="n">
        <v>85</v>
      </c>
      <c r="D59" s="13" t="s">
        <v>307</v>
      </c>
      <c r="E59" s="13" t="s">
        <v>317</v>
      </c>
      <c r="F59" s="13" t="s">
        <v>314</v>
      </c>
      <c r="G59" s="13" t="s">
        <v>318</v>
      </c>
      <c r="H59" s="13" t="s">
        <v>319</v>
      </c>
      <c r="I59" s="13" t="s">
        <v>82</v>
      </c>
      <c r="J59" s="13" t="s">
        <v>83</v>
      </c>
      <c r="K59" s="13"/>
      <c r="L59" s="13" t="s">
        <v>311</v>
      </c>
      <c r="M59" s="13" t="s">
        <v>312</v>
      </c>
    </row>
    <row r="60" customFormat="false" ht="68.65" hidden="false" customHeight="false" outlineLevel="0" collapsed="false">
      <c r="A60" s="13" t="s">
        <v>3</v>
      </c>
      <c r="B60" s="13" t="s">
        <v>68</v>
      </c>
      <c r="C60" s="13" t="n">
        <v>85</v>
      </c>
      <c r="D60" s="13" t="s">
        <v>320</v>
      </c>
      <c r="E60" s="13" t="s">
        <v>321</v>
      </c>
      <c r="F60" s="13" t="s">
        <v>301</v>
      </c>
      <c r="G60" s="13" t="s">
        <v>322</v>
      </c>
      <c r="H60" s="13" t="s">
        <v>310</v>
      </c>
      <c r="I60" s="13" t="s">
        <v>82</v>
      </c>
      <c r="J60" s="13" t="s">
        <v>83</v>
      </c>
      <c r="K60" s="13"/>
      <c r="L60" s="13" t="s">
        <v>323</v>
      </c>
      <c r="M60" s="13" t="s">
        <v>324</v>
      </c>
    </row>
    <row r="61" customFormat="false" ht="68.65" hidden="false" customHeight="false" outlineLevel="0" collapsed="false">
      <c r="A61" s="13" t="s">
        <v>3</v>
      </c>
      <c r="B61" s="13" t="s">
        <v>68</v>
      </c>
      <c r="C61" s="13" t="n">
        <v>85</v>
      </c>
      <c r="D61" s="13" t="s">
        <v>320</v>
      </c>
      <c r="E61" s="13" t="s">
        <v>325</v>
      </c>
      <c r="F61" s="13" t="s">
        <v>326</v>
      </c>
      <c r="G61" s="13" t="s">
        <v>327</v>
      </c>
      <c r="H61" s="13" t="s">
        <v>328</v>
      </c>
      <c r="I61" s="13" t="s">
        <v>82</v>
      </c>
      <c r="J61" s="13" t="s">
        <v>83</v>
      </c>
      <c r="K61" s="13"/>
      <c r="L61" s="13" t="s">
        <v>323</v>
      </c>
      <c r="M61" s="13" t="s">
        <v>324</v>
      </c>
    </row>
    <row r="62" customFormat="false" ht="23.85" hidden="false" customHeight="false" outlineLevel="0" collapsed="false">
      <c r="A62" s="13" t="s">
        <v>3</v>
      </c>
      <c r="B62" s="13" t="s">
        <v>68</v>
      </c>
      <c r="C62" s="13" t="n">
        <v>85</v>
      </c>
      <c r="D62" s="13" t="s">
        <v>329</v>
      </c>
      <c r="E62" s="13" t="s">
        <v>330</v>
      </c>
      <c r="F62" s="13" t="s">
        <v>331</v>
      </c>
      <c r="G62" s="13" t="s">
        <v>332</v>
      </c>
      <c r="H62" s="13" t="s">
        <v>310</v>
      </c>
      <c r="I62" s="13" t="s">
        <v>82</v>
      </c>
      <c r="J62" s="13" t="s">
        <v>83</v>
      </c>
      <c r="K62" s="13"/>
      <c r="L62" s="13" t="s">
        <v>333</v>
      </c>
      <c r="M62" s="13" t="s">
        <v>334</v>
      </c>
    </row>
    <row r="63" customFormat="false" ht="113.4" hidden="false" customHeight="false" outlineLevel="0" collapsed="false">
      <c r="A63" s="13" t="s">
        <v>3</v>
      </c>
      <c r="B63" s="13" t="s">
        <v>68</v>
      </c>
      <c r="C63" s="13" t="n">
        <v>85</v>
      </c>
      <c r="D63" s="13" t="s">
        <v>335</v>
      </c>
      <c r="E63" s="13" t="s">
        <v>336</v>
      </c>
      <c r="F63" s="13" t="s">
        <v>301</v>
      </c>
      <c r="G63" s="13" t="s">
        <v>337</v>
      </c>
      <c r="H63" s="13" t="s">
        <v>338</v>
      </c>
      <c r="I63" s="13" t="s">
        <v>82</v>
      </c>
      <c r="J63" s="13" t="s">
        <v>83</v>
      </c>
      <c r="K63" s="13"/>
      <c r="L63" s="13" t="s">
        <v>339</v>
      </c>
      <c r="M63" s="13" t="s">
        <v>340</v>
      </c>
    </row>
    <row r="64" customFormat="false" ht="113.4" hidden="false" customHeight="false" outlineLevel="0" collapsed="false">
      <c r="A64" s="13" t="s">
        <v>3</v>
      </c>
      <c r="B64" s="13" t="s">
        <v>68</v>
      </c>
      <c r="C64" s="13" t="n">
        <v>85</v>
      </c>
      <c r="D64" s="13" t="s">
        <v>335</v>
      </c>
      <c r="E64" s="13" t="s">
        <v>341</v>
      </c>
      <c r="F64" s="13" t="s">
        <v>301</v>
      </c>
      <c r="G64" s="13" t="s">
        <v>342</v>
      </c>
      <c r="H64" s="13" t="s">
        <v>343</v>
      </c>
      <c r="I64" s="13" t="s">
        <v>82</v>
      </c>
      <c r="J64" s="13" t="s">
        <v>83</v>
      </c>
      <c r="K64" s="13"/>
      <c r="L64" s="13" t="s">
        <v>339</v>
      </c>
      <c r="M64" s="13" t="s">
        <v>340</v>
      </c>
    </row>
    <row r="65" customFormat="false" ht="23.85" hidden="false" customHeight="false" outlineLevel="0" collapsed="false">
      <c r="A65" s="13" t="s">
        <v>3</v>
      </c>
      <c r="B65" s="13" t="s">
        <v>68</v>
      </c>
      <c r="C65" s="13" t="n">
        <v>85</v>
      </c>
      <c r="D65" s="13" t="s">
        <v>344</v>
      </c>
      <c r="E65" s="13" t="s">
        <v>345</v>
      </c>
      <c r="F65" s="13" t="s">
        <v>346</v>
      </c>
      <c r="G65" s="13" t="s">
        <v>347</v>
      </c>
      <c r="H65" s="13" t="s">
        <v>348</v>
      </c>
      <c r="I65" s="13" t="s">
        <v>82</v>
      </c>
      <c r="J65" s="13" t="s">
        <v>83</v>
      </c>
      <c r="K65" s="13"/>
      <c r="L65" s="13" t="s">
        <v>349</v>
      </c>
      <c r="M65" s="13" t="s">
        <v>350</v>
      </c>
    </row>
    <row r="66" customFormat="false" ht="23.85" hidden="false" customHeight="false" outlineLevel="0" collapsed="false">
      <c r="A66" s="13" t="s">
        <v>3</v>
      </c>
      <c r="B66" s="13" t="s">
        <v>68</v>
      </c>
      <c r="C66" s="13" t="n">
        <v>85</v>
      </c>
      <c r="D66" s="13" t="s">
        <v>344</v>
      </c>
      <c r="E66" s="13" t="s">
        <v>351</v>
      </c>
      <c r="F66" s="13" t="s">
        <v>346</v>
      </c>
      <c r="G66" s="13" t="s">
        <v>352</v>
      </c>
      <c r="H66" s="13" t="s">
        <v>353</v>
      </c>
      <c r="I66" s="13" t="s">
        <v>82</v>
      </c>
      <c r="J66" s="13" t="s">
        <v>83</v>
      </c>
      <c r="K66" s="13"/>
      <c r="L66" s="13" t="s">
        <v>349</v>
      </c>
      <c r="M66" s="13" t="s">
        <v>350</v>
      </c>
    </row>
    <row r="67" customFormat="false" ht="68.65" hidden="false" customHeight="false" outlineLevel="0" collapsed="false">
      <c r="A67" s="13" t="s">
        <v>3</v>
      </c>
      <c r="B67" s="13" t="s">
        <v>68</v>
      </c>
      <c r="C67" s="13" t="n">
        <v>85</v>
      </c>
      <c r="D67" s="13" t="s">
        <v>354</v>
      </c>
      <c r="E67" s="13" t="s">
        <v>355</v>
      </c>
      <c r="F67" s="13" t="s">
        <v>356</v>
      </c>
      <c r="G67" s="13" t="s">
        <v>357</v>
      </c>
      <c r="H67" s="13" t="s">
        <v>182</v>
      </c>
      <c r="I67" s="13" t="s">
        <v>82</v>
      </c>
      <c r="J67" s="13" t="s">
        <v>83</v>
      </c>
      <c r="K67" s="13"/>
      <c r="L67" s="13" t="s">
        <v>358</v>
      </c>
      <c r="M67" s="13" t="s">
        <v>359</v>
      </c>
    </row>
    <row r="68" customFormat="false" ht="68.65" hidden="false" customHeight="false" outlineLevel="0" collapsed="false">
      <c r="A68" s="13" t="s">
        <v>3</v>
      </c>
      <c r="B68" s="13" t="s">
        <v>68</v>
      </c>
      <c r="C68" s="13" t="n">
        <v>85</v>
      </c>
      <c r="D68" s="13" t="s">
        <v>354</v>
      </c>
      <c r="E68" s="13" t="s">
        <v>360</v>
      </c>
      <c r="F68" s="13" t="s">
        <v>356</v>
      </c>
      <c r="G68" s="13" t="s">
        <v>361</v>
      </c>
      <c r="H68" s="13" t="s">
        <v>362</v>
      </c>
      <c r="I68" s="13" t="s">
        <v>82</v>
      </c>
      <c r="J68" s="13" t="s">
        <v>83</v>
      </c>
      <c r="K68" s="13"/>
      <c r="L68" s="13" t="s">
        <v>358</v>
      </c>
      <c r="M68" s="13" t="s">
        <v>359</v>
      </c>
    </row>
    <row r="69" customFormat="false" ht="169.4" hidden="false" customHeight="false" outlineLevel="0" collapsed="false">
      <c r="A69" s="13" t="s">
        <v>3</v>
      </c>
      <c r="B69" s="13" t="s">
        <v>68</v>
      </c>
      <c r="C69" s="13" t="n">
        <v>85</v>
      </c>
      <c r="D69" s="13" t="s">
        <v>363</v>
      </c>
      <c r="E69" s="13" t="s">
        <v>364</v>
      </c>
      <c r="F69" s="13" t="s">
        <v>356</v>
      </c>
      <c r="G69" s="13" t="s">
        <v>365</v>
      </c>
      <c r="H69" s="13" t="s">
        <v>182</v>
      </c>
      <c r="I69" s="13" t="s">
        <v>82</v>
      </c>
      <c r="J69" s="13" t="s">
        <v>83</v>
      </c>
      <c r="K69" s="13"/>
      <c r="L69" s="13" t="s">
        <v>366</v>
      </c>
      <c r="M69" s="13" t="s">
        <v>367</v>
      </c>
    </row>
    <row r="70" customFormat="false" ht="169.4" hidden="false" customHeight="false" outlineLevel="0" collapsed="false">
      <c r="A70" s="13" t="s">
        <v>3</v>
      </c>
      <c r="B70" s="13" t="s">
        <v>68</v>
      </c>
      <c r="C70" s="13" t="n">
        <v>85</v>
      </c>
      <c r="D70" s="13" t="s">
        <v>363</v>
      </c>
      <c r="E70" s="13" t="s">
        <v>368</v>
      </c>
      <c r="F70" s="13" t="s">
        <v>356</v>
      </c>
      <c r="G70" s="13" t="s">
        <v>369</v>
      </c>
      <c r="H70" s="13" t="s">
        <v>182</v>
      </c>
      <c r="I70" s="13" t="s">
        <v>82</v>
      </c>
      <c r="J70" s="13" t="s">
        <v>83</v>
      </c>
      <c r="K70" s="13"/>
      <c r="L70" s="13" t="s">
        <v>366</v>
      </c>
      <c r="M70" s="13" t="s">
        <v>367</v>
      </c>
    </row>
    <row r="71" customFormat="false" ht="169.4" hidden="false" customHeight="false" outlineLevel="0" collapsed="false">
      <c r="A71" s="13" t="s">
        <v>3</v>
      </c>
      <c r="B71" s="13" t="s">
        <v>68</v>
      </c>
      <c r="C71" s="13" t="n">
        <v>85</v>
      </c>
      <c r="D71" s="13" t="s">
        <v>363</v>
      </c>
      <c r="E71" s="13" t="s">
        <v>370</v>
      </c>
      <c r="F71" s="13" t="s">
        <v>356</v>
      </c>
      <c r="G71" s="13" t="s">
        <v>371</v>
      </c>
      <c r="H71" s="13" t="s">
        <v>182</v>
      </c>
      <c r="I71" s="13" t="s">
        <v>82</v>
      </c>
      <c r="J71" s="13" t="s">
        <v>83</v>
      </c>
      <c r="K71" s="13"/>
      <c r="L71" s="13" t="s">
        <v>366</v>
      </c>
      <c r="M71" s="13" t="s">
        <v>367</v>
      </c>
    </row>
    <row r="72" customFormat="false" ht="79.85" hidden="false" customHeight="false" outlineLevel="0" collapsed="false">
      <c r="A72" s="13" t="s">
        <v>3</v>
      </c>
      <c r="B72" s="13" t="s">
        <v>68</v>
      </c>
      <c r="C72" s="13" t="n">
        <v>108</v>
      </c>
      <c r="D72" s="13" t="s">
        <v>372</v>
      </c>
      <c r="E72" s="13" t="s">
        <v>373</v>
      </c>
      <c r="F72" s="13" t="s">
        <v>374</v>
      </c>
      <c r="G72" s="13" t="s">
        <v>375</v>
      </c>
      <c r="H72" s="13" t="s">
        <v>376</v>
      </c>
      <c r="I72" s="13" t="s">
        <v>82</v>
      </c>
      <c r="J72" s="13" t="s">
        <v>83</v>
      </c>
      <c r="K72" s="13"/>
      <c r="L72" s="13" t="s">
        <v>377</v>
      </c>
      <c r="M72" s="13" t="s">
        <v>378</v>
      </c>
    </row>
    <row r="73" customFormat="false" ht="79.85" hidden="false" customHeight="false" outlineLevel="0" collapsed="false">
      <c r="A73" s="13" t="s">
        <v>3</v>
      </c>
      <c r="B73" s="13" t="s">
        <v>68</v>
      </c>
      <c r="C73" s="13" t="n">
        <v>108</v>
      </c>
      <c r="D73" s="13" t="s">
        <v>372</v>
      </c>
      <c r="E73" s="13" t="s">
        <v>379</v>
      </c>
      <c r="F73" s="13" t="s">
        <v>374</v>
      </c>
      <c r="G73" s="13" t="s">
        <v>380</v>
      </c>
      <c r="H73" s="13" t="s">
        <v>376</v>
      </c>
      <c r="I73" s="13" t="s">
        <v>82</v>
      </c>
      <c r="J73" s="13" t="s">
        <v>83</v>
      </c>
      <c r="K73" s="13"/>
      <c r="L73" s="13" t="s">
        <v>377</v>
      </c>
      <c r="M73" s="13" t="s">
        <v>378</v>
      </c>
    </row>
    <row r="74" customFormat="false" ht="46.25" hidden="false" customHeight="false" outlineLevel="0" collapsed="false">
      <c r="A74" s="13" t="s">
        <v>3</v>
      </c>
      <c r="B74" s="13" t="s">
        <v>68</v>
      </c>
      <c r="C74" s="13" t="n">
        <v>108</v>
      </c>
      <c r="D74" s="13" t="s">
        <v>381</v>
      </c>
      <c r="E74" s="13" t="s">
        <v>382</v>
      </c>
      <c r="F74" s="13" t="s">
        <v>299</v>
      </c>
      <c r="G74" s="13" t="s">
        <v>383</v>
      </c>
      <c r="H74" s="13" t="s">
        <v>376</v>
      </c>
      <c r="I74" s="13" t="s">
        <v>82</v>
      </c>
      <c r="J74" s="13" t="s">
        <v>83</v>
      </c>
      <c r="K74" s="13"/>
      <c r="L74" s="13" t="s">
        <v>384</v>
      </c>
      <c r="M74" s="13" t="s">
        <v>385</v>
      </c>
    </row>
    <row r="75" customFormat="false" ht="46.25" hidden="false" customHeight="false" outlineLevel="0" collapsed="false">
      <c r="A75" s="13" t="s">
        <v>3</v>
      </c>
      <c r="B75" s="13" t="s">
        <v>68</v>
      </c>
      <c r="C75" s="13" t="n">
        <v>108</v>
      </c>
      <c r="D75" s="13" t="s">
        <v>381</v>
      </c>
      <c r="E75" s="13" t="s">
        <v>386</v>
      </c>
      <c r="F75" s="13" t="s">
        <v>182</v>
      </c>
      <c r="G75" s="13" t="s">
        <v>387</v>
      </c>
      <c r="H75" s="13" t="s">
        <v>388</v>
      </c>
      <c r="I75" s="13" t="s">
        <v>82</v>
      </c>
      <c r="J75" s="13" t="s">
        <v>83</v>
      </c>
      <c r="K75" s="13"/>
      <c r="L75" s="13" t="s">
        <v>384</v>
      </c>
      <c r="M75" s="13" t="s">
        <v>385</v>
      </c>
    </row>
    <row r="76" customFormat="false" ht="23.85" hidden="false" customHeight="false" outlineLevel="0" collapsed="false">
      <c r="A76" s="13" t="s">
        <v>3</v>
      </c>
      <c r="B76" s="13" t="s">
        <v>68</v>
      </c>
      <c r="C76" s="13" t="n">
        <v>108</v>
      </c>
      <c r="D76" s="13" t="s">
        <v>389</v>
      </c>
      <c r="E76" s="13" t="s">
        <v>390</v>
      </c>
      <c r="F76" s="13" t="s">
        <v>299</v>
      </c>
      <c r="G76" s="13" t="s">
        <v>391</v>
      </c>
      <c r="H76" s="13" t="s">
        <v>392</v>
      </c>
      <c r="I76" s="13" t="s">
        <v>82</v>
      </c>
      <c r="J76" s="13" t="s">
        <v>83</v>
      </c>
      <c r="K76" s="13"/>
      <c r="L76" s="13" t="s">
        <v>393</v>
      </c>
      <c r="M76" s="13" t="s">
        <v>394</v>
      </c>
    </row>
    <row r="77" customFormat="false" ht="23.85" hidden="false" customHeight="false" outlineLevel="0" collapsed="false">
      <c r="A77" s="13" t="s">
        <v>3</v>
      </c>
      <c r="B77" s="13" t="s">
        <v>68</v>
      </c>
      <c r="C77" s="13" t="n">
        <v>108</v>
      </c>
      <c r="D77" s="13" t="s">
        <v>395</v>
      </c>
      <c r="E77" s="13" t="s">
        <v>396</v>
      </c>
      <c r="F77" s="13" t="s">
        <v>397</v>
      </c>
      <c r="G77" s="13" t="s">
        <v>398</v>
      </c>
      <c r="H77" s="13" t="s">
        <v>399</v>
      </c>
      <c r="I77" s="13" t="s">
        <v>82</v>
      </c>
      <c r="J77" s="13" t="s">
        <v>83</v>
      </c>
      <c r="K77" s="13"/>
      <c r="L77" s="13" t="s">
        <v>400</v>
      </c>
      <c r="M77" s="13" t="s">
        <v>401</v>
      </c>
    </row>
    <row r="78" customFormat="false" ht="46.25" hidden="false" customHeight="false" outlineLevel="0" collapsed="false">
      <c r="A78" s="13" t="s">
        <v>3</v>
      </c>
      <c r="B78" s="13" t="s">
        <v>68</v>
      </c>
      <c r="C78" s="13" t="n">
        <v>108</v>
      </c>
      <c r="D78" s="13" t="s">
        <v>402</v>
      </c>
      <c r="E78" s="13" t="s">
        <v>403</v>
      </c>
      <c r="F78" s="13" t="s">
        <v>397</v>
      </c>
      <c r="G78" s="13" t="s">
        <v>404</v>
      </c>
      <c r="H78" s="13" t="s">
        <v>405</v>
      </c>
      <c r="I78" s="13" t="s">
        <v>114</v>
      </c>
      <c r="J78" s="13" t="s">
        <v>406</v>
      </c>
      <c r="K78" s="13" t="s">
        <v>407</v>
      </c>
      <c r="L78" s="13" t="s">
        <v>408</v>
      </c>
      <c r="M78" s="13" t="s">
        <v>409</v>
      </c>
    </row>
    <row r="79" customFormat="false" ht="46.25" hidden="false" customHeight="false" outlineLevel="0" collapsed="false">
      <c r="A79" s="13" t="s">
        <v>3</v>
      </c>
      <c r="B79" s="13" t="s">
        <v>68</v>
      </c>
      <c r="C79" s="13" t="n">
        <v>108</v>
      </c>
      <c r="D79" s="13" t="s">
        <v>402</v>
      </c>
      <c r="E79" s="13" t="s">
        <v>410</v>
      </c>
      <c r="F79" s="13" t="s">
        <v>411</v>
      </c>
      <c r="G79" s="13" t="s">
        <v>412</v>
      </c>
      <c r="H79" s="13" t="s">
        <v>413</v>
      </c>
      <c r="I79" s="13" t="s">
        <v>82</v>
      </c>
      <c r="J79" s="13" t="s">
        <v>83</v>
      </c>
      <c r="K79" s="13"/>
      <c r="L79" s="13" t="s">
        <v>408</v>
      </c>
      <c r="M79" s="13" t="s">
        <v>409</v>
      </c>
    </row>
    <row r="80" customFormat="false" ht="91" hidden="false" customHeight="false" outlineLevel="0" collapsed="false">
      <c r="A80" s="13" t="s">
        <v>3</v>
      </c>
      <c r="B80" s="13" t="s">
        <v>68</v>
      </c>
      <c r="C80" s="13" t="n">
        <v>108</v>
      </c>
      <c r="D80" s="13" t="s">
        <v>414</v>
      </c>
      <c r="E80" s="13" t="s">
        <v>415</v>
      </c>
      <c r="F80" s="13" t="s">
        <v>299</v>
      </c>
      <c r="G80" s="13" t="s">
        <v>416</v>
      </c>
      <c r="H80" s="13" t="s">
        <v>417</v>
      </c>
      <c r="I80" s="13" t="s">
        <v>82</v>
      </c>
      <c r="J80" s="13" t="s">
        <v>83</v>
      </c>
      <c r="K80" s="13"/>
      <c r="L80" s="13" t="s">
        <v>418</v>
      </c>
      <c r="M80" s="13" t="s">
        <v>419</v>
      </c>
    </row>
    <row r="81" customFormat="false" ht="91" hidden="false" customHeight="false" outlineLevel="0" collapsed="false">
      <c r="A81" s="13" t="s">
        <v>3</v>
      </c>
      <c r="B81" s="13" t="s">
        <v>68</v>
      </c>
      <c r="C81" s="13" t="n">
        <v>108</v>
      </c>
      <c r="D81" s="13" t="s">
        <v>414</v>
      </c>
      <c r="E81" s="13" t="s">
        <v>420</v>
      </c>
      <c r="F81" s="13" t="s">
        <v>299</v>
      </c>
      <c r="G81" s="13" t="s">
        <v>421</v>
      </c>
      <c r="H81" s="13" t="s">
        <v>422</v>
      </c>
      <c r="I81" s="13" t="s">
        <v>82</v>
      </c>
      <c r="J81" s="13" t="s">
        <v>83</v>
      </c>
      <c r="K81" s="13"/>
      <c r="L81" s="13" t="s">
        <v>418</v>
      </c>
      <c r="M81" s="13" t="s">
        <v>419</v>
      </c>
    </row>
    <row r="82" customFormat="false" ht="91" hidden="false" customHeight="false" outlineLevel="0" collapsed="false">
      <c r="A82" s="13" t="s">
        <v>3</v>
      </c>
      <c r="B82" s="13" t="s">
        <v>68</v>
      </c>
      <c r="C82" s="13" t="n">
        <v>108</v>
      </c>
      <c r="D82" s="13" t="s">
        <v>414</v>
      </c>
      <c r="E82" s="13" t="s">
        <v>423</v>
      </c>
      <c r="F82" s="13" t="s">
        <v>299</v>
      </c>
      <c r="G82" s="13" t="s">
        <v>424</v>
      </c>
      <c r="H82" s="13" t="s">
        <v>425</v>
      </c>
      <c r="I82" s="13" t="s">
        <v>82</v>
      </c>
      <c r="J82" s="13" t="s">
        <v>83</v>
      </c>
      <c r="K82" s="13"/>
      <c r="L82" s="13" t="s">
        <v>418</v>
      </c>
      <c r="M82" s="13" t="s">
        <v>419</v>
      </c>
    </row>
    <row r="83" customFormat="false" ht="102.2" hidden="false" customHeight="false" outlineLevel="0" collapsed="false">
      <c r="A83" s="13" t="s">
        <v>3</v>
      </c>
      <c r="B83" s="13" t="s">
        <v>68</v>
      </c>
      <c r="C83" s="13" t="n">
        <v>132</v>
      </c>
      <c r="D83" s="13" t="s">
        <v>426</v>
      </c>
      <c r="E83" s="13" t="s">
        <v>427</v>
      </c>
      <c r="F83" s="13" t="s">
        <v>428</v>
      </c>
      <c r="G83" s="13" t="s">
        <v>429</v>
      </c>
      <c r="H83" s="13" t="s">
        <v>430</v>
      </c>
      <c r="I83" s="13" t="s">
        <v>82</v>
      </c>
      <c r="J83" s="13" t="s">
        <v>83</v>
      </c>
      <c r="K83" s="13"/>
      <c r="L83" s="13" t="s">
        <v>431</v>
      </c>
      <c r="M83" s="13" t="s">
        <v>432</v>
      </c>
    </row>
    <row r="84" customFormat="false" ht="102.2" hidden="false" customHeight="false" outlineLevel="0" collapsed="false">
      <c r="A84" s="13" t="s">
        <v>3</v>
      </c>
      <c r="B84" s="13" t="s">
        <v>68</v>
      </c>
      <c r="C84" s="13" t="n">
        <v>132</v>
      </c>
      <c r="D84" s="13" t="s">
        <v>426</v>
      </c>
      <c r="E84" s="13" t="s">
        <v>433</v>
      </c>
      <c r="F84" s="13" t="s">
        <v>428</v>
      </c>
      <c r="G84" s="13" t="s">
        <v>434</v>
      </c>
      <c r="H84" s="13" t="s">
        <v>435</v>
      </c>
      <c r="I84" s="13" t="s">
        <v>82</v>
      </c>
      <c r="J84" s="13" t="s">
        <v>83</v>
      </c>
      <c r="K84" s="13"/>
      <c r="L84" s="13" t="s">
        <v>431</v>
      </c>
      <c r="M84" s="13" t="s">
        <v>432</v>
      </c>
    </row>
    <row r="85" customFormat="false" ht="102.2" hidden="false" customHeight="false" outlineLevel="0" collapsed="false">
      <c r="A85" s="13" t="s">
        <v>3</v>
      </c>
      <c r="B85" s="13" t="s">
        <v>68</v>
      </c>
      <c r="C85" s="13" t="n">
        <v>132</v>
      </c>
      <c r="D85" s="13" t="s">
        <v>426</v>
      </c>
      <c r="E85" s="13" t="s">
        <v>436</v>
      </c>
      <c r="F85" s="13" t="s">
        <v>428</v>
      </c>
      <c r="G85" s="13" t="s">
        <v>196</v>
      </c>
      <c r="H85" s="13" t="s">
        <v>437</v>
      </c>
      <c r="I85" s="13" t="s">
        <v>82</v>
      </c>
      <c r="J85" s="13" t="s">
        <v>83</v>
      </c>
      <c r="K85" s="13"/>
      <c r="L85" s="13" t="s">
        <v>431</v>
      </c>
      <c r="M85" s="13" t="s">
        <v>432</v>
      </c>
    </row>
    <row r="86" customFormat="false" ht="102.2" hidden="false" customHeight="false" outlineLevel="0" collapsed="false">
      <c r="A86" s="13" t="s">
        <v>3</v>
      </c>
      <c r="B86" s="13" t="s">
        <v>68</v>
      </c>
      <c r="C86" s="13" t="n">
        <v>132</v>
      </c>
      <c r="D86" s="13" t="s">
        <v>426</v>
      </c>
      <c r="E86" s="13" t="s">
        <v>438</v>
      </c>
      <c r="F86" s="13" t="s">
        <v>437</v>
      </c>
      <c r="G86" s="13" t="s">
        <v>439</v>
      </c>
      <c r="H86" s="13" t="s">
        <v>440</v>
      </c>
      <c r="I86" s="13" t="s">
        <v>82</v>
      </c>
      <c r="J86" s="13" t="s">
        <v>83</v>
      </c>
      <c r="K86" s="13"/>
      <c r="L86" s="13" t="s">
        <v>431</v>
      </c>
      <c r="M86" s="13" t="s">
        <v>432</v>
      </c>
    </row>
    <row r="87" customFormat="false" ht="23.85" hidden="false" customHeight="false" outlineLevel="0" collapsed="false">
      <c r="A87" s="13" t="s">
        <v>3</v>
      </c>
      <c r="B87" s="13" t="s">
        <v>68</v>
      </c>
      <c r="C87" s="13" t="n">
        <v>132</v>
      </c>
      <c r="D87" s="13" t="s">
        <v>441</v>
      </c>
      <c r="E87" s="13" t="s">
        <v>442</v>
      </c>
      <c r="F87" s="13" t="s">
        <v>443</v>
      </c>
      <c r="G87" s="13" t="s">
        <v>444</v>
      </c>
      <c r="H87" s="13" t="s">
        <v>445</v>
      </c>
      <c r="I87" s="13" t="s">
        <v>82</v>
      </c>
      <c r="J87" s="13" t="s">
        <v>83</v>
      </c>
      <c r="K87" s="13"/>
      <c r="L87" s="13" t="s">
        <v>446</v>
      </c>
      <c r="M87" s="13" t="s">
        <v>447</v>
      </c>
    </row>
    <row r="88" customFormat="false" ht="57.45" hidden="false" customHeight="false" outlineLevel="0" collapsed="false">
      <c r="A88" s="13" t="s">
        <v>3</v>
      </c>
      <c r="B88" s="13" t="s">
        <v>68</v>
      </c>
      <c r="C88" s="13" t="n">
        <v>132</v>
      </c>
      <c r="D88" s="13" t="s">
        <v>448</v>
      </c>
      <c r="E88" s="13" t="s">
        <v>449</v>
      </c>
      <c r="F88" s="13" t="s">
        <v>299</v>
      </c>
      <c r="G88" s="13" t="s">
        <v>196</v>
      </c>
      <c r="H88" s="13" t="s">
        <v>450</v>
      </c>
      <c r="I88" s="13" t="s">
        <v>82</v>
      </c>
      <c r="J88" s="13" t="s">
        <v>83</v>
      </c>
      <c r="K88" s="13"/>
      <c r="L88" s="13" t="s">
        <v>451</v>
      </c>
      <c r="M88" s="13" t="s">
        <v>452</v>
      </c>
    </row>
    <row r="89" customFormat="false" ht="57.45" hidden="false" customHeight="false" outlineLevel="0" collapsed="false">
      <c r="A89" s="13" t="s">
        <v>3</v>
      </c>
      <c r="B89" s="13" t="s">
        <v>68</v>
      </c>
      <c r="C89" s="13" t="n">
        <v>132</v>
      </c>
      <c r="D89" s="13" t="s">
        <v>448</v>
      </c>
      <c r="E89" s="13" t="s">
        <v>453</v>
      </c>
      <c r="F89" s="13" t="s">
        <v>450</v>
      </c>
      <c r="G89" s="13" t="s">
        <v>454</v>
      </c>
      <c r="H89" s="13" t="s">
        <v>443</v>
      </c>
      <c r="I89" s="13" t="s">
        <v>82</v>
      </c>
      <c r="J89" s="13" t="s">
        <v>83</v>
      </c>
      <c r="K89" s="13"/>
      <c r="L89" s="13" t="s">
        <v>451</v>
      </c>
      <c r="M89" s="13" t="s">
        <v>452</v>
      </c>
    </row>
    <row r="90" customFormat="false" ht="57.45" hidden="false" customHeight="false" outlineLevel="0" collapsed="false">
      <c r="A90" s="13" t="s">
        <v>3</v>
      </c>
      <c r="B90" s="13" t="s">
        <v>68</v>
      </c>
      <c r="C90" s="13" t="n">
        <v>132</v>
      </c>
      <c r="D90" s="13" t="s">
        <v>448</v>
      </c>
      <c r="E90" s="13" t="s">
        <v>455</v>
      </c>
      <c r="F90" s="13" t="s">
        <v>450</v>
      </c>
      <c r="G90" s="13" t="s">
        <v>456</v>
      </c>
      <c r="H90" s="13" t="s">
        <v>457</v>
      </c>
      <c r="I90" s="13" t="s">
        <v>82</v>
      </c>
      <c r="J90" s="13" t="s">
        <v>83</v>
      </c>
      <c r="K90" s="13"/>
      <c r="L90" s="13" t="s">
        <v>451</v>
      </c>
      <c r="M90" s="13" t="s">
        <v>452</v>
      </c>
    </row>
    <row r="91" customFormat="false" ht="35.05" hidden="false" customHeight="false" outlineLevel="0" collapsed="false">
      <c r="A91" s="13" t="s">
        <v>3</v>
      </c>
      <c r="B91" s="13" t="s">
        <v>68</v>
      </c>
      <c r="C91" s="13" t="n">
        <v>132</v>
      </c>
      <c r="D91" s="13" t="s">
        <v>458</v>
      </c>
      <c r="E91" s="13" t="s">
        <v>459</v>
      </c>
      <c r="F91" s="13" t="s">
        <v>299</v>
      </c>
      <c r="G91" s="13" t="s">
        <v>460</v>
      </c>
      <c r="H91" s="13" t="s">
        <v>461</v>
      </c>
      <c r="I91" s="13" t="s">
        <v>82</v>
      </c>
      <c r="J91" s="13" t="s">
        <v>83</v>
      </c>
      <c r="K91" s="13"/>
      <c r="L91" s="13" t="s">
        <v>462</v>
      </c>
      <c r="M91" s="13" t="s">
        <v>463</v>
      </c>
    </row>
    <row r="92" customFormat="false" ht="35.05" hidden="false" customHeight="false" outlineLevel="0" collapsed="false">
      <c r="A92" s="13" t="s">
        <v>3</v>
      </c>
      <c r="B92" s="13" t="s">
        <v>68</v>
      </c>
      <c r="C92" s="13" t="n">
        <v>132</v>
      </c>
      <c r="D92" s="13" t="s">
        <v>458</v>
      </c>
      <c r="E92" s="13" t="s">
        <v>464</v>
      </c>
      <c r="F92" s="13" t="s">
        <v>465</v>
      </c>
      <c r="G92" s="13" t="s">
        <v>466</v>
      </c>
      <c r="H92" s="13" t="s">
        <v>467</v>
      </c>
      <c r="I92" s="13" t="s">
        <v>82</v>
      </c>
      <c r="J92" s="13" t="s">
        <v>83</v>
      </c>
      <c r="K92" s="13"/>
      <c r="L92" s="13" t="s">
        <v>462</v>
      </c>
      <c r="M92" s="13" t="s">
        <v>463</v>
      </c>
    </row>
    <row r="93" customFormat="false" ht="57.45" hidden="false" customHeight="false" outlineLevel="0" collapsed="false">
      <c r="A93" s="13" t="s">
        <v>3</v>
      </c>
      <c r="B93" s="13" t="s">
        <v>68</v>
      </c>
      <c r="C93" s="13" t="n">
        <v>132</v>
      </c>
      <c r="D93" s="13" t="s">
        <v>468</v>
      </c>
      <c r="E93" s="13" t="s">
        <v>469</v>
      </c>
      <c r="F93" s="13" t="s">
        <v>299</v>
      </c>
      <c r="G93" s="13" t="s">
        <v>460</v>
      </c>
      <c r="H93" s="13" t="s">
        <v>461</v>
      </c>
      <c r="I93" s="13" t="s">
        <v>82</v>
      </c>
      <c r="J93" s="13" t="s">
        <v>83</v>
      </c>
      <c r="K93" s="13"/>
      <c r="L93" s="13" t="s">
        <v>470</v>
      </c>
      <c r="M93" s="13" t="s">
        <v>471</v>
      </c>
    </row>
    <row r="94" customFormat="false" ht="57.45" hidden="false" customHeight="false" outlineLevel="0" collapsed="false">
      <c r="A94" s="13" t="s">
        <v>3</v>
      </c>
      <c r="B94" s="13" t="s">
        <v>68</v>
      </c>
      <c r="C94" s="13" t="n">
        <v>132</v>
      </c>
      <c r="D94" s="13" t="s">
        <v>468</v>
      </c>
      <c r="E94" s="13" t="s">
        <v>472</v>
      </c>
      <c r="F94" s="13" t="s">
        <v>473</v>
      </c>
      <c r="G94" s="13" t="s">
        <v>466</v>
      </c>
      <c r="H94" s="13" t="s">
        <v>474</v>
      </c>
      <c r="I94" s="13" t="s">
        <v>82</v>
      </c>
      <c r="J94" s="13" t="s">
        <v>83</v>
      </c>
      <c r="K94" s="13"/>
      <c r="L94" s="13" t="s">
        <v>470</v>
      </c>
      <c r="M94" s="13" t="s">
        <v>471</v>
      </c>
    </row>
    <row r="95" customFormat="false" ht="57.45" hidden="false" customHeight="false" outlineLevel="0" collapsed="false">
      <c r="A95" s="13" t="s">
        <v>3</v>
      </c>
      <c r="B95" s="13" t="s">
        <v>68</v>
      </c>
      <c r="C95" s="13" t="n">
        <v>132</v>
      </c>
      <c r="D95" s="13" t="s">
        <v>468</v>
      </c>
      <c r="E95" s="13" t="s">
        <v>475</v>
      </c>
      <c r="F95" s="13" t="s">
        <v>299</v>
      </c>
      <c r="G95" s="13" t="s">
        <v>476</v>
      </c>
      <c r="H95" s="13" t="s">
        <v>477</v>
      </c>
      <c r="I95" s="13" t="s">
        <v>82</v>
      </c>
      <c r="J95" s="13" t="s">
        <v>83</v>
      </c>
      <c r="K95" s="13"/>
      <c r="L95" s="13" t="s">
        <v>470</v>
      </c>
      <c r="M95" s="13" t="s">
        <v>471</v>
      </c>
    </row>
    <row r="96" customFormat="false" ht="79.85" hidden="false" customHeight="false" outlineLevel="0" collapsed="false">
      <c r="A96" s="13" t="s">
        <v>3</v>
      </c>
      <c r="B96" s="13" t="s">
        <v>68</v>
      </c>
      <c r="C96" s="13" t="n">
        <v>132</v>
      </c>
      <c r="D96" s="13" t="s">
        <v>478</v>
      </c>
      <c r="E96" s="13" t="s">
        <v>479</v>
      </c>
      <c r="F96" s="13" t="s">
        <v>299</v>
      </c>
      <c r="G96" s="13" t="s">
        <v>480</v>
      </c>
      <c r="H96" s="13" t="s">
        <v>481</v>
      </c>
      <c r="I96" s="13" t="s">
        <v>82</v>
      </c>
      <c r="J96" s="13" t="s">
        <v>83</v>
      </c>
      <c r="K96" s="13"/>
      <c r="L96" s="13" t="s">
        <v>482</v>
      </c>
      <c r="M96" s="13" t="s">
        <v>483</v>
      </c>
    </row>
    <row r="97" customFormat="false" ht="79.85" hidden="false" customHeight="false" outlineLevel="0" collapsed="false">
      <c r="A97" s="13" t="s">
        <v>3</v>
      </c>
      <c r="B97" s="13" t="s">
        <v>68</v>
      </c>
      <c r="C97" s="13" t="n">
        <v>132</v>
      </c>
      <c r="D97" s="13" t="s">
        <v>478</v>
      </c>
      <c r="E97" s="13" t="s">
        <v>484</v>
      </c>
      <c r="F97" s="13" t="s">
        <v>299</v>
      </c>
      <c r="G97" s="13" t="s">
        <v>485</v>
      </c>
      <c r="H97" s="13" t="s">
        <v>486</v>
      </c>
      <c r="I97" s="13" t="s">
        <v>82</v>
      </c>
      <c r="J97" s="13" t="s">
        <v>83</v>
      </c>
      <c r="K97" s="13"/>
      <c r="L97" s="13" t="s">
        <v>482</v>
      </c>
      <c r="M97" s="13" t="s">
        <v>483</v>
      </c>
    </row>
    <row r="98" customFormat="false" ht="23.85" hidden="false" customHeight="false" outlineLevel="0" collapsed="false">
      <c r="A98" s="13" t="s">
        <v>3</v>
      </c>
      <c r="B98" s="13" t="s">
        <v>68</v>
      </c>
      <c r="C98" s="13" t="n">
        <v>132</v>
      </c>
      <c r="D98" s="13" t="s">
        <v>487</v>
      </c>
      <c r="E98" s="13" t="s">
        <v>488</v>
      </c>
      <c r="F98" s="13" t="s">
        <v>299</v>
      </c>
      <c r="G98" s="13" t="s">
        <v>485</v>
      </c>
      <c r="H98" s="13" t="s">
        <v>489</v>
      </c>
      <c r="I98" s="13" t="s">
        <v>82</v>
      </c>
      <c r="J98" s="13" t="s">
        <v>83</v>
      </c>
      <c r="K98" s="13"/>
      <c r="L98" s="13" t="s">
        <v>490</v>
      </c>
      <c r="M98" s="13" t="s">
        <v>491</v>
      </c>
    </row>
    <row r="99" customFormat="false" ht="46.25" hidden="false" customHeight="false" outlineLevel="0" collapsed="false">
      <c r="A99" s="13" t="s">
        <v>3</v>
      </c>
      <c r="B99" s="13" t="s">
        <v>68</v>
      </c>
      <c r="C99" s="13" t="n">
        <v>132</v>
      </c>
      <c r="D99" s="13" t="s">
        <v>492</v>
      </c>
      <c r="E99" s="13" t="s">
        <v>493</v>
      </c>
      <c r="F99" s="13" t="s">
        <v>299</v>
      </c>
      <c r="G99" s="13" t="s">
        <v>485</v>
      </c>
      <c r="H99" s="13" t="s">
        <v>494</v>
      </c>
      <c r="I99" s="13" t="s">
        <v>82</v>
      </c>
      <c r="J99" s="13" t="s">
        <v>83</v>
      </c>
      <c r="K99" s="13"/>
      <c r="L99" s="13" t="s">
        <v>495</v>
      </c>
      <c r="M99" s="13" t="s">
        <v>496</v>
      </c>
    </row>
    <row r="100" customFormat="false" ht="23.85" hidden="false" customHeight="false" outlineLevel="0" collapsed="false">
      <c r="A100" s="13" t="s">
        <v>3</v>
      </c>
      <c r="B100" s="13" t="s">
        <v>68</v>
      </c>
      <c r="C100" s="13" t="n">
        <v>132</v>
      </c>
      <c r="D100" s="13" t="s">
        <v>497</v>
      </c>
      <c r="E100" s="13" t="s">
        <v>498</v>
      </c>
      <c r="F100" s="13" t="s">
        <v>299</v>
      </c>
      <c r="G100" s="13" t="s">
        <v>485</v>
      </c>
      <c r="H100" s="13" t="s">
        <v>499</v>
      </c>
      <c r="I100" s="13" t="s">
        <v>82</v>
      </c>
      <c r="J100" s="13" t="s">
        <v>83</v>
      </c>
      <c r="K100" s="13"/>
      <c r="L100" s="13" t="s">
        <v>500</v>
      </c>
      <c r="M100" s="13" t="s">
        <v>501</v>
      </c>
    </row>
    <row r="101" customFormat="false" ht="124.6" hidden="false" customHeight="false" outlineLevel="0" collapsed="false">
      <c r="A101" s="13" t="s">
        <v>3</v>
      </c>
      <c r="B101" s="13" t="s">
        <v>68</v>
      </c>
      <c r="C101" s="13" t="n">
        <v>132</v>
      </c>
      <c r="D101" s="13" t="s">
        <v>502</v>
      </c>
      <c r="E101" s="13" t="s">
        <v>503</v>
      </c>
      <c r="F101" s="13" t="s">
        <v>504</v>
      </c>
      <c r="G101" s="13" t="s">
        <v>505</v>
      </c>
      <c r="H101" s="13" t="s">
        <v>440</v>
      </c>
      <c r="I101" s="13" t="s">
        <v>82</v>
      </c>
      <c r="J101" s="13" t="s">
        <v>83</v>
      </c>
      <c r="K101" s="13"/>
      <c r="L101" s="13" t="s">
        <v>506</v>
      </c>
      <c r="M101" s="13" t="s">
        <v>507</v>
      </c>
    </row>
    <row r="102" customFormat="false" ht="124.6" hidden="false" customHeight="false" outlineLevel="0" collapsed="false">
      <c r="A102" s="13" t="s">
        <v>3</v>
      </c>
      <c r="B102" s="13" t="s">
        <v>68</v>
      </c>
      <c r="C102" s="13" t="n">
        <v>132</v>
      </c>
      <c r="D102" s="13" t="s">
        <v>502</v>
      </c>
      <c r="E102" s="13" t="s">
        <v>508</v>
      </c>
      <c r="F102" s="13" t="s">
        <v>509</v>
      </c>
      <c r="G102" s="13" t="s">
        <v>510</v>
      </c>
      <c r="H102" s="13" t="s">
        <v>511</v>
      </c>
      <c r="I102" s="13" t="s">
        <v>82</v>
      </c>
      <c r="J102" s="13" t="s">
        <v>83</v>
      </c>
      <c r="K102" s="13"/>
      <c r="L102" s="13" t="s">
        <v>506</v>
      </c>
      <c r="M102" s="13" t="s">
        <v>507</v>
      </c>
    </row>
    <row r="103" customFormat="false" ht="124.6" hidden="false" customHeight="false" outlineLevel="0" collapsed="false">
      <c r="A103" s="13" t="s">
        <v>3</v>
      </c>
      <c r="B103" s="13" t="s">
        <v>68</v>
      </c>
      <c r="C103" s="13" t="n">
        <v>132</v>
      </c>
      <c r="D103" s="13" t="s">
        <v>502</v>
      </c>
      <c r="E103" s="13" t="s">
        <v>512</v>
      </c>
      <c r="F103" s="13" t="s">
        <v>509</v>
      </c>
      <c r="G103" s="13" t="s">
        <v>513</v>
      </c>
      <c r="H103" s="13" t="s">
        <v>514</v>
      </c>
      <c r="I103" s="13" t="s">
        <v>82</v>
      </c>
      <c r="J103" s="13" t="s">
        <v>83</v>
      </c>
      <c r="K103" s="13"/>
      <c r="L103" s="13" t="s">
        <v>506</v>
      </c>
      <c r="M103" s="13" t="s">
        <v>507</v>
      </c>
    </row>
    <row r="104" customFormat="false" ht="124.6" hidden="false" customHeight="false" outlineLevel="0" collapsed="false">
      <c r="A104" s="13" t="s">
        <v>3</v>
      </c>
      <c r="B104" s="13" t="s">
        <v>68</v>
      </c>
      <c r="C104" s="13" t="n">
        <v>132</v>
      </c>
      <c r="D104" s="13" t="s">
        <v>502</v>
      </c>
      <c r="E104" s="13" t="s">
        <v>515</v>
      </c>
      <c r="F104" s="13" t="s">
        <v>516</v>
      </c>
      <c r="G104" s="13" t="s">
        <v>517</v>
      </c>
      <c r="H104" s="13" t="s">
        <v>518</v>
      </c>
      <c r="I104" s="13" t="s">
        <v>82</v>
      </c>
      <c r="J104" s="13" t="s">
        <v>83</v>
      </c>
      <c r="K104" s="13"/>
      <c r="L104" s="13" t="s">
        <v>506</v>
      </c>
      <c r="M104" s="13" t="s">
        <v>507</v>
      </c>
    </row>
    <row r="105" customFormat="false" ht="124.6" hidden="false" customHeight="false" outlineLevel="0" collapsed="false">
      <c r="A105" s="13" t="s">
        <v>3</v>
      </c>
      <c r="B105" s="13" t="s">
        <v>68</v>
      </c>
      <c r="C105" s="13" t="n">
        <v>132</v>
      </c>
      <c r="D105" s="13" t="s">
        <v>502</v>
      </c>
      <c r="E105" s="13" t="s">
        <v>519</v>
      </c>
      <c r="F105" s="13" t="s">
        <v>516</v>
      </c>
      <c r="G105" s="13" t="s">
        <v>520</v>
      </c>
      <c r="H105" s="13" t="s">
        <v>521</v>
      </c>
      <c r="I105" s="13" t="s">
        <v>82</v>
      </c>
      <c r="J105" s="13" t="s">
        <v>83</v>
      </c>
      <c r="K105" s="13"/>
      <c r="L105" s="13" t="s">
        <v>506</v>
      </c>
      <c r="M105" s="13" t="s">
        <v>507</v>
      </c>
    </row>
    <row r="106" customFormat="false" ht="124.6" hidden="false" customHeight="false" outlineLevel="0" collapsed="false">
      <c r="A106" s="13" t="s">
        <v>3</v>
      </c>
      <c r="B106" s="13" t="s">
        <v>68</v>
      </c>
      <c r="C106" s="13" t="n">
        <v>132</v>
      </c>
      <c r="D106" s="13" t="s">
        <v>502</v>
      </c>
      <c r="E106" s="13" t="s">
        <v>522</v>
      </c>
      <c r="F106" s="13" t="s">
        <v>516</v>
      </c>
      <c r="G106" s="13" t="s">
        <v>523</v>
      </c>
      <c r="H106" s="13" t="s">
        <v>509</v>
      </c>
      <c r="I106" s="13" t="s">
        <v>82</v>
      </c>
      <c r="J106" s="13" t="s">
        <v>83</v>
      </c>
      <c r="K106" s="13"/>
      <c r="L106" s="13" t="s">
        <v>506</v>
      </c>
      <c r="M106" s="13" t="s">
        <v>507</v>
      </c>
    </row>
    <row r="107" customFormat="false" ht="79.85" hidden="false" customHeight="false" outlineLevel="0" collapsed="false">
      <c r="A107" s="13" t="s">
        <v>3</v>
      </c>
      <c r="B107" s="13" t="s">
        <v>68</v>
      </c>
      <c r="C107" s="13" t="n">
        <v>167</v>
      </c>
      <c r="D107" s="13" t="s">
        <v>524</v>
      </c>
      <c r="E107" s="13" t="s">
        <v>525</v>
      </c>
      <c r="F107" s="13" t="s">
        <v>71</v>
      </c>
      <c r="G107" s="13" t="s">
        <v>526</v>
      </c>
      <c r="H107" s="13" t="s">
        <v>527</v>
      </c>
      <c r="I107" s="13" t="s">
        <v>82</v>
      </c>
      <c r="J107" s="13" t="s">
        <v>83</v>
      </c>
      <c r="K107" s="13"/>
      <c r="L107" s="13" t="s">
        <v>528</v>
      </c>
      <c r="M107" s="13" t="s">
        <v>529</v>
      </c>
    </row>
    <row r="108" customFormat="false" ht="79.85" hidden="false" customHeight="false" outlineLevel="0" collapsed="false">
      <c r="A108" s="13" t="s">
        <v>3</v>
      </c>
      <c r="B108" s="13" t="s">
        <v>68</v>
      </c>
      <c r="C108" s="13" t="n">
        <v>167</v>
      </c>
      <c r="D108" s="13" t="s">
        <v>524</v>
      </c>
      <c r="E108" s="13" t="s">
        <v>530</v>
      </c>
      <c r="F108" s="13" t="s">
        <v>527</v>
      </c>
      <c r="G108" s="13" t="s">
        <v>531</v>
      </c>
      <c r="H108" s="13" t="s">
        <v>532</v>
      </c>
      <c r="I108" s="13" t="s">
        <v>82</v>
      </c>
      <c r="J108" s="13" t="s">
        <v>83</v>
      </c>
      <c r="K108" s="13"/>
      <c r="L108" s="13" t="s">
        <v>528</v>
      </c>
      <c r="M108" s="13" t="s">
        <v>529</v>
      </c>
    </row>
    <row r="109" customFormat="false" ht="79.85" hidden="false" customHeight="false" outlineLevel="0" collapsed="false">
      <c r="A109" s="13" t="s">
        <v>3</v>
      </c>
      <c r="B109" s="13" t="s">
        <v>68</v>
      </c>
      <c r="C109" s="13" t="n">
        <v>167</v>
      </c>
      <c r="D109" s="13" t="s">
        <v>524</v>
      </c>
      <c r="E109" s="13" t="s">
        <v>533</v>
      </c>
      <c r="F109" s="13" t="s">
        <v>71</v>
      </c>
      <c r="G109" s="13" t="s">
        <v>534</v>
      </c>
      <c r="H109" s="13" t="s">
        <v>535</v>
      </c>
      <c r="I109" s="13" t="s">
        <v>82</v>
      </c>
      <c r="J109" s="13" t="s">
        <v>83</v>
      </c>
      <c r="K109" s="13"/>
      <c r="L109" s="13" t="s">
        <v>528</v>
      </c>
      <c r="M109" s="13" t="s">
        <v>529</v>
      </c>
    </row>
    <row r="110" customFormat="false" ht="79.85" hidden="false" customHeight="false" outlineLevel="0" collapsed="false">
      <c r="A110" s="13" t="s">
        <v>3</v>
      </c>
      <c r="B110" s="13" t="s">
        <v>68</v>
      </c>
      <c r="C110" s="13" t="n">
        <v>167</v>
      </c>
      <c r="D110" s="13" t="s">
        <v>524</v>
      </c>
      <c r="E110" s="13" t="s">
        <v>536</v>
      </c>
      <c r="F110" s="13" t="s">
        <v>71</v>
      </c>
      <c r="G110" s="13" t="s">
        <v>534</v>
      </c>
      <c r="H110" s="13" t="s">
        <v>537</v>
      </c>
      <c r="I110" s="13" t="s">
        <v>82</v>
      </c>
      <c r="J110" s="13" t="s">
        <v>83</v>
      </c>
      <c r="K110" s="13"/>
      <c r="L110" s="13" t="s">
        <v>528</v>
      </c>
      <c r="M110" s="13" t="s">
        <v>529</v>
      </c>
    </row>
    <row r="111" customFormat="false" ht="79.85" hidden="false" customHeight="false" outlineLevel="0" collapsed="false">
      <c r="A111" s="13" t="s">
        <v>3</v>
      </c>
      <c r="B111" s="13" t="s">
        <v>68</v>
      </c>
      <c r="C111" s="13" t="n">
        <v>167</v>
      </c>
      <c r="D111" s="13" t="s">
        <v>524</v>
      </c>
      <c r="E111" s="13" t="s">
        <v>538</v>
      </c>
      <c r="F111" s="13" t="s">
        <v>71</v>
      </c>
      <c r="G111" s="13" t="s">
        <v>534</v>
      </c>
      <c r="H111" s="13" t="s">
        <v>539</v>
      </c>
      <c r="I111" s="13" t="s">
        <v>82</v>
      </c>
      <c r="J111" s="13" t="s">
        <v>83</v>
      </c>
      <c r="K111" s="13"/>
      <c r="L111" s="13" t="s">
        <v>528</v>
      </c>
      <c r="M111" s="13" t="s">
        <v>529</v>
      </c>
    </row>
    <row r="112" customFormat="false" ht="79.85" hidden="false" customHeight="false" outlineLevel="0" collapsed="false">
      <c r="A112" s="13" t="s">
        <v>3</v>
      </c>
      <c r="B112" s="13" t="s">
        <v>68</v>
      </c>
      <c r="C112" s="13" t="n">
        <v>167</v>
      </c>
      <c r="D112" s="13" t="s">
        <v>524</v>
      </c>
      <c r="E112" s="13" t="s">
        <v>540</v>
      </c>
      <c r="F112" s="13" t="s">
        <v>71</v>
      </c>
      <c r="G112" s="13" t="s">
        <v>541</v>
      </c>
      <c r="H112" s="13" t="s">
        <v>542</v>
      </c>
      <c r="I112" s="13" t="s">
        <v>74</v>
      </c>
      <c r="J112" s="13" t="s">
        <v>543</v>
      </c>
      <c r="K112" s="13" t="s">
        <v>544</v>
      </c>
      <c r="L112" s="13" t="s">
        <v>528</v>
      </c>
      <c r="M112" s="13" t="s">
        <v>529</v>
      </c>
    </row>
    <row r="113" customFormat="false" ht="23.85" hidden="false" customHeight="false" outlineLevel="0" collapsed="false">
      <c r="A113" s="13" t="s">
        <v>3</v>
      </c>
      <c r="B113" s="13" t="s">
        <v>68</v>
      </c>
      <c r="C113" s="13" t="n">
        <v>167</v>
      </c>
      <c r="D113" s="13" t="s">
        <v>545</v>
      </c>
      <c r="E113" s="13" t="s">
        <v>546</v>
      </c>
      <c r="F113" s="13" t="s">
        <v>547</v>
      </c>
      <c r="G113" s="13" t="s">
        <v>548</v>
      </c>
      <c r="H113" s="13" t="s">
        <v>549</v>
      </c>
      <c r="I113" s="13" t="s">
        <v>82</v>
      </c>
      <c r="J113" s="13" t="s">
        <v>83</v>
      </c>
      <c r="K113" s="13"/>
      <c r="L113" s="13" t="s">
        <v>550</v>
      </c>
      <c r="M113" s="13" t="s">
        <v>551</v>
      </c>
    </row>
    <row r="114" customFormat="false" ht="68.65" hidden="false" customHeight="false" outlineLevel="0" collapsed="false">
      <c r="A114" s="13" t="s">
        <v>3</v>
      </c>
      <c r="B114" s="13" t="s">
        <v>68</v>
      </c>
      <c r="C114" s="13" t="n">
        <v>167</v>
      </c>
      <c r="D114" s="13" t="s">
        <v>552</v>
      </c>
      <c r="E114" s="13" t="s">
        <v>553</v>
      </c>
      <c r="F114" s="13" t="s">
        <v>71</v>
      </c>
      <c r="G114" s="13" t="s">
        <v>554</v>
      </c>
      <c r="H114" s="13" t="s">
        <v>555</v>
      </c>
      <c r="I114" s="13" t="s">
        <v>82</v>
      </c>
      <c r="J114" s="13" t="s">
        <v>83</v>
      </c>
      <c r="K114" s="13"/>
      <c r="L114" s="13" t="s">
        <v>556</v>
      </c>
      <c r="M114" s="13" t="s">
        <v>557</v>
      </c>
    </row>
    <row r="115" customFormat="false" ht="68.65" hidden="false" customHeight="false" outlineLevel="0" collapsed="false">
      <c r="A115" s="13" t="s">
        <v>3</v>
      </c>
      <c r="B115" s="13" t="s">
        <v>68</v>
      </c>
      <c r="C115" s="13" t="n">
        <v>167</v>
      </c>
      <c r="D115" s="13" t="s">
        <v>552</v>
      </c>
      <c r="E115" s="13" t="s">
        <v>558</v>
      </c>
      <c r="F115" s="13" t="s">
        <v>71</v>
      </c>
      <c r="G115" s="13" t="s">
        <v>559</v>
      </c>
      <c r="H115" s="13" t="s">
        <v>560</v>
      </c>
      <c r="I115" s="13" t="s">
        <v>82</v>
      </c>
      <c r="J115" s="13" t="s">
        <v>83</v>
      </c>
      <c r="K115" s="13"/>
      <c r="L115" s="13" t="s">
        <v>556</v>
      </c>
      <c r="M115" s="13" t="s">
        <v>557</v>
      </c>
    </row>
    <row r="116" customFormat="false" ht="68.65" hidden="false" customHeight="false" outlineLevel="0" collapsed="false">
      <c r="A116" s="13" t="s">
        <v>3</v>
      </c>
      <c r="B116" s="13" t="s">
        <v>68</v>
      </c>
      <c r="C116" s="13" t="n">
        <v>167</v>
      </c>
      <c r="D116" s="13" t="s">
        <v>552</v>
      </c>
      <c r="E116" s="13" t="s">
        <v>561</v>
      </c>
      <c r="F116" s="13" t="s">
        <v>562</v>
      </c>
      <c r="G116" s="13" t="s">
        <v>563</v>
      </c>
      <c r="H116" s="13" t="s">
        <v>564</v>
      </c>
      <c r="I116" s="13" t="s">
        <v>82</v>
      </c>
      <c r="J116" s="13" t="s">
        <v>83</v>
      </c>
      <c r="K116" s="13"/>
      <c r="L116" s="13" t="s">
        <v>556</v>
      </c>
      <c r="M116" s="13" t="s">
        <v>557</v>
      </c>
    </row>
    <row r="117" customFormat="false" ht="46.25" hidden="false" customHeight="false" outlineLevel="0" collapsed="false">
      <c r="A117" s="13" t="s">
        <v>3</v>
      </c>
      <c r="B117" s="13" t="s">
        <v>68</v>
      </c>
      <c r="C117" s="13" t="n">
        <v>167</v>
      </c>
      <c r="D117" s="13" t="s">
        <v>565</v>
      </c>
      <c r="E117" s="13" t="s">
        <v>566</v>
      </c>
      <c r="F117" s="13" t="s">
        <v>567</v>
      </c>
      <c r="G117" s="13" t="s">
        <v>563</v>
      </c>
      <c r="H117" s="13" t="s">
        <v>568</v>
      </c>
      <c r="I117" s="13" t="s">
        <v>82</v>
      </c>
      <c r="J117" s="13" t="s">
        <v>83</v>
      </c>
      <c r="K117" s="13"/>
      <c r="L117" s="13" t="s">
        <v>569</v>
      </c>
      <c r="M117" s="13" t="s">
        <v>570</v>
      </c>
    </row>
    <row r="118" customFormat="false" ht="35.05" hidden="false" customHeight="false" outlineLevel="0" collapsed="false">
      <c r="A118" s="13" t="s">
        <v>3</v>
      </c>
      <c r="B118" s="13" t="s">
        <v>68</v>
      </c>
      <c r="C118" s="13" t="n">
        <v>167</v>
      </c>
      <c r="D118" s="13" t="s">
        <v>571</v>
      </c>
      <c r="E118" s="13" t="s">
        <v>572</v>
      </c>
      <c r="F118" s="13" t="s">
        <v>71</v>
      </c>
      <c r="G118" s="13" t="s">
        <v>573</v>
      </c>
      <c r="H118" s="13" t="s">
        <v>574</v>
      </c>
      <c r="I118" s="13" t="s">
        <v>82</v>
      </c>
      <c r="J118" s="13" t="s">
        <v>83</v>
      </c>
      <c r="K118" s="13"/>
      <c r="L118" s="13" t="s">
        <v>575</v>
      </c>
      <c r="M118" s="13" t="s">
        <v>576</v>
      </c>
    </row>
    <row r="119" customFormat="false" ht="35.05" hidden="false" customHeight="false" outlineLevel="0" collapsed="false">
      <c r="A119" s="13" t="s">
        <v>3</v>
      </c>
      <c r="B119" s="13" t="s">
        <v>68</v>
      </c>
      <c r="C119" s="13" t="n">
        <v>167</v>
      </c>
      <c r="D119" s="13" t="s">
        <v>577</v>
      </c>
      <c r="E119" s="13" t="s">
        <v>578</v>
      </c>
      <c r="F119" s="13" t="s">
        <v>547</v>
      </c>
      <c r="G119" s="13" t="s">
        <v>579</v>
      </c>
      <c r="H119" s="13" t="s">
        <v>580</v>
      </c>
      <c r="I119" s="13" t="s">
        <v>82</v>
      </c>
      <c r="J119" s="13" t="s">
        <v>83</v>
      </c>
      <c r="K119" s="13"/>
      <c r="L119" s="13" t="s">
        <v>581</v>
      </c>
      <c r="M119" s="13" t="s">
        <v>582</v>
      </c>
    </row>
    <row r="120" customFormat="false" ht="23.85" hidden="false" customHeight="false" outlineLevel="0" collapsed="false">
      <c r="A120" s="13" t="s">
        <v>3</v>
      </c>
      <c r="B120" s="13" t="s">
        <v>68</v>
      </c>
      <c r="C120" s="13" t="n">
        <v>167</v>
      </c>
      <c r="D120" s="13" t="s">
        <v>583</v>
      </c>
      <c r="E120" s="13" t="s">
        <v>584</v>
      </c>
      <c r="F120" s="13" t="s">
        <v>182</v>
      </c>
      <c r="G120" s="13" t="s">
        <v>585</v>
      </c>
      <c r="H120" s="13" t="s">
        <v>586</v>
      </c>
      <c r="I120" s="13" t="s">
        <v>82</v>
      </c>
      <c r="J120" s="13" t="s">
        <v>83</v>
      </c>
      <c r="K120" s="13"/>
      <c r="L120" s="13" t="s">
        <v>587</v>
      </c>
      <c r="M120" s="13" t="s">
        <v>588</v>
      </c>
    </row>
    <row r="121" customFormat="false" ht="35.05" hidden="false" customHeight="false" outlineLevel="0" collapsed="false">
      <c r="A121" s="13" t="s">
        <v>3</v>
      </c>
      <c r="B121" s="13" t="s">
        <v>68</v>
      </c>
      <c r="C121" s="13" t="n">
        <v>167</v>
      </c>
      <c r="D121" s="13" t="s">
        <v>589</v>
      </c>
      <c r="E121" s="13" t="s">
        <v>590</v>
      </c>
      <c r="F121" s="13" t="s">
        <v>591</v>
      </c>
      <c r="G121" s="13" t="s">
        <v>592</v>
      </c>
      <c r="H121" s="13" t="s">
        <v>593</v>
      </c>
      <c r="I121" s="13" t="s">
        <v>82</v>
      </c>
      <c r="J121" s="13" t="s">
        <v>83</v>
      </c>
      <c r="K121" s="13"/>
      <c r="L121" s="13" t="s">
        <v>594</v>
      </c>
      <c r="M121" s="13" t="s">
        <v>595</v>
      </c>
    </row>
    <row r="122" customFormat="false" ht="35.05" hidden="false" customHeight="false" outlineLevel="0" collapsed="false">
      <c r="A122" s="13" t="s">
        <v>3</v>
      </c>
      <c r="B122" s="13" t="s">
        <v>68</v>
      </c>
      <c r="C122" s="13" t="n">
        <v>167</v>
      </c>
      <c r="D122" s="13" t="s">
        <v>596</v>
      </c>
      <c r="E122" s="13" t="s">
        <v>597</v>
      </c>
      <c r="F122" s="13" t="s">
        <v>182</v>
      </c>
      <c r="G122" s="13" t="s">
        <v>598</v>
      </c>
      <c r="H122" s="13" t="s">
        <v>599</v>
      </c>
      <c r="I122" s="13" t="s">
        <v>114</v>
      </c>
      <c r="J122" s="13" t="s">
        <v>600</v>
      </c>
      <c r="K122" s="13" t="s">
        <v>601</v>
      </c>
      <c r="L122" s="13" t="s">
        <v>602</v>
      </c>
      <c r="M122" s="13" t="s">
        <v>603</v>
      </c>
    </row>
    <row r="123" customFormat="false" ht="23.85" hidden="false" customHeight="false" outlineLevel="0" collapsed="false">
      <c r="A123" s="13" t="s">
        <v>3</v>
      </c>
      <c r="B123" s="13" t="s">
        <v>68</v>
      </c>
      <c r="C123" s="13" t="n">
        <v>167</v>
      </c>
      <c r="D123" s="13" t="s">
        <v>604</v>
      </c>
      <c r="E123" s="13" t="s">
        <v>605</v>
      </c>
      <c r="F123" s="13" t="s">
        <v>580</v>
      </c>
      <c r="G123" s="13" t="s">
        <v>606</v>
      </c>
      <c r="H123" s="13" t="s">
        <v>607</v>
      </c>
      <c r="I123" s="13" t="s">
        <v>82</v>
      </c>
      <c r="J123" s="13" t="s">
        <v>83</v>
      </c>
      <c r="K123" s="13"/>
      <c r="L123" s="13" t="s">
        <v>608</v>
      </c>
      <c r="M123" s="13" t="s">
        <v>609</v>
      </c>
    </row>
    <row r="124" customFormat="false" ht="57.45" hidden="false" customHeight="false" outlineLevel="0" collapsed="false">
      <c r="A124" s="13" t="s">
        <v>3</v>
      </c>
      <c r="B124" s="13" t="s">
        <v>68</v>
      </c>
      <c r="C124" s="13" t="n">
        <v>167</v>
      </c>
      <c r="D124" s="13" t="s">
        <v>610</v>
      </c>
      <c r="E124" s="13" t="s">
        <v>611</v>
      </c>
      <c r="F124" s="13" t="s">
        <v>182</v>
      </c>
      <c r="G124" s="13" t="s">
        <v>612</v>
      </c>
      <c r="H124" s="13" t="s">
        <v>613</v>
      </c>
      <c r="I124" s="13" t="s">
        <v>82</v>
      </c>
      <c r="J124" s="13" t="s">
        <v>83</v>
      </c>
      <c r="K124" s="13"/>
      <c r="L124" s="13" t="s">
        <v>614</v>
      </c>
      <c r="M124" s="13" t="s">
        <v>615</v>
      </c>
    </row>
    <row r="125" customFormat="false" ht="57.45" hidden="false" customHeight="false" outlineLevel="0" collapsed="false">
      <c r="A125" s="13" t="s">
        <v>3</v>
      </c>
      <c r="B125" s="13" t="s">
        <v>68</v>
      </c>
      <c r="C125" s="13" t="n">
        <v>167</v>
      </c>
      <c r="D125" s="13" t="s">
        <v>610</v>
      </c>
      <c r="E125" s="13" t="s">
        <v>616</v>
      </c>
      <c r="F125" s="13" t="s">
        <v>617</v>
      </c>
      <c r="G125" s="13" t="s">
        <v>618</v>
      </c>
      <c r="H125" s="13" t="s">
        <v>619</v>
      </c>
      <c r="I125" s="13" t="s">
        <v>82</v>
      </c>
      <c r="J125" s="13" t="s">
        <v>83</v>
      </c>
      <c r="K125" s="13"/>
      <c r="L125" s="13" t="s">
        <v>614</v>
      </c>
      <c r="M125" s="13" t="s">
        <v>615</v>
      </c>
    </row>
    <row r="126" customFormat="false" ht="46.25" hidden="false" customHeight="false" outlineLevel="0" collapsed="false">
      <c r="A126" s="13" t="s">
        <v>3</v>
      </c>
      <c r="B126" s="13" t="s">
        <v>68</v>
      </c>
      <c r="C126" s="13" t="n">
        <v>167</v>
      </c>
      <c r="D126" s="13" t="s">
        <v>620</v>
      </c>
      <c r="E126" s="13" t="s">
        <v>621</v>
      </c>
      <c r="F126" s="13" t="s">
        <v>591</v>
      </c>
      <c r="G126" s="13" t="s">
        <v>622</v>
      </c>
      <c r="H126" s="13" t="s">
        <v>623</v>
      </c>
      <c r="I126" s="13" t="s">
        <v>82</v>
      </c>
      <c r="J126" s="13" t="s">
        <v>83</v>
      </c>
      <c r="K126" s="13"/>
      <c r="L126" s="13" t="s">
        <v>624</v>
      </c>
      <c r="M126" s="13" t="s">
        <v>625</v>
      </c>
    </row>
    <row r="127" customFormat="false" ht="46.25" hidden="false" customHeight="false" outlineLevel="0" collapsed="false">
      <c r="A127" s="13" t="s">
        <v>3</v>
      </c>
      <c r="B127" s="13" t="s">
        <v>68</v>
      </c>
      <c r="C127" s="13" t="n">
        <v>167</v>
      </c>
      <c r="D127" s="13" t="s">
        <v>620</v>
      </c>
      <c r="E127" s="13" t="s">
        <v>626</v>
      </c>
      <c r="F127" s="13" t="s">
        <v>182</v>
      </c>
      <c r="G127" s="13" t="s">
        <v>627</v>
      </c>
      <c r="H127" s="13" t="s">
        <v>628</v>
      </c>
      <c r="I127" s="13" t="s">
        <v>82</v>
      </c>
      <c r="J127" s="13" t="s">
        <v>83</v>
      </c>
      <c r="K127" s="13"/>
      <c r="L127" s="13" t="s">
        <v>624</v>
      </c>
      <c r="M127" s="13" t="s">
        <v>625</v>
      </c>
    </row>
    <row r="128" customFormat="false" ht="23.85" hidden="false" customHeight="false" outlineLevel="0" collapsed="false">
      <c r="A128" s="13" t="s">
        <v>3</v>
      </c>
      <c r="B128" s="13" t="s">
        <v>68</v>
      </c>
      <c r="C128" s="13" t="n">
        <v>167</v>
      </c>
      <c r="D128" s="13" t="s">
        <v>629</v>
      </c>
      <c r="E128" s="13" t="s">
        <v>630</v>
      </c>
      <c r="F128" s="13" t="s">
        <v>580</v>
      </c>
      <c r="G128" s="13" t="s">
        <v>168</v>
      </c>
      <c r="H128" s="13" t="s">
        <v>631</v>
      </c>
      <c r="I128" s="13" t="s">
        <v>82</v>
      </c>
      <c r="J128" s="13" t="s">
        <v>83</v>
      </c>
      <c r="K128" s="13"/>
      <c r="L128" s="13" t="s">
        <v>632</v>
      </c>
      <c r="M128" s="13" t="s">
        <v>633</v>
      </c>
    </row>
    <row r="129" customFormat="false" ht="23.85" hidden="false" customHeight="false" outlineLevel="0" collapsed="false">
      <c r="A129" s="13" t="s">
        <v>3</v>
      </c>
      <c r="B129" s="13" t="s">
        <v>68</v>
      </c>
      <c r="C129" s="13" t="n">
        <v>167</v>
      </c>
      <c r="D129" s="13" t="s">
        <v>634</v>
      </c>
      <c r="E129" s="13" t="s">
        <v>635</v>
      </c>
      <c r="F129" s="13" t="s">
        <v>328</v>
      </c>
      <c r="G129" s="13" t="s">
        <v>636</v>
      </c>
      <c r="H129" s="13" t="s">
        <v>637</v>
      </c>
      <c r="I129" s="13" t="s">
        <v>82</v>
      </c>
      <c r="J129" s="13" t="s">
        <v>83</v>
      </c>
      <c r="K129" s="13"/>
      <c r="L129" s="13" t="s">
        <v>638</v>
      </c>
      <c r="M129" s="13" t="s">
        <v>639</v>
      </c>
    </row>
    <row r="130" customFormat="false" ht="68.65" hidden="false" customHeight="false" outlineLevel="0" collapsed="false">
      <c r="A130" s="13" t="s">
        <v>3</v>
      </c>
      <c r="B130" s="13" t="s">
        <v>68</v>
      </c>
      <c r="C130" s="13" t="n">
        <v>167</v>
      </c>
      <c r="D130" s="13" t="s">
        <v>640</v>
      </c>
      <c r="E130" s="13" t="s">
        <v>641</v>
      </c>
      <c r="F130" s="13" t="s">
        <v>555</v>
      </c>
      <c r="G130" s="13" t="s">
        <v>642</v>
      </c>
      <c r="H130" s="13" t="s">
        <v>532</v>
      </c>
      <c r="I130" s="13" t="s">
        <v>82</v>
      </c>
      <c r="J130" s="13" t="s">
        <v>83</v>
      </c>
      <c r="K130" s="13"/>
      <c r="L130" s="13" t="s">
        <v>643</v>
      </c>
      <c r="M130" s="13" t="s">
        <v>644</v>
      </c>
    </row>
    <row r="131" customFormat="false" ht="68.65" hidden="false" customHeight="false" outlineLevel="0" collapsed="false">
      <c r="A131" s="13" t="s">
        <v>3</v>
      </c>
      <c r="B131" s="13" t="s">
        <v>68</v>
      </c>
      <c r="C131" s="13" t="n">
        <v>167</v>
      </c>
      <c r="D131" s="13" t="s">
        <v>640</v>
      </c>
      <c r="E131" s="13" t="s">
        <v>645</v>
      </c>
      <c r="F131" s="13" t="s">
        <v>646</v>
      </c>
      <c r="G131" s="13" t="s">
        <v>647</v>
      </c>
      <c r="H131" s="13" t="s">
        <v>648</v>
      </c>
      <c r="I131" s="13" t="s">
        <v>82</v>
      </c>
      <c r="J131" s="13" t="s">
        <v>83</v>
      </c>
      <c r="K131" s="13"/>
      <c r="L131" s="13" t="s">
        <v>643</v>
      </c>
      <c r="M131" s="13" t="s">
        <v>644</v>
      </c>
    </row>
    <row r="132" customFormat="false" ht="57.45" hidden="false" customHeight="false" outlineLevel="0" collapsed="false">
      <c r="A132" s="13" t="s">
        <v>3</v>
      </c>
      <c r="B132" s="13" t="s">
        <v>68</v>
      </c>
      <c r="C132" s="13" t="n">
        <v>167</v>
      </c>
      <c r="D132" s="13" t="s">
        <v>649</v>
      </c>
      <c r="E132" s="13" t="s">
        <v>650</v>
      </c>
      <c r="F132" s="13" t="s">
        <v>143</v>
      </c>
      <c r="G132" s="13" t="s">
        <v>651</v>
      </c>
      <c r="H132" s="13" t="s">
        <v>652</v>
      </c>
      <c r="I132" s="13" t="s">
        <v>82</v>
      </c>
      <c r="J132" s="13" t="s">
        <v>83</v>
      </c>
      <c r="K132" s="13"/>
      <c r="L132" s="13" t="s">
        <v>653</v>
      </c>
      <c r="M132" s="13" t="s">
        <v>654</v>
      </c>
    </row>
    <row r="133" customFormat="false" ht="57.45" hidden="false" customHeight="false" outlineLevel="0" collapsed="false">
      <c r="A133" s="13" t="s">
        <v>3</v>
      </c>
      <c r="B133" s="13" t="s">
        <v>68</v>
      </c>
      <c r="C133" s="13" t="n">
        <v>167</v>
      </c>
      <c r="D133" s="13" t="s">
        <v>649</v>
      </c>
      <c r="E133" s="13" t="s">
        <v>655</v>
      </c>
      <c r="F133" s="13" t="s">
        <v>656</v>
      </c>
      <c r="G133" s="13" t="s">
        <v>657</v>
      </c>
      <c r="H133" s="13" t="s">
        <v>658</v>
      </c>
      <c r="I133" s="13" t="s">
        <v>82</v>
      </c>
      <c r="J133" s="13" t="s">
        <v>83</v>
      </c>
      <c r="K133" s="13"/>
      <c r="L133" s="13" t="s">
        <v>653</v>
      </c>
      <c r="M133" s="13" t="s">
        <v>654</v>
      </c>
    </row>
    <row r="134" customFormat="false" ht="57.45" hidden="false" customHeight="false" outlineLevel="0" collapsed="false">
      <c r="A134" s="13" t="s">
        <v>3</v>
      </c>
      <c r="B134" s="13" t="s">
        <v>68</v>
      </c>
      <c r="C134" s="13" t="n">
        <v>167</v>
      </c>
      <c r="D134" s="13" t="s">
        <v>649</v>
      </c>
      <c r="E134" s="13" t="s">
        <v>659</v>
      </c>
      <c r="F134" s="13" t="s">
        <v>660</v>
      </c>
      <c r="G134" s="13" t="s">
        <v>657</v>
      </c>
      <c r="H134" s="13" t="s">
        <v>661</v>
      </c>
      <c r="I134" s="13" t="s">
        <v>82</v>
      </c>
      <c r="J134" s="13" t="s">
        <v>83</v>
      </c>
      <c r="K134" s="13"/>
      <c r="L134" s="13" t="s">
        <v>653</v>
      </c>
      <c r="M134" s="13" t="s">
        <v>654</v>
      </c>
    </row>
    <row r="135" customFormat="false" ht="57.45" hidden="false" customHeight="false" outlineLevel="0" collapsed="false">
      <c r="A135" s="13" t="s">
        <v>3</v>
      </c>
      <c r="B135" s="13" t="s">
        <v>68</v>
      </c>
      <c r="C135" s="13" t="n">
        <v>167</v>
      </c>
      <c r="D135" s="13" t="s">
        <v>649</v>
      </c>
      <c r="E135" s="13" t="s">
        <v>662</v>
      </c>
      <c r="F135" s="13" t="s">
        <v>663</v>
      </c>
      <c r="G135" s="13" t="s">
        <v>664</v>
      </c>
      <c r="H135" s="13" t="s">
        <v>665</v>
      </c>
      <c r="I135" s="13" t="s">
        <v>82</v>
      </c>
      <c r="J135" s="13" t="s">
        <v>83</v>
      </c>
      <c r="K135" s="13"/>
      <c r="L135" s="13" t="s">
        <v>653</v>
      </c>
      <c r="M135" s="13" t="s">
        <v>654</v>
      </c>
    </row>
    <row r="136" customFormat="false" ht="23.85" hidden="false" customHeight="false" outlineLevel="0" collapsed="false">
      <c r="A136" s="13" t="s">
        <v>3</v>
      </c>
      <c r="B136" s="13" t="s">
        <v>68</v>
      </c>
      <c r="C136" s="13" t="n">
        <v>178</v>
      </c>
      <c r="D136" s="13" t="s">
        <v>666</v>
      </c>
      <c r="E136" s="13" t="s">
        <v>667</v>
      </c>
      <c r="F136" s="13" t="s">
        <v>668</v>
      </c>
      <c r="G136" s="13" t="s">
        <v>669</v>
      </c>
      <c r="H136" s="13" t="s">
        <v>670</v>
      </c>
      <c r="I136" s="13" t="s">
        <v>82</v>
      </c>
      <c r="J136" s="13" t="s">
        <v>83</v>
      </c>
      <c r="K136" s="13"/>
      <c r="L136" s="13" t="s">
        <v>671</v>
      </c>
      <c r="M136" s="13" t="s">
        <v>672</v>
      </c>
    </row>
    <row r="137" customFormat="false" ht="23.85" hidden="false" customHeight="false" outlineLevel="0" collapsed="false">
      <c r="A137" s="13" t="s">
        <v>3</v>
      </c>
      <c r="B137" s="13" t="s">
        <v>68</v>
      </c>
      <c r="C137" s="13" t="n">
        <v>178</v>
      </c>
      <c r="D137" s="13" t="s">
        <v>673</v>
      </c>
      <c r="E137" s="13" t="s">
        <v>674</v>
      </c>
      <c r="F137" s="13" t="s">
        <v>675</v>
      </c>
      <c r="G137" s="13" t="s">
        <v>669</v>
      </c>
      <c r="H137" s="13" t="s">
        <v>676</v>
      </c>
      <c r="I137" s="13" t="s">
        <v>82</v>
      </c>
      <c r="J137" s="13" t="s">
        <v>83</v>
      </c>
      <c r="K137" s="13"/>
      <c r="L137" s="13" t="s">
        <v>677</v>
      </c>
      <c r="M137" s="13" t="s">
        <v>678</v>
      </c>
    </row>
    <row r="138" customFormat="false" ht="23.85" hidden="false" customHeight="false" outlineLevel="0" collapsed="false">
      <c r="A138" s="13" t="s">
        <v>3</v>
      </c>
      <c r="B138" s="13" t="s">
        <v>68</v>
      </c>
      <c r="C138" s="13" t="n">
        <v>178</v>
      </c>
      <c r="D138" s="13" t="s">
        <v>679</v>
      </c>
      <c r="E138" s="13" t="s">
        <v>680</v>
      </c>
      <c r="F138" s="13" t="s">
        <v>681</v>
      </c>
      <c r="G138" s="13" t="s">
        <v>682</v>
      </c>
      <c r="H138" s="13" t="s">
        <v>683</v>
      </c>
      <c r="I138" s="13" t="s">
        <v>82</v>
      </c>
      <c r="J138" s="13" t="s">
        <v>83</v>
      </c>
      <c r="K138" s="13"/>
      <c r="L138" s="13" t="s">
        <v>684</v>
      </c>
      <c r="M138" s="13" t="s">
        <v>685</v>
      </c>
    </row>
    <row r="139" customFormat="false" ht="35.05" hidden="false" customHeight="false" outlineLevel="0" collapsed="false">
      <c r="A139" s="13" t="s">
        <v>3</v>
      </c>
      <c r="B139" s="13" t="s">
        <v>68</v>
      </c>
      <c r="C139" s="13" t="n">
        <v>178</v>
      </c>
      <c r="D139" s="13" t="s">
        <v>686</v>
      </c>
      <c r="E139" s="13" t="s">
        <v>687</v>
      </c>
      <c r="F139" s="13" t="s">
        <v>688</v>
      </c>
      <c r="G139" s="13" t="s">
        <v>689</v>
      </c>
      <c r="H139" s="13" t="s">
        <v>690</v>
      </c>
      <c r="I139" s="13" t="s">
        <v>82</v>
      </c>
      <c r="J139" s="13" t="s">
        <v>83</v>
      </c>
      <c r="K139" s="13"/>
      <c r="L139" s="13" t="s">
        <v>691</v>
      </c>
      <c r="M139" s="13" t="s">
        <v>692</v>
      </c>
    </row>
    <row r="140" customFormat="false" ht="35.05" hidden="false" customHeight="false" outlineLevel="0" collapsed="false">
      <c r="A140" s="13" t="s">
        <v>3</v>
      </c>
      <c r="B140" s="13" t="s">
        <v>68</v>
      </c>
      <c r="C140" s="13" t="n">
        <v>178</v>
      </c>
      <c r="D140" s="13" t="s">
        <v>686</v>
      </c>
      <c r="E140" s="13" t="s">
        <v>693</v>
      </c>
      <c r="F140" s="13" t="s">
        <v>182</v>
      </c>
      <c r="G140" s="13" t="s">
        <v>694</v>
      </c>
      <c r="H140" s="13" t="s">
        <v>695</v>
      </c>
      <c r="I140" s="13" t="s">
        <v>82</v>
      </c>
      <c r="J140" s="13" t="s">
        <v>83</v>
      </c>
      <c r="K140" s="13"/>
      <c r="L140" s="13" t="s">
        <v>691</v>
      </c>
      <c r="M140" s="13" t="s">
        <v>692</v>
      </c>
    </row>
    <row r="141" customFormat="false" ht="35.05" hidden="false" customHeight="false" outlineLevel="0" collapsed="false">
      <c r="A141" s="13" t="s">
        <v>3</v>
      </c>
      <c r="B141" s="13" t="s">
        <v>68</v>
      </c>
      <c r="C141" s="13" t="n">
        <v>178</v>
      </c>
      <c r="D141" s="13" t="s">
        <v>696</v>
      </c>
      <c r="E141" s="13" t="s">
        <v>697</v>
      </c>
      <c r="F141" s="13" t="s">
        <v>698</v>
      </c>
      <c r="G141" s="13" t="s">
        <v>699</v>
      </c>
      <c r="H141" s="13" t="s">
        <v>700</v>
      </c>
      <c r="I141" s="13" t="s">
        <v>82</v>
      </c>
      <c r="J141" s="13" t="s">
        <v>83</v>
      </c>
      <c r="K141" s="13"/>
      <c r="L141" s="13" t="s">
        <v>701</v>
      </c>
      <c r="M141" s="13" t="s">
        <v>702</v>
      </c>
    </row>
    <row r="142" customFormat="false" ht="35.05" hidden="false" customHeight="false" outlineLevel="0" collapsed="false">
      <c r="A142" s="13" t="s">
        <v>3</v>
      </c>
      <c r="B142" s="13" t="s">
        <v>68</v>
      </c>
      <c r="C142" s="13" t="n">
        <v>178</v>
      </c>
      <c r="D142" s="13" t="s">
        <v>703</v>
      </c>
      <c r="E142" s="13" t="s">
        <v>704</v>
      </c>
      <c r="F142" s="13" t="s">
        <v>591</v>
      </c>
      <c r="G142" s="13" t="s">
        <v>705</v>
      </c>
      <c r="H142" s="13" t="s">
        <v>695</v>
      </c>
      <c r="I142" s="13" t="s">
        <v>82</v>
      </c>
      <c r="J142" s="13" t="s">
        <v>83</v>
      </c>
      <c r="K142" s="13"/>
      <c r="L142" s="13" t="s">
        <v>706</v>
      </c>
      <c r="M142" s="13" t="s">
        <v>707</v>
      </c>
    </row>
    <row r="143" customFormat="false" ht="23.85" hidden="false" customHeight="false" outlineLevel="0" collapsed="false">
      <c r="A143" s="13" t="s">
        <v>3</v>
      </c>
      <c r="B143" s="13" t="s">
        <v>68</v>
      </c>
      <c r="C143" s="13" t="n">
        <v>178</v>
      </c>
      <c r="D143" s="13" t="s">
        <v>708</v>
      </c>
      <c r="E143" s="13" t="s">
        <v>709</v>
      </c>
      <c r="F143" s="13" t="s">
        <v>591</v>
      </c>
      <c r="G143" s="13" t="s">
        <v>710</v>
      </c>
      <c r="H143" s="13" t="s">
        <v>695</v>
      </c>
      <c r="I143" s="13" t="s">
        <v>82</v>
      </c>
      <c r="J143" s="13" t="s">
        <v>83</v>
      </c>
      <c r="K143" s="13"/>
      <c r="L143" s="13" t="s">
        <v>711</v>
      </c>
      <c r="M143" s="13" t="s">
        <v>712</v>
      </c>
    </row>
    <row r="144" customFormat="false" ht="23.85" hidden="false" customHeight="false" outlineLevel="0" collapsed="false">
      <c r="A144" s="13" t="s">
        <v>3</v>
      </c>
      <c r="B144" s="13" t="s">
        <v>68</v>
      </c>
      <c r="C144" s="13" t="n">
        <v>178</v>
      </c>
      <c r="D144" s="13" t="s">
        <v>713</v>
      </c>
      <c r="E144" s="13" t="s">
        <v>714</v>
      </c>
      <c r="F144" s="13" t="s">
        <v>695</v>
      </c>
      <c r="G144" s="13" t="s">
        <v>715</v>
      </c>
      <c r="H144" s="13" t="s">
        <v>716</v>
      </c>
      <c r="I144" s="13" t="s">
        <v>82</v>
      </c>
      <c r="J144" s="13" t="s">
        <v>83</v>
      </c>
      <c r="K144" s="13"/>
      <c r="L144" s="13" t="s">
        <v>717</v>
      </c>
      <c r="M144" s="13" t="s">
        <v>718</v>
      </c>
    </row>
    <row r="145" customFormat="false" ht="35.05" hidden="false" customHeight="false" outlineLevel="0" collapsed="false">
      <c r="A145" s="13" t="s">
        <v>3</v>
      </c>
      <c r="B145" s="13" t="s">
        <v>68</v>
      </c>
      <c r="C145" s="13" t="n">
        <v>178</v>
      </c>
      <c r="D145" s="13" t="s">
        <v>719</v>
      </c>
      <c r="E145" s="13" t="s">
        <v>720</v>
      </c>
      <c r="F145" s="13" t="s">
        <v>721</v>
      </c>
      <c r="G145" s="13" t="s">
        <v>722</v>
      </c>
      <c r="H145" s="13" t="s">
        <v>723</v>
      </c>
      <c r="I145" s="13" t="s">
        <v>82</v>
      </c>
      <c r="J145" s="13" t="s">
        <v>83</v>
      </c>
      <c r="K145" s="13"/>
      <c r="L145" s="13" t="s">
        <v>724</v>
      </c>
      <c r="M145" s="13" t="s">
        <v>725</v>
      </c>
    </row>
    <row r="146" customFormat="false" ht="35.05" hidden="false" customHeight="false" outlineLevel="0" collapsed="false">
      <c r="A146" s="13" t="s">
        <v>3</v>
      </c>
      <c r="B146" s="13" t="s">
        <v>68</v>
      </c>
      <c r="C146" s="13" t="n">
        <v>178</v>
      </c>
      <c r="D146" s="13" t="s">
        <v>719</v>
      </c>
      <c r="E146" s="13" t="s">
        <v>726</v>
      </c>
      <c r="F146" s="13" t="s">
        <v>721</v>
      </c>
      <c r="G146" s="13" t="s">
        <v>727</v>
      </c>
      <c r="H146" s="13" t="s">
        <v>728</v>
      </c>
      <c r="I146" s="13" t="s">
        <v>82</v>
      </c>
      <c r="J146" s="13" t="s">
        <v>83</v>
      </c>
      <c r="K146" s="13"/>
      <c r="L146" s="13" t="s">
        <v>724</v>
      </c>
      <c r="M146" s="13" t="s">
        <v>725</v>
      </c>
    </row>
    <row r="147" customFormat="false" ht="23.85" hidden="false" customHeight="false" outlineLevel="0" collapsed="false">
      <c r="A147" s="13" t="s">
        <v>3</v>
      </c>
      <c r="B147" s="13" t="s">
        <v>68</v>
      </c>
      <c r="C147" s="13" t="n">
        <v>178</v>
      </c>
      <c r="D147" s="13" t="s">
        <v>729</v>
      </c>
      <c r="E147" s="13" t="s">
        <v>730</v>
      </c>
      <c r="F147" s="13" t="s">
        <v>731</v>
      </c>
      <c r="G147" s="13" t="s">
        <v>669</v>
      </c>
      <c r="H147" s="13" t="s">
        <v>732</v>
      </c>
      <c r="I147" s="13" t="s">
        <v>82</v>
      </c>
      <c r="J147" s="13" t="s">
        <v>83</v>
      </c>
      <c r="K147" s="13"/>
      <c r="L147" s="13" t="s">
        <v>733</v>
      </c>
      <c r="M147" s="13" t="s">
        <v>734</v>
      </c>
    </row>
    <row r="148" customFormat="false" ht="23.85" hidden="false" customHeight="false" outlineLevel="0" collapsed="false">
      <c r="A148" s="13" t="s">
        <v>3</v>
      </c>
      <c r="B148" s="13" t="s">
        <v>68</v>
      </c>
      <c r="C148" s="13" t="n">
        <v>178</v>
      </c>
      <c r="D148" s="13" t="s">
        <v>729</v>
      </c>
      <c r="E148" s="13" t="s">
        <v>735</v>
      </c>
      <c r="F148" s="13" t="s">
        <v>731</v>
      </c>
      <c r="G148" s="13" t="s">
        <v>736</v>
      </c>
      <c r="H148" s="13" t="s">
        <v>737</v>
      </c>
      <c r="I148" s="13" t="s">
        <v>82</v>
      </c>
      <c r="J148" s="13" t="s">
        <v>83</v>
      </c>
      <c r="K148" s="13"/>
      <c r="L148" s="13" t="s">
        <v>733</v>
      </c>
      <c r="M148" s="13" t="s">
        <v>734</v>
      </c>
    </row>
    <row r="149" customFormat="false" ht="23.85" hidden="false" customHeight="false" outlineLevel="0" collapsed="false">
      <c r="A149" s="13" t="s">
        <v>3</v>
      </c>
      <c r="B149" s="13" t="s">
        <v>68</v>
      </c>
      <c r="C149" s="13" t="n">
        <v>178</v>
      </c>
      <c r="D149" s="13" t="s">
        <v>738</v>
      </c>
      <c r="E149" s="13" t="s">
        <v>739</v>
      </c>
      <c r="F149" s="13" t="s">
        <v>182</v>
      </c>
      <c r="G149" s="13" t="s">
        <v>257</v>
      </c>
      <c r="H149" s="13" t="s">
        <v>668</v>
      </c>
      <c r="I149" s="13" t="s">
        <v>82</v>
      </c>
      <c r="J149" s="13" t="s">
        <v>83</v>
      </c>
      <c r="K149" s="13"/>
      <c r="L149" s="13" t="s">
        <v>740</v>
      </c>
      <c r="M149" s="13" t="s">
        <v>741</v>
      </c>
    </row>
    <row r="150" customFormat="false" ht="23.85" hidden="false" customHeight="false" outlineLevel="0" collapsed="false">
      <c r="A150" s="13" t="s">
        <v>3</v>
      </c>
      <c r="B150" s="13" t="s">
        <v>68</v>
      </c>
      <c r="C150" s="13" t="n">
        <v>178</v>
      </c>
      <c r="D150" s="13" t="s">
        <v>742</v>
      </c>
      <c r="E150" s="13" t="s">
        <v>743</v>
      </c>
      <c r="F150" s="13" t="s">
        <v>668</v>
      </c>
      <c r="G150" s="13" t="s">
        <v>744</v>
      </c>
      <c r="H150" s="13" t="s">
        <v>182</v>
      </c>
      <c r="I150" s="13" t="s">
        <v>82</v>
      </c>
      <c r="J150" s="13" t="s">
        <v>83</v>
      </c>
      <c r="K150" s="13"/>
      <c r="L150" s="13" t="s">
        <v>745</v>
      </c>
      <c r="M150" s="13" t="s">
        <v>746</v>
      </c>
    </row>
    <row r="151" customFormat="false" ht="23.85" hidden="false" customHeight="false" outlineLevel="0" collapsed="false">
      <c r="A151" s="13" t="s">
        <v>3</v>
      </c>
      <c r="B151" s="13" t="s">
        <v>68</v>
      </c>
      <c r="C151" s="13" t="n">
        <v>178</v>
      </c>
      <c r="D151" s="13" t="s">
        <v>742</v>
      </c>
      <c r="E151" s="13" t="s">
        <v>747</v>
      </c>
      <c r="F151" s="13" t="s">
        <v>182</v>
      </c>
      <c r="G151" s="13" t="s">
        <v>748</v>
      </c>
      <c r="H151" s="13" t="s">
        <v>749</v>
      </c>
      <c r="I151" s="13" t="s">
        <v>82</v>
      </c>
      <c r="J151" s="13" t="s">
        <v>83</v>
      </c>
      <c r="K151" s="13"/>
      <c r="L151" s="13" t="s">
        <v>745</v>
      </c>
      <c r="M151" s="13" t="s">
        <v>746</v>
      </c>
    </row>
    <row r="152" customFormat="false" ht="23.85" hidden="false" customHeight="false" outlineLevel="0" collapsed="false">
      <c r="A152" s="13" t="s">
        <v>3</v>
      </c>
      <c r="B152" s="13" t="s">
        <v>68</v>
      </c>
      <c r="C152" s="13" t="n">
        <v>178</v>
      </c>
      <c r="D152" s="13" t="s">
        <v>750</v>
      </c>
      <c r="E152" s="13" t="s">
        <v>751</v>
      </c>
      <c r="F152" s="13" t="s">
        <v>182</v>
      </c>
      <c r="G152" s="13" t="s">
        <v>257</v>
      </c>
      <c r="H152" s="13" t="s">
        <v>675</v>
      </c>
      <c r="I152" s="13" t="s">
        <v>82</v>
      </c>
      <c r="J152" s="13" t="s">
        <v>83</v>
      </c>
      <c r="K152" s="13"/>
      <c r="L152" s="13" t="s">
        <v>752</v>
      </c>
      <c r="M152" s="13" t="s">
        <v>753</v>
      </c>
    </row>
    <row r="153" customFormat="false" ht="46.25" hidden="false" customHeight="false" outlineLevel="0" collapsed="false">
      <c r="A153" s="13" t="s">
        <v>3</v>
      </c>
      <c r="B153" s="13" t="s">
        <v>68</v>
      </c>
      <c r="C153" s="13" t="n">
        <v>178</v>
      </c>
      <c r="D153" s="13" t="s">
        <v>754</v>
      </c>
      <c r="E153" s="13" t="s">
        <v>755</v>
      </c>
      <c r="F153" s="13" t="s">
        <v>756</v>
      </c>
      <c r="G153" s="13" t="s">
        <v>757</v>
      </c>
      <c r="H153" s="13" t="s">
        <v>182</v>
      </c>
      <c r="I153" s="13" t="s">
        <v>82</v>
      </c>
      <c r="J153" s="13" t="s">
        <v>83</v>
      </c>
      <c r="K153" s="13"/>
      <c r="L153" s="13" t="s">
        <v>758</v>
      </c>
      <c r="M153" s="13" t="s">
        <v>759</v>
      </c>
    </row>
    <row r="154" customFormat="false" ht="23.85" hidden="false" customHeight="false" outlineLevel="0" collapsed="false">
      <c r="A154" s="13" t="s">
        <v>3</v>
      </c>
      <c r="B154" s="13" t="s">
        <v>68</v>
      </c>
      <c r="C154" s="13" t="n">
        <v>178</v>
      </c>
      <c r="D154" s="13" t="s">
        <v>760</v>
      </c>
      <c r="E154" s="13" t="s">
        <v>761</v>
      </c>
      <c r="F154" s="13" t="s">
        <v>328</v>
      </c>
      <c r="G154" s="13" t="s">
        <v>762</v>
      </c>
      <c r="H154" s="13" t="s">
        <v>763</v>
      </c>
      <c r="I154" s="13" t="s">
        <v>82</v>
      </c>
      <c r="J154" s="13" t="s">
        <v>83</v>
      </c>
      <c r="K154" s="13"/>
      <c r="L154" s="13" t="s">
        <v>764</v>
      </c>
      <c r="M154" s="13" t="s">
        <v>765</v>
      </c>
    </row>
    <row r="155" customFormat="false" ht="23.85" hidden="false" customHeight="false" outlineLevel="0" collapsed="false">
      <c r="A155" s="13" t="s">
        <v>3</v>
      </c>
      <c r="B155" s="13" t="s">
        <v>68</v>
      </c>
      <c r="C155" s="13" t="n">
        <v>178</v>
      </c>
      <c r="D155" s="13" t="s">
        <v>766</v>
      </c>
      <c r="E155" s="13" t="s">
        <v>767</v>
      </c>
      <c r="F155" s="13" t="s">
        <v>328</v>
      </c>
      <c r="G155" s="13" t="s">
        <v>768</v>
      </c>
      <c r="H155" s="13" t="s">
        <v>769</v>
      </c>
      <c r="I155" s="13" t="s">
        <v>82</v>
      </c>
      <c r="J155" s="13" t="s">
        <v>83</v>
      </c>
      <c r="K155" s="13"/>
      <c r="L155" s="13" t="s">
        <v>770</v>
      </c>
      <c r="M155" s="13" t="s">
        <v>771</v>
      </c>
    </row>
    <row r="156" customFormat="false" ht="35.05" hidden="false" customHeight="false" outlineLevel="0" collapsed="false">
      <c r="A156" s="13" t="s">
        <v>3</v>
      </c>
      <c r="B156" s="13" t="s">
        <v>68</v>
      </c>
      <c r="C156" s="13" t="n">
        <v>178</v>
      </c>
      <c r="D156" s="13" t="s">
        <v>772</v>
      </c>
      <c r="E156" s="13" t="s">
        <v>773</v>
      </c>
      <c r="F156" s="13" t="s">
        <v>774</v>
      </c>
      <c r="G156" s="13" t="s">
        <v>775</v>
      </c>
      <c r="H156" s="13" t="s">
        <v>776</v>
      </c>
      <c r="I156" s="13" t="s">
        <v>82</v>
      </c>
      <c r="J156" s="13" t="s">
        <v>83</v>
      </c>
      <c r="K156" s="13"/>
      <c r="L156" s="13" t="s">
        <v>777</v>
      </c>
      <c r="M156" s="13" t="s">
        <v>778</v>
      </c>
    </row>
    <row r="157" customFormat="false" ht="35.05" hidden="false" customHeight="false" outlineLevel="0" collapsed="false">
      <c r="A157" s="13" t="s">
        <v>3</v>
      </c>
      <c r="B157" s="13" t="s">
        <v>68</v>
      </c>
      <c r="C157" s="13" t="n">
        <v>178</v>
      </c>
      <c r="D157" s="13" t="s">
        <v>772</v>
      </c>
      <c r="E157" s="13" t="s">
        <v>779</v>
      </c>
      <c r="F157" s="13" t="s">
        <v>776</v>
      </c>
      <c r="G157" s="13" t="s">
        <v>736</v>
      </c>
      <c r="H157" s="13" t="s">
        <v>780</v>
      </c>
      <c r="I157" s="13" t="s">
        <v>82</v>
      </c>
      <c r="J157" s="13" t="s">
        <v>83</v>
      </c>
      <c r="K157" s="13"/>
      <c r="L157" s="13" t="s">
        <v>777</v>
      </c>
      <c r="M157" s="13" t="s">
        <v>778</v>
      </c>
    </row>
    <row r="158" customFormat="false" ht="23.85" hidden="false" customHeight="false" outlineLevel="0" collapsed="false">
      <c r="A158" s="13" t="s">
        <v>3</v>
      </c>
      <c r="B158" s="13" t="s">
        <v>68</v>
      </c>
      <c r="C158" s="13" t="n">
        <v>178</v>
      </c>
      <c r="D158" s="13" t="s">
        <v>781</v>
      </c>
      <c r="E158" s="13" t="s">
        <v>782</v>
      </c>
      <c r="F158" s="13" t="s">
        <v>783</v>
      </c>
      <c r="G158" s="13" t="s">
        <v>784</v>
      </c>
      <c r="H158" s="13" t="s">
        <v>328</v>
      </c>
      <c r="I158" s="13" t="s">
        <v>82</v>
      </c>
      <c r="J158" s="13" t="s">
        <v>83</v>
      </c>
      <c r="K158" s="13"/>
      <c r="L158" s="13" t="s">
        <v>785</v>
      </c>
      <c r="M158" s="13" t="s">
        <v>786</v>
      </c>
    </row>
    <row r="159" customFormat="false" ht="35.05" hidden="false" customHeight="false" outlineLevel="0" collapsed="false">
      <c r="A159" s="13" t="s">
        <v>3</v>
      </c>
      <c r="B159" s="13" t="s">
        <v>68</v>
      </c>
      <c r="C159" s="13" t="n">
        <v>178</v>
      </c>
      <c r="D159" s="13" t="s">
        <v>787</v>
      </c>
      <c r="E159" s="13" t="s">
        <v>788</v>
      </c>
      <c r="F159" s="13" t="s">
        <v>789</v>
      </c>
      <c r="G159" s="13" t="s">
        <v>257</v>
      </c>
      <c r="H159" s="13" t="s">
        <v>790</v>
      </c>
      <c r="I159" s="13" t="s">
        <v>82</v>
      </c>
      <c r="J159" s="13" t="s">
        <v>83</v>
      </c>
      <c r="K159" s="13"/>
      <c r="L159" s="13" t="s">
        <v>791</v>
      </c>
      <c r="M159" s="13" t="s">
        <v>792</v>
      </c>
    </row>
    <row r="160" customFormat="false" ht="23.85" hidden="false" customHeight="false" outlineLevel="0" collapsed="false">
      <c r="A160" s="13" t="s">
        <v>3</v>
      </c>
      <c r="B160" s="13" t="s">
        <v>68</v>
      </c>
      <c r="C160" s="13" t="n">
        <v>178</v>
      </c>
      <c r="D160" s="13" t="s">
        <v>793</v>
      </c>
      <c r="E160" s="13" t="s">
        <v>794</v>
      </c>
      <c r="F160" s="13" t="s">
        <v>795</v>
      </c>
      <c r="G160" s="13" t="s">
        <v>784</v>
      </c>
      <c r="H160" s="13" t="s">
        <v>328</v>
      </c>
      <c r="I160" s="13" t="s">
        <v>82</v>
      </c>
      <c r="J160" s="13" t="s">
        <v>83</v>
      </c>
      <c r="K160" s="13"/>
      <c r="L160" s="13" t="s">
        <v>796</v>
      </c>
      <c r="M160" s="13" t="s">
        <v>797</v>
      </c>
    </row>
    <row r="161" customFormat="false" ht="35.05" hidden="false" customHeight="false" outlineLevel="0" collapsed="false">
      <c r="A161" s="13" t="s">
        <v>3</v>
      </c>
      <c r="B161" s="13" t="s">
        <v>68</v>
      </c>
      <c r="C161" s="13" t="n">
        <v>178</v>
      </c>
      <c r="D161" s="13" t="s">
        <v>798</v>
      </c>
      <c r="E161" s="13" t="s">
        <v>799</v>
      </c>
      <c r="F161" s="13" t="s">
        <v>789</v>
      </c>
      <c r="G161" s="13" t="s">
        <v>800</v>
      </c>
      <c r="H161" s="13" t="s">
        <v>801</v>
      </c>
      <c r="I161" s="13" t="s">
        <v>82</v>
      </c>
      <c r="J161" s="13" t="s">
        <v>83</v>
      </c>
      <c r="K161" s="13"/>
      <c r="L161" s="13" t="s">
        <v>802</v>
      </c>
      <c r="M161" s="13" t="s">
        <v>803</v>
      </c>
    </row>
    <row r="162" customFormat="false" ht="35.05" hidden="false" customHeight="false" outlineLevel="0" collapsed="false">
      <c r="A162" s="13" t="s">
        <v>3</v>
      </c>
      <c r="B162" s="13" t="s">
        <v>68</v>
      </c>
      <c r="C162" s="13" t="n">
        <v>178</v>
      </c>
      <c r="D162" s="13" t="s">
        <v>804</v>
      </c>
      <c r="E162" s="13" t="s">
        <v>805</v>
      </c>
      <c r="F162" s="13" t="s">
        <v>806</v>
      </c>
      <c r="G162" s="13" t="s">
        <v>807</v>
      </c>
      <c r="H162" s="13" t="s">
        <v>808</v>
      </c>
      <c r="I162" s="13" t="s">
        <v>82</v>
      </c>
      <c r="J162" s="13" t="s">
        <v>83</v>
      </c>
      <c r="K162" s="13"/>
      <c r="L162" s="13" t="s">
        <v>809</v>
      </c>
      <c r="M162" s="13" t="s">
        <v>810</v>
      </c>
    </row>
    <row r="163" customFormat="false" ht="35.05" hidden="false" customHeight="false" outlineLevel="0" collapsed="false">
      <c r="A163" s="13" t="s">
        <v>3</v>
      </c>
      <c r="B163" s="13" t="s">
        <v>68</v>
      </c>
      <c r="C163" s="13" t="n">
        <v>178</v>
      </c>
      <c r="D163" s="13" t="s">
        <v>804</v>
      </c>
      <c r="E163" s="13" t="s">
        <v>811</v>
      </c>
      <c r="F163" s="13" t="s">
        <v>806</v>
      </c>
      <c r="G163" s="13" t="s">
        <v>812</v>
      </c>
      <c r="H163" s="13" t="s">
        <v>813</v>
      </c>
      <c r="I163" s="13" t="s">
        <v>82</v>
      </c>
      <c r="J163" s="13" t="s">
        <v>83</v>
      </c>
      <c r="K163" s="13"/>
      <c r="L163" s="13" t="s">
        <v>809</v>
      </c>
      <c r="M163" s="13" t="s">
        <v>810</v>
      </c>
    </row>
    <row r="164" customFormat="false" ht="35.05" hidden="false" customHeight="false" outlineLevel="0" collapsed="false">
      <c r="A164" s="13" t="s">
        <v>3</v>
      </c>
      <c r="B164" s="13" t="s">
        <v>68</v>
      </c>
      <c r="C164" s="13" t="n">
        <v>178</v>
      </c>
      <c r="D164" s="13" t="s">
        <v>814</v>
      </c>
      <c r="E164" s="13" t="s">
        <v>815</v>
      </c>
      <c r="F164" s="13" t="s">
        <v>816</v>
      </c>
      <c r="G164" s="13" t="s">
        <v>817</v>
      </c>
      <c r="H164" s="13" t="s">
        <v>818</v>
      </c>
      <c r="I164" s="13" t="s">
        <v>82</v>
      </c>
      <c r="J164" s="13" t="s">
        <v>83</v>
      </c>
      <c r="K164" s="13"/>
      <c r="L164" s="13" t="s">
        <v>819</v>
      </c>
      <c r="M164" s="13" t="s">
        <v>820</v>
      </c>
    </row>
    <row r="165" customFormat="false" ht="35.05" hidden="false" customHeight="false" outlineLevel="0" collapsed="false">
      <c r="A165" s="13" t="s">
        <v>3</v>
      </c>
      <c r="B165" s="13" t="s">
        <v>68</v>
      </c>
      <c r="C165" s="13" t="n">
        <v>178</v>
      </c>
      <c r="D165" s="13" t="s">
        <v>814</v>
      </c>
      <c r="E165" s="13" t="s">
        <v>821</v>
      </c>
      <c r="F165" s="13" t="s">
        <v>816</v>
      </c>
      <c r="G165" s="13" t="s">
        <v>822</v>
      </c>
      <c r="H165" s="13" t="s">
        <v>823</v>
      </c>
      <c r="I165" s="13" t="s">
        <v>82</v>
      </c>
      <c r="J165" s="13" t="s">
        <v>83</v>
      </c>
      <c r="K165" s="13"/>
      <c r="L165" s="13" t="s">
        <v>819</v>
      </c>
      <c r="M165" s="13" t="s">
        <v>820</v>
      </c>
    </row>
    <row r="166" customFormat="false" ht="68.65" hidden="false" customHeight="false" outlineLevel="0" collapsed="false">
      <c r="A166" s="13" t="s">
        <v>3</v>
      </c>
      <c r="B166" s="13" t="s">
        <v>68</v>
      </c>
      <c r="C166" s="13" t="n">
        <v>178</v>
      </c>
      <c r="D166" s="13" t="s">
        <v>824</v>
      </c>
      <c r="E166" s="13" t="s">
        <v>825</v>
      </c>
      <c r="F166" s="13" t="s">
        <v>806</v>
      </c>
      <c r="G166" s="13" t="s">
        <v>826</v>
      </c>
      <c r="H166" s="13" t="s">
        <v>827</v>
      </c>
      <c r="I166" s="13" t="s">
        <v>82</v>
      </c>
      <c r="J166" s="13" t="s">
        <v>83</v>
      </c>
      <c r="K166" s="13"/>
      <c r="L166" s="13" t="s">
        <v>828</v>
      </c>
      <c r="M166" s="13" t="s">
        <v>829</v>
      </c>
    </row>
    <row r="167" customFormat="false" ht="68.65" hidden="false" customHeight="false" outlineLevel="0" collapsed="false">
      <c r="A167" s="13" t="s">
        <v>3</v>
      </c>
      <c r="B167" s="13" t="s">
        <v>68</v>
      </c>
      <c r="C167" s="13" t="n">
        <v>178</v>
      </c>
      <c r="D167" s="13" t="s">
        <v>824</v>
      </c>
      <c r="E167" s="13" t="s">
        <v>830</v>
      </c>
      <c r="F167" s="13" t="s">
        <v>827</v>
      </c>
      <c r="G167" s="13" t="s">
        <v>831</v>
      </c>
      <c r="H167" s="13" t="s">
        <v>832</v>
      </c>
      <c r="I167" s="13" t="s">
        <v>82</v>
      </c>
      <c r="J167" s="13" t="s">
        <v>83</v>
      </c>
      <c r="K167" s="13"/>
      <c r="L167" s="13" t="s">
        <v>828</v>
      </c>
      <c r="M167" s="13" t="s">
        <v>829</v>
      </c>
    </row>
    <row r="168" customFormat="false" ht="46.25" hidden="false" customHeight="false" outlineLevel="0" collapsed="false">
      <c r="A168" s="13" t="s">
        <v>3</v>
      </c>
      <c r="B168" s="13" t="s">
        <v>68</v>
      </c>
      <c r="C168" s="13" t="n">
        <v>186</v>
      </c>
      <c r="D168" s="13" t="s">
        <v>833</v>
      </c>
      <c r="E168" s="13" t="s">
        <v>834</v>
      </c>
      <c r="F168" s="13" t="s">
        <v>835</v>
      </c>
      <c r="G168" s="13" t="s">
        <v>836</v>
      </c>
      <c r="H168" s="13" t="s">
        <v>837</v>
      </c>
      <c r="I168" s="13" t="s">
        <v>82</v>
      </c>
      <c r="J168" s="13" t="s">
        <v>83</v>
      </c>
      <c r="K168" s="13"/>
      <c r="L168" s="13" t="s">
        <v>838</v>
      </c>
      <c r="M168" s="13" t="s">
        <v>839</v>
      </c>
    </row>
    <row r="169" customFormat="false" ht="46.25" hidden="false" customHeight="false" outlineLevel="0" collapsed="false">
      <c r="A169" s="13" t="s">
        <v>3</v>
      </c>
      <c r="B169" s="13" t="s">
        <v>68</v>
      </c>
      <c r="C169" s="13" t="n">
        <v>186</v>
      </c>
      <c r="D169" s="13" t="s">
        <v>833</v>
      </c>
      <c r="E169" s="13" t="s">
        <v>840</v>
      </c>
      <c r="F169" s="13" t="s">
        <v>841</v>
      </c>
      <c r="G169" s="13" t="s">
        <v>842</v>
      </c>
      <c r="H169" s="13" t="s">
        <v>173</v>
      </c>
      <c r="I169" s="13" t="s">
        <v>82</v>
      </c>
      <c r="J169" s="13" t="s">
        <v>83</v>
      </c>
      <c r="K169" s="13"/>
      <c r="L169" s="13" t="s">
        <v>838</v>
      </c>
      <c r="M169" s="13" t="s">
        <v>839</v>
      </c>
    </row>
    <row r="170" customFormat="false" ht="23.85" hidden="false" customHeight="false" outlineLevel="0" collapsed="false">
      <c r="A170" s="13" t="s">
        <v>3</v>
      </c>
      <c r="B170" s="13" t="s">
        <v>68</v>
      </c>
      <c r="C170" s="13" t="n">
        <v>186</v>
      </c>
      <c r="D170" s="13" t="s">
        <v>843</v>
      </c>
      <c r="E170" s="13" t="s">
        <v>844</v>
      </c>
      <c r="F170" s="13" t="s">
        <v>835</v>
      </c>
      <c r="G170" s="13" t="s">
        <v>845</v>
      </c>
      <c r="H170" s="13" t="s">
        <v>173</v>
      </c>
      <c r="I170" s="13" t="s">
        <v>82</v>
      </c>
      <c r="J170" s="13" t="s">
        <v>83</v>
      </c>
      <c r="K170" s="13"/>
      <c r="L170" s="13" t="s">
        <v>846</v>
      </c>
      <c r="M170" s="13" t="s">
        <v>847</v>
      </c>
    </row>
    <row r="171" customFormat="false" ht="23.85" hidden="false" customHeight="false" outlineLevel="0" collapsed="false">
      <c r="A171" s="13" t="s">
        <v>3</v>
      </c>
      <c r="B171" s="13" t="s">
        <v>68</v>
      </c>
      <c r="C171" s="13" t="n">
        <v>186</v>
      </c>
      <c r="D171" s="13" t="s">
        <v>848</v>
      </c>
      <c r="E171" s="13" t="s">
        <v>849</v>
      </c>
      <c r="F171" s="13" t="s">
        <v>173</v>
      </c>
      <c r="G171" s="13" t="s">
        <v>850</v>
      </c>
      <c r="H171" s="13" t="s">
        <v>851</v>
      </c>
      <c r="I171" s="13" t="s">
        <v>82</v>
      </c>
      <c r="J171" s="13" t="s">
        <v>83</v>
      </c>
      <c r="K171" s="13"/>
      <c r="L171" s="13" t="s">
        <v>852</v>
      </c>
      <c r="M171" s="13" t="s">
        <v>853</v>
      </c>
    </row>
    <row r="172" customFormat="false" ht="102.2" hidden="false" customHeight="false" outlineLevel="0" collapsed="false">
      <c r="A172" s="13" t="s">
        <v>3</v>
      </c>
      <c r="B172" s="13" t="s">
        <v>68</v>
      </c>
      <c r="C172" s="13" t="n">
        <v>186</v>
      </c>
      <c r="D172" s="13" t="s">
        <v>854</v>
      </c>
      <c r="E172" s="13" t="s">
        <v>855</v>
      </c>
      <c r="F172" s="13" t="s">
        <v>851</v>
      </c>
      <c r="G172" s="13" t="s">
        <v>856</v>
      </c>
      <c r="H172" s="13" t="s">
        <v>173</v>
      </c>
      <c r="I172" s="13" t="s">
        <v>82</v>
      </c>
      <c r="J172" s="13" t="s">
        <v>83</v>
      </c>
      <c r="K172" s="13"/>
      <c r="L172" s="13" t="s">
        <v>857</v>
      </c>
      <c r="M172" s="13" t="s">
        <v>858</v>
      </c>
    </row>
    <row r="173" customFormat="false" ht="102.2" hidden="false" customHeight="false" outlineLevel="0" collapsed="false">
      <c r="A173" s="13" t="s">
        <v>3</v>
      </c>
      <c r="B173" s="13" t="s">
        <v>68</v>
      </c>
      <c r="C173" s="13" t="n">
        <v>186</v>
      </c>
      <c r="D173" s="13" t="s">
        <v>854</v>
      </c>
      <c r="E173" s="13" t="s">
        <v>859</v>
      </c>
      <c r="F173" s="13" t="s">
        <v>173</v>
      </c>
      <c r="G173" s="13" t="s">
        <v>860</v>
      </c>
      <c r="H173" s="13" t="s">
        <v>861</v>
      </c>
      <c r="I173" s="13" t="s">
        <v>82</v>
      </c>
      <c r="J173" s="13" t="s">
        <v>862</v>
      </c>
      <c r="K173" s="13"/>
      <c r="L173" s="13" t="s">
        <v>857</v>
      </c>
      <c r="M173" s="13" t="s">
        <v>858</v>
      </c>
    </row>
    <row r="174" customFormat="false" ht="102.2" hidden="false" customHeight="false" outlineLevel="0" collapsed="false">
      <c r="A174" s="13" t="s">
        <v>3</v>
      </c>
      <c r="B174" s="13" t="s">
        <v>68</v>
      </c>
      <c r="C174" s="13" t="n">
        <v>186</v>
      </c>
      <c r="D174" s="13" t="s">
        <v>854</v>
      </c>
      <c r="E174" s="13" t="s">
        <v>863</v>
      </c>
      <c r="F174" s="13" t="s">
        <v>851</v>
      </c>
      <c r="G174" s="13" t="s">
        <v>864</v>
      </c>
      <c r="H174" s="13" t="s">
        <v>865</v>
      </c>
      <c r="I174" s="13" t="s">
        <v>82</v>
      </c>
      <c r="J174" s="13" t="s">
        <v>83</v>
      </c>
      <c r="K174" s="13"/>
      <c r="L174" s="13" t="s">
        <v>857</v>
      </c>
      <c r="M174" s="13" t="s">
        <v>858</v>
      </c>
    </row>
    <row r="175" customFormat="false" ht="23.85" hidden="false" customHeight="false" outlineLevel="0" collapsed="false">
      <c r="A175" s="13" t="s">
        <v>3</v>
      </c>
      <c r="B175" s="13" t="s">
        <v>68</v>
      </c>
      <c r="C175" s="13" t="n">
        <v>186</v>
      </c>
      <c r="D175" s="13" t="s">
        <v>866</v>
      </c>
      <c r="E175" s="13" t="s">
        <v>867</v>
      </c>
      <c r="F175" s="13" t="s">
        <v>173</v>
      </c>
      <c r="G175" s="13" t="s">
        <v>868</v>
      </c>
      <c r="H175" s="13" t="s">
        <v>869</v>
      </c>
      <c r="I175" s="13" t="s">
        <v>82</v>
      </c>
      <c r="J175" s="13" t="s">
        <v>83</v>
      </c>
      <c r="K175" s="13"/>
      <c r="L175" s="13" t="s">
        <v>870</v>
      </c>
      <c r="M175" s="13" t="s">
        <v>871</v>
      </c>
    </row>
    <row r="176" customFormat="false" ht="91" hidden="false" customHeight="false" outlineLevel="0" collapsed="false">
      <c r="A176" s="13" t="s">
        <v>3</v>
      </c>
      <c r="B176" s="13" t="s">
        <v>68</v>
      </c>
      <c r="C176" s="13" t="n">
        <v>186</v>
      </c>
      <c r="D176" s="13" t="s">
        <v>872</v>
      </c>
      <c r="E176" s="13" t="s">
        <v>873</v>
      </c>
      <c r="F176" s="13" t="s">
        <v>173</v>
      </c>
      <c r="G176" s="13" t="s">
        <v>874</v>
      </c>
      <c r="H176" s="13" t="s">
        <v>397</v>
      </c>
      <c r="I176" s="13" t="s">
        <v>82</v>
      </c>
      <c r="J176" s="13" t="s">
        <v>83</v>
      </c>
      <c r="K176" s="13"/>
      <c r="L176" s="13" t="s">
        <v>875</v>
      </c>
      <c r="M176" s="13" t="s">
        <v>876</v>
      </c>
    </row>
    <row r="177" customFormat="false" ht="91" hidden="false" customHeight="false" outlineLevel="0" collapsed="false">
      <c r="A177" s="13" t="s">
        <v>3</v>
      </c>
      <c r="B177" s="13" t="s">
        <v>68</v>
      </c>
      <c r="C177" s="13" t="n">
        <v>186</v>
      </c>
      <c r="D177" s="13" t="s">
        <v>872</v>
      </c>
      <c r="E177" s="13" t="s">
        <v>877</v>
      </c>
      <c r="F177" s="13" t="s">
        <v>173</v>
      </c>
      <c r="G177" s="13" t="s">
        <v>878</v>
      </c>
      <c r="H177" s="13" t="s">
        <v>879</v>
      </c>
      <c r="I177" s="13" t="s">
        <v>82</v>
      </c>
      <c r="J177" s="13" t="s">
        <v>83</v>
      </c>
      <c r="K177" s="13"/>
      <c r="L177" s="13" t="s">
        <v>875</v>
      </c>
      <c r="M177" s="13" t="s">
        <v>876</v>
      </c>
    </row>
    <row r="178" customFormat="false" ht="68.65" hidden="false" customHeight="false" outlineLevel="0" collapsed="false">
      <c r="A178" s="13" t="s">
        <v>3</v>
      </c>
      <c r="B178" s="13" t="s">
        <v>68</v>
      </c>
      <c r="C178" s="13" t="n">
        <v>186</v>
      </c>
      <c r="D178" s="13" t="s">
        <v>880</v>
      </c>
      <c r="E178" s="13" t="s">
        <v>881</v>
      </c>
      <c r="F178" s="13" t="s">
        <v>173</v>
      </c>
      <c r="G178" s="13" t="s">
        <v>882</v>
      </c>
      <c r="H178" s="13" t="s">
        <v>397</v>
      </c>
      <c r="I178" s="13" t="s">
        <v>82</v>
      </c>
      <c r="J178" s="13" t="s">
        <v>83</v>
      </c>
      <c r="K178" s="13"/>
      <c r="L178" s="13" t="s">
        <v>883</v>
      </c>
      <c r="M178" s="13" t="s">
        <v>884</v>
      </c>
    </row>
    <row r="179" customFormat="false" ht="68.65" hidden="false" customHeight="false" outlineLevel="0" collapsed="false">
      <c r="A179" s="13" t="s">
        <v>3</v>
      </c>
      <c r="B179" s="13" t="s">
        <v>68</v>
      </c>
      <c r="C179" s="13" t="n">
        <v>186</v>
      </c>
      <c r="D179" s="13" t="s">
        <v>880</v>
      </c>
      <c r="E179" s="13" t="s">
        <v>885</v>
      </c>
      <c r="F179" s="13" t="s">
        <v>173</v>
      </c>
      <c r="G179" s="13" t="s">
        <v>886</v>
      </c>
      <c r="H179" s="13" t="s">
        <v>887</v>
      </c>
      <c r="I179" s="13" t="s">
        <v>82</v>
      </c>
      <c r="J179" s="13" t="s">
        <v>83</v>
      </c>
      <c r="K179" s="13"/>
      <c r="L179" s="13" t="s">
        <v>883</v>
      </c>
      <c r="M179" s="13" t="s">
        <v>884</v>
      </c>
    </row>
    <row r="180" customFormat="false" ht="68.65" hidden="false" customHeight="false" outlineLevel="0" collapsed="false">
      <c r="A180" s="13" t="s">
        <v>3</v>
      </c>
      <c r="B180" s="13" t="s">
        <v>68</v>
      </c>
      <c r="C180" s="13" t="n">
        <v>186</v>
      </c>
      <c r="D180" s="13" t="s">
        <v>880</v>
      </c>
      <c r="E180" s="13" t="s">
        <v>888</v>
      </c>
      <c r="F180" s="13" t="s">
        <v>173</v>
      </c>
      <c r="G180" s="13" t="s">
        <v>889</v>
      </c>
      <c r="H180" s="13" t="s">
        <v>890</v>
      </c>
      <c r="I180" s="13" t="s">
        <v>82</v>
      </c>
      <c r="J180" s="13" t="s">
        <v>83</v>
      </c>
      <c r="K180" s="13"/>
      <c r="L180" s="13" t="s">
        <v>883</v>
      </c>
      <c r="M180" s="13" t="s">
        <v>884</v>
      </c>
    </row>
    <row r="181" customFormat="false" ht="23.85" hidden="false" customHeight="false" outlineLevel="0" collapsed="false">
      <c r="A181" s="13" t="s">
        <v>3</v>
      </c>
      <c r="B181" s="13" t="s">
        <v>68</v>
      </c>
      <c r="C181" s="13" t="n">
        <v>186</v>
      </c>
      <c r="D181" s="13" t="s">
        <v>891</v>
      </c>
      <c r="E181" s="13" t="s">
        <v>892</v>
      </c>
      <c r="F181" s="13" t="s">
        <v>173</v>
      </c>
      <c r="G181" s="13" t="s">
        <v>893</v>
      </c>
      <c r="H181" s="13" t="s">
        <v>894</v>
      </c>
      <c r="I181" s="13" t="s">
        <v>82</v>
      </c>
      <c r="J181" s="13" t="s">
        <v>83</v>
      </c>
      <c r="K181" s="13"/>
      <c r="L181" s="13" t="s">
        <v>895</v>
      </c>
      <c r="M181" s="13" t="s">
        <v>896</v>
      </c>
    </row>
    <row r="182" customFormat="false" ht="23.85" hidden="false" customHeight="false" outlineLevel="0" collapsed="false">
      <c r="A182" s="13" t="s">
        <v>3</v>
      </c>
      <c r="B182" s="13" t="s">
        <v>68</v>
      </c>
      <c r="C182" s="13" t="n">
        <v>186</v>
      </c>
      <c r="D182" s="13" t="s">
        <v>897</v>
      </c>
      <c r="E182" s="13" t="s">
        <v>898</v>
      </c>
      <c r="F182" s="13" t="s">
        <v>837</v>
      </c>
      <c r="G182" s="13" t="s">
        <v>899</v>
      </c>
      <c r="H182" s="13" t="s">
        <v>900</v>
      </c>
      <c r="I182" s="13" t="s">
        <v>82</v>
      </c>
      <c r="J182" s="13" t="s">
        <v>83</v>
      </c>
      <c r="K182" s="13"/>
      <c r="L182" s="13" t="s">
        <v>901</v>
      </c>
      <c r="M182" s="13" t="s">
        <v>902</v>
      </c>
    </row>
    <row r="183" customFormat="false" ht="57.45" hidden="false" customHeight="false" outlineLevel="0" collapsed="false">
      <c r="A183" s="13" t="s">
        <v>3</v>
      </c>
      <c r="B183" s="13" t="s">
        <v>68</v>
      </c>
      <c r="C183" s="13" t="n">
        <v>186</v>
      </c>
      <c r="D183" s="13" t="s">
        <v>903</v>
      </c>
      <c r="E183" s="13" t="s">
        <v>904</v>
      </c>
      <c r="F183" s="13" t="s">
        <v>890</v>
      </c>
      <c r="G183" s="13" t="s">
        <v>905</v>
      </c>
      <c r="H183" s="13" t="s">
        <v>173</v>
      </c>
      <c r="I183" s="13" t="s">
        <v>82</v>
      </c>
      <c r="J183" s="13" t="s">
        <v>83</v>
      </c>
      <c r="K183" s="13"/>
      <c r="L183" s="13" t="s">
        <v>906</v>
      </c>
      <c r="M183" s="13" t="s">
        <v>907</v>
      </c>
    </row>
    <row r="184" customFormat="false" ht="57.45" hidden="false" customHeight="false" outlineLevel="0" collapsed="false">
      <c r="A184" s="13" t="s">
        <v>3</v>
      </c>
      <c r="B184" s="13" t="s">
        <v>68</v>
      </c>
      <c r="C184" s="13" t="n">
        <v>186</v>
      </c>
      <c r="D184" s="13" t="s">
        <v>903</v>
      </c>
      <c r="E184" s="13" t="s">
        <v>908</v>
      </c>
      <c r="F184" s="13" t="s">
        <v>890</v>
      </c>
      <c r="G184" s="13" t="s">
        <v>909</v>
      </c>
      <c r="H184" s="13" t="s">
        <v>910</v>
      </c>
      <c r="I184" s="13" t="s">
        <v>82</v>
      </c>
      <c r="J184" s="13" t="s">
        <v>83</v>
      </c>
      <c r="K184" s="13"/>
      <c r="L184" s="13" t="s">
        <v>906</v>
      </c>
      <c r="M184" s="13" t="s">
        <v>907</v>
      </c>
    </row>
    <row r="185" customFormat="false" ht="113.4" hidden="false" customHeight="false" outlineLevel="0" collapsed="false">
      <c r="A185" s="13" t="s">
        <v>3</v>
      </c>
      <c r="B185" s="13" t="s">
        <v>68</v>
      </c>
      <c r="C185" s="13" t="n">
        <v>186</v>
      </c>
      <c r="D185" s="13" t="s">
        <v>911</v>
      </c>
      <c r="E185" s="13" t="s">
        <v>912</v>
      </c>
      <c r="F185" s="13" t="s">
        <v>173</v>
      </c>
      <c r="G185" s="13" t="s">
        <v>913</v>
      </c>
      <c r="H185" s="13" t="s">
        <v>914</v>
      </c>
      <c r="I185" s="13" t="s">
        <v>74</v>
      </c>
      <c r="J185" s="13" t="s">
        <v>915</v>
      </c>
      <c r="K185" s="13" t="s">
        <v>916</v>
      </c>
      <c r="L185" s="13" t="s">
        <v>917</v>
      </c>
      <c r="M185" s="13" t="s">
        <v>918</v>
      </c>
    </row>
    <row r="186" customFormat="false" ht="113.4" hidden="false" customHeight="false" outlineLevel="0" collapsed="false">
      <c r="A186" s="13" t="s">
        <v>3</v>
      </c>
      <c r="B186" s="13" t="s">
        <v>68</v>
      </c>
      <c r="C186" s="13" t="n">
        <v>186</v>
      </c>
      <c r="D186" s="13" t="s">
        <v>911</v>
      </c>
      <c r="E186" s="13" t="s">
        <v>919</v>
      </c>
      <c r="F186" s="13" t="s">
        <v>914</v>
      </c>
      <c r="G186" s="13" t="s">
        <v>920</v>
      </c>
      <c r="H186" s="13" t="s">
        <v>921</v>
      </c>
      <c r="I186" s="13" t="s">
        <v>82</v>
      </c>
      <c r="J186" s="13" t="s">
        <v>83</v>
      </c>
      <c r="K186" s="13"/>
      <c r="L186" s="13" t="s">
        <v>917</v>
      </c>
      <c r="M186" s="13" t="s">
        <v>918</v>
      </c>
    </row>
    <row r="187" customFormat="false" ht="113.4" hidden="false" customHeight="false" outlineLevel="0" collapsed="false">
      <c r="A187" s="13" t="s">
        <v>3</v>
      </c>
      <c r="B187" s="13" t="s">
        <v>68</v>
      </c>
      <c r="C187" s="13" t="n">
        <v>186</v>
      </c>
      <c r="D187" s="13" t="s">
        <v>911</v>
      </c>
      <c r="E187" s="13" t="s">
        <v>922</v>
      </c>
      <c r="F187" s="13" t="s">
        <v>923</v>
      </c>
      <c r="G187" s="13" t="s">
        <v>924</v>
      </c>
      <c r="H187" s="13" t="s">
        <v>925</v>
      </c>
      <c r="I187" s="13" t="s">
        <v>82</v>
      </c>
      <c r="J187" s="13" t="s">
        <v>83</v>
      </c>
      <c r="K187" s="13"/>
      <c r="L187" s="13" t="s">
        <v>917</v>
      </c>
      <c r="M187" s="13" t="s">
        <v>918</v>
      </c>
    </row>
    <row r="188" customFormat="false" ht="57.45" hidden="false" customHeight="false" outlineLevel="0" collapsed="false">
      <c r="A188" s="13" t="s">
        <v>3</v>
      </c>
      <c r="B188" s="13" t="s">
        <v>68</v>
      </c>
      <c r="C188" s="13" t="n">
        <v>267</v>
      </c>
      <c r="D188" s="13" t="s">
        <v>926</v>
      </c>
      <c r="E188" s="13" t="s">
        <v>927</v>
      </c>
      <c r="F188" s="13" t="s">
        <v>928</v>
      </c>
      <c r="G188" s="13" t="s">
        <v>929</v>
      </c>
      <c r="H188" s="13" t="s">
        <v>930</v>
      </c>
      <c r="I188" s="13" t="s">
        <v>82</v>
      </c>
      <c r="J188" s="13" t="s">
        <v>83</v>
      </c>
      <c r="K188" s="13"/>
      <c r="L188" s="13" t="s">
        <v>931</v>
      </c>
      <c r="M188" s="13" t="s">
        <v>932</v>
      </c>
    </row>
    <row r="189" customFormat="false" ht="57.45" hidden="false" customHeight="false" outlineLevel="0" collapsed="false">
      <c r="A189" s="13" t="s">
        <v>3</v>
      </c>
      <c r="B189" s="13" t="s">
        <v>68</v>
      </c>
      <c r="C189" s="13" t="n">
        <v>267</v>
      </c>
      <c r="D189" s="13" t="s">
        <v>926</v>
      </c>
      <c r="E189" s="13" t="s">
        <v>933</v>
      </c>
      <c r="F189" s="13" t="s">
        <v>934</v>
      </c>
      <c r="G189" s="13" t="s">
        <v>935</v>
      </c>
      <c r="H189" s="13" t="s">
        <v>930</v>
      </c>
      <c r="I189" s="13" t="s">
        <v>82</v>
      </c>
      <c r="J189" s="13" t="s">
        <v>83</v>
      </c>
      <c r="K189" s="13"/>
      <c r="L189" s="13" t="s">
        <v>931</v>
      </c>
      <c r="M189" s="13" t="s">
        <v>932</v>
      </c>
    </row>
    <row r="190" customFormat="false" ht="57.45" hidden="false" customHeight="false" outlineLevel="0" collapsed="false">
      <c r="A190" s="13" t="s">
        <v>3</v>
      </c>
      <c r="B190" s="13" t="s">
        <v>68</v>
      </c>
      <c r="C190" s="13" t="n">
        <v>267</v>
      </c>
      <c r="D190" s="13" t="s">
        <v>926</v>
      </c>
      <c r="E190" s="13" t="s">
        <v>936</v>
      </c>
      <c r="F190" s="13" t="s">
        <v>328</v>
      </c>
      <c r="G190" s="13" t="s">
        <v>937</v>
      </c>
      <c r="H190" s="13" t="s">
        <v>930</v>
      </c>
      <c r="I190" s="13" t="s">
        <v>82</v>
      </c>
      <c r="J190" s="13" t="s">
        <v>83</v>
      </c>
      <c r="K190" s="13"/>
      <c r="L190" s="13" t="s">
        <v>931</v>
      </c>
      <c r="M190" s="13" t="s">
        <v>932</v>
      </c>
    </row>
    <row r="191" customFormat="false" ht="23.85" hidden="false" customHeight="false" outlineLevel="0" collapsed="false">
      <c r="A191" s="13" t="s">
        <v>3</v>
      </c>
      <c r="B191" s="13" t="s">
        <v>68</v>
      </c>
      <c r="C191" s="13" t="n">
        <v>267</v>
      </c>
      <c r="D191" s="13" t="s">
        <v>938</v>
      </c>
      <c r="E191" s="13" t="s">
        <v>939</v>
      </c>
      <c r="F191" s="13" t="s">
        <v>940</v>
      </c>
      <c r="G191" s="13" t="s">
        <v>941</v>
      </c>
      <c r="H191" s="13" t="s">
        <v>942</v>
      </c>
      <c r="I191" s="13" t="s">
        <v>82</v>
      </c>
      <c r="J191" s="13" t="s">
        <v>83</v>
      </c>
      <c r="K191" s="13"/>
      <c r="L191" s="13" t="s">
        <v>943</v>
      </c>
      <c r="M191" s="13" t="s">
        <v>944</v>
      </c>
    </row>
    <row r="192" customFormat="false" ht="23.85" hidden="false" customHeight="false" outlineLevel="0" collapsed="false">
      <c r="A192" s="13" t="s">
        <v>3</v>
      </c>
      <c r="B192" s="13" t="s">
        <v>68</v>
      </c>
      <c r="C192" s="13" t="n">
        <v>267</v>
      </c>
      <c r="D192" s="13" t="s">
        <v>938</v>
      </c>
      <c r="E192" s="13" t="s">
        <v>945</v>
      </c>
      <c r="F192" s="13" t="s">
        <v>940</v>
      </c>
      <c r="G192" s="13" t="s">
        <v>946</v>
      </c>
      <c r="H192" s="13" t="s">
        <v>947</v>
      </c>
      <c r="I192" s="13" t="s">
        <v>82</v>
      </c>
      <c r="J192" s="13" t="s">
        <v>83</v>
      </c>
      <c r="K192" s="13"/>
      <c r="L192" s="13" t="s">
        <v>943</v>
      </c>
      <c r="M192" s="13" t="s">
        <v>944</v>
      </c>
    </row>
    <row r="193" customFormat="false" ht="79.85" hidden="false" customHeight="false" outlineLevel="0" collapsed="false">
      <c r="A193" s="13" t="s">
        <v>3</v>
      </c>
      <c r="B193" s="13" t="s">
        <v>68</v>
      </c>
      <c r="C193" s="13" t="n">
        <v>267</v>
      </c>
      <c r="D193" s="13" t="s">
        <v>948</v>
      </c>
      <c r="E193" s="13" t="s">
        <v>949</v>
      </c>
      <c r="F193" s="13" t="s">
        <v>950</v>
      </c>
      <c r="G193" s="13" t="s">
        <v>951</v>
      </c>
      <c r="H193" s="13" t="s">
        <v>952</v>
      </c>
      <c r="I193" s="13" t="s">
        <v>74</v>
      </c>
      <c r="J193" s="13" t="s">
        <v>953</v>
      </c>
      <c r="K193" s="13" t="s">
        <v>954</v>
      </c>
      <c r="L193" s="13" t="s">
        <v>955</v>
      </c>
      <c r="M193" s="13" t="s">
        <v>956</v>
      </c>
    </row>
    <row r="194" customFormat="false" ht="79.85" hidden="false" customHeight="false" outlineLevel="0" collapsed="false">
      <c r="A194" s="13" t="s">
        <v>3</v>
      </c>
      <c r="B194" s="13" t="s">
        <v>68</v>
      </c>
      <c r="C194" s="13" t="n">
        <v>267</v>
      </c>
      <c r="D194" s="13" t="s">
        <v>948</v>
      </c>
      <c r="E194" s="13" t="s">
        <v>957</v>
      </c>
      <c r="F194" s="13" t="s">
        <v>934</v>
      </c>
      <c r="G194" s="13" t="s">
        <v>958</v>
      </c>
      <c r="H194" s="13" t="s">
        <v>959</v>
      </c>
      <c r="I194" s="13" t="s">
        <v>82</v>
      </c>
      <c r="J194" s="13" t="s">
        <v>83</v>
      </c>
      <c r="K194" s="13"/>
      <c r="L194" s="13" t="s">
        <v>955</v>
      </c>
      <c r="M194" s="13" t="s">
        <v>956</v>
      </c>
    </row>
    <row r="195" customFormat="false" ht="79.85" hidden="false" customHeight="false" outlineLevel="0" collapsed="false">
      <c r="A195" s="13" t="s">
        <v>3</v>
      </c>
      <c r="B195" s="13" t="s">
        <v>68</v>
      </c>
      <c r="C195" s="13" t="n">
        <v>267</v>
      </c>
      <c r="D195" s="13" t="s">
        <v>948</v>
      </c>
      <c r="E195" s="13" t="s">
        <v>960</v>
      </c>
      <c r="F195" s="13" t="s">
        <v>950</v>
      </c>
      <c r="G195" s="13" t="s">
        <v>961</v>
      </c>
      <c r="H195" s="13" t="s">
        <v>962</v>
      </c>
      <c r="I195" s="13" t="s">
        <v>74</v>
      </c>
      <c r="J195" s="13" t="s">
        <v>953</v>
      </c>
      <c r="K195" s="13" t="s">
        <v>954</v>
      </c>
      <c r="L195" s="13" t="s">
        <v>955</v>
      </c>
      <c r="M195" s="13" t="s">
        <v>956</v>
      </c>
    </row>
    <row r="196" customFormat="false" ht="46.25" hidden="false" customHeight="false" outlineLevel="0" collapsed="false">
      <c r="A196" s="13" t="s">
        <v>3</v>
      </c>
      <c r="B196" s="13" t="s">
        <v>68</v>
      </c>
      <c r="C196" s="13" t="n">
        <v>267</v>
      </c>
      <c r="D196" s="13" t="s">
        <v>963</v>
      </c>
      <c r="E196" s="13" t="s">
        <v>964</v>
      </c>
      <c r="F196" s="13" t="s">
        <v>950</v>
      </c>
      <c r="G196" s="13" t="s">
        <v>965</v>
      </c>
      <c r="H196" s="13" t="s">
        <v>966</v>
      </c>
      <c r="I196" s="13" t="s">
        <v>74</v>
      </c>
      <c r="J196" s="13" t="s">
        <v>953</v>
      </c>
      <c r="K196" s="13" t="s">
        <v>954</v>
      </c>
      <c r="L196" s="13" t="s">
        <v>967</v>
      </c>
      <c r="M196" s="13" t="s">
        <v>968</v>
      </c>
    </row>
    <row r="197" customFormat="false" ht="46.25" hidden="false" customHeight="false" outlineLevel="0" collapsed="false">
      <c r="A197" s="13" t="s">
        <v>3</v>
      </c>
      <c r="B197" s="13" t="s">
        <v>68</v>
      </c>
      <c r="C197" s="13" t="n">
        <v>267</v>
      </c>
      <c r="D197" s="13" t="s">
        <v>969</v>
      </c>
      <c r="E197" s="13" t="s">
        <v>970</v>
      </c>
      <c r="F197" s="13" t="s">
        <v>950</v>
      </c>
      <c r="G197" s="13" t="s">
        <v>971</v>
      </c>
      <c r="H197" s="13" t="s">
        <v>972</v>
      </c>
      <c r="I197" s="13" t="s">
        <v>74</v>
      </c>
      <c r="J197" s="13" t="s">
        <v>953</v>
      </c>
      <c r="K197" s="13" t="s">
        <v>954</v>
      </c>
      <c r="L197" s="13" t="s">
        <v>973</v>
      </c>
      <c r="M197" s="13" t="s">
        <v>974</v>
      </c>
    </row>
    <row r="198" customFormat="false" ht="46.25" hidden="false" customHeight="false" outlineLevel="0" collapsed="false">
      <c r="A198" s="13" t="s">
        <v>3</v>
      </c>
      <c r="B198" s="13" t="s">
        <v>68</v>
      </c>
      <c r="C198" s="13" t="n">
        <v>267</v>
      </c>
      <c r="D198" s="13" t="s">
        <v>969</v>
      </c>
      <c r="E198" s="13" t="s">
        <v>975</v>
      </c>
      <c r="F198" s="13" t="s">
        <v>950</v>
      </c>
      <c r="G198" s="13" t="s">
        <v>971</v>
      </c>
      <c r="H198" s="13" t="s">
        <v>976</v>
      </c>
      <c r="I198" s="13" t="s">
        <v>74</v>
      </c>
      <c r="J198" s="13" t="s">
        <v>953</v>
      </c>
      <c r="K198" s="13" t="s">
        <v>954</v>
      </c>
      <c r="L198" s="13" t="s">
        <v>973</v>
      </c>
      <c r="M198" s="13" t="s">
        <v>974</v>
      </c>
    </row>
    <row r="199" customFormat="false" ht="46.25" hidden="false" customHeight="false" outlineLevel="0" collapsed="false">
      <c r="A199" s="13" t="s">
        <v>3</v>
      </c>
      <c r="B199" s="13" t="s">
        <v>68</v>
      </c>
      <c r="C199" s="13" t="n">
        <v>267</v>
      </c>
      <c r="D199" s="13" t="s">
        <v>969</v>
      </c>
      <c r="E199" s="13" t="s">
        <v>977</v>
      </c>
      <c r="F199" s="13" t="s">
        <v>950</v>
      </c>
      <c r="G199" s="13" t="s">
        <v>978</v>
      </c>
      <c r="H199" s="13" t="s">
        <v>979</v>
      </c>
      <c r="I199" s="13" t="s">
        <v>74</v>
      </c>
      <c r="J199" s="13" t="s">
        <v>953</v>
      </c>
      <c r="K199" s="13" t="s">
        <v>954</v>
      </c>
      <c r="L199" s="13" t="s">
        <v>973</v>
      </c>
      <c r="M199" s="13" t="s">
        <v>974</v>
      </c>
    </row>
    <row r="200" customFormat="false" ht="23.85" hidden="false" customHeight="false" outlineLevel="0" collapsed="false">
      <c r="A200" s="13" t="s">
        <v>3</v>
      </c>
      <c r="B200" s="13" t="s">
        <v>68</v>
      </c>
      <c r="C200" s="13" t="n">
        <v>267</v>
      </c>
      <c r="D200" s="13" t="s">
        <v>980</v>
      </c>
      <c r="E200" s="13" t="s">
        <v>981</v>
      </c>
      <c r="F200" s="13" t="s">
        <v>982</v>
      </c>
      <c r="G200" s="13" t="s">
        <v>958</v>
      </c>
      <c r="H200" s="13" t="s">
        <v>983</v>
      </c>
      <c r="I200" s="13" t="s">
        <v>82</v>
      </c>
      <c r="J200" s="13" t="s">
        <v>83</v>
      </c>
      <c r="K200" s="13"/>
      <c r="L200" s="13" t="s">
        <v>984</v>
      </c>
      <c r="M200" s="13" t="s">
        <v>985</v>
      </c>
    </row>
    <row r="201" customFormat="false" ht="35.05" hidden="false" customHeight="false" outlineLevel="0" collapsed="false">
      <c r="A201" s="13" t="s">
        <v>3</v>
      </c>
      <c r="B201" s="13" t="s">
        <v>68</v>
      </c>
      <c r="C201" s="13" t="n">
        <v>267</v>
      </c>
      <c r="D201" s="13" t="s">
        <v>986</v>
      </c>
      <c r="E201" s="13" t="s">
        <v>987</v>
      </c>
      <c r="F201" s="13" t="s">
        <v>988</v>
      </c>
      <c r="G201" s="13" t="s">
        <v>958</v>
      </c>
      <c r="H201" s="13" t="s">
        <v>989</v>
      </c>
      <c r="I201" s="13" t="s">
        <v>82</v>
      </c>
      <c r="J201" s="13" t="s">
        <v>83</v>
      </c>
      <c r="K201" s="13"/>
      <c r="L201" s="13" t="s">
        <v>990</v>
      </c>
      <c r="M201" s="13" t="s">
        <v>991</v>
      </c>
    </row>
    <row r="202" customFormat="false" ht="35.05" hidden="false" customHeight="false" outlineLevel="0" collapsed="false">
      <c r="A202" s="13" t="s">
        <v>3</v>
      </c>
      <c r="B202" s="13" t="s">
        <v>68</v>
      </c>
      <c r="C202" s="13" t="n">
        <v>267</v>
      </c>
      <c r="D202" s="13" t="s">
        <v>986</v>
      </c>
      <c r="E202" s="13" t="s">
        <v>992</v>
      </c>
      <c r="F202" s="13" t="s">
        <v>988</v>
      </c>
      <c r="G202" s="13" t="s">
        <v>958</v>
      </c>
      <c r="H202" s="13" t="s">
        <v>993</v>
      </c>
      <c r="I202" s="13" t="s">
        <v>82</v>
      </c>
      <c r="J202" s="13" t="s">
        <v>83</v>
      </c>
      <c r="K202" s="13"/>
      <c r="L202" s="13" t="s">
        <v>990</v>
      </c>
      <c r="M202" s="13" t="s">
        <v>991</v>
      </c>
    </row>
    <row r="203" customFormat="false" ht="35.05" hidden="false" customHeight="false" outlineLevel="0" collapsed="false">
      <c r="A203" s="13" t="s">
        <v>3</v>
      </c>
      <c r="B203" s="13" t="s">
        <v>68</v>
      </c>
      <c r="C203" s="13" t="n">
        <v>267</v>
      </c>
      <c r="D203" s="13" t="s">
        <v>986</v>
      </c>
      <c r="E203" s="13" t="s">
        <v>994</v>
      </c>
      <c r="F203" s="13" t="s">
        <v>988</v>
      </c>
      <c r="G203" s="13" t="s">
        <v>958</v>
      </c>
      <c r="H203" s="13" t="s">
        <v>995</v>
      </c>
      <c r="I203" s="13" t="s">
        <v>82</v>
      </c>
      <c r="J203" s="13" t="s">
        <v>83</v>
      </c>
      <c r="K203" s="13"/>
      <c r="L203" s="13" t="s">
        <v>990</v>
      </c>
      <c r="M203" s="13" t="s">
        <v>991</v>
      </c>
    </row>
    <row r="204" customFormat="false" ht="35.05" hidden="false" customHeight="false" outlineLevel="0" collapsed="false">
      <c r="A204" s="13" t="s">
        <v>3</v>
      </c>
      <c r="B204" s="13" t="s">
        <v>68</v>
      </c>
      <c r="C204" s="13" t="n">
        <v>267</v>
      </c>
      <c r="D204" s="13" t="s">
        <v>986</v>
      </c>
      <c r="E204" s="13" t="s">
        <v>996</v>
      </c>
      <c r="F204" s="13" t="s">
        <v>988</v>
      </c>
      <c r="G204" s="13" t="s">
        <v>958</v>
      </c>
      <c r="H204" s="13" t="s">
        <v>997</v>
      </c>
      <c r="I204" s="13" t="s">
        <v>82</v>
      </c>
      <c r="J204" s="13" t="s">
        <v>83</v>
      </c>
      <c r="K204" s="13"/>
      <c r="L204" s="13" t="s">
        <v>990</v>
      </c>
      <c r="M204" s="13" t="s">
        <v>991</v>
      </c>
    </row>
    <row r="205" customFormat="false" ht="35.05" hidden="false" customHeight="false" outlineLevel="0" collapsed="false">
      <c r="A205" s="13" t="s">
        <v>3</v>
      </c>
      <c r="B205" s="13" t="s">
        <v>68</v>
      </c>
      <c r="C205" s="13" t="n">
        <v>267</v>
      </c>
      <c r="D205" s="13" t="s">
        <v>986</v>
      </c>
      <c r="E205" s="13" t="s">
        <v>998</v>
      </c>
      <c r="F205" s="13" t="s">
        <v>988</v>
      </c>
      <c r="G205" s="13" t="s">
        <v>958</v>
      </c>
      <c r="H205" s="13" t="s">
        <v>999</v>
      </c>
      <c r="I205" s="13" t="s">
        <v>82</v>
      </c>
      <c r="J205" s="13" t="s">
        <v>83</v>
      </c>
      <c r="K205" s="13"/>
      <c r="L205" s="13" t="s">
        <v>990</v>
      </c>
      <c r="M205" s="13" t="s">
        <v>991</v>
      </c>
    </row>
    <row r="206" customFormat="false" ht="35.05" hidden="false" customHeight="false" outlineLevel="0" collapsed="false">
      <c r="A206" s="13" t="s">
        <v>3</v>
      </c>
      <c r="B206" s="13" t="s">
        <v>68</v>
      </c>
      <c r="C206" s="13" t="n">
        <v>267</v>
      </c>
      <c r="D206" s="13" t="s">
        <v>986</v>
      </c>
      <c r="E206" s="13" t="s">
        <v>1000</v>
      </c>
      <c r="F206" s="13" t="s">
        <v>988</v>
      </c>
      <c r="G206" s="13" t="s">
        <v>958</v>
      </c>
      <c r="H206" s="13" t="s">
        <v>1001</v>
      </c>
      <c r="I206" s="13" t="s">
        <v>82</v>
      </c>
      <c r="J206" s="13" t="s">
        <v>83</v>
      </c>
      <c r="K206" s="13"/>
      <c r="L206" s="13" t="s">
        <v>990</v>
      </c>
      <c r="M206" s="13" t="s">
        <v>991</v>
      </c>
    </row>
    <row r="207" customFormat="false" ht="225.35" hidden="false" customHeight="false" outlineLevel="0" collapsed="false">
      <c r="A207" s="13" t="s">
        <v>3</v>
      </c>
      <c r="B207" s="13" t="s">
        <v>68</v>
      </c>
      <c r="C207" s="13" t="n">
        <v>267</v>
      </c>
      <c r="D207" s="13" t="s">
        <v>1002</v>
      </c>
      <c r="E207" s="13" t="s">
        <v>1003</v>
      </c>
      <c r="F207" s="13" t="s">
        <v>1004</v>
      </c>
      <c r="G207" s="13" t="s">
        <v>1005</v>
      </c>
      <c r="H207" s="13" t="s">
        <v>1006</v>
      </c>
      <c r="I207" s="13" t="s">
        <v>82</v>
      </c>
      <c r="J207" s="13" t="s">
        <v>83</v>
      </c>
      <c r="K207" s="13"/>
      <c r="L207" s="13" t="s">
        <v>1007</v>
      </c>
      <c r="M207" s="13" t="s">
        <v>1008</v>
      </c>
    </row>
    <row r="208" customFormat="false" ht="225.35" hidden="false" customHeight="false" outlineLevel="0" collapsed="false">
      <c r="A208" s="13" t="s">
        <v>3</v>
      </c>
      <c r="B208" s="13" t="s">
        <v>68</v>
      </c>
      <c r="C208" s="13" t="n">
        <v>267</v>
      </c>
      <c r="D208" s="13" t="s">
        <v>1002</v>
      </c>
      <c r="E208" s="13" t="s">
        <v>1009</v>
      </c>
      <c r="F208" s="13" t="s">
        <v>1010</v>
      </c>
      <c r="G208" s="13" t="s">
        <v>1005</v>
      </c>
      <c r="H208" s="13" t="s">
        <v>1006</v>
      </c>
      <c r="I208" s="13" t="s">
        <v>82</v>
      </c>
      <c r="J208" s="13" t="s">
        <v>83</v>
      </c>
      <c r="K208" s="13"/>
      <c r="L208" s="13" t="s">
        <v>1007</v>
      </c>
      <c r="M208" s="13" t="s">
        <v>1008</v>
      </c>
    </row>
    <row r="209" customFormat="false" ht="225.35" hidden="false" customHeight="false" outlineLevel="0" collapsed="false">
      <c r="A209" s="13" t="s">
        <v>3</v>
      </c>
      <c r="B209" s="13" t="s">
        <v>68</v>
      </c>
      <c r="C209" s="13" t="n">
        <v>267</v>
      </c>
      <c r="D209" s="13" t="s">
        <v>1002</v>
      </c>
      <c r="E209" s="13" t="s">
        <v>1011</v>
      </c>
      <c r="F209" s="13" t="s">
        <v>1012</v>
      </c>
      <c r="G209" s="13" t="s">
        <v>1005</v>
      </c>
      <c r="H209" s="13" t="s">
        <v>1006</v>
      </c>
      <c r="I209" s="13" t="s">
        <v>82</v>
      </c>
      <c r="J209" s="13" t="s">
        <v>83</v>
      </c>
      <c r="K209" s="13"/>
      <c r="L209" s="13" t="s">
        <v>1007</v>
      </c>
      <c r="M209" s="13" t="s">
        <v>1008</v>
      </c>
    </row>
    <row r="210" customFormat="false" ht="225.35" hidden="false" customHeight="false" outlineLevel="0" collapsed="false">
      <c r="A210" s="13" t="s">
        <v>3</v>
      </c>
      <c r="B210" s="13" t="s">
        <v>68</v>
      </c>
      <c r="C210" s="13" t="n">
        <v>267</v>
      </c>
      <c r="D210" s="13" t="s">
        <v>1002</v>
      </c>
      <c r="E210" s="13" t="s">
        <v>1013</v>
      </c>
      <c r="F210" s="13" t="s">
        <v>1014</v>
      </c>
      <c r="G210" s="13" t="s">
        <v>1005</v>
      </c>
      <c r="H210" s="13" t="s">
        <v>1006</v>
      </c>
      <c r="I210" s="13" t="s">
        <v>82</v>
      </c>
      <c r="J210" s="13" t="s">
        <v>83</v>
      </c>
      <c r="K210" s="13"/>
      <c r="L210" s="13" t="s">
        <v>1007</v>
      </c>
      <c r="M210" s="13" t="s">
        <v>1008</v>
      </c>
    </row>
    <row r="211" customFormat="false" ht="225.35" hidden="false" customHeight="false" outlineLevel="0" collapsed="false">
      <c r="A211" s="13" t="s">
        <v>3</v>
      </c>
      <c r="B211" s="13" t="s">
        <v>68</v>
      </c>
      <c r="C211" s="13" t="n">
        <v>267</v>
      </c>
      <c r="D211" s="13" t="s">
        <v>1002</v>
      </c>
      <c r="E211" s="13" t="s">
        <v>1015</v>
      </c>
      <c r="F211" s="13" t="s">
        <v>1016</v>
      </c>
      <c r="G211" s="13" t="s">
        <v>1005</v>
      </c>
      <c r="H211" s="13" t="s">
        <v>1006</v>
      </c>
      <c r="I211" s="13" t="s">
        <v>82</v>
      </c>
      <c r="J211" s="13" t="s">
        <v>83</v>
      </c>
      <c r="K211" s="13"/>
      <c r="L211" s="13" t="s">
        <v>1007</v>
      </c>
      <c r="M211" s="13" t="s">
        <v>1008</v>
      </c>
    </row>
    <row r="212" customFormat="false" ht="46.25" hidden="false" customHeight="false" outlineLevel="0" collapsed="false">
      <c r="A212" s="13" t="s">
        <v>3</v>
      </c>
      <c r="B212" s="13" t="s">
        <v>68</v>
      </c>
      <c r="C212" s="13" t="n">
        <v>269</v>
      </c>
      <c r="D212" s="13" t="s">
        <v>1017</v>
      </c>
      <c r="E212" s="13" t="s">
        <v>1018</v>
      </c>
      <c r="F212" s="13" t="s">
        <v>1019</v>
      </c>
      <c r="G212" s="13" t="s">
        <v>1020</v>
      </c>
      <c r="H212" s="13" t="s">
        <v>1021</v>
      </c>
      <c r="I212" s="13" t="s">
        <v>82</v>
      </c>
      <c r="J212" s="13" t="s">
        <v>83</v>
      </c>
      <c r="K212" s="13"/>
      <c r="L212" s="13" t="s">
        <v>1022</v>
      </c>
      <c r="M212" s="13" t="s">
        <v>1023</v>
      </c>
    </row>
    <row r="213" customFormat="false" ht="46.25" hidden="false" customHeight="false" outlineLevel="0" collapsed="false">
      <c r="A213" s="13" t="s">
        <v>3</v>
      </c>
      <c r="B213" s="13" t="s">
        <v>68</v>
      </c>
      <c r="C213" s="13" t="n">
        <v>269</v>
      </c>
      <c r="D213" s="13" t="s">
        <v>1017</v>
      </c>
      <c r="E213" s="13" t="s">
        <v>1024</v>
      </c>
      <c r="F213" s="13" t="s">
        <v>1019</v>
      </c>
      <c r="G213" s="13" t="s">
        <v>1025</v>
      </c>
      <c r="H213" s="13" t="s">
        <v>1026</v>
      </c>
      <c r="I213" s="13" t="s">
        <v>82</v>
      </c>
      <c r="J213" s="13" t="s">
        <v>83</v>
      </c>
      <c r="K213" s="13"/>
      <c r="L213" s="13" t="s">
        <v>1022</v>
      </c>
      <c r="M213" s="13" t="s">
        <v>1023</v>
      </c>
    </row>
    <row r="214" customFormat="false" ht="46.25" hidden="false" customHeight="false" outlineLevel="0" collapsed="false">
      <c r="A214" s="13" t="s">
        <v>3</v>
      </c>
      <c r="B214" s="13" t="s">
        <v>68</v>
      </c>
      <c r="C214" s="13" t="n">
        <v>269</v>
      </c>
      <c r="D214" s="13" t="s">
        <v>1017</v>
      </c>
      <c r="E214" s="13" t="s">
        <v>1027</v>
      </c>
      <c r="F214" s="13" t="s">
        <v>1019</v>
      </c>
      <c r="G214" s="13" t="s">
        <v>1028</v>
      </c>
      <c r="H214" s="13" t="s">
        <v>1029</v>
      </c>
      <c r="I214" s="13" t="s">
        <v>82</v>
      </c>
      <c r="J214" s="13" t="s">
        <v>83</v>
      </c>
      <c r="K214" s="13"/>
      <c r="L214" s="13" t="s">
        <v>1022</v>
      </c>
      <c r="M214" s="13" t="s">
        <v>1023</v>
      </c>
    </row>
    <row r="215" customFormat="false" ht="46.25" hidden="false" customHeight="false" outlineLevel="0" collapsed="false">
      <c r="A215" s="13" t="s">
        <v>3</v>
      </c>
      <c r="B215" s="13" t="s">
        <v>68</v>
      </c>
      <c r="C215" s="13" t="n">
        <v>269</v>
      </c>
      <c r="D215" s="13" t="s">
        <v>1030</v>
      </c>
      <c r="E215" s="13" t="s">
        <v>1031</v>
      </c>
      <c r="F215" s="13" t="s">
        <v>1032</v>
      </c>
      <c r="G215" s="13" t="s">
        <v>1033</v>
      </c>
      <c r="H215" s="13" t="s">
        <v>1034</v>
      </c>
      <c r="I215" s="13" t="s">
        <v>82</v>
      </c>
      <c r="J215" s="13" t="s">
        <v>83</v>
      </c>
      <c r="K215" s="13"/>
      <c r="L215" s="13" t="s">
        <v>1035</v>
      </c>
      <c r="M215" s="13" t="s">
        <v>1036</v>
      </c>
    </row>
    <row r="216" customFormat="false" ht="46.25" hidden="false" customHeight="false" outlineLevel="0" collapsed="false">
      <c r="A216" s="13" t="s">
        <v>3</v>
      </c>
      <c r="B216" s="13" t="s">
        <v>68</v>
      </c>
      <c r="C216" s="13" t="n">
        <v>269</v>
      </c>
      <c r="D216" s="13" t="s">
        <v>1030</v>
      </c>
      <c r="E216" s="13" t="s">
        <v>1037</v>
      </c>
      <c r="F216" s="13" t="s">
        <v>1038</v>
      </c>
      <c r="G216" s="13" t="s">
        <v>1039</v>
      </c>
      <c r="H216" s="13" t="s">
        <v>1032</v>
      </c>
      <c r="I216" s="13" t="s">
        <v>82</v>
      </c>
      <c r="J216" s="13" t="s">
        <v>83</v>
      </c>
      <c r="K216" s="13"/>
      <c r="L216" s="13" t="s">
        <v>1035</v>
      </c>
      <c r="M216" s="13" t="s">
        <v>1036</v>
      </c>
    </row>
    <row r="217" customFormat="false" ht="46.25" hidden="false" customHeight="false" outlineLevel="0" collapsed="false">
      <c r="A217" s="13" t="s">
        <v>3</v>
      </c>
      <c r="B217" s="13" t="s">
        <v>68</v>
      </c>
      <c r="C217" s="13" t="n">
        <v>269</v>
      </c>
      <c r="D217" s="13" t="s">
        <v>1030</v>
      </c>
      <c r="E217" s="13" t="s">
        <v>1040</v>
      </c>
      <c r="F217" s="13" t="s">
        <v>1041</v>
      </c>
      <c r="G217" s="13" t="s">
        <v>1042</v>
      </c>
      <c r="H217" s="13" t="s">
        <v>1038</v>
      </c>
      <c r="I217" s="13" t="s">
        <v>82</v>
      </c>
      <c r="J217" s="13" t="s">
        <v>83</v>
      </c>
      <c r="K217" s="13"/>
      <c r="L217" s="13" t="s">
        <v>1035</v>
      </c>
      <c r="M217" s="13" t="s">
        <v>1036</v>
      </c>
    </row>
    <row r="218" customFormat="false" ht="46.25" hidden="false" customHeight="false" outlineLevel="0" collapsed="false">
      <c r="A218" s="13" t="s">
        <v>3</v>
      </c>
      <c r="B218" s="13" t="s">
        <v>68</v>
      </c>
      <c r="C218" s="13" t="n">
        <v>269</v>
      </c>
      <c r="D218" s="13" t="s">
        <v>1043</v>
      </c>
      <c r="E218" s="13" t="s">
        <v>1044</v>
      </c>
      <c r="F218" s="13" t="s">
        <v>1032</v>
      </c>
      <c r="G218" s="13" t="s">
        <v>1045</v>
      </c>
      <c r="H218" s="13" t="s">
        <v>1038</v>
      </c>
      <c r="I218" s="13" t="s">
        <v>82</v>
      </c>
      <c r="J218" s="13" t="s">
        <v>83</v>
      </c>
      <c r="K218" s="13"/>
      <c r="L218" s="13" t="s">
        <v>1046</v>
      </c>
      <c r="M218" s="13" t="s">
        <v>1047</v>
      </c>
    </row>
    <row r="219" customFormat="false" ht="46.25" hidden="false" customHeight="false" outlineLevel="0" collapsed="false">
      <c r="A219" s="13" t="s">
        <v>3</v>
      </c>
      <c r="B219" s="13" t="s">
        <v>68</v>
      </c>
      <c r="C219" s="13" t="n">
        <v>269</v>
      </c>
      <c r="D219" s="13" t="s">
        <v>1043</v>
      </c>
      <c r="E219" s="13" t="s">
        <v>1048</v>
      </c>
      <c r="F219" s="13" t="s">
        <v>1032</v>
      </c>
      <c r="G219" s="13" t="s">
        <v>1049</v>
      </c>
      <c r="H219" s="13" t="s">
        <v>1050</v>
      </c>
      <c r="I219" s="13" t="s">
        <v>114</v>
      </c>
      <c r="J219" s="13" t="s">
        <v>1051</v>
      </c>
      <c r="K219" s="13" t="s">
        <v>1052</v>
      </c>
      <c r="L219" s="13" t="s">
        <v>1046</v>
      </c>
      <c r="M219" s="13" t="s">
        <v>1047</v>
      </c>
    </row>
    <row r="220" customFormat="false" ht="46.25" hidden="false" customHeight="false" outlineLevel="0" collapsed="false">
      <c r="A220" s="13" t="s">
        <v>3</v>
      </c>
      <c r="B220" s="13" t="s">
        <v>68</v>
      </c>
      <c r="C220" s="13" t="n">
        <v>269</v>
      </c>
      <c r="D220" s="13" t="s">
        <v>1043</v>
      </c>
      <c r="E220" s="13" t="s">
        <v>1053</v>
      </c>
      <c r="F220" s="13" t="s">
        <v>1038</v>
      </c>
      <c r="G220" s="13" t="s">
        <v>1054</v>
      </c>
      <c r="H220" s="13" t="s">
        <v>1055</v>
      </c>
      <c r="I220" s="13" t="s">
        <v>82</v>
      </c>
      <c r="J220" s="13" t="s">
        <v>83</v>
      </c>
      <c r="K220" s="13"/>
      <c r="L220" s="13" t="s">
        <v>1046</v>
      </c>
      <c r="M220" s="13" t="s">
        <v>1047</v>
      </c>
    </row>
    <row r="221" customFormat="false" ht="79.85" hidden="false" customHeight="false" outlineLevel="0" collapsed="false">
      <c r="A221" s="13" t="s">
        <v>3</v>
      </c>
      <c r="B221" s="13" t="s">
        <v>68</v>
      </c>
      <c r="C221" s="13" t="n">
        <v>269</v>
      </c>
      <c r="D221" s="13" t="s">
        <v>1056</v>
      </c>
      <c r="E221" s="13" t="s">
        <v>1057</v>
      </c>
      <c r="F221" s="13" t="s">
        <v>1058</v>
      </c>
      <c r="G221" s="13" t="s">
        <v>1059</v>
      </c>
      <c r="H221" s="13" t="s">
        <v>1038</v>
      </c>
      <c r="I221" s="13" t="s">
        <v>82</v>
      </c>
      <c r="J221" s="13" t="s">
        <v>83</v>
      </c>
      <c r="K221" s="13"/>
      <c r="L221" s="13" t="s">
        <v>1060</v>
      </c>
      <c r="M221" s="13" t="s">
        <v>1061</v>
      </c>
    </row>
    <row r="222" customFormat="false" ht="79.85" hidden="false" customHeight="false" outlineLevel="0" collapsed="false">
      <c r="A222" s="13" t="s">
        <v>3</v>
      </c>
      <c r="B222" s="13" t="s">
        <v>68</v>
      </c>
      <c r="C222" s="13" t="n">
        <v>269</v>
      </c>
      <c r="D222" s="13" t="s">
        <v>1056</v>
      </c>
      <c r="E222" s="13" t="s">
        <v>1062</v>
      </c>
      <c r="F222" s="13" t="s">
        <v>1063</v>
      </c>
      <c r="G222" s="13" t="s">
        <v>1064</v>
      </c>
      <c r="H222" s="13" t="s">
        <v>1038</v>
      </c>
      <c r="I222" s="13" t="s">
        <v>82</v>
      </c>
      <c r="J222" s="13" t="s">
        <v>83</v>
      </c>
      <c r="K222" s="13"/>
      <c r="L222" s="13" t="s">
        <v>1060</v>
      </c>
      <c r="M222" s="13" t="s">
        <v>1061</v>
      </c>
    </row>
    <row r="223" customFormat="false" ht="79.85" hidden="false" customHeight="false" outlineLevel="0" collapsed="false">
      <c r="A223" s="13" t="s">
        <v>3</v>
      </c>
      <c r="B223" s="13" t="s">
        <v>68</v>
      </c>
      <c r="C223" s="13" t="n">
        <v>269</v>
      </c>
      <c r="D223" s="13" t="s">
        <v>1056</v>
      </c>
      <c r="E223" s="13" t="s">
        <v>1065</v>
      </c>
      <c r="F223" s="13" t="s">
        <v>1032</v>
      </c>
      <c r="G223" s="13" t="s">
        <v>1045</v>
      </c>
      <c r="H223" s="13" t="s">
        <v>1066</v>
      </c>
      <c r="I223" s="13" t="s">
        <v>82</v>
      </c>
      <c r="J223" s="13" t="s">
        <v>83</v>
      </c>
      <c r="K223" s="13"/>
      <c r="L223" s="13" t="s">
        <v>1060</v>
      </c>
      <c r="M223" s="13" t="s">
        <v>1061</v>
      </c>
    </row>
    <row r="224" customFormat="false" ht="79.85" hidden="false" customHeight="false" outlineLevel="0" collapsed="false">
      <c r="A224" s="13" t="s">
        <v>3</v>
      </c>
      <c r="B224" s="13" t="s">
        <v>68</v>
      </c>
      <c r="C224" s="13" t="n">
        <v>269</v>
      </c>
      <c r="D224" s="13" t="s">
        <v>1056</v>
      </c>
      <c r="E224" s="13" t="s">
        <v>1067</v>
      </c>
      <c r="F224" s="13" t="s">
        <v>1066</v>
      </c>
      <c r="G224" s="13" t="s">
        <v>315</v>
      </c>
      <c r="H224" s="13" t="s">
        <v>1055</v>
      </c>
      <c r="I224" s="13" t="s">
        <v>82</v>
      </c>
      <c r="J224" s="13" t="s">
        <v>83</v>
      </c>
      <c r="K224" s="13"/>
      <c r="L224" s="13" t="s">
        <v>1060</v>
      </c>
      <c r="M224" s="13" t="s">
        <v>1061</v>
      </c>
    </row>
    <row r="225" customFormat="false" ht="35.05" hidden="false" customHeight="false" outlineLevel="0" collapsed="false">
      <c r="A225" s="13" t="s">
        <v>3</v>
      </c>
      <c r="B225" s="13" t="s">
        <v>68</v>
      </c>
      <c r="C225" s="13" t="n">
        <v>269</v>
      </c>
      <c r="D225" s="13" t="s">
        <v>1068</v>
      </c>
      <c r="E225" s="13" t="s">
        <v>1069</v>
      </c>
      <c r="F225" s="13" t="s">
        <v>1032</v>
      </c>
      <c r="G225" s="13" t="s">
        <v>1070</v>
      </c>
      <c r="H225" s="13" t="s">
        <v>1055</v>
      </c>
      <c r="I225" s="13" t="s">
        <v>82</v>
      </c>
      <c r="J225" s="13" t="s">
        <v>83</v>
      </c>
      <c r="K225" s="13"/>
      <c r="L225" s="13" t="s">
        <v>1071</v>
      </c>
      <c r="M225" s="13" t="s">
        <v>1072</v>
      </c>
    </row>
    <row r="226" customFormat="false" ht="57.45" hidden="false" customHeight="false" outlineLevel="0" collapsed="false">
      <c r="A226" s="13" t="s">
        <v>3</v>
      </c>
      <c r="B226" s="13" t="s">
        <v>68</v>
      </c>
      <c r="C226" s="13" t="n">
        <v>269</v>
      </c>
      <c r="D226" s="13" t="s">
        <v>1073</v>
      </c>
      <c r="E226" s="13" t="s">
        <v>1074</v>
      </c>
      <c r="F226" s="13" t="s">
        <v>1075</v>
      </c>
      <c r="G226" s="13" t="s">
        <v>1076</v>
      </c>
      <c r="H226" s="13" t="s">
        <v>1077</v>
      </c>
      <c r="I226" s="13" t="s">
        <v>82</v>
      </c>
      <c r="J226" s="13" t="s">
        <v>83</v>
      </c>
      <c r="K226" s="13"/>
      <c r="L226" s="13" t="s">
        <v>1078</v>
      </c>
      <c r="M226" s="13" t="s">
        <v>1079</v>
      </c>
    </row>
    <row r="227" customFormat="false" ht="57.45" hidden="false" customHeight="false" outlineLevel="0" collapsed="false">
      <c r="A227" s="13" t="s">
        <v>3</v>
      </c>
      <c r="B227" s="13" t="s">
        <v>68</v>
      </c>
      <c r="C227" s="13" t="n">
        <v>269</v>
      </c>
      <c r="D227" s="13" t="s">
        <v>1073</v>
      </c>
      <c r="E227" s="13" t="s">
        <v>1080</v>
      </c>
      <c r="F227" s="13" t="s">
        <v>1081</v>
      </c>
      <c r="G227" s="13" t="s">
        <v>1082</v>
      </c>
      <c r="H227" s="13" t="s">
        <v>1077</v>
      </c>
      <c r="I227" s="13" t="s">
        <v>82</v>
      </c>
      <c r="J227" s="13" t="s">
        <v>83</v>
      </c>
      <c r="K227" s="13"/>
      <c r="L227" s="13" t="s">
        <v>1078</v>
      </c>
      <c r="M227" s="13" t="s">
        <v>1079</v>
      </c>
    </row>
    <row r="228" customFormat="false" ht="57.45" hidden="false" customHeight="false" outlineLevel="0" collapsed="false">
      <c r="A228" s="13" t="s">
        <v>3</v>
      </c>
      <c r="B228" s="13" t="s">
        <v>68</v>
      </c>
      <c r="C228" s="13" t="n">
        <v>269</v>
      </c>
      <c r="D228" s="13" t="s">
        <v>1073</v>
      </c>
      <c r="E228" s="13" t="s">
        <v>1083</v>
      </c>
      <c r="F228" s="13" t="s">
        <v>1084</v>
      </c>
      <c r="G228" s="13" t="s">
        <v>1085</v>
      </c>
      <c r="H228" s="13" t="s">
        <v>1038</v>
      </c>
      <c r="I228" s="13" t="s">
        <v>114</v>
      </c>
      <c r="J228" s="13" t="s">
        <v>1086</v>
      </c>
      <c r="K228" s="13" t="s">
        <v>1087</v>
      </c>
      <c r="L228" s="13" t="s">
        <v>1078</v>
      </c>
      <c r="M228" s="13" t="s">
        <v>1079</v>
      </c>
    </row>
    <row r="229" customFormat="false" ht="147" hidden="false" customHeight="false" outlineLevel="0" collapsed="false">
      <c r="A229" s="13" t="s">
        <v>3</v>
      </c>
      <c r="B229" s="13" t="s">
        <v>68</v>
      </c>
      <c r="C229" s="13" t="n">
        <v>281</v>
      </c>
      <c r="D229" s="13" t="s">
        <v>1088</v>
      </c>
      <c r="E229" s="13" t="s">
        <v>1089</v>
      </c>
      <c r="F229" s="13" t="s">
        <v>1090</v>
      </c>
      <c r="G229" s="13" t="s">
        <v>1091</v>
      </c>
      <c r="H229" s="13" t="s">
        <v>1092</v>
      </c>
      <c r="I229" s="13" t="s">
        <v>82</v>
      </c>
      <c r="J229" s="13" t="s">
        <v>83</v>
      </c>
      <c r="K229" s="13"/>
      <c r="L229" s="13" t="s">
        <v>1093</v>
      </c>
      <c r="M229" s="13" t="s">
        <v>1094</v>
      </c>
    </row>
    <row r="230" customFormat="false" ht="147" hidden="false" customHeight="false" outlineLevel="0" collapsed="false">
      <c r="A230" s="13" t="s">
        <v>3</v>
      </c>
      <c r="B230" s="13" t="s">
        <v>68</v>
      </c>
      <c r="C230" s="13" t="n">
        <v>281</v>
      </c>
      <c r="D230" s="13" t="s">
        <v>1088</v>
      </c>
      <c r="E230" s="13" t="s">
        <v>1095</v>
      </c>
      <c r="F230" s="13" t="s">
        <v>1090</v>
      </c>
      <c r="G230" s="13" t="s">
        <v>1096</v>
      </c>
      <c r="H230" s="13" t="s">
        <v>1097</v>
      </c>
      <c r="I230" s="13" t="s">
        <v>82</v>
      </c>
      <c r="J230" s="13" t="s">
        <v>83</v>
      </c>
      <c r="K230" s="13"/>
      <c r="L230" s="13" t="s">
        <v>1093</v>
      </c>
      <c r="M230" s="13" t="s">
        <v>1094</v>
      </c>
    </row>
    <row r="231" customFormat="false" ht="147" hidden="false" customHeight="false" outlineLevel="0" collapsed="false">
      <c r="A231" s="13" t="s">
        <v>3</v>
      </c>
      <c r="B231" s="13" t="s">
        <v>68</v>
      </c>
      <c r="C231" s="13" t="n">
        <v>281</v>
      </c>
      <c r="D231" s="13" t="s">
        <v>1088</v>
      </c>
      <c r="E231" s="13" t="s">
        <v>1098</v>
      </c>
      <c r="F231" s="13" t="s">
        <v>1090</v>
      </c>
      <c r="G231" s="13" t="s">
        <v>1099</v>
      </c>
      <c r="H231" s="13" t="s">
        <v>1100</v>
      </c>
      <c r="I231" s="13" t="s">
        <v>82</v>
      </c>
      <c r="J231" s="13" t="s">
        <v>83</v>
      </c>
      <c r="K231" s="13"/>
      <c r="L231" s="13" t="s">
        <v>1093</v>
      </c>
      <c r="M231" s="13" t="s">
        <v>1094</v>
      </c>
    </row>
    <row r="232" customFormat="false" ht="57.45" hidden="false" customHeight="false" outlineLevel="0" collapsed="false">
      <c r="A232" s="13" t="s">
        <v>3</v>
      </c>
      <c r="B232" s="13" t="s">
        <v>68</v>
      </c>
      <c r="C232" s="13" t="n">
        <v>281</v>
      </c>
      <c r="D232" s="13" t="s">
        <v>1101</v>
      </c>
      <c r="E232" s="13" t="s">
        <v>1102</v>
      </c>
      <c r="F232" s="13" t="s">
        <v>1090</v>
      </c>
      <c r="G232" s="13" t="s">
        <v>1103</v>
      </c>
      <c r="H232" s="13" t="s">
        <v>1097</v>
      </c>
      <c r="I232" s="13" t="s">
        <v>82</v>
      </c>
      <c r="J232" s="13" t="s">
        <v>83</v>
      </c>
      <c r="K232" s="13"/>
      <c r="L232" s="13" t="s">
        <v>1104</v>
      </c>
      <c r="M232" s="13" t="s">
        <v>1105</v>
      </c>
    </row>
    <row r="233" customFormat="false" ht="57.45" hidden="false" customHeight="false" outlineLevel="0" collapsed="false">
      <c r="A233" s="13" t="s">
        <v>3</v>
      </c>
      <c r="B233" s="13" t="s">
        <v>68</v>
      </c>
      <c r="C233" s="13" t="n">
        <v>281</v>
      </c>
      <c r="D233" s="13" t="s">
        <v>1101</v>
      </c>
      <c r="E233" s="13" t="s">
        <v>1106</v>
      </c>
      <c r="F233" s="13" t="s">
        <v>1090</v>
      </c>
      <c r="G233" s="13" t="s">
        <v>1107</v>
      </c>
      <c r="H233" s="13" t="s">
        <v>1108</v>
      </c>
      <c r="I233" s="13" t="s">
        <v>82</v>
      </c>
      <c r="J233" s="13" t="s">
        <v>83</v>
      </c>
      <c r="K233" s="13"/>
      <c r="L233" s="13" t="s">
        <v>1104</v>
      </c>
      <c r="M233" s="13" t="s">
        <v>1105</v>
      </c>
    </row>
    <row r="234" customFormat="false" ht="102.2" hidden="false" customHeight="false" outlineLevel="0" collapsed="false">
      <c r="A234" s="13" t="s">
        <v>3</v>
      </c>
      <c r="B234" s="13" t="s">
        <v>68</v>
      </c>
      <c r="C234" s="13" t="n">
        <v>281</v>
      </c>
      <c r="D234" s="13" t="s">
        <v>1109</v>
      </c>
      <c r="E234" s="13" t="s">
        <v>1110</v>
      </c>
      <c r="F234" s="13" t="s">
        <v>1090</v>
      </c>
      <c r="G234" s="13" t="s">
        <v>1111</v>
      </c>
      <c r="H234" s="13" t="s">
        <v>1112</v>
      </c>
      <c r="I234" s="13" t="s">
        <v>82</v>
      </c>
      <c r="J234" s="13" t="s">
        <v>83</v>
      </c>
      <c r="K234" s="13"/>
      <c r="L234" s="13" t="s">
        <v>1113</v>
      </c>
      <c r="M234" s="13" t="s">
        <v>1114</v>
      </c>
    </row>
    <row r="235" customFormat="false" ht="102.2" hidden="false" customHeight="false" outlineLevel="0" collapsed="false">
      <c r="A235" s="13" t="s">
        <v>3</v>
      </c>
      <c r="B235" s="13" t="s">
        <v>68</v>
      </c>
      <c r="C235" s="13" t="n">
        <v>281</v>
      </c>
      <c r="D235" s="13" t="s">
        <v>1109</v>
      </c>
      <c r="E235" s="13" t="s">
        <v>1115</v>
      </c>
      <c r="F235" s="13" t="s">
        <v>1090</v>
      </c>
      <c r="G235" s="13" t="s">
        <v>1103</v>
      </c>
      <c r="H235" s="13" t="s">
        <v>1116</v>
      </c>
      <c r="I235" s="13" t="s">
        <v>82</v>
      </c>
      <c r="J235" s="13" t="s">
        <v>83</v>
      </c>
      <c r="K235" s="13"/>
      <c r="L235" s="13" t="s">
        <v>1113</v>
      </c>
      <c r="M235" s="13" t="s">
        <v>1114</v>
      </c>
    </row>
    <row r="236" customFormat="false" ht="113.4" hidden="false" customHeight="false" outlineLevel="0" collapsed="false">
      <c r="A236" s="13" t="s">
        <v>3</v>
      </c>
      <c r="B236" s="13" t="s">
        <v>68</v>
      </c>
      <c r="C236" s="13" t="n">
        <v>281</v>
      </c>
      <c r="D236" s="13" t="s">
        <v>1117</v>
      </c>
      <c r="E236" s="13" t="s">
        <v>1118</v>
      </c>
      <c r="F236" s="13" t="s">
        <v>1090</v>
      </c>
      <c r="G236" s="13" t="s">
        <v>1111</v>
      </c>
      <c r="H236" s="13" t="s">
        <v>1119</v>
      </c>
      <c r="I236" s="13" t="s">
        <v>82</v>
      </c>
      <c r="J236" s="13" t="s">
        <v>83</v>
      </c>
      <c r="K236" s="13"/>
      <c r="L236" s="13" t="s">
        <v>1120</v>
      </c>
      <c r="M236" s="13" t="s">
        <v>1121</v>
      </c>
    </row>
    <row r="237" customFormat="false" ht="113.4" hidden="false" customHeight="false" outlineLevel="0" collapsed="false">
      <c r="A237" s="13" t="s">
        <v>3</v>
      </c>
      <c r="B237" s="13" t="s">
        <v>68</v>
      </c>
      <c r="C237" s="13" t="n">
        <v>281</v>
      </c>
      <c r="D237" s="13" t="s">
        <v>1117</v>
      </c>
      <c r="E237" s="13" t="s">
        <v>1122</v>
      </c>
      <c r="F237" s="13" t="s">
        <v>1090</v>
      </c>
      <c r="G237" s="13" t="s">
        <v>1103</v>
      </c>
      <c r="H237" s="13" t="s">
        <v>1123</v>
      </c>
      <c r="I237" s="13" t="s">
        <v>82</v>
      </c>
      <c r="J237" s="13" t="s">
        <v>83</v>
      </c>
      <c r="K237" s="13"/>
      <c r="L237" s="13" t="s">
        <v>1120</v>
      </c>
      <c r="M237" s="13" t="s">
        <v>1121</v>
      </c>
    </row>
    <row r="238" customFormat="false" ht="113.4" hidden="false" customHeight="false" outlineLevel="0" collapsed="false">
      <c r="A238" s="13" t="s">
        <v>3</v>
      </c>
      <c r="B238" s="13" t="s">
        <v>68</v>
      </c>
      <c r="C238" s="13" t="n">
        <v>281</v>
      </c>
      <c r="D238" s="13" t="s">
        <v>1124</v>
      </c>
      <c r="E238" s="13" t="s">
        <v>1125</v>
      </c>
      <c r="F238" s="13" t="s">
        <v>1090</v>
      </c>
      <c r="G238" s="13" t="s">
        <v>1111</v>
      </c>
      <c r="H238" s="13" t="s">
        <v>1126</v>
      </c>
      <c r="I238" s="13" t="s">
        <v>82</v>
      </c>
      <c r="J238" s="13" t="s">
        <v>83</v>
      </c>
      <c r="K238" s="13"/>
      <c r="L238" s="13" t="s">
        <v>1127</v>
      </c>
      <c r="M238" s="13" t="s">
        <v>1128</v>
      </c>
    </row>
    <row r="239" customFormat="false" ht="113.4" hidden="false" customHeight="false" outlineLevel="0" collapsed="false">
      <c r="A239" s="13" t="s">
        <v>3</v>
      </c>
      <c r="B239" s="13" t="s">
        <v>68</v>
      </c>
      <c r="C239" s="13" t="n">
        <v>281</v>
      </c>
      <c r="D239" s="13" t="s">
        <v>1124</v>
      </c>
      <c r="E239" s="13" t="s">
        <v>1129</v>
      </c>
      <c r="F239" s="13" t="s">
        <v>1090</v>
      </c>
      <c r="G239" s="13" t="s">
        <v>1103</v>
      </c>
      <c r="H239" s="13" t="s">
        <v>1130</v>
      </c>
      <c r="I239" s="13" t="s">
        <v>82</v>
      </c>
      <c r="J239" s="13" t="s">
        <v>83</v>
      </c>
      <c r="K239" s="13"/>
      <c r="L239" s="13" t="s">
        <v>1127</v>
      </c>
      <c r="M239" s="13" t="s">
        <v>1128</v>
      </c>
    </row>
    <row r="240" customFormat="false" ht="91" hidden="false" customHeight="false" outlineLevel="0" collapsed="false">
      <c r="A240" s="13" t="s">
        <v>3</v>
      </c>
      <c r="B240" s="13" t="s">
        <v>68</v>
      </c>
      <c r="C240" s="13" t="n">
        <v>290</v>
      </c>
      <c r="D240" s="13" t="s">
        <v>1131</v>
      </c>
      <c r="E240" s="13" t="s">
        <v>1132</v>
      </c>
      <c r="F240" s="13" t="s">
        <v>1133</v>
      </c>
      <c r="G240" s="13" t="s">
        <v>1134</v>
      </c>
      <c r="H240" s="13" t="s">
        <v>1135</v>
      </c>
      <c r="I240" s="13" t="s">
        <v>82</v>
      </c>
      <c r="J240" s="13" t="s">
        <v>83</v>
      </c>
      <c r="K240" s="13"/>
      <c r="L240" s="13" t="s">
        <v>1136</v>
      </c>
      <c r="M240" s="13" t="s">
        <v>1137</v>
      </c>
    </row>
    <row r="241" customFormat="false" ht="91" hidden="false" customHeight="false" outlineLevel="0" collapsed="false">
      <c r="A241" s="13" t="s">
        <v>3</v>
      </c>
      <c r="B241" s="13" t="s">
        <v>68</v>
      </c>
      <c r="C241" s="13" t="n">
        <v>290</v>
      </c>
      <c r="D241" s="13" t="s">
        <v>1131</v>
      </c>
      <c r="E241" s="13" t="s">
        <v>1138</v>
      </c>
      <c r="F241" s="13" t="s">
        <v>244</v>
      </c>
      <c r="G241" s="13" t="s">
        <v>261</v>
      </c>
      <c r="H241" s="13" t="s">
        <v>1133</v>
      </c>
      <c r="I241" s="13" t="s">
        <v>82</v>
      </c>
      <c r="J241" s="13" t="s">
        <v>83</v>
      </c>
      <c r="K241" s="13"/>
      <c r="L241" s="13" t="s">
        <v>1136</v>
      </c>
      <c r="M241" s="13" t="s">
        <v>1137</v>
      </c>
    </row>
    <row r="242" customFormat="false" ht="91" hidden="false" customHeight="false" outlineLevel="0" collapsed="false">
      <c r="A242" s="13" t="s">
        <v>3</v>
      </c>
      <c r="B242" s="13" t="s">
        <v>68</v>
      </c>
      <c r="C242" s="13" t="n">
        <v>290</v>
      </c>
      <c r="D242" s="13" t="s">
        <v>1131</v>
      </c>
      <c r="E242" s="13" t="s">
        <v>1139</v>
      </c>
      <c r="F242" s="13" t="s">
        <v>1140</v>
      </c>
      <c r="G242" s="13" t="s">
        <v>1141</v>
      </c>
      <c r="H242" s="13" t="s">
        <v>1142</v>
      </c>
      <c r="I242" s="13" t="s">
        <v>82</v>
      </c>
      <c r="J242" s="13" t="s">
        <v>83</v>
      </c>
      <c r="K242" s="13"/>
      <c r="L242" s="13" t="s">
        <v>1136</v>
      </c>
      <c r="M242" s="13" t="s">
        <v>1137</v>
      </c>
    </row>
    <row r="243" customFormat="false" ht="91" hidden="false" customHeight="false" outlineLevel="0" collapsed="false">
      <c r="A243" s="13" t="s">
        <v>3</v>
      </c>
      <c r="B243" s="13" t="s">
        <v>68</v>
      </c>
      <c r="C243" s="13" t="n">
        <v>290</v>
      </c>
      <c r="D243" s="13" t="s">
        <v>1131</v>
      </c>
      <c r="E243" s="13" t="s">
        <v>1143</v>
      </c>
      <c r="F243" s="13" t="s">
        <v>244</v>
      </c>
      <c r="G243" s="13" t="s">
        <v>762</v>
      </c>
      <c r="H243" s="13" t="s">
        <v>1144</v>
      </c>
      <c r="I243" s="13" t="s">
        <v>1145</v>
      </c>
      <c r="J243" s="13" t="s">
        <v>1146</v>
      </c>
      <c r="K243" s="13" t="s">
        <v>1147</v>
      </c>
      <c r="L243" s="13" t="s">
        <v>1136</v>
      </c>
      <c r="M243" s="13" t="s">
        <v>1137</v>
      </c>
    </row>
    <row r="244" customFormat="false" ht="68.65" hidden="false" customHeight="false" outlineLevel="0" collapsed="false">
      <c r="A244" s="13" t="s">
        <v>3</v>
      </c>
      <c r="B244" s="13" t="s">
        <v>68</v>
      </c>
      <c r="C244" s="13" t="n">
        <v>290</v>
      </c>
      <c r="D244" s="13" t="s">
        <v>1148</v>
      </c>
      <c r="E244" s="13" t="s">
        <v>1149</v>
      </c>
      <c r="F244" s="13" t="s">
        <v>806</v>
      </c>
      <c r="G244" s="13" t="s">
        <v>1150</v>
      </c>
      <c r="H244" s="13" t="s">
        <v>1151</v>
      </c>
      <c r="I244" s="13" t="s">
        <v>82</v>
      </c>
      <c r="J244" s="13" t="s">
        <v>83</v>
      </c>
      <c r="K244" s="13"/>
      <c r="L244" s="13" t="s">
        <v>1152</v>
      </c>
      <c r="M244" s="13" t="s">
        <v>1153</v>
      </c>
    </row>
    <row r="245" customFormat="false" ht="68.65" hidden="false" customHeight="false" outlineLevel="0" collapsed="false">
      <c r="A245" s="13" t="s">
        <v>3</v>
      </c>
      <c r="B245" s="13" t="s">
        <v>68</v>
      </c>
      <c r="C245" s="13" t="n">
        <v>290</v>
      </c>
      <c r="D245" s="13" t="s">
        <v>1148</v>
      </c>
      <c r="E245" s="13" t="s">
        <v>1154</v>
      </c>
      <c r="F245" s="13" t="s">
        <v>806</v>
      </c>
      <c r="G245" s="13" t="s">
        <v>1155</v>
      </c>
      <c r="H245" s="13" t="s">
        <v>1156</v>
      </c>
      <c r="I245" s="13" t="s">
        <v>82</v>
      </c>
      <c r="J245" s="13" t="s">
        <v>83</v>
      </c>
      <c r="K245" s="13"/>
      <c r="L245" s="13" t="s">
        <v>1152</v>
      </c>
      <c r="M245" s="13" t="s">
        <v>1153</v>
      </c>
    </row>
    <row r="246" customFormat="false" ht="68.65" hidden="false" customHeight="false" outlineLevel="0" collapsed="false">
      <c r="A246" s="13" t="s">
        <v>3</v>
      </c>
      <c r="B246" s="13" t="s">
        <v>68</v>
      </c>
      <c r="C246" s="13" t="n">
        <v>290</v>
      </c>
      <c r="D246" s="13" t="s">
        <v>1148</v>
      </c>
      <c r="E246" s="13" t="s">
        <v>1157</v>
      </c>
      <c r="F246" s="13" t="s">
        <v>806</v>
      </c>
      <c r="G246" s="13" t="s">
        <v>1158</v>
      </c>
      <c r="H246" s="13" t="s">
        <v>1159</v>
      </c>
      <c r="I246" s="13" t="s">
        <v>82</v>
      </c>
      <c r="J246" s="13" t="s">
        <v>83</v>
      </c>
      <c r="K246" s="13"/>
      <c r="L246" s="13" t="s">
        <v>1152</v>
      </c>
      <c r="M246" s="13" t="s">
        <v>1153</v>
      </c>
    </row>
    <row r="247" customFormat="false" ht="68.65" hidden="false" customHeight="false" outlineLevel="0" collapsed="false">
      <c r="A247" s="13" t="s">
        <v>3</v>
      </c>
      <c r="B247" s="13" t="s">
        <v>68</v>
      </c>
      <c r="C247" s="13" t="n">
        <v>290</v>
      </c>
      <c r="D247" s="13" t="s">
        <v>1148</v>
      </c>
      <c r="E247" s="13" t="s">
        <v>1160</v>
      </c>
      <c r="F247" s="13" t="s">
        <v>806</v>
      </c>
      <c r="G247" s="13" t="s">
        <v>1161</v>
      </c>
      <c r="H247" s="13" t="s">
        <v>1159</v>
      </c>
      <c r="I247" s="13" t="s">
        <v>82</v>
      </c>
      <c r="J247" s="13" t="s">
        <v>83</v>
      </c>
      <c r="K247" s="13"/>
      <c r="L247" s="13" t="s">
        <v>1152</v>
      </c>
      <c r="M247" s="13" t="s">
        <v>1153</v>
      </c>
    </row>
    <row r="248" customFormat="false" ht="158.2" hidden="false" customHeight="false" outlineLevel="0" collapsed="false">
      <c r="A248" s="13" t="s">
        <v>3</v>
      </c>
      <c r="B248" s="13" t="s">
        <v>68</v>
      </c>
      <c r="C248" s="13" t="n">
        <v>290</v>
      </c>
      <c r="D248" s="13" t="s">
        <v>1162</v>
      </c>
      <c r="E248" s="13" t="s">
        <v>1163</v>
      </c>
      <c r="F248" s="13" t="s">
        <v>806</v>
      </c>
      <c r="G248" s="13" t="s">
        <v>1164</v>
      </c>
      <c r="H248" s="13" t="s">
        <v>1165</v>
      </c>
      <c r="I248" s="13" t="s">
        <v>82</v>
      </c>
      <c r="J248" s="13" t="s">
        <v>83</v>
      </c>
      <c r="K248" s="13"/>
      <c r="L248" s="13" t="s">
        <v>1166</v>
      </c>
      <c r="M248" s="13" t="s">
        <v>1167</v>
      </c>
    </row>
    <row r="249" customFormat="false" ht="158.2" hidden="false" customHeight="false" outlineLevel="0" collapsed="false">
      <c r="A249" s="13" t="s">
        <v>3</v>
      </c>
      <c r="B249" s="13" t="s">
        <v>68</v>
      </c>
      <c r="C249" s="13" t="n">
        <v>290</v>
      </c>
      <c r="D249" s="13" t="s">
        <v>1162</v>
      </c>
      <c r="E249" s="13" t="s">
        <v>1168</v>
      </c>
      <c r="F249" s="13" t="s">
        <v>806</v>
      </c>
      <c r="G249" s="13" t="s">
        <v>1169</v>
      </c>
      <c r="H249" s="13" t="s">
        <v>966</v>
      </c>
      <c r="I249" s="13" t="s">
        <v>82</v>
      </c>
      <c r="J249" s="13" t="s">
        <v>83</v>
      </c>
      <c r="K249" s="13"/>
      <c r="L249" s="13" t="s">
        <v>1166</v>
      </c>
      <c r="M249" s="13" t="s">
        <v>1167</v>
      </c>
    </row>
    <row r="250" customFormat="false" ht="158.2" hidden="false" customHeight="false" outlineLevel="0" collapsed="false">
      <c r="A250" s="13" t="s">
        <v>3</v>
      </c>
      <c r="B250" s="13" t="s">
        <v>68</v>
      </c>
      <c r="C250" s="13" t="n">
        <v>290</v>
      </c>
      <c r="D250" s="13" t="s">
        <v>1162</v>
      </c>
      <c r="E250" s="13" t="s">
        <v>1170</v>
      </c>
      <c r="F250" s="13" t="s">
        <v>806</v>
      </c>
      <c r="G250" s="13" t="s">
        <v>1171</v>
      </c>
      <c r="H250" s="13" t="s">
        <v>1172</v>
      </c>
      <c r="I250" s="13" t="s">
        <v>82</v>
      </c>
      <c r="J250" s="13" t="s">
        <v>83</v>
      </c>
      <c r="K250" s="13"/>
      <c r="L250" s="13" t="s">
        <v>1166</v>
      </c>
      <c r="M250" s="13" t="s">
        <v>1167</v>
      </c>
    </row>
    <row r="251" customFormat="false" ht="158.2" hidden="false" customHeight="false" outlineLevel="0" collapsed="false">
      <c r="A251" s="13" t="s">
        <v>3</v>
      </c>
      <c r="B251" s="13" t="s">
        <v>68</v>
      </c>
      <c r="C251" s="13" t="n">
        <v>290</v>
      </c>
      <c r="D251" s="13" t="s">
        <v>1162</v>
      </c>
      <c r="E251" s="13" t="s">
        <v>1173</v>
      </c>
      <c r="F251" s="13" t="s">
        <v>806</v>
      </c>
      <c r="G251" s="13" t="s">
        <v>1174</v>
      </c>
      <c r="H251" s="13" t="s">
        <v>1165</v>
      </c>
      <c r="I251" s="13" t="s">
        <v>82</v>
      </c>
      <c r="J251" s="13" t="s">
        <v>83</v>
      </c>
      <c r="K251" s="13"/>
      <c r="L251" s="13" t="s">
        <v>1166</v>
      </c>
      <c r="M251" s="13" t="s">
        <v>1167</v>
      </c>
    </row>
    <row r="252" customFormat="false" ht="158.2" hidden="false" customHeight="false" outlineLevel="0" collapsed="false">
      <c r="A252" s="13" t="s">
        <v>3</v>
      </c>
      <c r="B252" s="13" t="s">
        <v>68</v>
      </c>
      <c r="C252" s="13" t="n">
        <v>290</v>
      </c>
      <c r="D252" s="13" t="s">
        <v>1175</v>
      </c>
      <c r="E252" s="13" t="s">
        <v>1176</v>
      </c>
      <c r="F252" s="13" t="s">
        <v>806</v>
      </c>
      <c r="G252" s="13" t="s">
        <v>1177</v>
      </c>
      <c r="H252" s="13" t="s">
        <v>1178</v>
      </c>
      <c r="I252" s="13" t="s">
        <v>82</v>
      </c>
      <c r="J252" s="13" t="s">
        <v>83</v>
      </c>
      <c r="K252" s="13"/>
      <c r="L252" s="13" t="s">
        <v>1179</v>
      </c>
      <c r="M252" s="13" t="s">
        <v>1180</v>
      </c>
    </row>
    <row r="253" customFormat="false" ht="158.2" hidden="false" customHeight="false" outlineLevel="0" collapsed="false">
      <c r="A253" s="13" t="s">
        <v>3</v>
      </c>
      <c r="B253" s="13" t="s">
        <v>68</v>
      </c>
      <c r="C253" s="13" t="n">
        <v>290</v>
      </c>
      <c r="D253" s="13" t="s">
        <v>1175</v>
      </c>
      <c r="E253" s="13" t="s">
        <v>1181</v>
      </c>
      <c r="F253" s="13" t="s">
        <v>1178</v>
      </c>
      <c r="G253" s="13" t="s">
        <v>1182</v>
      </c>
      <c r="H253" s="13" t="s">
        <v>1183</v>
      </c>
      <c r="I253" s="13" t="s">
        <v>82</v>
      </c>
      <c r="J253" s="13" t="s">
        <v>83</v>
      </c>
      <c r="K253" s="13"/>
      <c r="L253" s="13" t="s">
        <v>1179</v>
      </c>
      <c r="M253" s="13" t="s">
        <v>1180</v>
      </c>
    </row>
    <row r="254" customFormat="false" ht="158.2" hidden="false" customHeight="false" outlineLevel="0" collapsed="false">
      <c r="A254" s="13" t="s">
        <v>3</v>
      </c>
      <c r="B254" s="13" t="s">
        <v>68</v>
      </c>
      <c r="C254" s="13" t="n">
        <v>290</v>
      </c>
      <c r="D254" s="13" t="s">
        <v>1175</v>
      </c>
      <c r="E254" s="13" t="s">
        <v>1184</v>
      </c>
      <c r="F254" s="13" t="s">
        <v>1185</v>
      </c>
      <c r="G254" s="13" t="s">
        <v>1186</v>
      </c>
      <c r="H254" s="13" t="s">
        <v>1183</v>
      </c>
      <c r="I254" s="13" t="s">
        <v>82</v>
      </c>
      <c r="J254" s="13" t="s">
        <v>83</v>
      </c>
      <c r="K254" s="13"/>
      <c r="L254" s="13" t="s">
        <v>1179</v>
      </c>
      <c r="M254" s="13" t="s">
        <v>1180</v>
      </c>
    </row>
    <row r="255" customFormat="false" ht="158.2" hidden="false" customHeight="false" outlineLevel="0" collapsed="false">
      <c r="A255" s="13" t="s">
        <v>3</v>
      </c>
      <c r="B255" s="13" t="s">
        <v>68</v>
      </c>
      <c r="C255" s="13" t="n">
        <v>290</v>
      </c>
      <c r="D255" s="13" t="s">
        <v>1175</v>
      </c>
      <c r="E255" s="13" t="s">
        <v>1187</v>
      </c>
      <c r="F255" s="13" t="s">
        <v>1185</v>
      </c>
      <c r="G255" s="13" t="s">
        <v>1188</v>
      </c>
      <c r="H255" s="13" t="s">
        <v>1189</v>
      </c>
      <c r="I255" s="13" t="s">
        <v>82</v>
      </c>
      <c r="J255" s="13" t="s">
        <v>83</v>
      </c>
      <c r="K255" s="13"/>
      <c r="L255" s="13" t="s">
        <v>1179</v>
      </c>
      <c r="M255" s="13" t="s">
        <v>1180</v>
      </c>
    </row>
    <row r="256" customFormat="false" ht="158.2" hidden="false" customHeight="false" outlineLevel="0" collapsed="false">
      <c r="A256" s="13" t="s">
        <v>3</v>
      </c>
      <c r="B256" s="13" t="s">
        <v>68</v>
      </c>
      <c r="C256" s="13" t="n">
        <v>290</v>
      </c>
      <c r="D256" s="13" t="s">
        <v>1175</v>
      </c>
      <c r="E256" s="13" t="s">
        <v>1190</v>
      </c>
      <c r="F256" s="13" t="s">
        <v>1185</v>
      </c>
      <c r="G256" s="13" t="s">
        <v>1188</v>
      </c>
      <c r="H256" s="13" t="s">
        <v>1191</v>
      </c>
      <c r="I256" s="13" t="s">
        <v>82</v>
      </c>
      <c r="J256" s="13" t="s">
        <v>83</v>
      </c>
      <c r="K256" s="13"/>
      <c r="L256" s="13" t="s">
        <v>1179</v>
      </c>
      <c r="M256" s="13" t="s">
        <v>1180</v>
      </c>
    </row>
    <row r="257" customFormat="false" ht="79.85" hidden="false" customHeight="false" outlineLevel="0" collapsed="false">
      <c r="A257" s="13" t="s">
        <v>3</v>
      </c>
      <c r="B257" s="13" t="s">
        <v>68</v>
      </c>
      <c r="C257" s="13" t="n">
        <v>303</v>
      </c>
      <c r="D257" s="13" t="s">
        <v>1192</v>
      </c>
      <c r="E257" s="13" t="s">
        <v>1193</v>
      </c>
      <c r="F257" s="13" t="s">
        <v>1194</v>
      </c>
      <c r="G257" s="13" t="s">
        <v>1195</v>
      </c>
      <c r="H257" s="13" t="s">
        <v>1196</v>
      </c>
      <c r="I257" s="13" t="s">
        <v>82</v>
      </c>
      <c r="J257" s="13" t="s">
        <v>83</v>
      </c>
      <c r="K257" s="13"/>
      <c r="L257" s="13" t="s">
        <v>1197</v>
      </c>
      <c r="M257" s="13" t="s">
        <v>1198</v>
      </c>
    </row>
    <row r="258" customFormat="false" ht="79.85" hidden="false" customHeight="false" outlineLevel="0" collapsed="false">
      <c r="A258" s="13" t="s">
        <v>3</v>
      </c>
      <c r="B258" s="13" t="s">
        <v>68</v>
      </c>
      <c r="C258" s="13" t="n">
        <v>303</v>
      </c>
      <c r="D258" s="13" t="s">
        <v>1192</v>
      </c>
      <c r="E258" s="13" t="s">
        <v>1199</v>
      </c>
      <c r="F258" s="13" t="s">
        <v>1200</v>
      </c>
      <c r="G258" s="13" t="s">
        <v>1201</v>
      </c>
      <c r="H258" s="13" t="s">
        <v>1202</v>
      </c>
      <c r="I258" s="13" t="s">
        <v>114</v>
      </c>
      <c r="J258" s="13" t="s">
        <v>1203</v>
      </c>
      <c r="K258" s="13" t="s">
        <v>1204</v>
      </c>
      <c r="L258" s="13" t="s">
        <v>1197</v>
      </c>
      <c r="M258" s="13" t="s">
        <v>1198</v>
      </c>
    </row>
    <row r="259" customFormat="false" ht="79.85" hidden="false" customHeight="false" outlineLevel="0" collapsed="false">
      <c r="A259" s="13" t="s">
        <v>3</v>
      </c>
      <c r="B259" s="13" t="s">
        <v>68</v>
      </c>
      <c r="C259" s="13" t="n">
        <v>303</v>
      </c>
      <c r="D259" s="13" t="s">
        <v>1192</v>
      </c>
      <c r="E259" s="13" t="s">
        <v>1205</v>
      </c>
      <c r="F259" s="13" t="s">
        <v>1200</v>
      </c>
      <c r="G259" s="13" t="s">
        <v>513</v>
      </c>
      <c r="H259" s="13" t="s">
        <v>1206</v>
      </c>
      <c r="I259" s="13" t="s">
        <v>82</v>
      </c>
      <c r="J259" s="13" t="s">
        <v>83</v>
      </c>
      <c r="K259" s="13"/>
      <c r="L259" s="13" t="s">
        <v>1197</v>
      </c>
      <c r="M259" s="13" t="s">
        <v>1198</v>
      </c>
    </row>
    <row r="260" customFormat="false" ht="79.85" hidden="false" customHeight="false" outlineLevel="0" collapsed="false">
      <c r="A260" s="13" t="s">
        <v>3</v>
      </c>
      <c r="B260" s="13" t="s">
        <v>68</v>
      </c>
      <c r="C260" s="13" t="n">
        <v>303</v>
      </c>
      <c r="D260" s="13" t="s">
        <v>1192</v>
      </c>
      <c r="E260" s="13" t="s">
        <v>1207</v>
      </c>
      <c r="F260" s="13" t="s">
        <v>1208</v>
      </c>
      <c r="G260" s="13" t="s">
        <v>1209</v>
      </c>
      <c r="H260" s="13" t="s">
        <v>1210</v>
      </c>
      <c r="I260" s="13" t="s">
        <v>82</v>
      </c>
      <c r="J260" s="13" t="s">
        <v>83</v>
      </c>
      <c r="K260" s="13"/>
      <c r="L260" s="13" t="s">
        <v>1197</v>
      </c>
      <c r="M260" s="13" t="s">
        <v>1198</v>
      </c>
    </row>
    <row r="261" customFormat="false" ht="113.4" hidden="false" customHeight="false" outlineLevel="0" collapsed="false">
      <c r="A261" s="13" t="s">
        <v>3</v>
      </c>
      <c r="B261" s="13" t="s">
        <v>68</v>
      </c>
      <c r="C261" s="13" t="n">
        <v>303</v>
      </c>
      <c r="D261" s="13" t="s">
        <v>1211</v>
      </c>
      <c r="E261" s="13" t="s">
        <v>1212</v>
      </c>
      <c r="F261" s="13" t="s">
        <v>1213</v>
      </c>
      <c r="G261" s="13" t="s">
        <v>1214</v>
      </c>
      <c r="H261" s="13" t="s">
        <v>1215</v>
      </c>
      <c r="I261" s="13" t="s">
        <v>82</v>
      </c>
      <c r="J261" s="13" t="s">
        <v>83</v>
      </c>
      <c r="K261" s="13"/>
      <c r="L261" s="13" t="s">
        <v>1216</v>
      </c>
      <c r="M261" s="13" t="s">
        <v>1217</v>
      </c>
    </row>
    <row r="262" customFormat="false" ht="113.4" hidden="false" customHeight="false" outlineLevel="0" collapsed="false">
      <c r="A262" s="13" t="s">
        <v>3</v>
      </c>
      <c r="B262" s="13" t="s">
        <v>68</v>
      </c>
      <c r="C262" s="13" t="n">
        <v>303</v>
      </c>
      <c r="D262" s="13" t="s">
        <v>1211</v>
      </c>
      <c r="E262" s="13" t="s">
        <v>1218</v>
      </c>
      <c r="F262" s="13" t="s">
        <v>1219</v>
      </c>
      <c r="G262" s="13" t="s">
        <v>1220</v>
      </c>
      <c r="H262" s="13" t="s">
        <v>1221</v>
      </c>
      <c r="I262" s="13" t="s">
        <v>82</v>
      </c>
      <c r="J262" s="13" t="s">
        <v>83</v>
      </c>
      <c r="K262" s="13"/>
      <c r="L262" s="13" t="s">
        <v>1216</v>
      </c>
      <c r="M262" s="13" t="s">
        <v>1217</v>
      </c>
    </row>
    <row r="263" customFormat="false" ht="113.4" hidden="false" customHeight="false" outlineLevel="0" collapsed="false">
      <c r="A263" s="13" t="s">
        <v>3</v>
      </c>
      <c r="B263" s="13" t="s">
        <v>68</v>
      </c>
      <c r="C263" s="13" t="n">
        <v>303</v>
      </c>
      <c r="D263" s="13" t="s">
        <v>1211</v>
      </c>
      <c r="E263" s="13" t="s">
        <v>1222</v>
      </c>
      <c r="F263" s="13" t="s">
        <v>1223</v>
      </c>
      <c r="G263" s="13" t="s">
        <v>1224</v>
      </c>
      <c r="H263" s="13" t="s">
        <v>1225</v>
      </c>
      <c r="I263" s="13" t="s">
        <v>82</v>
      </c>
      <c r="J263" s="13" t="s">
        <v>83</v>
      </c>
      <c r="K263" s="13"/>
      <c r="L263" s="13" t="s">
        <v>1216</v>
      </c>
      <c r="M263" s="13" t="s">
        <v>1217</v>
      </c>
    </row>
    <row r="264" customFormat="false" ht="102.2" hidden="false" customHeight="false" outlineLevel="0" collapsed="false">
      <c r="A264" s="13" t="s">
        <v>3</v>
      </c>
      <c r="B264" s="13" t="s">
        <v>68</v>
      </c>
      <c r="C264" s="13" t="n">
        <v>303</v>
      </c>
      <c r="D264" s="13" t="s">
        <v>1226</v>
      </c>
      <c r="E264" s="13" t="s">
        <v>1227</v>
      </c>
      <c r="F264" s="13" t="s">
        <v>1228</v>
      </c>
      <c r="G264" s="13" t="s">
        <v>1229</v>
      </c>
      <c r="H264" s="13" t="s">
        <v>1230</v>
      </c>
      <c r="I264" s="13" t="s">
        <v>82</v>
      </c>
      <c r="J264" s="13" t="s">
        <v>83</v>
      </c>
      <c r="K264" s="13"/>
      <c r="L264" s="13" t="s">
        <v>1231</v>
      </c>
      <c r="M264" s="13" t="s">
        <v>1232</v>
      </c>
    </row>
    <row r="265" customFormat="false" ht="102.2" hidden="false" customHeight="false" outlineLevel="0" collapsed="false">
      <c r="A265" s="13" t="s">
        <v>3</v>
      </c>
      <c r="B265" s="13" t="s">
        <v>68</v>
      </c>
      <c r="C265" s="13" t="n">
        <v>303</v>
      </c>
      <c r="D265" s="13" t="s">
        <v>1226</v>
      </c>
      <c r="E265" s="13" t="s">
        <v>1233</v>
      </c>
      <c r="F265" s="13" t="s">
        <v>1228</v>
      </c>
      <c r="G265" s="13" t="s">
        <v>1234</v>
      </c>
      <c r="H265" s="13" t="s">
        <v>1235</v>
      </c>
      <c r="I265" s="13" t="s">
        <v>82</v>
      </c>
      <c r="J265" s="13" t="s">
        <v>83</v>
      </c>
      <c r="K265" s="13"/>
      <c r="L265" s="13" t="s">
        <v>1231</v>
      </c>
      <c r="M265" s="13" t="s">
        <v>1232</v>
      </c>
    </row>
    <row r="266" customFormat="false" ht="102.2" hidden="false" customHeight="false" outlineLevel="0" collapsed="false">
      <c r="A266" s="13" t="s">
        <v>3</v>
      </c>
      <c r="B266" s="13" t="s">
        <v>68</v>
      </c>
      <c r="C266" s="13" t="n">
        <v>303</v>
      </c>
      <c r="D266" s="13" t="s">
        <v>1226</v>
      </c>
      <c r="E266" s="13" t="s">
        <v>1236</v>
      </c>
      <c r="F266" s="13" t="s">
        <v>1237</v>
      </c>
      <c r="G266" s="13" t="s">
        <v>1238</v>
      </c>
      <c r="H266" s="13" t="s">
        <v>1221</v>
      </c>
      <c r="I266" s="13" t="s">
        <v>82</v>
      </c>
      <c r="J266" s="13" t="s">
        <v>83</v>
      </c>
      <c r="K266" s="13"/>
      <c r="L266" s="13" t="s">
        <v>1231</v>
      </c>
      <c r="M266" s="13" t="s">
        <v>1232</v>
      </c>
    </row>
    <row r="267" customFormat="false" ht="102.2" hidden="false" customHeight="false" outlineLevel="0" collapsed="false">
      <c r="A267" s="13" t="s">
        <v>3</v>
      </c>
      <c r="B267" s="13" t="s">
        <v>68</v>
      </c>
      <c r="C267" s="13" t="n">
        <v>303</v>
      </c>
      <c r="D267" s="13" t="s">
        <v>1226</v>
      </c>
      <c r="E267" s="13" t="s">
        <v>1239</v>
      </c>
      <c r="F267" s="13" t="s">
        <v>1221</v>
      </c>
      <c r="G267" s="13" t="s">
        <v>1054</v>
      </c>
      <c r="H267" s="13" t="s">
        <v>1240</v>
      </c>
      <c r="I267" s="13" t="s">
        <v>82</v>
      </c>
      <c r="J267" s="13" t="s">
        <v>83</v>
      </c>
      <c r="K267" s="13"/>
      <c r="L267" s="13" t="s">
        <v>1231</v>
      </c>
      <c r="M267" s="13" t="s">
        <v>1232</v>
      </c>
    </row>
    <row r="268" customFormat="false" ht="46.25" hidden="false" customHeight="false" outlineLevel="0" collapsed="false">
      <c r="A268" s="13" t="s">
        <v>3</v>
      </c>
      <c r="B268" s="13" t="s">
        <v>68</v>
      </c>
      <c r="C268" s="13" t="n">
        <v>303</v>
      </c>
      <c r="D268" s="13" t="s">
        <v>1241</v>
      </c>
      <c r="E268" s="13" t="s">
        <v>1242</v>
      </c>
      <c r="F268" s="13" t="s">
        <v>1223</v>
      </c>
      <c r="G268" s="13" t="s">
        <v>295</v>
      </c>
      <c r="H268" s="13" t="s">
        <v>1243</v>
      </c>
      <c r="I268" s="13" t="s">
        <v>82</v>
      </c>
      <c r="J268" s="13" t="s">
        <v>83</v>
      </c>
      <c r="K268" s="13"/>
      <c r="L268" s="13" t="s">
        <v>1244</v>
      </c>
      <c r="M268" s="13" t="s">
        <v>1245</v>
      </c>
    </row>
    <row r="269" customFormat="false" ht="46.25" hidden="false" customHeight="false" outlineLevel="0" collapsed="false">
      <c r="A269" s="13" t="s">
        <v>3</v>
      </c>
      <c r="B269" s="13" t="s">
        <v>68</v>
      </c>
      <c r="C269" s="13" t="n">
        <v>303</v>
      </c>
      <c r="D269" s="13" t="s">
        <v>1241</v>
      </c>
      <c r="E269" s="13" t="s">
        <v>1246</v>
      </c>
      <c r="F269" s="13" t="s">
        <v>1219</v>
      </c>
      <c r="G269" s="13" t="s">
        <v>1247</v>
      </c>
      <c r="H269" s="13" t="s">
        <v>1248</v>
      </c>
      <c r="I269" s="13" t="s">
        <v>82</v>
      </c>
      <c r="J269" s="13" t="s">
        <v>83</v>
      </c>
      <c r="K269" s="13"/>
      <c r="L269" s="13" t="s">
        <v>1244</v>
      </c>
      <c r="M269" s="13" t="s">
        <v>1245</v>
      </c>
    </row>
    <row r="270" customFormat="false" ht="79.85" hidden="false" customHeight="false" outlineLevel="0" collapsed="false">
      <c r="A270" s="13" t="s">
        <v>3</v>
      </c>
      <c r="B270" s="13" t="s">
        <v>68</v>
      </c>
      <c r="C270" s="13" t="n">
        <v>311</v>
      </c>
      <c r="D270" s="13" t="s">
        <v>1249</v>
      </c>
      <c r="E270" s="13" t="s">
        <v>1250</v>
      </c>
      <c r="F270" s="13" t="s">
        <v>1213</v>
      </c>
      <c r="G270" s="13" t="s">
        <v>290</v>
      </c>
      <c r="H270" s="13" t="s">
        <v>1251</v>
      </c>
      <c r="I270" s="13" t="s">
        <v>82</v>
      </c>
      <c r="J270" s="13" t="s">
        <v>83</v>
      </c>
      <c r="K270" s="13"/>
      <c r="L270" s="13" t="s">
        <v>1252</v>
      </c>
      <c r="M270" s="13" t="s">
        <v>1253</v>
      </c>
    </row>
    <row r="271" customFormat="false" ht="79.85" hidden="false" customHeight="false" outlineLevel="0" collapsed="false">
      <c r="A271" s="13" t="s">
        <v>3</v>
      </c>
      <c r="B271" s="13" t="s">
        <v>68</v>
      </c>
      <c r="C271" s="13" t="n">
        <v>311</v>
      </c>
      <c r="D271" s="13" t="s">
        <v>1249</v>
      </c>
      <c r="E271" s="13" t="s">
        <v>1254</v>
      </c>
      <c r="F271" s="13" t="s">
        <v>1255</v>
      </c>
      <c r="G271" s="13" t="s">
        <v>290</v>
      </c>
      <c r="H271" s="13" t="s">
        <v>1251</v>
      </c>
      <c r="I271" s="13" t="s">
        <v>82</v>
      </c>
      <c r="J271" s="13" t="s">
        <v>83</v>
      </c>
      <c r="K271" s="13"/>
      <c r="L271" s="13" t="s">
        <v>1252</v>
      </c>
      <c r="M271" s="13" t="s">
        <v>1253</v>
      </c>
    </row>
    <row r="272" customFormat="false" ht="79.85" hidden="false" customHeight="false" outlineLevel="0" collapsed="false">
      <c r="A272" s="13" t="s">
        <v>3</v>
      </c>
      <c r="B272" s="13" t="s">
        <v>68</v>
      </c>
      <c r="C272" s="13" t="n">
        <v>311</v>
      </c>
      <c r="D272" s="13" t="s">
        <v>1249</v>
      </c>
      <c r="E272" s="13" t="s">
        <v>1256</v>
      </c>
      <c r="F272" s="13" t="s">
        <v>1257</v>
      </c>
      <c r="G272" s="13" t="s">
        <v>1258</v>
      </c>
      <c r="H272" s="13" t="s">
        <v>1259</v>
      </c>
      <c r="I272" s="13" t="s">
        <v>82</v>
      </c>
      <c r="J272" s="13" t="s">
        <v>83</v>
      </c>
      <c r="K272" s="13"/>
      <c r="L272" s="13" t="s">
        <v>1252</v>
      </c>
      <c r="M272" s="13" t="s">
        <v>1253</v>
      </c>
    </row>
    <row r="273" customFormat="false" ht="113.4" hidden="false" customHeight="false" outlineLevel="0" collapsed="false">
      <c r="A273" s="13" t="s">
        <v>3</v>
      </c>
      <c r="B273" s="13" t="s">
        <v>68</v>
      </c>
      <c r="C273" s="13" t="n">
        <v>311</v>
      </c>
      <c r="D273" s="13" t="s">
        <v>1260</v>
      </c>
      <c r="E273" s="13" t="s">
        <v>1261</v>
      </c>
      <c r="F273" s="13" t="s">
        <v>1213</v>
      </c>
      <c r="G273" s="13" t="s">
        <v>1262</v>
      </c>
      <c r="H273" s="13" t="s">
        <v>1263</v>
      </c>
      <c r="I273" s="13" t="s">
        <v>82</v>
      </c>
      <c r="J273" s="13" t="s">
        <v>83</v>
      </c>
      <c r="K273" s="13"/>
      <c r="L273" s="13" t="s">
        <v>1264</v>
      </c>
      <c r="M273" s="13" t="s">
        <v>1265</v>
      </c>
    </row>
    <row r="274" customFormat="false" ht="113.4" hidden="false" customHeight="false" outlineLevel="0" collapsed="false">
      <c r="A274" s="13" t="s">
        <v>3</v>
      </c>
      <c r="B274" s="13" t="s">
        <v>68</v>
      </c>
      <c r="C274" s="13" t="n">
        <v>311</v>
      </c>
      <c r="D274" s="13" t="s">
        <v>1260</v>
      </c>
      <c r="E274" s="13" t="s">
        <v>1266</v>
      </c>
      <c r="F274" s="13" t="s">
        <v>1255</v>
      </c>
      <c r="G274" s="13" t="s">
        <v>1262</v>
      </c>
      <c r="H274" s="13" t="s">
        <v>1263</v>
      </c>
      <c r="I274" s="13" t="s">
        <v>82</v>
      </c>
      <c r="J274" s="13" t="s">
        <v>83</v>
      </c>
      <c r="K274" s="13"/>
      <c r="L274" s="13" t="s">
        <v>1264</v>
      </c>
      <c r="M274" s="13" t="s">
        <v>1265</v>
      </c>
    </row>
    <row r="275" customFormat="false" ht="113.4" hidden="false" customHeight="false" outlineLevel="0" collapsed="false">
      <c r="A275" s="13" t="s">
        <v>3</v>
      </c>
      <c r="B275" s="13" t="s">
        <v>68</v>
      </c>
      <c r="C275" s="13" t="n">
        <v>311</v>
      </c>
      <c r="D275" s="13" t="s">
        <v>1260</v>
      </c>
      <c r="E275" s="13" t="s">
        <v>1267</v>
      </c>
      <c r="F275" s="13" t="s">
        <v>1263</v>
      </c>
      <c r="G275" s="13" t="s">
        <v>1268</v>
      </c>
      <c r="H275" s="13" t="s">
        <v>1269</v>
      </c>
      <c r="I275" s="13" t="s">
        <v>82</v>
      </c>
      <c r="J275" s="13" t="s">
        <v>83</v>
      </c>
      <c r="K275" s="13"/>
      <c r="L275" s="13" t="s">
        <v>1264</v>
      </c>
      <c r="M275" s="13" t="s">
        <v>1265</v>
      </c>
    </row>
    <row r="276" customFormat="false" ht="449.25" hidden="false" customHeight="false" outlineLevel="0" collapsed="false">
      <c r="A276" s="13" t="s">
        <v>3</v>
      </c>
      <c r="B276" s="13" t="s">
        <v>68</v>
      </c>
      <c r="C276" s="13" t="n">
        <v>311</v>
      </c>
      <c r="D276" s="13" t="s">
        <v>1270</v>
      </c>
      <c r="E276" s="13" t="s">
        <v>1271</v>
      </c>
      <c r="F276" s="13" t="s">
        <v>1272</v>
      </c>
      <c r="G276" s="13" t="s">
        <v>1273</v>
      </c>
      <c r="H276" s="13" t="s">
        <v>1274</v>
      </c>
      <c r="I276" s="13" t="s">
        <v>82</v>
      </c>
      <c r="J276" s="13" t="s">
        <v>83</v>
      </c>
      <c r="K276" s="13"/>
      <c r="L276" s="13" t="s">
        <v>1275</v>
      </c>
      <c r="M276" s="13" t="s">
        <v>1276</v>
      </c>
    </row>
    <row r="277" customFormat="false" ht="449.25" hidden="false" customHeight="false" outlineLevel="0" collapsed="false">
      <c r="A277" s="13" t="s">
        <v>3</v>
      </c>
      <c r="B277" s="13" t="s">
        <v>68</v>
      </c>
      <c r="C277" s="13" t="n">
        <v>311</v>
      </c>
      <c r="D277" s="13" t="s">
        <v>1270</v>
      </c>
      <c r="E277" s="13" t="s">
        <v>1277</v>
      </c>
      <c r="F277" s="13" t="s">
        <v>1272</v>
      </c>
      <c r="G277" s="13" t="s">
        <v>1278</v>
      </c>
      <c r="H277" s="13" t="s">
        <v>1279</v>
      </c>
      <c r="I277" s="13" t="s">
        <v>82</v>
      </c>
      <c r="J277" s="13" t="s">
        <v>83</v>
      </c>
      <c r="K277" s="13"/>
      <c r="L277" s="13" t="s">
        <v>1275</v>
      </c>
      <c r="M277" s="13" t="s">
        <v>1276</v>
      </c>
    </row>
    <row r="278" customFormat="false" ht="449.25" hidden="false" customHeight="false" outlineLevel="0" collapsed="false">
      <c r="A278" s="13" t="s">
        <v>3</v>
      </c>
      <c r="B278" s="13" t="s">
        <v>68</v>
      </c>
      <c r="C278" s="13" t="n">
        <v>311</v>
      </c>
      <c r="D278" s="13" t="s">
        <v>1270</v>
      </c>
      <c r="E278" s="13" t="s">
        <v>1280</v>
      </c>
      <c r="F278" s="13" t="s">
        <v>1281</v>
      </c>
      <c r="G278" s="13" t="s">
        <v>1282</v>
      </c>
      <c r="H278" s="13" t="s">
        <v>1283</v>
      </c>
      <c r="I278" s="13" t="s">
        <v>82</v>
      </c>
      <c r="J278" s="13" t="s">
        <v>83</v>
      </c>
      <c r="K278" s="13"/>
      <c r="L278" s="13" t="s">
        <v>1275</v>
      </c>
      <c r="M278" s="13" t="s">
        <v>1276</v>
      </c>
    </row>
    <row r="279" customFormat="false" ht="449.25" hidden="false" customHeight="false" outlineLevel="0" collapsed="false">
      <c r="A279" s="13" t="s">
        <v>3</v>
      </c>
      <c r="B279" s="13" t="s">
        <v>68</v>
      </c>
      <c r="C279" s="13" t="n">
        <v>311</v>
      </c>
      <c r="D279" s="13" t="s">
        <v>1270</v>
      </c>
      <c r="E279" s="13" t="s">
        <v>1284</v>
      </c>
      <c r="F279" s="13" t="s">
        <v>1285</v>
      </c>
      <c r="G279" s="13" t="s">
        <v>1286</v>
      </c>
      <c r="H279" s="13" t="s">
        <v>1281</v>
      </c>
      <c r="I279" s="13" t="s">
        <v>82</v>
      </c>
      <c r="J279" s="13" t="s">
        <v>83</v>
      </c>
      <c r="K279" s="13"/>
      <c r="L279" s="13" t="s">
        <v>1275</v>
      </c>
      <c r="M279" s="13" t="s">
        <v>1276</v>
      </c>
    </row>
    <row r="280" customFormat="false" ht="449.25" hidden="false" customHeight="false" outlineLevel="0" collapsed="false">
      <c r="A280" s="13" t="s">
        <v>3</v>
      </c>
      <c r="B280" s="13" t="s">
        <v>68</v>
      </c>
      <c r="C280" s="13" t="n">
        <v>311</v>
      </c>
      <c r="D280" s="13" t="s">
        <v>1270</v>
      </c>
      <c r="E280" s="13" t="s">
        <v>1287</v>
      </c>
      <c r="F280" s="13" t="s">
        <v>1283</v>
      </c>
      <c r="G280" s="13" t="s">
        <v>1288</v>
      </c>
      <c r="H280" s="13" t="s">
        <v>1289</v>
      </c>
      <c r="I280" s="13" t="s">
        <v>82</v>
      </c>
      <c r="J280" s="13" t="s">
        <v>83</v>
      </c>
      <c r="K280" s="13"/>
      <c r="L280" s="13" t="s">
        <v>1275</v>
      </c>
      <c r="M280" s="13" t="s">
        <v>1276</v>
      </c>
    </row>
    <row r="281" customFormat="false" ht="449.25" hidden="false" customHeight="false" outlineLevel="0" collapsed="false">
      <c r="A281" s="13" t="s">
        <v>3</v>
      </c>
      <c r="B281" s="13" t="s">
        <v>68</v>
      </c>
      <c r="C281" s="13" t="n">
        <v>311</v>
      </c>
      <c r="D281" s="13" t="s">
        <v>1270</v>
      </c>
      <c r="E281" s="13" t="s">
        <v>1290</v>
      </c>
      <c r="F281" s="13" t="s">
        <v>1283</v>
      </c>
      <c r="G281" s="13" t="s">
        <v>1291</v>
      </c>
      <c r="H281" s="13" t="s">
        <v>1272</v>
      </c>
      <c r="I281" s="13" t="s">
        <v>82</v>
      </c>
      <c r="J281" s="13" t="s">
        <v>83</v>
      </c>
      <c r="K281" s="13"/>
      <c r="L281" s="13" t="s">
        <v>1275</v>
      </c>
      <c r="M281" s="13" t="s">
        <v>1276</v>
      </c>
    </row>
    <row r="282" customFormat="false" ht="449.25" hidden="false" customHeight="false" outlineLevel="0" collapsed="false">
      <c r="A282" s="13" t="s">
        <v>3</v>
      </c>
      <c r="B282" s="13" t="s">
        <v>68</v>
      </c>
      <c r="C282" s="13" t="n">
        <v>311</v>
      </c>
      <c r="D282" s="13" t="s">
        <v>1270</v>
      </c>
      <c r="E282" s="13" t="s">
        <v>1292</v>
      </c>
      <c r="F282" s="13" t="s">
        <v>1272</v>
      </c>
      <c r="G282" s="13" t="s">
        <v>1293</v>
      </c>
      <c r="H282" s="13" t="s">
        <v>1294</v>
      </c>
      <c r="I282" s="13" t="s">
        <v>82</v>
      </c>
      <c r="J282" s="13" t="s">
        <v>83</v>
      </c>
      <c r="K282" s="13"/>
      <c r="L282" s="13" t="s">
        <v>1275</v>
      </c>
      <c r="M282" s="13" t="s">
        <v>1276</v>
      </c>
    </row>
    <row r="283" customFormat="false" ht="35.05" hidden="false" customHeight="false" outlineLevel="0" collapsed="false">
      <c r="A283" s="13" t="s">
        <v>3</v>
      </c>
      <c r="B283" s="13" t="s">
        <v>68</v>
      </c>
      <c r="C283" s="13" t="n">
        <v>326</v>
      </c>
      <c r="D283" s="13" t="s">
        <v>1295</v>
      </c>
      <c r="E283" s="13" t="s">
        <v>1296</v>
      </c>
      <c r="F283" s="13" t="s">
        <v>1297</v>
      </c>
      <c r="G283" s="13" t="s">
        <v>762</v>
      </c>
      <c r="H283" s="13" t="s">
        <v>1298</v>
      </c>
      <c r="I283" s="13" t="s">
        <v>82</v>
      </c>
      <c r="J283" s="13" t="s">
        <v>83</v>
      </c>
      <c r="K283" s="13"/>
      <c r="L283" s="13" t="s">
        <v>1299</v>
      </c>
      <c r="M283" s="13" t="s">
        <v>1300</v>
      </c>
    </row>
    <row r="284" customFormat="false" ht="35.05" hidden="false" customHeight="false" outlineLevel="0" collapsed="false">
      <c r="A284" s="13" t="s">
        <v>3</v>
      </c>
      <c r="B284" s="13" t="s">
        <v>68</v>
      </c>
      <c r="C284" s="13" t="n">
        <v>326</v>
      </c>
      <c r="D284" s="13" t="s">
        <v>1295</v>
      </c>
      <c r="E284" s="13" t="s">
        <v>1301</v>
      </c>
      <c r="F284" s="13" t="s">
        <v>1302</v>
      </c>
      <c r="G284" s="13" t="s">
        <v>1303</v>
      </c>
      <c r="H284" s="13" t="s">
        <v>1304</v>
      </c>
      <c r="I284" s="13" t="s">
        <v>82</v>
      </c>
      <c r="J284" s="13" t="s">
        <v>83</v>
      </c>
      <c r="K284" s="13"/>
      <c r="L284" s="13" t="s">
        <v>1299</v>
      </c>
      <c r="M284" s="13" t="s">
        <v>1300</v>
      </c>
    </row>
    <row r="285" customFormat="false" ht="23.85" hidden="false" customHeight="false" outlineLevel="0" collapsed="false">
      <c r="A285" s="13" t="s">
        <v>3</v>
      </c>
      <c r="B285" s="13" t="s">
        <v>68</v>
      </c>
      <c r="C285" s="13" t="n">
        <v>326</v>
      </c>
      <c r="D285" s="13" t="s">
        <v>1305</v>
      </c>
      <c r="E285" s="13" t="s">
        <v>1306</v>
      </c>
      <c r="F285" s="13" t="s">
        <v>1307</v>
      </c>
      <c r="G285" s="13" t="s">
        <v>1308</v>
      </c>
      <c r="H285" s="13" t="s">
        <v>1309</v>
      </c>
      <c r="I285" s="13" t="s">
        <v>82</v>
      </c>
      <c r="J285" s="13" t="s">
        <v>83</v>
      </c>
      <c r="K285" s="13"/>
      <c r="L285" s="13" t="s">
        <v>1310</v>
      </c>
      <c r="M285" s="13" t="s">
        <v>1311</v>
      </c>
    </row>
    <row r="286" customFormat="false" ht="91" hidden="false" customHeight="false" outlineLevel="0" collapsed="false">
      <c r="A286" s="13" t="s">
        <v>3</v>
      </c>
      <c r="B286" s="13" t="s">
        <v>68</v>
      </c>
      <c r="C286" s="13" t="n">
        <v>326</v>
      </c>
      <c r="D286" s="13" t="s">
        <v>1312</v>
      </c>
      <c r="E286" s="13" t="s">
        <v>1313</v>
      </c>
      <c r="F286" s="13" t="s">
        <v>1314</v>
      </c>
      <c r="G286" s="13" t="s">
        <v>1315</v>
      </c>
      <c r="H286" s="13" t="s">
        <v>1316</v>
      </c>
      <c r="I286" s="13" t="s">
        <v>82</v>
      </c>
      <c r="J286" s="13" t="s">
        <v>83</v>
      </c>
      <c r="K286" s="13"/>
      <c r="L286" s="13" t="s">
        <v>1317</v>
      </c>
      <c r="M286" s="13" t="s">
        <v>1318</v>
      </c>
    </row>
    <row r="287" customFormat="false" ht="91" hidden="false" customHeight="false" outlineLevel="0" collapsed="false">
      <c r="A287" s="13" t="s">
        <v>3</v>
      </c>
      <c r="B287" s="13" t="s">
        <v>68</v>
      </c>
      <c r="C287" s="13" t="n">
        <v>326</v>
      </c>
      <c r="D287" s="13" t="s">
        <v>1312</v>
      </c>
      <c r="E287" s="13" t="s">
        <v>1319</v>
      </c>
      <c r="F287" s="13" t="s">
        <v>1314</v>
      </c>
      <c r="G287" s="13" t="s">
        <v>1320</v>
      </c>
      <c r="H287" s="13" t="s">
        <v>1321</v>
      </c>
      <c r="I287" s="13" t="s">
        <v>82</v>
      </c>
      <c r="J287" s="13" t="s">
        <v>83</v>
      </c>
      <c r="K287" s="13"/>
      <c r="L287" s="13" t="s">
        <v>1317</v>
      </c>
      <c r="M287" s="13" t="s">
        <v>1318</v>
      </c>
    </row>
    <row r="288" customFormat="false" ht="91" hidden="false" customHeight="false" outlineLevel="0" collapsed="false">
      <c r="A288" s="13" t="s">
        <v>3</v>
      </c>
      <c r="B288" s="13" t="s">
        <v>68</v>
      </c>
      <c r="C288" s="13" t="n">
        <v>326</v>
      </c>
      <c r="D288" s="13" t="s">
        <v>1312</v>
      </c>
      <c r="E288" s="13" t="s">
        <v>1322</v>
      </c>
      <c r="F288" s="13" t="s">
        <v>1316</v>
      </c>
      <c r="G288" s="13" t="s">
        <v>1323</v>
      </c>
      <c r="H288" s="13" t="s">
        <v>1324</v>
      </c>
      <c r="I288" s="13" t="s">
        <v>82</v>
      </c>
      <c r="J288" s="13" t="s">
        <v>83</v>
      </c>
      <c r="K288" s="13"/>
      <c r="L288" s="13" t="s">
        <v>1317</v>
      </c>
      <c r="M288" s="13" t="s">
        <v>1318</v>
      </c>
    </row>
    <row r="289" customFormat="false" ht="46.25" hidden="false" customHeight="false" outlineLevel="0" collapsed="false">
      <c r="A289" s="13" t="s">
        <v>3</v>
      </c>
      <c r="B289" s="13" t="s">
        <v>68</v>
      </c>
      <c r="C289" s="13" t="n">
        <v>326</v>
      </c>
      <c r="D289" s="13" t="s">
        <v>1325</v>
      </c>
      <c r="E289" s="13" t="s">
        <v>1326</v>
      </c>
      <c r="F289" s="13" t="s">
        <v>1327</v>
      </c>
      <c r="G289" s="13" t="s">
        <v>1328</v>
      </c>
      <c r="H289" s="13" t="s">
        <v>1321</v>
      </c>
      <c r="I289" s="13" t="s">
        <v>82</v>
      </c>
      <c r="J289" s="13" t="s">
        <v>83</v>
      </c>
      <c r="K289" s="13"/>
      <c r="L289" s="13" t="s">
        <v>1329</v>
      </c>
      <c r="M289" s="13" t="s">
        <v>1330</v>
      </c>
    </row>
    <row r="290" customFormat="false" ht="91" hidden="false" customHeight="false" outlineLevel="0" collapsed="false">
      <c r="A290" s="13" t="s">
        <v>3</v>
      </c>
      <c r="B290" s="13" t="s">
        <v>68</v>
      </c>
      <c r="C290" s="13" t="n">
        <v>326</v>
      </c>
      <c r="D290" s="13" t="s">
        <v>1331</v>
      </c>
      <c r="E290" s="13" t="s">
        <v>1332</v>
      </c>
      <c r="F290" s="13" t="s">
        <v>1321</v>
      </c>
      <c r="G290" s="13" t="s">
        <v>1333</v>
      </c>
      <c r="H290" s="13" t="s">
        <v>1309</v>
      </c>
      <c r="I290" s="13" t="s">
        <v>82</v>
      </c>
      <c r="J290" s="13" t="s">
        <v>83</v>
      </c>
      <c r="K290" s="13"/>
      <c r="L290" s="13" t="s">
        <v>1334</v>
      </c>
      <c r="M290" s="13" t="s">
        <v>1335</v>
      </c>
    </row>
    <row r="291" customFormat="false" ht="91" hidden="false" customHeight="false" outlineLevel="0" collapsed="false">
      <c r="A291" s="13" t="s">
        <v>3</v>
      </c>
      <c r="B291" s="13" t="s">
        <v>68</v>
      </c>
      <c r="C291" s="13" t="n">
        <v>326</v>
      </c>
      <c r="D291" s="13" t="s">
        <v>1331</v>
      </c>
      <c r="E291" s="13" t="s">
        <v>1336</v>
      </c>
      <c r="F291" s="13" t="s">
        <v>1321</v>
      </c>
      <c r="G291" s="13" t="s">
        <v>1337</v>
      </c>
      <c r="H291" s="13" t="s">
        <v>1338</v>
      </c>
      <c r="I291" s="13" t="s">
        <v>82</v>
      </c>
      <c r="J291" s="13" t="s">
        <v>83</v>
      </c>
      <c r="K291" s="13"/>
      <c r="L291" s="13" t="s">
        <v>1334</v>
      </c>
      <c r="M291" s="13" t="s">
        <v>1335</v>
      </c>
    </row>
    <row r="292" customFormat="false" ht="91" hidden="false" customHeight="false" outlineLevel="0" collapsed="false">
      <c r="A292" s="13" t="s">
        <v>3</v>
      </c>
      <c r="B292" s="13" t="s">
        <v>68</v>
      </c>
      <c r="C292" s="13" t="n">
        <v>326</v>
      </c>
      <c r="D292" s="13" t="s">
        <v>1331</v>
      </c>
      <c r="E292" s="13" t="s">
        <v>1339</v>
      </c>
      <c r="F292" s="13" t="s">
        <v>1321</v>
      </c>
      <c r="G292" s="13" t="s">
        <v>1340</v>
      </c>
      <c r="H292" s="13" t="s">
        <v>1341</v>
      </c>
      <c r="I292" s="13" t="s">
        <v>82</v>
      </c>
      <c r="J292" s="13" t="s">
        <v>83</v>
      </c>
      <c r="K292" s="13"/>
      <c r="L292" s="13" t="s">
        <v>1334</v>
      </c>
      <c r="M292" s="13" t="s">
        <v>1335</v>
      </c>
    </row>
    <row r="293" customFormat="false" ht="35.05" hidden="false" customHeight="false" outlineLevel="0" collapsed="false">
      <c r="A293" s="13" t="s">
        <v>3</v>
      </c>
      <c r="B293" s="13" t="s">
        <v>68</v>
      </c>
      <c r="C293" s="13" t="n">
        <v>326</v>
      </c>
      <c r="D293" s="13" t="s">
        <v>1342</v>
      </c>
      <c r="E293" s="13" t="s">
        <v>1343</v>
      </c>
      <c r="F293" s="13" t="s">
        <v>1321</v>
      </c>
      <c r="G293" s="13" t="s">
        <v>1344</v>
      </c>
      <c r="H293" s="13" t="s">
        <v>1345</v>
      </c>
      <c r="I293" s="13" t="s">
        <v>82</v>
      </c>
      <c r="J293" s="13" t="s">
        <v>83</v>
      </c>
      <c r="K293" s="13"/>
      <c r="L293" s="13" t="s">
        <v>1346</v>
      </c>
      <c r="M293" s="13" t="s">
        <v>1347</v>
      </c>
    </row>
    <row r="294" customFormat="false" ht="35.05" hidden="false" customHeight="false" outlineLevel="0" collapsed="false">
      <c r="A294" s="13" t="s">
        <v>3</v>
      </c>
      <c r="B294" s="13" t="s">
        <v>68</v>
      </c>
      <c r="C294" s="13" t="n">
        <v>326</v>
      </c>
      <c r="D294" s="13" t="s">
        <v>1342</v>
      </c>
      <c r="E294" s="13" t="s">
        <v>1348</v>
      </c>
      <c r="F294" s="13" t="s">
        <v>1345</v>
      </c>
      <c r="G294" s="13" t="s">
        <v>669</v>
      </c>
      <c r="H294" s="13" t="s">
        <v>1349</v>
      </c>
      <c r="I294" s="13" t="s">
        <v>82</v>
      </c>
      <c r="J294" s="13" t="s">
        <v>83</v>
      </c>
      <c r="K294" s="13"/>
      <c r="L294" s="13" t="s">
        <v>1346</v>
      </c>
      <c r="M294" s="13" t="s">
        <v>1347</v>
      </c>
    </row>
    <row r="295" customFormat="false" ht="35.05" hidden="false" customHeight="false" outlineLevel="0" collapsed="false">
      <c r="A295" s="13" t="s">
        <v>3</v>
      </c>
      <c r="B295" s="13" t="s">
        <v>68</v>
      </c>
      <c r="C295" s="13" t="n">
        <v>326</v>
      </c>
      <c r="D295" s="13" t="s">
        <v>1342</v>
      </c>
      <c r="E295" s="13" t="s">
        <v>1350</v>
      </c>
      <c r="F295" s="13" t="s">
        <v>1345</v>
      </c>
      <c r="G295" s="13" t="s">
        <v>1351</v>
      </c>
      <c r="H295" s="13" t="s">
        <v>1349</v>
      </c>
      <c r="I295" s="13" t="s">
        <v>82</v>
      </c>
      <c r="J295" s="13" t="s">
        <v>83</v>
      </c>
      <c r="K295" s="13"/>
      <c r="L295" s="13" t="s">
        <v>1346</v>
      </c>
      <c r="M295" s="13" t="s">
        <v>1347</v>
      </c>
    </row>
    <row r="296" customFormat="false" ht="158.2" hidden="false" customHeight="false" outlineLevel="0" collapsed="false">
      <c r="A296" s="13" t="s">
        <v>3</v>
      </c>
      <c r="B296" s="13" t="s">
        <v>68</v>
      </c>
      <c r="C296" s="13" t="n">
        <v>326</v>
      </c>
      <c r="D296" s="13" t="s">
        <v>1352</v>
      </c>
      <c r="E296" s="13" t="s">
        <v>1353</v>
      </c>
      <c r="F296" s="13" t="s">
        <v>1321</v>
      </c>
      <c r="G296" s="13" t="s">
        <v>1354</v>
      </c>
      <c r="H296" s="13" t="s">
        <v>1355</v>
      </c>
      <c r="I296" s="13" t="s">
        <v>82</v>
      </c>
      <c r="J296" s="13" t="s">
        <v>83</v>
      </c>
      <c r="K296" s="13"/>
      <c r="L296" s="13" t="s">
        <v>1356</v>
      </c>
      <c r="M296" s="13" t="s">
        <v>1357</v>
      </c>
    </row>
    <row r="297" customFormat="false" ht="158.2" hidden="false" customHeight="false" outlineLevel="0" collapsed="false">
      <c r="A297" s="13" t="s">
        <v>3</v>
      </c>
      <c r="B297" s="13" t="s">
        <v>68</v>
      </c>
      <c r="C297" s="13" t="n">
        <v>326</v>
      </c>
      <c r="D297" s="13" t="s">
        <v>1352</v>
      </c>
      <c r="E297" s="13" t="s">
        <v>1358</v>
      </c>
      <c r="F297" s="13" t="s">
        <v>1321</v>
      </c>
      <c r="G297" s="13" t="s">
        <v>1359</v>
      </c>
      <c r="H297" s="13" t="s">
        <v>1360</v>
      </c>
      <c r="I297" s="13" t="s">
        <v>82</v>
      </c>
      <c r="J297" s="13" t="s">
        <v>83</v>
      </c>
      <c r="K297" s="13"/>
      <c r="L297" s="13" t="s">
        <v>1356</v>
      </c>
      <c r="M297" s="13" t="s">
        <v>1357</v>
      </c>
    </row>
    <row r="298" customFormat="false" ht="158.2" hidden="false" customHeight="false" outlineLevel="0" collapsed="false">
      <c r="A298" s="13" t="s">
        <v>3</v>
      </c>
      <c r="B298" s="13" t="s">
        <v>68</v>
      </c>
      <c r="C298" s="13" t="n">
        <v>326</v>
      </c>
      <c r="D298" s="13" t="s">
        <v>1352</v>
      </c>
      <c r="E298" s="13" t="s">
        <v>1361</v>
      </c>
      <c r="F298" s="13" t="s">
        <v>1321</v>
      </c>
      <c r="G298" s="13" t="s">
        <v>1362</v>
      </c>
      <c r="H298" s="13" t="s">
        <v>1363</v>
      </c>
      <c r="I298" s="13" t="s">
        <v>82</v>
      </c>
      <c r="J298" s="13" t="s">
        <v>83</v>
      </c>
      <c r="K298" s="13"/>
      <c r="L298" s="13" t="s">
        <v>1356</v>
      </c>
      <c r="M298" s="13" t="s">
        <v>1357</v>
      </c>
    </row>
    <row r="299" customFormat="false" ht="158.2" hidden="false" customHeight="false" outlineLevel="0" collapsed="false">
      <c r="A299" s="13" t="s">
        <v>3</v>
      </c>
      <c r="B299" s="13" t="s">
        <v>68</v>
      </c>
      <c r="C299" s="13" t="n">
        <v>326</v>
      </c>
      <c r="D299" s="13" t="s">
        <v>1352</v>
      </c>
      <c r="E299" s="13" t="s">
        <v>1364</v>
      </c>
      <c r="F299" s="13" t="s">
        <v>1321</v>
      </c>
      <c r="G299" s="13" t="s">
        <v>193</v>
      </c>
      <c r="H299" s="13" t="s">
        <v>1365</v>
      </c>
      <c r="I299" s="13" t="s">
        <v>82</v>
      </c>
      <c r="J299" s="13" t="s">
        <v>83</v>
      </c>
      <c r="K299" s="13"/>
      <c r="L299" s="13" t="s">
        <v>1356</v>
      </c>
      <c r="M299" s="13" t="s">
        <v>1357</v>
      </c>
    </row>
    <row r="300" customFormat="false" ht="113.4" hidden="false" customHeight="false" outlineLevel="0" collapsed="false">
      <c r="A300" s="13" t="s">
        <v>3</v>
      </c>
      <c r="B300" s="13" t="s">
        <v>68</v>
      </c>
      <c r="C300" s="13" t="n">
        <v>332</v>
      </c>
      <c r="D300" s="13" t="s">
        <v>1366</v>
      </c>
      <c r="E300" s="13" t="s">
        <v>1367</v>
      </c>
      <c r="F300" s="13" t="s">
        <v>1368</v>
      </c>
      <c r="G300" s="13" t="s">
        <v>1369</v>
      </c>
      <c r="H300" s="13" t="s">
        <v>1370</v>
      </c>
      <c r="I300" s="13" t="s">
        <v>82</v>
      </c>
      <c r="J300" s="13" t="s">
        <v>83</v>
      </c>
      <c r="K300" s="13"/>
      <c r="L300" s="13" t="s">
        <v>1371</v>
      </c>
      <c r="M300" s="13" t="s">
        <v>1372</v>
      </c>
    </row>
    <row r="301" customFormat="false" ht="113.4" hidden="false" customHeight="false" outlineLevel="0" collapsed="false">
      <c r="A301" s="13" t="s">
        <v>3</v>
      </c>
      <c r="B301" s="13" t="s">
        <v>68</v>
      </c>
      <c r="C301" s="13" t="n">
        <v>332</v>
      </c>
      <c r="D301" s="13" t="s">
        <v>1366</v>
      </c>
      <c r="E301" s="13" t="s">
        <v>1373</v>
      </c>
      <c r="F301" s="13" t="s">
        <v>1368</v>
      </c>
      <c r="G301" s="13" t="s">
        <v>1374</v>
      </c>
      <c r="H301" s="13" t="s">
        <v>1375</v>
      </c>
      <c r="I301" s="13" t="s">
        <v>114</v>
      </c>
      <c r="J301" s="13" t="s">
        <v>1376</v>
      </c>
      <c r="K301" s="13" t="s">
        <v>1377</v>
      </c>
      <c r="L301" s="13" t="s">
        <v>1371</v>
      </c>
      <c r="M301" s="13" t="s">
        <v>1372</v>
      </c>
    </row>
    <row r="302" customFormat="false" ht="113.4" hidden="false" customHeight="false" outlineLevel="0" collapsed="false">
      <c r="A302" s="13" t="s">
        <v>3</v>
      </c>
      <c r="B302" s="13" t="s">
        <v>68</v>
      </c>
      <c r="C302" s="13" t="n">
        <v>332</v>
      </c>
      <c r="D302" s="13" t="s">
        <v>1366</v>
      </c>
      <c r="E302" s="13" t="s">
        <v>1378</v>
      </c>
      <c r="F302" s="13" t="s">
        <v>1379</v>
      </c>
      <c r="G302" s="13" t="s">
        <v>261</v>
      </c>
      <c r="H302" s="13" t="s">
        <v>1380</v>
      </c>
      <c r="I302" s="13" t="s">
        <v>82</v>
      </c>
      <c r="J302" s="13" t="s">
        <v>83</v>
      </c>
      <c r="K302" s="13"/>
      <c r="L302" s="13" t="s">
        <v>1371</v>
      </c>
      <c r="M302" s="13" t="s">
        <v>1372</v>
      </c>
    </row>
    <row r="303" customFormat="false" ht="23.85" hidden="false" customHeight="false" outlineLevel="0" collapsed="false">
      <c r="A303" s="13" t="s">
        <v>3</v>
      </c>
      <c r="B303" s="13" t="s">
        <v>68</v>
      </c>
      <c r="C303" s="13" t="n">
        <v>332</v>
      </c>
      <c r="D303" s="13" t="s">
        <v>1381</v>
      </c>
      <c r="E303" s="13" t="s">
        <v>1382</v>
      </c>
      <c r="F303" s="13" t="s">
        <v>1383</v>
      </c>
      <c r="G303" s="13" t="s">
        <v>1384</v>
      </c>
      <c r="H303" s="13" t="s">
        <v>1385</v>
      </c>
      <c r="I303" s="13" t="s">
        <v>82</v>
      </c>
      <c r="J303" s="13" t="s">
        <v>83</v>
      </c>
      <c r="K303" s="13"/>
      <c r="L303" s="13" t="s">
        <v>1386</v>
      </c>
      <c r="M303" s="13" t="s">
        <v>1387</v>
      </c>
    </row>
    <row r="304" customFormat="false" ht="102.2" hidden="false" customHeight="false" outlineLevel="0" collapsed="false">
      <c r="A304" s="13" t="s">
        <v>3</v>
      </c>
      <c r="B304" s="13" t="s">
        <v>68</v>
      </c>
      <c r="C304" s="13" t="n">
        <v>332</v>
      </c>
      <c r="D304" s="13" t="s">
        <v>1388</v>
      </c>
      <c r="E304" s="13" t="s">
        <v>1389</v>
      </c>
      <c r="F304" s="13" t="s">
        <v>806</v>
      </c>
      <c r="G304" s="13" t="s">
        <v>1390</v>
      </c>
      <c r="H304" s="13" t="s">
        <v>1391</v>
      </c>
      <c r="I304" s="13" t="s">
        <v>82</v>
      </c>
      <c r="J304" s="13" t="s">
        <v>83</v>
      </c>
      <c r="K304" s="13"/>
      <c r="L304" s="13" t="s">
        <v>1392</v>
      </c>
      <c r="M304" s="13" t="s">
        <v>1393</v>
      </c>
    </row>
    <row r="305" customFormat="false" ht="102.2" hidden="false" customHeight="false" outlineLevel="0" collapsed="false">
      <c r="A305" s="13" t="s">
        <v>3</v>
      </c>
      <c r="B305" s="13" t="s">
        <v>68</v>
      </c>
      <c r="C305" s="13" t="n">
        <v>332</v>
      </c>
      <c r="D305" s="13" t="s">
        <v>1388</v>
      </c>
      <c r="E305" s="13" t="s">
        <v>1394</v>
      </c>
      <c r="F305" s="13" t="s">
        <v>1391</v>
      </c>
      <c r="G305" s="13" t="s">
        <v>1395</v>
      </c>
      <c r="H305" s="13" t="s">
        <v>1396</v>
      </c>
      <c r="I305" s="13" t="s">
        <v>82</v>
      </c>
      <c r="J305" s="13" t="s">
        <v>83</v>
      </c>
      <c r="K305" s="13"/>
      <c r="L305" s="13" t="s">
        <v>1392</v>
      </c>
      <c r="M305" s="13" t="s">
        <v>1393</v>
      </c>
    </row>
    <row r="306" customFormat="false" ht="102.2" hidden="false" customHeight="false" outlineLevel="0" collapsed="false">
      <c r="A306" s="13" t="s">
        <v>3</v>
      </c>
      <c r="B306" s="13" t="s">
        <v>68</v>
      </c>
      <c r="C306" s="13" t="n">
        <v>332</v>
      </c>
      <c r="D306" s="13" t="s">
        <v>1388</v>
      </c>
      <c r="E306" s="13" t="s">
        <v>1397</v>
      </c>
      <c r="F306" s="13" t="s">
        <v>806</v>
      </c>
      <c r="G306" s="13" t="s">
        <v>1398</v>
      </c>
      <c r="H306" s="13" t="s">
        <v>1368</v>
      </c>
      <c r="I306" s="13" t="s">
        <v>82</v>
      </c>
      <c r="J306" s="13" t="s">
        <v>83</v>
      </c>
      <c r="K306" s="13"/>
      <c r="L306" s="13" t="s">
        <v>1392</v>
      </c>
      <c r="M306" s="13" t="s">
        <v>1393</v>
      </c>
    </row>
    <row r="307" customFormat="false" ht="102.2" hidden="false" customHeight="false" outlineLevel="0" collapsed="false">
      <c r="A307" s="13" t="s">
        <v>3</v>
      </c>
      <c r="B307" s="13" t="s">
        <v>68</v>
      </c>
      <c r="C307" s="13" t="n">
        <v>332</v>
      </c>
      <c r="D307" s="13" t="s">
        <v>1388</v>
      </c>
      <c r="E307" s="13" t="s">
        <v>1399</v>
      </c>
      <c r="F307" s="13" t="s">
        <v>1368</v>
      </c>
      <c r="G307" s="13" t="s">
        <v>1400</v>
      </c>
      <c r="H307" s="13" t="s">
        <v>1401</v>
      </c>
      <c r="I307" s="13" t="s">
        <v>82</v>
      </c>
      <c r="J307" s="13" t="s">
        <v>83</v>
      </c>
      <c r="K307" s="13"/>
      <c r="L307" s="13" t="s">
        <v>1392</v>
      </c>
      <c r="M307" s="13" t="s">
        <v>1393</v>
      </c>
    </row>
    <row r="308" customFormat="false" ht="102.2" hidden="false" customHeight="false" outlineLevel="0" collapsed="false">
      <c r="A308" s="13" t="s">
        <v>3</v>
      </c>
      <c r="B308" s="13" t="s">
        <v>68</v>
      </c>
      <c r="C308" s="13" t="n">
        <v>332</v>
      </c>
      <c r="D308" s="13" t="s">
        <v>1402</v>
      </c>
      <c r="E308" s="13" t="s">
        <v>1403</v>
      </c>
      <c r="F308" s="13" t="s">
        <v>1396</v>
      </c>
      <c r="G308" s="13" t="s">
        <v>1404</v>
      </c>
      <c r="H308" s="13" t="s">
        <v>1405</v>
      </c>
      <c r="I308" s="13" t="s">
        <v>82</v>
      </c>
      <c r="J308" s="13" t="s">
        <v>83</v>
      </c>
      <c r="K308" s="13"/>
      <c r="L308" s="13" t="s">
        <v>1406</v>
      </c>
      <c r="M308" s="13" t="s">
        <v>1407</v>
      </c>
    </row>
    <row r="309" customFormat="false" ht="102.2" hidden="false" customHeight="false" outlineLevel="0" collapsed="false">
      <c r="A309" s="13" t="s">
        <v>3</v>
      </c>
      <c r="B309" s="13" t="s">
        <v>68</v>
      </c>
      <c r="C309" s="13" t="n">
        <v>332</v>
      </c>
      <c r="D309" s="13" t="s">
        <v>1402</v>
      </c>
      <c r="E309" s="13" t="s">
        <v>1408</v>
      </c>
      <c r="F309" s="13" t="s">
        <v>1396</v>
      </c>
      <c r="G309" s="13" t="s">
        <v>1409</v>
      </c>
      <c r="H309" s="13" t="s">
        <v>1410</v>
      </c>
      <c r="I309" s="13" t="s">
        <v>82</v>
      </c>
      <c r="J309" s="13" t="s">
        <v>83</v>
      </c>
      <c r="K309" s="13"/>
      <c r="L309" s="13" t="s">
        <v>1406</v>
      </c>
      <c r="M309" s="13" t="s">
        <v>1407</v>
      </c>
    </row>
    <row r="310" customFormat="false" ht="102.2" hidden="false" customHeight="false" outlineLevel="0" collapsed="false">
      <c r="A310" s="13" t="s">
        <v>3</v>
      </c>
      <c r="B310" s="13" t="s">
        <v>68</v>
      </c>
      <c r="C310" s="13" t="n">
        <v>332</v>
      </c>
      <c r="D310" s="13" t="s">
        <v>1402</v>
      </c>
      <c r="E310" s="13" t="s">
        <v>1411</v>
      </c>
      <c r="F310" s="13" t="s">
        <v>1410</v>
      </c>
      <c r="G310" s="13" t="s">
        <v>1412</v>
      </c>
      <c r="H310" s="13" t="s">
        <v>1413</v>
      </c>
      <c r="I310" s="13" t="s">
        <v>82</v>
      </c>
      <c r="J310" s="13" t="s">
        <v>83</v>
      </c>
      <c r="K310" s="13"/>
      <c r="L310" s="13" t="s">
        <v>1406</v>
      </c>
      <c r="M310" s="13" t="s">
        <v>1407</v>
      </c>
    </row>
    <row r="311" customFormat="false" ht="102.2" hidden="false" customHeight="false" outlineLevel="0" collapsed="false">
      <c r="A311" s="13" t="s">
        <v>3</v>
      </c>
      <c r="B311" s="13" t="s">
        <v>68</v>
      </c>
      <c r="C311" s="13" t="n">
        <v>332</v>
      </c>
      <c r="D311" s="13" t="s">
        <v>1402</v>
      </c>
      <c r="E311" s="13" t="s">
        <v>1414</v>
      </c>
      <c r="F311" s="13" t="s">
        <v>1391</v>
      </c>
      <c r="G311" s="13" t="s">
        <v>1415</v>
      </c>
      <c r="H311" s="13" t="s">
        <v>1380</v>
      </c>
      <c r="I311" s="13" t="s">
        <v>82</v>
      </c>
      <c r="J311" s="13" t="s">
        <v>83</v>
      </c>
      <c r="K311" s="13"/>
      <c r="L311" s="13" t="s">
        <v>1406</v>
      </c>
      <c r="M311" s="13" t="s">
        <v>1407</v>
      </c>
    </row>
    <row r="312" customFormat="false" ht="102.2" hidden="false" customHeight="false" outlineLevel="0" collapsed="false">
      <c r="A312" s="13" t="s">
        <v>3</v>
      </c>
      <c r="B312" s="13" t="s">
        <v>68</v>
      </c>
      <c r="C312" s="13" t="n">
        <v>332</v>
      </c>
      <c r="D312" s="13" t="s">
        <v>1416</v>
      </c>
      <c r="E312" s="13" t="s">
        <v>1417</v>
      </c>
      <c r="F312" s="13" t="s">
        <v>1391</v>
      </c>
      <c r="G312" s="13" t="s">
        <v>1418</v>
      </c>
      <c r="H312" s="13" t="s">
        <v>1396</v>
      </c>
      <c r="I312" s="13" t="s">
        <v>82</v>
      </c>
      <c r="J312" s="13" t="s">
        <v>83</v>
      </c>
      <c r="K312" s="13"/>
      <c r="L312" s="13" t="s">
        <v>1419</v>
      </c>
      <c r="M312" s="13" t="s">
        <v>1420</v>
      </c>
    </row>
    <row r="313" customFormat="false" ht="102.2" hidden="false" customHeight="false" outlineLevel="0" collapsed="false">
      <c r="A313" s="13" t="s">
        <v>3</v>
      </c>
      <c r="B313" s="13" t="s">
        <v>68</v>
      </c>
      <c r="C313" s="13" t="n">
        <v>332</v>
      </c>
      <c r="D313" s="13" t="s">
        <v>1416</v>
      </c>
      <c r="E313" s="13" t="s">
        <v>1421</v>
      </c>
      <c r="F313" s="13" t="s">
        <v>1422</v>
      </c>
      <c r="G313" s="13" t="s">
        <v>1423</v>
      </c>
      <c r="H313" s="13" t="s">
        <v>1380</v>
      </c>
      <c r="I313" s="13" t="s">
        <v>82</v>
      </c>
      <c r="J313" s="13" t="s">
        <v>83</v>
      </c>
      <c r="K313" s="13"/>
      <c r="L313" s="13" t="s">
        <v>1419</v>
      </c>
      <c r="M313" s="13" t="s">
        <v>1420</v>
      </c>
    </row>
    <row r="314" customFormat="false" ht="102.2" hidden="false" customHeight="false" outlineLevel="0" collapsed="false">
      <c r="A314" s="13" t="s">
        <v>3</v>
      </c>
      <c r="B314" s="13" t="s">
        <v>68</v>
      </c>
      <c r="C314" s="13" t="n">
        <v>332</v>
      </c>
      <c r="D314" s="13" t="s">
        <v>1416</v>
      </c>
      <c r="E314" s="13" t="s">
        <v>1424</v>
      </c>
      <c r="F314" s="13" t="s">
        <v>1425</v>
      </c>
      <c r="G314" s="13" t="s">
        <v>1415</v>
      </c>
      <c r="H314" s="13" t="s">
        <v>1380</v>
      </c>
      <c r="I314" s="13" t="s">
        <v>82</v>
      </c>
      <c r="J314" s="13" t="s">
        <v>83</v>
      </c>
      <c r="K314" s="13"/>
      <c r="L314" s="13" t="s">
        <v>1419</v>
      </c>
      <c r="M314" s="13" t="s">
        <v>1420</v>
      </c>
    </row>
    <row r="315" customFormat="false" ht="46.25" hidden="false" customHeight="false" outlineLevel="0" collapsed="false">
      <c r="A315" s="13" t="s">
        <v>3</v>
      </c>
      <c r="B315" s="13" t="s">
        <v>68</v>
      </c>
      <c r="C315" s="13" t="n">
        <v>332</v>
      </c>
      <c r="D315" s="13" t="s">
        <v>1426</v>
      </c>
      <c r="E315" s="13" t="s">
        <v>1427</v>
      </c>
      <c r="F315" s="13" t="s">
        <v>1422</v>
      </c>
      <c r="G315" s="13" t="s">
        <v>1428</v>
      </c>
      <c r="H315" s="13" t="s">
        <v>1401</v>
      </c>
      <c r="I315" s="13" t="s">
        <v>82</v>
      </c>
      <c r="J315" s="13" t="s">
        <v>83</v>
      </c>
      <c r="K315" s="13"/>
      <c r="L315" s="13" t="s">
        <v>1429</v>
      </c>
      <c r="M315" s="13" t="s">
        <v>1430</v>
      </c>
    </row>
    <row r="316" customFormat="false" ht="46.25" hidden="false" customHeight="false" outlineLevel="0" collapsed="false">
      <c r="A316" s="13" t="s">
        <v>3</v>
      </c>
      <c r="B316" s="13" t="s">
        <v>68</v>
      </c>
      <c r="C316" s="13" t="n">
        <v>332</v>
      </c>
      <c r="D316" s="13" t="s">
        <v>1426</v>
      </c>
      <c r="E316" s="13" t="s">
        <v>1431</v>
      </c>
      <c r="F316" s="13" t="s">
        <v>1422</v>
      </c>
      <c r="G316" s="13" t="s">
        <v>1400</v>
      </c>
      <c r="H316" s="13" t="s">
        <v>1401</v>
      </c>
      <c r="I316" s="13" t="s">
        <v>82</v>
      </c>
      <c r="J316" s="13" t="s">
        <v>83</v>
      </c>
      <c r="K316" s="13"/>
      <c r="L316" s="13" t="s">
        <v>1429</v>
      </c>
      <c r="M316" s="13" t="s">
        <v>1430</v>
      </c>
    </row>
    <row r="317" customFormat="false" ht="214.15" hidden="false" customHeight="false" outlineLevel="0" collapsed="false">
      <c r="A317" s="13" t="s">
        <v>3</v>
      </c>
      <c r="B317" s="13" t="s">
        <v>68</v>
      </c>
      <c r="C317" s="13" t="n">
        <v>354</v>
      </c>
      <c r="D317" s="13" t="s">
        <v>1432</v>
      </c>
      <c r="E317" s="13" t="s">
        <v>1433</v>
      </c>
      <c r="F317" s="13" t="s">
        <v>1434</v>
      </c>
      <c r="G317" s="13" t="s">
        <v>361</v>
      </c>
      <c r="H317" s="13" t="s">
        <v>1435</v>
      </c>
      <c r="I317" s="13" t="s">
        <v>82</v>
      </c>
      <c r="J317" s="13" t="s">
        <v>83</v>
      </c>
      <c r="K317" s="13"/>
      <c r="L317" s="13" t="s">
        <v>1436</v>
      </c>
      <c r="M317" s="13" t="s">
        <v>1437</v>
      </c>
    </row>
    <row r="318" customFormat="false" ht="214.15" hidden="false" customHeight="false" outlineLevel="0" collapsed="false">
      <c r="A318" s="13" t="s">
        <v>3</v>
      </c>
      <c r="B318" s="13" t="s">
        <v>68</v>
      </c>
      <c r="C318" s="13" t="n">
        <v>354</v>
      </c>
      <c r="D318" s="13" t="s">
        <v>1432</v>
      </c>
      <c r="E318" s="13" t="s">
        <v>1438</v>
      </c>
      <c r="F318" s="13" t="s">
        <v>1439</v>
      </c>
      <c r="G318" s="13" t="s">
        <v>1440</v>
      </c>
      <c r="H318" s="13" t="s">
        <v>1441</v>
      </c>
      <c r="I318" s="13" t="s">
        <v>82</v>
      </c>
      <c r="J318" s="13" t="s">
        <v>83</v>
      </c>
      <c r="K318" s="13"/>
      <c r="L318" s="13" t="s">
        <v>1436</v>
      </c>
      <c r="M318" s="13" t="s">
        <v>1437</v>
      </c>
    </row>
    <row r="319" customFormat="false" ht="214.15" hidden="false" customHeight="false" outlineLevel="0" collapsed="false">
      <c r="A319" s="13" t="s">
        <v>3</v>
      </c>
      <c r="B319" s="13" t="s">
        <v>68</v>
      </c>
      <c r="C319" s="13" t="n">
        <v>354</v>
      </c>
      <c r="D319" s="13" t="s">
        <v>1432</v>
      </c>
      <c r="E319" s="13" t="s">
        <v>1442</v>
      </c>
      <c r="F319" s="13" t="s">
        <v>1443</v>
      </c>
      <c r="G319" s="13" t="s">
        <v>1444</v>
      </c>
      <c r="H319" s="13" t="s">
        <v>1445</v>
      </c>
      <c r="I319" s="13" t="s">
        <v>82</v>
      </c>
      <c r="J319" s="13" t="s">
        <v>83</v>
      </c>
      <c r="K319" s="13"/>
      <c r="L319" s="13" t="s">
        <v>1436</v>
      </c>
      <c r="M319" s="13" t="s">
        <v>1437</v>
      </c>
    </row>
    <row r="320" customFormat="false" ht="214.15" hidden="false" customHeight="false" outlineLevel="0" collapsed="false">
      <c r="A320" s="13" t="s">
        <v>3</v>
      </c>
      <c r="B320" s="13" t="s">
        <v>68</v>
      </c>
      <c r="C320" s="13" t="n">
        <v>354</v>
      </c>
      <c r="D320" s="13" t="s">
        <v>1432</v>
      </c>
      <c r="E320" s="13" t="s">
        <v>1446</v>
      </c>
      <c r="F320" s="13" t="s">
        <v>1447</v>
      </c>
      <c r="G320" s="13" t="s">
        <v>1448</v>
      </c>
      <c r="H320" s="13" t="s">
        <v>1449</v>
      </c>
      <c r="I320" s="13" t="s">
        <v>82</v>
      </c>
      <c r="J320" s="13" t="s">
        <v>83</v>
      </c>
      <c r="K320" s="13"/>
      <c r="L320" s="13" t="s">
        <v>1436</v>
      </c>
      <c r="M320" s="13" t="s">
        <v>1437</v>
      </c>
    </row>
    <row r="321" customFormat="false" ht="113.4" hidden="false" customHeight="false" outlineLevel="0" collapsed="false">
      <c r="A321" s="13" t="s">
        <v>3</v>
      </c>
      <c r="B321" s="13" t="s">
        <v>68</v>
      </c>
      <c r="C321" s="13" t="n">
        <v>354</v>
      </c>
      <c r="D321" s="13" t="s">
        <v>1450</v>
      </c>
      <c r="E321" s="13" t="s">
        <v>1451</v>
      </c>
      <c r="F321" s="13" t="s">
        <v>1435</v>
      </c>
      <c r="G321" s="13" t="s">
        <v>1452</v>
      </c>
      <c r="H321" s="13" t="s">
        <v>1434</v>
      </c>
      <c r="I321" s="13" t="s">
        <v>82</v>
      </c>
      <c r="J321" s="13" t="s">
        <v>83</v>
      </c>
      <c r="K321" s="13"/>
      <c r="L321" s="13" t="s">
        <v>1453</v>
      </c>
      <c r="M321" s="13" t="s">
        <v>1454</v>
      </c>
    </row>
    <row r="322" customFormat="false" ht="113.4" hidden="false" customHeight="false" outlineLevel="0" collapsed="false">
      <c r="A322" s="13" t="s">
        <v>3</v>
      </c>
      <c r="B322" s="13" t="s">
        <v>68</v>
      </c>
      <c r="C322" s="13" t="n">
        <v>354</v>
      </c>
      <c r="D322" s="13" t="s">
        <v>1450</v>
      </c>
      <c r="E322" s="13" t="s">
        <v>1455</v>
      </c>
      <c r="F322" s="13" t="s">
        <v>1456</v>
      </c>
      <c r="G322" s="13" t="s">
        <v>1457</v>
      </c>
      <c r="H322" s="13" t="s">
        <v>1458</v>
      </c>
      <c r="I322" s="13" t="s">
        <v>82</v>
      </c>
      <c r="J322" s="13" t="s">
        <v>83</v>
      </c>
      <c r="K322" s="13"/>
      <c r="L322" s="13" t="s">
        <v>1453</v>
      </c>
      <c r="M322" s="13" t="s">
        <v>1454</v>
      </c>
    </row>
    <row r="323" customFormat="false" ht="113.4" hidden="false" customHeight="false" outlineLevel="0" collapsed="false">
      <c r="A323" s="13" t="s">
        <v>3</v>
      </c>
      <c r="B323" s="13" t="s">
        <v>68</v>
      </c>
      <c r="C323" s="13" t="n">
        <v>354</v>
      </c>
      <c r="D323" s="13" t="s">
        <v>1450</v>
      </c>
      <c r="E323" s="13" t="s">
        <v>1459</v>
      </c>
      <c r="F323" s="13" t="s">
        <v>1434</v>
      </c>
      <c r="G323" s="13" t="s">
        <v>1460</v>
      </c>
      <c r="H323" s="13" t="s">
        <v>1435</v>
      </c>
      <c r="I323" s="13" t="s">
        <v>82</v>
      </c>
      <c r="J323" s="13" t="s">
        <v>83</v>
      </c>
      <c r="K323" s="13"/>
      <c r="L323" s="13" t="s">
        <v>1453</v>
      </c>
      <c r="M323" s="13" t="s">
        <v>1454</v>
      </c>
    </row>
    <row r="324" customFormat="false" ht="113.4" hidden="false" customHeight="false" outlineLevel="0" collapsed="false">
      <c r="A324" s="13" t="s">
        <v>3</v>
      </c>
      <c r="B324" s="13" t="s">
        <v>68</v>
      </c>
      <c r="C324" s="13" t="n">
        <v>354</v>
      </c>
      <c r="D324" s="13" t="s">
        <v>1450</v>
      </c>
      <c r="E324" s="13" t="s">
        <v>1461</v>
      </c>
      <c r="F324" s="13" t="s">
        <v>1447</v>
      </c>
      <c r="G324" s="13" t="s">
        <v>1462</v>
      </c>
      <c r="H324" s="13" t="s">
        <v>1463</v>
      </c>
      <c r="I324" s="13" t="s">
        <v>82</v>
      </c>
      <c r="J324" s="13" t="s">
        <v>83</v>
      </c>
      <c r="K324" s="13"/>
      <c r="L324" s="13" t="s">
        <v>1453</v>
      </c>
      <c r="M324" s="13" t="s">
        <v>1454</v>
      </c>
    </row>
    <row r="325" customFormat="false" ht="102.2" hidden="false" customHeight="false" outlineLevel="0" collapsed="false">
      <c r="A325" s="13" t="s">
        <v>3</v>
      </c>
      <c r="B325" s="13" t="s">
        <v>68</v>
      </c>
      <c r="C325" s="13" t="n">
        <v>354</v>
      </c>
      <c r="D325" s="13" t="s">
        <v>1464</v>
      </c>
      <c r="E325" s="13" t="s">
        <v>1465</v>
      </c>
      <c r="F325" s="13" t="s">
        <v>806</v>
      </c>
      <c r="G325" s="13" t="s">
        <v>1466</v>
      </c>
      <c r="H325" s="13" t="s">
        <v>1467</v>
      </c>
      <c r="I325" s="13" t="s">
        <v>82</v>
      </c>
      <c r="J325" s="13" t="s">
        <v>83</v>
      </c>
      <c r="K325" s="13"/>
      <c r="L325" s="13" t="s">
        <v>1468</v>
      </c>
      <c r="M325" s="13" t="s">
        <v>1469</v>
      </c>
    </row>
    <row r="326" customFormat="false" ht="102.2" hidden="false" customHeight="false" outlineLevel="0" collapsed="false">
      <c r="A326" s="13" t="s">
        <v>3</v>
      </c>
      <c r="B326" s="13" t="s">
        <v>68</v>
      </c>
      <c r="C326" s="13" t="n">
        <v>354</v>
      </c>
      <c r="D326" s="13" t="s">
        <v>1464</v>
      </c>
      <c r="E326" s="13" t="s">
        <v>1470</v>
      </c>
      <c r="F326" s="13" t="s">
        <v>806</v>
      </c>
      <c r="G326" s="13" t="s">
        <v>1466</v>
      </c>
      <c r="H326" s="13" t="s">
        <v>1471</v>
      </c>
      <c r="I326" s="13" t="s">
        <v>82</v>
      </c>
      <c r="J326" s="13" t="s">
        <v>83</v>
      </c>
      <c r="K326" s="13"/>
      <c r="L326" s="13" t="s">
        <v>1468</v>
      </c>
      <c r="M326" s="13" t="s">
        <v>1469</v>
      </c>
    </row>
    <row r="327" customFormat="false" ht="102.2" hidden="false" customHeight="false" outlineLevel="0" collapsed="false">
      <c r="A327" s="13" t="s">
        <v>3</v>
      </c>
      <c r="B327" s="13" t="s">
        <v>68</v>
      </c>
      <c r="C327" s="13" t="n">
        <v>354</v>
      </c>
      <c r="D327" s="13" t="s">
        <v>1464</v>
      </c>
      <c r="E327" s="13" t="s">
        <v>1472</v>
      </c>
      <c r="F327" s="13" t="s">
        <v>806</v>
      </c>
      <c r="G327" s="13" t="s">
        <v>1466</v>
      </c>
      <c r="H327" s="13" t="s">
        <v>1473</v>
      </c>
      <c r="I327" s="13" t="s">
        <v>82</v>
      </c>
      <c r="J327" s="13" t="s">
        <v>83</v>
      </c>
      <c r="K327" s="13"/>
      <c r="L327" s="13" t="s">
        <v>1468</v>
      </c>
      <c r="M327" s="13" t="s">
        <v>1469</v>
      </c>
    </row>
    <row r="328" customFormat="false" ht="102.2" hidden="false" customHeight="false" outlineLevel="0" collapsed="false">
      <c r="A328" s="13" t="s">
        <v>3</v>
      </c>
      <c r="B328" s="13" t="s">
        <v>68</v>
      </c>
      <c r="C328" s="13" t="n">
        <v>354</v>
      </c>
      <c r="D328" s="13" t="s">
        <v>1464</v>
      </c>
      <c r="E328" s="13" t="s">
        <v>1474</v>
      </c>
      <c r="F328" s="13" t="s">
        <v>806</v>
      </c>
      <c r="G328" s="13" t="s">
        <v>1466</v>
      </c>
      <c r="H328" s="13" t="s">
        <v>1475</v>
      </c>
      <c r="I328" s="13" t="s">
        <v>82</v>
      </c>
      <c r="J328" s="13" t="s">
        <v>83</v>
      </c>
      <c r="K328" s="13"/>
      <c r="L328" s="13" t="s">
        <v>1468</v>
      </c>
      <c r="M328" s="13" t="s">
        <v>1469</v>
      </c>
    </row>
    <row r="329" customFormat="false" ht="102.2" hidden="false" customHeight="false" outlineLevel="0" collapsed="false">
      <c r="A329" s="13" t="s">
        <v>3</v>
      </c>
      <c r="B329" s="13" t="s">
        <v>68</v>
      </c>
      <c r="C329" s="13" t="n">
        <v>354</v>
      </c>
      <c r="D329" s="13" t="s">
        <v>1464</v>
      </c>
      <c r="E329" s="13" t="s">
        <v>1476</v>
      </c>
      <c r="F329" s="13" t="s">
        <v>1477</v>
      </c>
      <c r="G329" s="13" t="s">
        <v>1478</v>
      </c>
      <c r="H329" s="13" t="s">
        <v>806</v>
      </c>
      <c r="I329" s="13" t="s">
        <v>82</v>
      </c>
      <c r="J329" s="13" t="s">
        <v>83</v>
      </c>
      <c r="K329" s="13"/>
      <c r="L329" s="13" t="s">
        <v>1468</v>
      </c>
      <c r="M329" s="13" t="s">
        <v>1469</v>
      </c>
    </row>
    <row r="330" customFormat="false" ht="102.2" hidden="false" customHeight="false" outlineLevel="0" collapsed="false">
      <c r="A330" s="13" t="s">
        <v>3</v>
      </c>
      <c r="B330" s="13" t="s">
        <v>68</v>
      </c>
      <c r="C330" s="13" t="n">
        <v>354</v>
      </c>
      <c r="D330" s="13" t="s">
        <v>1464</v>
      </c>
      <c r="E330" s="13" t="s">
        <v>1479</v>
      </c>
      <c r="F330" s="13" t="s">
        <v>1480</v>
      </c>
      <c r="G330" s="13" t="s">
        <v>1481</v>
      </c>
      <c r="H330" s="13" t="s">
        <v>1482</v>
      </c>
      <c r="I330" s="13" t="s">
        <v>82</v>
      </c>
      <c r="J330" s="13" t="s">
        <v>83</v>
      </c>
      <c r="K330" s="13"/>
      <c r="L330" s="13" t="s">
        <v>1468</v>
      </c>
      <c r="M330" s="13" t="s">
        <v>1469</v>
      </c>
    </row>
    <row r="331" customFormat="false" ht="91" hidden="false" customHeight="false" outlineLevel="0" collapsed="false">
      <c r="A331" s="13" t="s">
        <v>3</v>
      </c>
      <c r="B331" s="13" t="s">
        <v>68</v>
      </c>
      <c r="C331" s="13" t="n">
        <v>363</v>
      </c>
      <c r="D331" s="13" t="s">
        <v>1483</v>
      </c>
      <c r="E331" s="13" t="s">
        <v>1484</v>
      </c>
      <c r="F331" s="13" t="s">
        <v>1485</v>
      </c>
      <c r="G331" s="13" t="s">
        <v>1486</v>
      </c>
      <c r="H331" s="13" t="s">
        <v>1379</v>
      </c>
      <c r="I331" s="13" t="s">
        <v>74</v>
      </c>
      <c r="J331" s="13" t="s">
        <v>1487</v>
      </c>
      <c r="K331" s="13" t="s">
        <v>1488</v>
      </c>
      <c r="L331" s="13" t="s">
        <v>1489</v>
      </c>
      <c r="M331" s="13" t="s">
        <v>1490</v>
      </c>
    </row>
    <row r="332" customFormat="false" ht="91" hidden="false" customHeight="false" outlineLevel="0" collapsed="false">
      <c r="A332" s="13" t="s">
        <v>3</v>
      </c>
      <c r="B332" s="13" t="s">
        <v>68</v>
      </c>
      <c r="C332" s="13" t="n">
        <v>363</v>
      </c>
      <c r="D332" s="13" t="s">
        <v>1483</v>
      </c>
      <c r="E332" s="13" t="s">
        <v>1491</v>
      </c>
      <c r="F332" s="13" t="s">
        <v>1485</v>
      </c>
      <c r="G332" s="13" t="s">
        <v>1492</v>
      </c>
      <c r="H332" s="13" t="s">
        <v>1493</v>
      </c>
      <c r="I332" s="13" t="s">
        <v>74</v>
      </c>
      <c r="J332" s="13" t="s">
        <v>1487</v>
      </c>
      <c r="K332" s="13" t="s">
        <v>1488</v>
      </c>
      <c r="L332" s="13" t="s">
        <v>1489</v>
      </c>
      <c r="M332" s="13" t="s">
        <v>1490</v>
      </c>
    </row>
    <row r="333" customFormat="false" ht="91" hidden="false" customHeight="false" outlineLevel="0" collapsed="false">
      <c r="A333" s="13" t="s">
        <v>3</v>
      </c>
      <c r="B333" s="13" t="s">
        <v>68</v>
      </c>
      <c r="C333" s="13" t="n">
        <v>363</v>
      </c>
      <c r="D333" s="13" t="s">
        <v>1483</v>
      </c>
      <c r="E333" s="13" t="s">
        <v>1494</v>
      </c>
      <c r="F333" s="13" t="s">
        <v>1485</v>
      </c>
      <c r="G333" s="13" t="s">
        <v>1495</v>
      </c>
      <c r="H333" s="13" t="s">
        <v>1496</v>
      </c>
      <c r="I333" s="13" t="s">
        <v>74</v>
      </c>
      <c r="J333" s="13" t="s">
        <v>1487</v>
      </c>
      <c r="K333" s="13" t="s">
        <v>1488</v>
      </c>
      <c r="L333" s="13" t="s">
        <v>1489</v>
      </c>
      <c r="M333" s="13" t="s">
        <v>1490</v>
      </c>
    </row>
    <row r="334" customFormat="false" ht="91" hidden="false" customHeight="false" outlineLevel="0" collapsed="false">
      <c r="A334" s="13" t="s">
        <v>3</v>
      </c>
      <c r="B334" s="13" t="s">
        <v>68</v>
      </c>
      <c r="C334" s="13" t="n">
        <v>363</v>
      </c>
      <c r="D334" s="13" t="s">
        <v>1483</v>
      </c>
      <c r="E334" s="13" t="s">
        <v>1497</v>
      </c>
      <c r="F334" s="13" t="s">
        <v>1485</v>
      </c>
      <c r="G334" s="13" t="s">
        <v>1498</v>
      </c>
      <c r="H334" s="13" t="s">
        <v>1499</v>
      </c>
      <c r="I334" s="13" t="s">
        <v>74</v>
      </c>
      <c r="J334" s="13" t="s">
        <v>1487</v>
      </c>
      <c r="K334" s="13" t="s">
        <v>1488</v>
      </c>
      <c r="L334" s="13" t="s">
        <v>1489</v>
      </c>
      <c r="M334" s="13" t="s">
        <v>1490</v>
      </c>
    </row>
    <row r="335" customFormat="false" ht="46.25" hidden="false" customHeight="false" outlineLevel="0" collapsed="false">
      <c r="A335" s="13" t="s">
        <v>3</v>
      </c>
      <c r="B335" s="13" t="s">
        <v>68</v>
      </c>
      <c r="C335" s="13" t="n">
        <v>363</v>
      </c>
      <c r="D335" s="13" t="s">
        <v>1500</v>
      </c>
      <c r="E335" s="13" t="s">
        <v>1501</v>
      </c>
      <c r="F335" s="13" t="s">
        <v>1502</v>
      </c>
      <c r="G335" s="13" t="s">
        <v>762</v>
      </c>
      <c r="H335" s="13" t="s">
        <v>1493</v>
      </c>
      <c r="I335" s="13" t="s">
        <v>74</v>
      </c>
      <c r="J335" s="13" t="s">
        <v>1487</v>
      </c>
      <c r="K335" s="13" t="s">
        <v>1488</v>
      </c>
      <c r="L335" s="13" t="s">
        <v>1503</v>
      </c>
      <c r="M335" s="13" t="s">
        <v>1504</v>
      </c>
    </row>
    <row r="336" customFormat="false" ht="46.25" hidden="false" customHeight="false" outlineLevel="0" collapsed="false">
      <c r="A336" s="13" t="s">
        <v>3</v>
      </c>
      <c r="B336" s="13" t="s">
        <v>68</v>
      </c>
      <c r="C336" s="13" t="n">
        <v>363</v>
      </c>
      <c r="D336" s="13" t="s">
        <v>1500</v>
      </c>
      <c r="E336" s="13" t="s">
        <v>1505</v>
      </c>
      <c r="F336" s="13" t="s">
        <v>1502</v>
      </c>
      <c r="G336" s="13" t="s">
        <v>1506</v>
      </c>
      <c r="H336" s="13" t="s">
        <v>1507</v>
      </c>
      <c r="I336" s="13" t="s">
        <v>74</v>
      </c>
      <c r="J336" s="13" t="s">
        <v>1487</v>
      </c>
      <c r="K336" s="13" t="s">
        <v>1488</v>
      </c>
      <c r="L336" s="13" t="s">
        <v>1503</v>
      </c>
      <c r="M336" s="13" t="s">
        <v>1504</v>
      </c>
    </row>
    <row r="337" customFormat="false" ht="46.25" hidden="false" customHeight="false" outlineLevel="0" collapsed="false">
      <c r="A337" s="13" t="s">
        <v>3</v>
      </c>
      <c r="B337" s="13" t="s">
        <v>68</v>
      </c>
      <c r="C337" s="13" t="n">
        <v>363</v>
      </c>
      <c r="D337" s="13" t="s">
        <v>1500</v>
      </c>
      <c r="E337" s="13" t="s">
        <v>1508</v>
      </c>
      <c r="F337" s="13" t="s">
        <v>1502</v>
      </c>
      <c r="G337" s="13" t="s">
        <v>1506</v>
      </c>
      <c r="H337" s="13" t="s">
        <v>1509</v>
      </c>
      <c r="I337" s="13" t="s">
        <v>74</v>
      </c>
      <c r="J337" s="13" t="s">
        <v>1487</v>
      </c>
      <c r="K337" s="13" t="s">
        <v>1488</v>
      </c>
      <c r="L337" s="13" t="s">
        <v>1503</v>
      </c>
      <c r="M337" s="13" t="s">
        <v>1504</v>
      </c>
    </row>
    <row r="338" customFormat="false" ht="158.2" hidden="false" customHeight="false" outlineLevel="0" collapsed="false">
      <c r="A338" s="13" t="s">
        <v>3</v>
      </c>
      <c r="B338" s="13" t="s">
        <v>68</v>
      </c>
      <c r="C338" s="13" t="n">
        <v>363</v>
      </c>
      <c r="D338" s="13" t="s">
        <v>1510</v>
      </c>
      <c r="E338" s="13" t="s">
        <v>1511</v>
      </c>
      <c r="F338" s="13" t="s">
        <v>806</v>
      </c>
      <c r="G338" s="13" t="s">
        <v>1512</v>
      </c>
      <c r="H338" s="13" t="s">
        <v>1513</v>
      </c>
      <c r="I338" s="13" t="s">
        <v>82</v>
      </c>
      <c r="J338" s="13" t="s">
        <v>83</v>
      </c>
      <c r="K338" s="13"/>
      <c r="L338" s="13" t="s">
        <v>1514</v>
      </c>
      <c r="M338" s="13" t="s">
        <v>1515</v>
      </c>
    </row>
    <row r="339" customFormat="false" ht="158.2" hidden="false" customHeight="false" outlineLevel="0" collapsed="false">
      <c r="A339" s="13" t="s">
        <v>3</v>
      </c>
      <c r="B339" s="13" t="s">
        <v>68</v>
      </c>
      <c r="C339" s="13" t="n">
        <v>363</v>
      </c>
      <c r="D339" s="13" t="s">
        <v>1510</v>
      </c>
      <c r="E339" s="13" t="s">
        <v>1516</v>
      </c>
      <c r="F339" s="13" t="s">
        <v>806</v>
      </c>
      <c r="G339" s="13" t="s">
        <v>1517</v>
      </c>
      <c r="H339" s="13" t="s">
        <v>1518</v>
      </c>
      <c r="I339" s="13" t="s">
        <v>82</v>
      </c>
      <c r="J339" s="13" t="s">
        <v>83</v>
      </c>
      <c r="K339" s="13"/>
      <c r="L339" s="13" t="s">
        <v>1514</v>
      </c>
      <c r="M339" s="13" t="s">
        <v>1515</v>
      </c>
    </row>
    <row r="340" customFormat="false" ht="158.2" hidden="false" customHeight="false" outlineLevel="0" collapsed="false">
      <c r="A340" s="13" t="s">
        <v>3</v>
      </c>
      <c r="B340" s="13" t="s">
        <v>68</v>
      </c>
      <c r="C340" s="13" t="n">
        <v>363</v>
      </c>
      <c r="D340" s="13" t="s">
        <v>1510</v>
      </c>
      <c r="E340" s="13" t="s">
        <v>1519</v>
      </c>
      <c r="F340" s="13" t="s">
        <v>1520</v>
      </c>
      <c r="G340" s="13" t="s">
        <v>1521</v>
      </c>
      <c r="H340" s="13" t="s">
        <v>1522</v>
      </c>
      <c r="I340" s="13" t="s">
        <v>82</v>
      </c>
      <c r="J340" s="13" t="s">
        <v>83</v>
      </c>
      <c r="K340" s="13"/>
      <c r="L340" s="13" t="s">
        <v>1514</v>
      </c>
      <c r="M340" s="13" t="s">
        <v>1515</v>
      </c>
    </row>
    <row r="341" customFormat="false" ht="169.4" hidden="false" customHeight="false" outlineLevel="0" collapsed="false">
      <c r="A341" s="13" t="s">
        <v>3</v>
      </c>
      <c r="B341" s="13" t="s">
        <v>68</v>
      </c>
      <c r="C341" s="13" t="n">
        <v>363</v>
      </c>
      <c r="D341" s="13" t="s">
        <v>1523</v>
      </c>
      <c r="E341" s="13" t="s">
        <v>1524</v>
      </c>
      <c r="F341" s="13" t="s">
        <v>1525</v>
      </c>
      <c r="G341" s="13" t="s">
        <v>1526</v>
      </c>
      <c r="H341" s="13" t="s">
        <v>1518</v>
      </c>
      <c r="I341" s="13" t="s">
        <v>82</v>
      </c>
      <c r="J341" s="13" t="s">
        <v>83</v>
      </c>
      <c r="K341" s="13"/>
      <c r="L341" s="13" t="s">
        <v>1527</v>
      </c>
      <c r="M341" s="13" t="s">
        <v>1528</v>
      </c>
    </row>
    <row r="342" customFormat="false" ht="169.4" hidden="false" customHeight="false" outlineLevel="0" collapsed="false">
      <c r="A342" s="13" t="s">
        <v>3</v>
      </c>
      <c r="B342" s="13" t="s">
        <v>68</v>
      </c>
      <c r="C342" s="13" t="n">
        <v>363</v>
      </c>
      <c r="D342" s="13" t="s">
        <v>1523</v>
      </c>
      <c r="E342" s="13" t="s">
        <v>1529</v>
      </c>
      <c r="F342" s="13" t="s">
        <v>806</v>
      </c>
      <c r="G342" s="13" t="s">
        <v>1530</v>
      </c>
      <c r="H342" s="13" t="s">
        <v>1525</v>
      </c>
      <c r="I342" s="13" t="s">
        <v>82</v>
      </c>
      <c r="J342" s="13" t="s">
        <v>83</v>
      </c>
      <c r="K342" s="13"/>
      <c r="L342" s="13" t="s">
        <v>1527</v>
      </c>
      <c r="M342" s="13" t="s">
        <v>1528</v>
      </c>
    </row>
    <row r="343" customFormat="false" ht="169.4" hidden="false" customHeight="false" outlineLevel="0" collapsed="false">
      <c r="A343" s="13" t="s">
        <v>3</v>
      </c>
      <c r="B343" s="13" t="s">
        <v>68</v>
      </c>
      <c r="C343" s="13" t="n">
        <v>363</v>
      </c>
      <c r="D343" s="13" t="s">
        <v>1523</v>
      </c>
      <c r="E343" s="13" t="s">
        <v>1531</v>
      </c>
      <c r="F343" s="13" t="s">
        <v>806</v>
      </c>
      <c r="G343" s="13" t="s">
        <v>1532</v>
      </c>
      <c r="H343" s="13" t="s">
        <v>1533</v>
      </c>
      <c r="I343" s="13" t="s">
        <v>82</v>
      </c>
      <c r="J343" s="13" t="s">
        <v>83</v>
      </c>
      <c r="K343" s="13"/>
      <c r="L343" s="13" t="s">
        <v>1527</v>
      </c>
      <c r="M343" s="13" t="s">
        <v>1528</v>
      </c>
    </row>
    <row r="344" customFormat="false" ht="147" hidden="false" customHeight="false" outlineLevel="0" collapsed="false">
      <c r="A344" s="13" t="s">
        <v>3</v>
      </c>
      <c r="B344" s="13" t="s">
        <v>68</v>
      </c>
      <c r="C344" s="13" t="n">
        <v>363</v>
      </c>
      <c r="D344" s="13" t="s">
        <v>1534</v>
      </c>
      <c r="E344" s="13" t="s">
        <v>1535</v>
      </c>
      <c r="F344" s="13" t="s">
        <v>1536</v>
      </c>
      <c r="G344" s="13" t="s">
        <v>1537</v>
      </c>
      <c r="H344" s="13" t="s">
        <v>1538</v>
      </c>
      <c r="I344" s="13" t="s">
        <v>82</v>
      </c>
      <c r="J344" s="13" t="s">
        <v>83</v>
      </c>
      <c r="K344" s="13"/>
      <c r="L344" s="13" t="s">
        <v>1539</v>
      </c>
      <c r="M344" s="13" t="s">
        <v>1540</v>
      </c>
    </row>
    <row r="345" customFormat="false" ht="147" hidden="false" customHeight="false" outlineLevel="0" collapsed="false">
      <c r="A345" s="13" t="s">
        <v>3</v>
      </c>
      <c r="B345" s="13" t="s">
        <v>68</v>
      </c>
      <c r="C345" s="13" t="n">
        <v>363</v>
      </c>
      <c r="D345" s="13" t="s">
        <v>1534</v>
      </c>
      <c r="E345" s="13" t="s">
        <v>1541</v>
      </c>
      <c r="F345" s="13" t="s">
        <v>1538</v>
      </c>
      <c r="G345" s="13" t="s">
        <v>1542</v>
      </c>
      <c r="H345" s="13" t="s">
        <v>1543</v>
      </c>
      <c r="I345" s="13" t="s">
        <v>74</v>
      </c>
      <c r="J345" s="13" t="s">
        <v>1544</v>
      </c>
      <c r="K345" s="13" t="s">
        <v>1545</v>
      </c>
      <c r="L345" s="13" t="s">
        <v>1539</v>
      </c>
      <c r="M345" s="13" t="s">
        <v>1540</v>
      </c>
    </row>
    <row r="346" customFormat="false" ht="147" hidden="false" customHeight="false" outlineLevel="0" collapsed="false">
      <c r="A346" s="13" t="s">
        <v>3</v>
      </c>
      <c r="B346" s="13" t="s">
        <v>68</v>
      </c>
      <c r="C346" s="13" t="n">
        <v>363</v>
      </c>
      <c r="D346" s="13" t="s">
        <v>1534</v>
      </c>
      <c r="E346" s="13" t="s">
        <v>1546</v>
      </c>
      <c r="F346" s="13" t="s">
        <v>1538</v>
      </c>
      <c r="G346" s="13" t="s">
        <v>1542</v>
      </c>
      <c r="H346" s="13" t="s">
        <v>1547</v>
      </c>
      <c r="I346" s="13" t="s">
        <v>114</v>
      </c>
      <c r="J346" s="13" t="s">
        <v>1548</v>
      </c>
      <c r="K346" s="13" t="s">
        <v>1549</v>
      </c>
      <c r="L346" s="13" t="s">
        <v>1539</v>
      </c>
      <c r="M346" s="13" t="s">
        <v>1540</v>
      </c>
    </row>
    <row r="347" customFormat="false" ht="147" hidden="false" customHeight="false" outlineLevel="0" collapsed="false">
      <c r="A347" s="13" t="s">
        <v>3</v>
      </c>
      <c r="B347" s="13" t="s">
        <v>68</v>
      </c>
      <c r="C347" s="13" t="n">
        <v>363</v>
      </c>
      <c r="D347" s="13" t="s">
        <v>1534</v>
      </c>
      <c r="E347" s="13" t="s">
        <v>1550</v>
      </c>
      <c r="F347" s="13" t="s">
        <v>1538</v>
      </c>
      <c r="G347" s="13" t="s">
        <v>1551</v>
      </c>
      <c r="H347" s="13" t="s">
        <v>1552</v>
      </c>
      <c r="I347" s="13" t="s">
        <v>114</v>
      </c>
      <c r="J347" s="13" t="s">
        <v>1553</v>
      </c>
      <c r="K347" s="13" t="s">
        <v>1554</v>
      </c>
      <c r="L347" s="13" t="s">
        <v>1539</v>
      </c>
      <c r="M347" s="13" t="s">
        <v>1540</v>
      </c>
    </row>
    <row r="348" customFormat="false" ht="147" hidden="false" customHeight="false" outlineLevel="0" collapsed="false">
      <c r="A348" s="13" t="s">
        <v>3</v>
      </c>
      <c r="B348" s="13" t="s">
        <v>68</v>
      </c>
      <c r="C348" s="13" t="n">
        <v>363</v>
      </c>
      <c r="D348" s="13" t="s">
        <v>1534</v>
      </c>
      <c r="E348" s="13" t="s">
        <v>1555</v>
      </c>
      <c r="F348" s="13" t="s">
        <v>1538</v>
      </c>
      <c r="G348" s="13" t="s">
        <v>1556</v>
      </c>
      <c r="H348" s="13" t="s">
        <v>1536</v>
      </c>
      <c r="I348" s="13" t="s">
        <v>82</v>
      </c>
      <c r="J348" s="13" t="s">
        <v>83</v>
      </c>
      <c r="K348" s="13"/>
      <c r="L348" s="13" t="s">
        <v>1539</v>
      </c>
      <c r="M348" s="13" t="s">
        <v>1540</v>
      </c>
    </row>
    <row r="349" customFormat="false" ht="147" hidden="false" customHeight="false" outlineLevel="0" collapsed="false">
      <c r="A349" s="13" t="s">
        <v>3</v>
      </c>
      <c r="B349" s="13" t="s">
        <v>68</v>
      </c>
      <c r="C349" s="13" t="n">
        <v>363</v>
      </c>
      <c r="D349" s="13" t="s">
        <v>1534</v>
      </c>
      <c r="E349" s="13" t="s">
        <v>1557</v>
      </c>
      <c r="F349" s="13" t="s">
        <v>1536</v>
      </c>
      <c r="G349" s="13" t="s">
        <v>958</v>
      </c>
      <c r="H349" s="13" t="s">
        <v>1558</v>
      </c>
      <c r="I349" s="13" t="s">
        <v>82</v>
      </c>
      <c r="J349" s="13" t="s">
        <v>1559</v>
      </c>
      <c r="K349" s="13" t="s">
        <v>1560</v>
      </c>
      <c r="L349" s="13" t="s">
        <v>1539</v>
      </c>
      <c r="M349" s="13" t="s">
        <v>1540</v>
      </c>
    </row>
    <row r="350" customFormat="false" ht="57.45" hidden="false" customHeight="false" outlineLevel="0" collapsed="false">
      <c r="A350" s="13" t="s">
        <v>3</v>
      </c>
      <c r="B350" s="13" t="s">
        <v>68</v>
      </c>
      <c r="C350" s="13" t="n">
        <v>366</v>
      </c>
      <c r="D350" s="13" t="s">
        <v>1561</v>
      </c>
      <c r="E350" s="13" t="s">
        <v>1562</v>
      </c>
      <c r="F350" s="13" t="s">
        <v>1090</v>
      </c>
      <c r="G350" s="13" t="s">
        <v>1563</v>
      </c>
      <c r="H350" s="13" t="s">
        <v>1564</v>
      </c>
      <c r="I350" s="13" t="s">
        <v>74</v>
      </c>
      <c r="J350" s="13" t="s">
        <v>1565</v>
      </c>
      <c r="K350" s="13" t="s">
        <v>1566</v>
      </c>
      <c r="L350" s="13" t="s">
        <v>1567</v>
      </c>
      <c r="M350" s="13" t="s">
        <v>1568</v>
      </c>
    </row>
    <row r="351" customFormat="false" ht="57.45" hidden="false" customHeight="false" outlineLevel="0" collapsed="false">
      <c r="A351" s="13" t="s">
        <v>3</v>
      </c>
      <c r="B351" s="13" t="s">
        <v>68</v>
      </c>
      <c r="C351" s="13" t="n">
        <v>366</v>
      </c>
      <c r="D351" s="13" t="s">
        <v>1561</v>
      </c>
      <c r="E351" s="13" t="s">
        <v>1569</v>
      </c>
      <c r="F351" s="13" t="s">
        <v>1090</v>
      </c>
      <c r="G351" s="13" t="s">
        <v>1570</v>
      </c>
      <c r="H351" s="13" t="s">
        <v>1564</v>
      </c>
      <c r="I351" s="13" t="s">
        <v>74</v>
      </c>
      <c r="J351" s="13" t="s">
        <v>1571</v>
      </c>
      <c r="K351" s="13" t="s">
        <v>1572</v>
      </c>
      <c r="L351" s="13" t="s">
        <v>1567</v>
      </c>
      <c r="M351" s="13" t="s">
        <v>1568</v>
      </c>
    </row>
    <row r="352" customFormat="false" ht="23.85" hidden="false" customHeight="false" outlineLevel="0" collapsed="false">
      <c r="A352" s="13" t="s">
        <v>3</v>
      </c>
      <c r="B352" s="13" t="s">
        <v>68</v>
      </c>
      <c r="C352" s="13" t="n">
        <v>366</v>
      </c>
      <c r="D352" s="13" t="s">
        <v>1573</v>
      </c>
      <c r="E352" s="13" t="s">
        <v>1574</v>
      </c>
      <c r="F352" s="13" t="s">
        <v>1575</v>
      </c>
      <c r="G352" s="13" t="s">
        <v>1576</v>
      </c>
      <c r="H352" s="13" t="s">
        <v>1577</v>
      </c>
      <c r="I352" s="13" t="s">
        <v>82</v>
      </c>
      <c r="J352" s="13" t="s">
        <v>83</v>
      </c>
      <c r="K352" s="13"/>
      <c r="L352" s="13" t="s">
        <v>1578</v>
      </c>
      <c r="M352" s="13" t="s">
        <v>1579</v>
      </c>
    </row>
    <row r="353" customFormat="false" ht="147" hidden="false" customHeight="false" outlineLevel="0" collapsed="false">
      <c r="A353" s="13" t="s">
        <v>3</v>
      </c>
      <c r="B353" s="13" t="s">
        <v>68</v>
      </c>
      <c r="C353" s="13" t="n">
        <v>366</v>
      </c>
      <c r="D353" s="13" t="s">
        <v>1580</v>
      </c>
      <c r="E353" s="13" t="s">
        <v>1581</v>
      </c>
      <c r="F353" s="13" t="s">
        <v>1090</v>
      </c>
      <c r="G353" s="13" t="s">
        <v>1582</v>
      </c>
      <c r="H353" s="13" t="s">
        <v>1583</v>
      </c>
      <c r="I353" s="13" t="s">
        <v>82</v>
      </c>
      <c r="J353" s="13" t="s">
        <v>83</v>
      </c>
      <c r="K353" s="13"/>
      <c r="L353" s="13" t="s">
        <v>1584</v>
      </c>
      <c r="M353" s="13" t="s">
        <v>1585</v>
      </c>
    </row>
    <row r="354" customFormat="false" ht="147" hidden="false" customHeight="false" outlineLevel="0" collapsed="false">
      <c r="A354" s="13" t="s">
        <v>3</v>
      </c>
      <c r="B354" s="13" t="s">
        <v>68</v>
      </c>
      <c r="C354" s="13" t="n">
        <v>366</v>
      </c>
      <c r="D354" s="13" t="s">
        <v>1580</v>
      </c>
      <c r="E354" s="13" t="s">
        <v>1586</v>
      </c>
      <c r="F354" s="13" t="s">
        <v>1090</v>
      </c>
      <c r="G354" s="13" t="s">
        <v>1587</v>
      </c>
      <c r="H354" s="13" t="s">
        <v>1588</v>
      </c>
      <c r="I354" s="13" t="s">
        <v>82</v>
      </c>
      <c r="J354" s="13" t="s">
        <v>83</v>
      </c>
      <c r="K354" s="13"/>
      <c r="L354" s="13" t="s">
        <v>1584</v>
      </c>
      <c r="M354" s="13" t="s">
        <v>1585</v>
      </c>
    </row>
    <row r="355" customFormat="false" ht="147" hidden="false" customHeight="false" outlineLevel="0" collapsed="false">
      <c r="A355" s="13" t="s">
        <v>3</v>
      </c>
      <c r="B355" s="13" t="s">
        <v>68</v>
      </c>
      <c r="C355" s="13" t="n">
        <v>366</v>
      </c>
      <c r="D355" s="13" t="s">
        <v>1580</v>
      </c>
      <c r="E355" s="13" t="s">
        <v>1589</v>
      </c>
      <c r="F355" s="13" t="s">
        <v>1090</v>
      </c>
      <c r="G355" s="13" t="s">
        <v>1590</v>
      </c>
      <c r="H355" s="13" t="s">
        <v>1591</v>
      </c>
      <c r="I355" s="13" t="s">
        <v>82</v>
      </c>
      <c r="J355" s="13" t="s">
        <v>83</v>
      </c>
      <c r="K355" s="13"/>
      <c r="L355" s="13" t="s">
        <v>1584</v>
      </c>
      <c r="M355" s="13" t="s">
        <v>1585</v>
      </c>
    </row>
    <row r="356" customFormat="false" ht="147" hidden="false" customHeight="false" outlineLevel="0" collapsed="false">
      <c r="A356" s="13" t="s">
        <v>3</v>
      </c>
      <c r="B356" s="13" t="s">
        <v>68</v>
      </c>
      <c r="C356" s="13" t="n">
        <v>366</v>
      </c>
      <c r="D356" s="13" t="s">
        <v>1580</v>
      </c>
      <c r="E356" s="13" t="s">
        <v>1592</v>
      </c>
      <c r="F356" s="13" t="s">
        <v>1090</v>
      </c>
      <c r="G356" s="13" t="s">
        <v>1590</v>
      </c>
      <c r="H356" s="13" t="s">
        <v>1593</v>
      </c>
      <c r="I356" s="13" t="s">
        <v>82</v>
      </c>
      <c r="J356" s="13" t="s">
        <v>83</v>
      </c>
      <c r="K356" s="13"/>
      <c r="L356" s="13" t="s">
        <v>1584</v>
      </c>
      <c r="M356" s="13" t="s">
        <v>1585</v>
      </c>
    </row>
    <row r="357" customFormat="false" ht="147" hidden="false" customHeight="false" outlineLevel="0" collapsed="false">
      <c r="A357" s="13" t="s">
        <v>3</v>
      </c>
      <c r="B357" s="13" t="s">
        <v>68</v>
      </c>
      <c r="C357" s="13" t="n">
        <v>366</v>
      </c>
      <c r="D357" s="13" t="s">
        <v>1580</v>
      </c>
      <c r="E357" s="13" t="s">
        <v>1594</v>
      </c>
      <c r="F357" s="13" t="s">
        <v>1090</v>
      </c>
      <c r="G357" s="13" t="s">
        <v>1595</v>
      </c>
      <c r="H357" s="13" t="s">
        <v>1596</v>
      </c>
      <c r="I357" s="13" t="s">
        <v>74</v>
      </c>
      <c r="J357" s="13" t="s">
        <v>1597</v>
      </c>
      <c r="K357" s="13" t="s">
        <v>1598</v>
      </c>
      <c r="L357" s="13" t="s">
        <v>1584</v>
      </c>
      <c r="M357" s="13" t="s">
        <v>1585</v>
      </c>
    </row>
    <row r="358" customFormat="false" ht="147" hidden="false" customHeight="false" outlineLevel="0" collapsed="false">
      <c r="A358" s="13" t="s">
        <v>3</v>
      </c>
      <c r="B358" s="13" t="s">
        <v>68</v>
      </c>
      <c r="C358" s="13" t="n">
        <v>366</v>
      </c>
      <c r="D358" s="13" t="s">
        <v>1580</v>
      </c>
      <c r="E358" s="13" t="s">
        <v>1599</v>
      </c>
      <c r="F358" s="13" t="s">
        <v>1090</v>
      </c>
      <c r="G358" s="13" t="s">
        <v>1600</v>
      </c>
      <c r="H358" s="13" t="s">
        <v>1601</v>
      </c>
      <c r="I358" s="13" t="s">
        <v>82</v>
      </c>
      <c r="J358" s="13" t="s">
        <v>83</v>
      </c>
      <c r="K358" s="13"/>
      <c r="L358" s="13" t="s">
        <v>1584</v>
      </c>
      <c r="M358" s="13" t="s">
        <v>1585</v>
      </c>
    </row>
    <row r="359" customFormat="false" ht="102.2" hidden="false" customHeight="false" outlineLevel="0" collapsed="false">
      <c r="A359" s="13" t="s">
        <v>3</v>
      </c>
      <c r="B359" s="13" t="s">
        <v>68</v>
      </c>
      <c r="C359" s="13" t="n">
        <v>366</v>
      </c>
      <c r="D359" s="13" t="s">
        <v>1602</v>
      </c>
      <c r="E359" s="13" t="s">
        <v>1603</v>
      </c>
      <c r="F359" s="13" t="s">
        <v>1090</v>
      </c>
      <c r="G359" s="13" t="s">
        <v>1604</v>
      </c>
      <c r="H359" s="13" t="s">
        <v>1605</v>
      </c>
      <c r="I359" s="13" t="s">
        <v>82</v>
      </c>
      <c r="J359" s="13" t="s">
        <v>83</v>
      </c>
      <c r="K359" s="13"/>
      <c r="L359" s="13" t="s">
        <v>1606</v>
      </c>
      <c r="M359" s="13" t="s">
        <v>1607</v>
      </c>
    </row>
    <row r="360" customFormat="false" ht="102.2" hidden="false" customHeight="false" outlineLevel="0" collapsed="false">
      <c r="A360" s="13" t="s">
        <v>3</v>
      </c>
      <c r="B360" s="13" t="s">
        <v>68</v>
      </c>
      <c r="C360" s="13" t="n">
        <v>366</v>
      </c>
      <c r="D360" s="13" t="s">
        <v>1602</v>
      </c>
      <c r="E360" s="13" t="s">
        <v>1608</v>
      </c>
      <c r="F360" s="13" t="s">
        <v>1090</v>
      </c>
      <c r="G360" s="13" t="s">
        <v>1556</v>
      </c>
      <c r="H360" s="13" t="s">
        <v>1605</v>
      </c>
      <c r="I360" s="13" t="s">
        <v>82</v>
      </c>
      <c r="J360" s="13" t="s">
        <v>83</v>
      </c>
      <c r="K360" s="13"/>
      <c r="L360" s="13" t="s">
        <v>1606</v>
      </c>
      <c r="M360" s="13" t="s">
        <v>1607</v>
      </c>
    </row>
    <row r="361" customFormat="false" ht="102.2" hidden="false" customHeight="false" outlineLevel="0" collapsed="false">
      <c r="A361" s="13" t="s">
        <v>3</v>
      </c>
      <c r="B361" s="13" t="s">
        <v>68</v>
      </c>
      <c r="C361" s="13" t="n">
        <v>366</v>
      </c>
      <c r="D361" s="13" t="s">
        <v>1602</v>
      </c>
      <c r="E361" s="13" t="s">
        <v>1609</v>
      </c>
      <c r="F361" s="13" t="s">
        <v>1090</v>
      </c>
      <c r="G361" s="13" t="s">
        <v>978</v>
      </c>
      <c r="H361" s="13" t="s">
        <v>1610</v>
      </c>
      <c r="I361" s="13" t="s">
        <v>82</v>
      </c>
      <c r="J361" s="13" t="s">
        <v>83</v>
      </c>
      <c r="K361" s="13"/>
      <c r="L361" s="13" t="s">
        <v>1606</v>
      </c>
      <c r="M361" s="13" t="s">
        <v>1607</v>
      </c>
    </row>
    <row r="362" customFormat="false" ht="23.85" hidden="false" customHeight="false" outlineLevel="0" collapsed="false">
      <c r="A362" s="13" t="s">
        <v>3</v>
      </c>
      <c r="B362" s="13" t="s">
        <v>68</v>
      </c>
      <c r="C362" s="13" t="n">
        <v>373</v>
      </c>
      <c r="D362" s="13" t="s">
        <v>1611</v>
      </c>
      <c r="E362" s="13" t="s">
        <v>1612</v>
      </c>
      <c r="F362" s="13" t="s">
        <v>806</v>
      </c>
      <c r="G362" s="13" t="s">
        <v>1613</v>
      </c>
      <c r="H362" s="13" t="s">
        <v>1614</v>
      </c>
      <c r="I362" s="13" t="s">
        <v>82</v>
      </c>
      <c r="J362" s="13" t="s">
        <v>83</v>
      </c>
      <c r="K362" s="13"/>
      <c r="L362" s="13" t="s">
        <v>1615</v>
      </c>
      <c r="M362" s="13" t="s">
        <v>1616</v>
      </c>
    </row>
    <row r="363" customFormat="false" ht="23.85" hidden="false" customHeight="false" outlineLevel="0" collapsed="false">
      <c r="A363" s="13" t="s">
        <v>3</v>
      </c>
      <c r="B363" s="13" t="s">
        <v>68</v>
      </c>
      <c r="C363" s="13" t="n">
        <v>373</v>
      </c>
      <c r="D363" s="13" t="s">
        <v>1611</v>
      </c>
      <c r="E363" s="13" t="s">
        <v>1617</v>
      </c>
      <c r="F363" s="13" t="s">
        <v>806</v>
      </c>
      <c r="G363" s="13" t="s">
        <v>1618</v>
      </c>
      <c r="H363" s="13" t="s">
        <v>1619</v>
      </c>
      <c r="I363" s="13" t="s">
        <v>82</v>
      </c>
      <c r="J363" s="13" t="s">
        <v>83</v>
      </c>
      <c r="K363" s="13"/>
      <c r="L363" s="13" t="s">
        <v>1615</v>
      </c>
      <c r="M363" s="13" t="s">
        <v>1616</v>
      </c>
    </row>
    <row r="364" customFormat="false" ht="35.05" hidden="false" customHeight="false" outlineLevel="0" collapsed="false">
      <c r="A364" s="13" t="s">
        <v>3</v>
      </c>
      <c r="B364" s="13" t="s">
        <v>68</v>
      </c>
      <c r="C364" s="13" t="n">
        <v>373</v>
      </c>
      <c r="D364" s="13" t="s">
        <v>1620</v>
      </c>
      <c r="E364" s="13" t="s">
        <v>1621</v>
      </c>
      <c r="F364" s="13" t="s">
        <v>1622</v>
      </c>
      <c r="G364" s="13" t="s">
        <v>1613</v>
      </c>
      <c r="H364" s="13" t="s">
        <v>1623</v>
      </c>
      <c r="I364" s="13" t="s">
        <v>82</v>
      </c>
      <c r="J364" s="13" t="s">
        <v>83</v>
      </c>
      <c r="K364" s="13"/>
      <c r="L364" s="13" t="s">
        <v>1624</v>
      </c>
      <c r="M364" s="13" t="s">
        <v>1625</v>
      </c>
    </row>
    <row r="365" customFormat="false" ht="35.05" hidden="false" customHeight="false" outlineLevel="0" collapsed="false">
      <c r="A365" s="13" t="s">
        <v>3</v>
      </c>
      <c r="B365" s="13" t="s">
        <v>68</v>
      </c>
      <c r="C365" s="13" t="n">
        <v>373</v>
      </c>
      <c r="D365" s="13" t="s">
        <v>1620</v>
      </c>
      <c r="E365" s="13" t="s">
        <v>1626</v>
      </c>
      <c r="F365" s="13" t="s">
        <v>1622</v>
      </c>
      <c r="G365" s="13" t="s">
        <v>1618</v>
      </c>
      <c r="H365" s="13" t="s">
        <v>1627</v>
      </c>
      <c r="I365" s="13" t="s">
        <v>82</v>
      </c>
      <c r="J365" s="13" t="s">
        <v>83</v>
      </c>
      <c r="K365" s="13"/>
      <c r="L365" s="13" t="s">
        <v>1624</v>
      </c>
      <c r="M365" s="13" t="s">
        <v>1625</v>
      </c>
    </row>
    <row r="366" customFormat="false" ht="35.05" hidden="false" customHeight="false" outlineLevel="0" collapsed="false">
      <c r="A366" s="13" t="s">
        <v>3</v>
      </c>
      <c r="B366" s="13" t="s">
        <v>68</v>
      </c>
      <c r="C366" s="13" t="n">
        <v>373</v>
      </c>
      <c r="D366" s="13" t="s">
        <v>1628</v>
      </c>
      <c r="E366" s="13" t="s">
        <v>1629</v>
      </c>
      <c r="F366" s="13" t="s">
        <v>1630</v>
      </c>
      <c r="G366" s="13" t="s">
        <v>1613</v>
      </c>
      <c r="H366" s="13" t="s">
        <v>1623</v>
      </c>
      <c r="I366" s="13" t="s">
        <v>82</v>
      </c>
      <c r="J366" s="13" t="s">
        <v>83</v>
      </c>
      <c r="K366" s="13"/>
      <c r="L366" s="13" t="s">
        <v>1631</v>
      </c>
      <c r="M366" s="13" t="s">
        <v>1632</v>
      </c>
    </row>
    <row r="367" customFormat="false" ht="35.05" hidden="false" customHeight="false" outlineLevel="0" collapsed="false">
      <c r="A367" s="13" t="s">
        <v>3</v>
      </c>
      <c r="B367" s="13" t="s">
        <v>68</v>
      </c>
      <c r="C367" s="13" t="n">
        <v>373</v>
      </c>
      <c r="D367" s="13" t="s">
        <v>1628</v>
      </c>
      <c r="E367" s="13" t="s">
        <v>1633</v>
      </c>
      <c r="F367" s="13" t="s">
        <v>1630</v>
      </c>
      <c r="G367" s="13" t="s">
        <v>1618</v>
      </c>
      <c r="H367" s="13" t="s">
        <v>1627</v>
      </c>
      <c r="I367" s="13" t="s">
        <v>82</v>
      </c>
      <c r="J367" s="13" t="s">
        <v>83</v>
      </c>
      <c r="K367" s="13"/>
      <c r="L367" s="13" t="s">
        <v>1631</v>
      </c>
      <c r="M367" s="13" t="s">
        <v>1632</v>
      </c>
    </row>
    <row r="368" customFormat="false" ht="23.85" hidden="false" customHeight="false" outlineLevel="0" collapsed="false">
      <c r="A368" s="13" t="s">
        <v>3</v>
      </c>
      <c r="B368" s="13" t="s">
        <v>68</v>
      </c>
      <c r="C368" s="13" t="n">
        <v>373</v>
      </c>
      <c r="D368" s="13" t="s">
        <v>1634</v>
      </c>
      <c r="E368" s="13" t="s">
        <v>1635</v>
      </c>
      <c r="F368" s="13" t="s">
        <v>1636</v>
      </c>
      <c r="G368" s="13" t="s">
        <v>1613</v>
      </c>
      <c r="H368" s="13" t="s">
        <v>1623</v>
      </c>
      <c r="I368" s="13" t="s">
        <v>82</v>
      </c>
      <c r="J368" s="13" t="s">
        <v>83</v>
      </c>
      <c r="K368" s="13"/>
      <c r="L368" s="13" t="s">
        <v>1637</v>
      </c>
      <c r="M368" s="13" t="s">
        <v>1638</v>
      </c>
    </row>
    <row r="369" customFormat="false" ht="23.85" hidden="false" customHeight="false" outlineLevel="0" collapsed="false">
      <c r="A369" s="13" t="s">
        <v>3</v>
      </c>
      <c r="B369" s="13" t="s">
        <v>68</v>
      </c>
      <c r="C369" s="13" t="n">
        <v>373</v>
      </c>
      <c r="D369" s="13" t="s">
        <v>1634</v>
      </c>
      <c r="E369" s="13" t="s">
        <v>1639</v>
      </c>
      <c r="F369" s="13" t="s">
        <v>1636</v>
      </c>
      <c r="G369" s="13" t="s">
        <v>1618</v>
      </c>
      <c r="H369" s="13" t="s">
        <v>1627</v>
      </c>
      <c r="I369" s="13" t="s">
        <v>82</v>
      </c>
      <c r="J369" s="13" t="s">
        <v>83</v>
      </c>
      <c r="K369" s="13"/>
      <c r="L369" s="13" t="s">
        <v>1637</v>
      </c>
      <c r="M369" s="13" t="s">
        <v>1638</v>
      </c>
    </row>
    <row r="370" customFormat="false" ht="35.05" hidden="false" customHeight="false" outlineLevel="0" collapsed="false">
      <c r="A370" s="13" t="s">
        <v>3</v>
      </c>
      <c r="B370" s="13" t="s">
        <v>68</v>
      </c>
      <c r="C370" s="13" t="n">
        <v>373</v>
      </c>
      <c r="D370" s="13" t="s">
        <v>1640</v>
      </c>
      <c r="E370" s="13" t="s">
        <v>1641</v>
      </c>
      <c r="F370" s="13" t="s">
        <v>1642</v>
      </c>
      <c r="G370" s="13" t="s">
        <v>1613</v>
      </c>
      <c r="H370" s="13" t="s">
        <v>1643</v>
      </c>
      <c r="I370" s="13" t="s">
        <v>82</v>
      </c>
      <c r="J370" s="13" t="s">
        <v>83</v>
      </c>
      <c r="K370" s="13"/>
      <c r="L370" s="13" t="s">
        <v>1644</v>
      </c>
      <c r="M370" s="13" t="s">
        <v>1645</v>
      </c>
    </row>
    <row r="371" customFormat="false" ht="35.05" hidden="false" customHeight="false" outlineLevel="0" collapsed="false">
      <c r="A371" s="13" t="s">
        <v>3</v>
      </c>
      <c r="B371" s="13" t="s">
        <v>68</v>
      </c>
      <c r="C371" s="13" t="n">
        <v>373</v>
      </c>
      <c r="D371" s="13" t="s">
        <v>1640</v>
      </c>
      <c r="E371" s="13" t="s">
        <v>1646</v>
      </c>
      <c r="F371" s="13" t="s">
        <v>1642</v>
      </c>
      <c r="G371" s="13" t="s">
        <v>1618</v>
      </c>
      <c r="H371" s="13" t="s">
        <v>1627</v>
      </c>
      <c r="I371" s="13" t="s">
        <v>82</v>
      </c>
      <c r="J371" s="13" t="s">
        <v>83</v>
      </c>
      <c r="K371" s="13"/>
      <c r="L371" s="13" t="s">
        <v>1644</v>
      </c>
      <c r="M371" s="13" t="s">
        <v>1645</v>
      </c>
    </row>
    <row r="372" customFormat="false" ht="35.05" hidden="false" customHeight="false" outlineLevel="0" collapsed="false">
      <c r="A372" s="13" t="s">
        <v>3</v>
      </c>
      <c r="B372" s="13" t="s">
        <v>68</v>
      </c>
      <c r="C372" s="13" t="n">
        <v>373</v>
      </c>
      <c r="D372" s="13" t="s">
        <v>1647</v>
      </c>
      <c r="E372" s="13" t="s">
        <v>1648</v>
      </c>
      <c r="F372" s="13" t="s">
        <v>1649</v>
      </c>
      <c r="G372" s="13" t="s">
        <v>1613</v>
      </c>
      <c r="H372" s="13" t="s">
        <v>1643</v>
      </c>
      <c r="I372" s="13" t="s">
        <v>82</v>
      </c>
      <c r="J372" s="13" t="s">
        <v>83</v>
      </c>
      <c r="K372" s="13"/>
      <c r="L372" s="13" t="s">
        <v>1650</v>
      </c>
      <c r="M372" s="13" t="s">
        <v>1651</v>
      </c>
    </row>
    <row r="373" customFormat="false" ht="35.05" hidden="false" customHeight="false" outlineLevel="0" collapsed="false">
      <c r="A373" s="13" t="s">
        <v>3</v>
      </c>
      <c r="B373" s="13" t="s">
        <v>68</v>
      </c>
      <c r="C373" s="13" t="n">
        <v>373</v>
      </c>
      <c r="D373" s="13" t="s">
        <v>1647</v>
      </c>
      <c r="E373" s="13" t="s">
        <v>1652</v>
      </c>
      <c r="F373" s="13" t="s">
        <v>1649</v>
      </c>
      <c r="G373" s="13" t="s">
        <v>1618</v>
      </c>
      <c r="H373" s="13" t="s">
        <v>1627</v>
      </c>
      <c r="I373" s="13" t="s">
        <v>82</v>
      </c>
      <c r="J373" s="13" t="s">
        <v>83</v>
      </c>
      <c r="K373" s="13"/>
      <c r="L373" s="13" t="s">
        <v>1650</v>
      </c>
      <c r="M373" s="13" t="s">
        <v>1651</v>
      </c>
    </row>
    <row r="374" customFormat="false" ht="46.25" hidden="false" customHeight="false" outlineLevel="0" collapsed="false">
      <c r="A374" s="13" t="s">
        <v>3</v>
      </c>
      <c r="B374" s="13" t="s">
        <v>68</v>
      </c>
      <c r="C374" s="13" t="n">
        <v>373</v>
      </c>
      <c r="D374" s="13" t="s">
        <v>1653</v>
      </c>
      <c r="E374" s="13" t="s">
        <v>1654</v>
      </c>
      <c r="F374" s="13" t="s">
        <v>1655</v>
      </c>
      <c r="G374" s="13" t="s">
        <v>1613</v>
      </c>
      <c r="H374" s="13" t="s">
        <v>1656</v>
      </c>
      <c r="I374" s="13" t="s">
        <v>82</v>
      </c>
      <c r="J374" s="13" t="s">
        <v>83</v>
      </c>
      <c r="K374" s="13"/>
      <c r="L374" s="13" t="s">
        <v>1657</v>
      </c>
      <c r="M374" s="13" t="s">
        <v>1658</v>
      </c>
    </row>
    <row r="375" customFormat="false" ht="46.25" hidden="false" customHeight="false" outlineLevel="0" collapsed="false">
      <c r="A375" s="13" t="s">
        <v>3</v>
      </c>
      <c r="B375" s="13" t="s">
        <v>68</v>
      </c>
      <c r="C375" s="13" t="n">
        <v>373</v>
      </c>
      <c r="D375" s="13" t="s">
        <v>1653</v>
      </c>
      <c r="E375" s="13" t="s">
        <v>1659</v>
      </c>
      <c r="F375" s="13" t="s">
        <v>1655</v>
      </c>
      <c r="G375" s="13" t="s">
        <v>1618</v>
      </c>
      <c r="H375" s="13" t="s">
        <v>1660</v>
      </c>
      <c r="I375" s="13" t="s">
        <v>82</v>
      </c>
      <c r="J375" s="13" t="s">
        <v>83</v>
      </c>
      <c r="K375" s="13"/>
      <c r="L375" s="13" t="s">
        <v>1657</v>
      </c>
      <c r="M375" s="13" t="s">
        <v>1658</v>
      </c>
    </row>
    <row r="376" customFormat="false" ht="68.65" hidden="false" customHeight="false" outlineLevel="0" collapsed="false">
      <c r="A376" s="13" t="s">
        <v>3</v>
      </c>
      <c r="B376" s="13" t="s">
        <v>68</v>
      </c>
      <c r="C376" s="13" t="n">
        <v>373</v>
      </c>
      <c r="D376" s="13" t="s">
        <v>1661</v>
      </c>
      <c r="E376" s="13" t="s">
        <v>1662</v>
      </c>
      <c r="F376" s="13" t="s">
        <v>1663</v>
      </c>
      <c r="G376" s="13" t="s">
        <v>1664</v>
      </c>
      <c r="H376" s="13" t="s">
        <v>1665</v>
      </c>
      <c r="I376" s="13" t="s">
        <v>82</v>
      </c>
      <c r="J376" s="13" t="s">
        <v>83</v>
      </c>
      <c r="K376" s="13"/>
      <c r="L376" s="13" t="s">
        <v>1666</v>
      </c>
      <c r="M376" s="13" t="s">
        <v>1667</v>
      </c>
    </row>
    <row r="377" customFormat="false" ht="68.65" hidden="false" customHeight="false" outlineLevel="0" collapsed="false">
      <c r="A377" s="13" t="s">
        <v>3</v>
      </c>
      <c r="B377" s="13" t="s">
        <v>68</v>
      </c>
      <c r="C377" s="13" t="n">
        <v>373</v>
      </c>
      <c r="D377" s="13" t="s">
        <v>1661</v>
      </c>
      <c r="E377" s="13" t="s">
        <v>1668</v>
      </c>
      <c r="F377" s="13" t="s">
        <v>1663</v>
      </c>
      <c r="G377" s="13" t="s">
        <v>1669</v>
      </c>
      <c r="H377" s="13" t="s">
        <v>1670</v>
      </c>
      <c r="I377" s="13" t="s">
        <v>82</v>
      </c>
      <c r="J377" s="13" t="s">
        <v>83</v>
      </c>
      <c r="K377" s="13"/>
      <c r="L377" s="13" t="s">
        <v>1666</v>
      </c>
      <c r="M377" s="13" t="s">
        <v>1667</v>
      </c>
    </row>
    <row r="378" customFormat="false" ht="46.25" hidden="false" customHeight="false" outlineLevel="0" collapsed="false">
      <c r="A378" s="13" t="s">
        <v>3</v>
      </c>
      <c r="B378" s="13" t="s">
        <v>68</v>
      </c>
      <c r="C378" s="13" t="n">
        <v>373</v>
      </c>
      <c r="D378" s="13" t="s">
        <v>1671</v>
      </c>
      <c r="E378" s="13" t="s">
        <v>1672</v>
      </c>
      <c r="F378" s="13" t="s">
        <v>1673</v>
      </c>
      <c r="G378" s="13" t="s">
        <v>1674</v>
      </c>
      <c r="H378" s="13" t="s">
        <v>1675</v>
      </c>
      <c r="I378" s="13" t="s">
        <v>82</v>
      </c>
      <c r="J378" s="13" t="s">
        <v>83</v>
      </c>
      <c r="K378" s="13"/>
      <c r="L378" s="13" t="s">
        <v>1676</v>
      </c>
      <c r="M378" s="13" t="s">
        <v>1677</v>
      </c>
    </row>
    <row r="379" customFormat="false" ht="23.85" hidden="false" customHeight="false" outlineLevel="0" collapsed="false">
      <c r="A379" s="13" t="s">
        <v>3</v>
      </c>
      <c r="B379" s="13" t="s">
        <v>68</v>
      </c>
      <c r="C379" s="13" t="n">
        <v>373</v>
      </c>
      <c r="D379" s="13" t="s">
        <v>1678</v>
      </c>
      <c r="E379" s="13" t="s">
        <v>1679</v>
      </c>
      <c r="F379" s="13" t="s">
        <v>806</v>
      </c>
      <c r="G379" s="13" t="s">
        <v>1680</v>
      </c>
      <c r="H379" s="13" t="s">
        <v>1681</v>
      </c>
      <c r="I379" s="13" t="s">
        <v>82</v>
      </c>
      <c r="J379" s="13" t="s">
        <v>83</v>
      </c>
      <c r="K379" s="13"/>
      <c r="L379" s="13" t="s">
        <v>1682</v>
      </c>
      <c r="M379" s="13" t="s">
        <v>1683</v>
      </c>
    </row>
    <row r="380" customFormat="false" ht="23.85" hidden="false" customHeight="false" outlineLevel="0" collapsed="false">
      <c r="A380" s="13" t="s">
        <v>3</v>
      </c>
      <c r="B380" s="13" t="s">
        <v>68</v>
      </c>
      <c r="C380" s="13" t="n">
        <v>373</v>
      </c>
      <c r="D380" s="13" t="s">
        <v>1678</v>
      </c>
      <c r="E380" s="13" t="s">
        <v>1684</v>
      </c>
      <c r="F380" s="13" t="s">
        <v>1681</v>
      </c>
      <c r="G380" s="13" t="s">
        <v>1685</v>
      </c>
      <c r="H380" s="13" t="s">
        <v>1686</v>
      </c>
      <c r="I380" s="13" t="s">
        <v>82</v>
      </c>
      <c r="J380" s="13" t="s">
        <v>83</v>
      </c>
      <c r="K380" s="13"/>
      <c r="L380" s="13" t="s">
        <v>1682</v>
      </c>
      <c r="M380" s="13" t="s">
        <v>1683</v>
      </c>
    </row>
    <row r="381" customFormat="false" ht="79.85" hidden="false" customHeight="false" outlineLevel="0" collapsed="false">
      <c r="A381" s="13" t="s">
        <v>3</v>
      </c>
      <c r="B381" s="13" t="s">
        <v>68</v>
      </c>
      <c r="C381" s="13" t="n">
        <v>373</v>
      </c>
      <c r="D381" s="13" t="s">
        <v>1687</v>
      </c>
      <c r="E381" s="13" t="s">
        <v>1688</v>
      </c>
      <c r="F381" s="13" t="s">
        <v>806</v>
      </c>
      <c r="G381" s="13" t="s">
        <v>1689</v>
      </c>
      <c r="H381" s="13" t="s">
        <v>1690</v>
      </c>
      <c r="I381" s="13" t="s">
        <v>82</v>
      </c>
      <c r="J381" s="13" t="s">
        <v>83</v>
      </c>
      <c r="K381" s="13"/>
      <c r="L381" s="13" t="s">
        <v>1691</v>
      </c>
      <c r="M381" s="13" t="s">
        <v>1692</v>
      </c>
    </row>
    <row r="382" customFormat="false" ht="79.85" hidden="false" customHeight="false" outlineLevel="0" collapsed="false">
      <c r="A382" s="13" t="s">
        <v>3</v>
      </c>
      <c r="B382" s="13" t="s">
        <v>68</v>
      </c>
      <c r="C382" s="13" t="n">
        <v>373</v>
      </c>
      <c r="D382" s="13" t="s">
        <v>1687</v>
      </c>
      <c r="E382" s="13" t="s">
        <v>1693</v>
      </c>
      <c r="F382" s="13" t="s">
        <v>806</v>
      </c>
      <c r="G382" s="13" t="s">
        <v>1694</v>
      </c>
      <c r="H382" s="13" t="s">
        <v>1695</v>
      </c>
      <c r="I382" s="13" t="s">
        <v>82</v>
      </c>
      <c r="J382" s="13" t="s">
        <v>83</v>
      </c>
      <c r="K382" s="13"/>
      <c r="L382" s="13" t="s">
        <v>1691</v>
      </c>
      <c r="M382" s="13" t="s">
        <v>1692</v>
      </c>
    </row>
    <row r="383" customFormat="false" ht="79.85" hidden="false" customHeight="false" outlineLevel="0" collapsed="false">
      <c r="A383" s="13" t="s">
        <v>3</v>
      </c>
      <c r="B383" s="13" t="s">
        <v>68</v>
      </c>
      <c r="C383" s="13" t="n">
        <v>373</v>
      </c>
      <c r="D383" s="13" t="s">
        <v>1687</v>
      </c>
      <c r="E383" s="13" t="s">
        <v>1696</v>
      </c>
      <c r="F383" s="13" t="s">
        <v>806</v>
      </c>
      <c r="G383" s="13" t="s">
        <v>1697</v>
      </c>
      <c r="H383" s="13" t="s">
        <v>1698</v>
      </c>
      <c r="I383" s="13" t="s">
        <v>82</v>
      </c>
      <c r="J383" s="13" t="s">
        <v>83</v>
      </c>
      <c r="K383" s="13"/>
      <c r="L383" s="13" t="s">
        <v>1691</v>
      </c>
      <c r="M383" s="13" t="s">
        <v>1692</v>
      </c>
    </row>
    <row r="384" customFormat="false" ht="23.85" hidden="false" customHeight="false" outlineLevel="0" collapsed="false">
      <c r="A384" s="13" t="s">
        <v>3</v>
      </c>
      <c r="B384" s="13" t="s">
        <v>68</v>
      </c>
      <c r="C384" s="13" t="n">
        <v>385</v>
      </c>
      <c r="D384" s="13" t="s">
        <v>1699</v>
      </c>
      <c r="E384" s="13" t="s">
        <v>1700</v>
      </c>
      <c r="F384" s="13" t="s">
        <v>1701</v>
      </c>
      <c r="G384" s="13" t="s">
        <v>1702</v>
      </c>
      <c r="H384" s="13" t="s">
        <v>1703</v>
      </c>
      <c r="I384" s="13" t="s">
        <v>82</v>
      </c>
      <c r="J384" s="13" t="s">
        <v>83</v>
      </c>
      <c r="K384" s="13"/>
      <c r="L384" s="13" t="s">
        <v>1704</v>
      </c>
      <c r="M384" s="13" t="s">
        <v>1705</v>
      </c>
    </row>
    <row r="385" customFormat="false" ht="23.85" hidden="false" customHeight="false" outlineLevel="0" collapsed="false">
      <c r="A385" s="13" t="s">
        <v>3</v>
      </c>
      <c r="B385" s="13" t="s">
        <v>68</v>
      </c>
      <c r="C385" s="13" t="n">
        <v>385</v>
      </c>
      <c r="D385" s="13" t="s">
        <v>1699</v>
      </c>
      <c r="E385" s="13" t="s">
        <v>1706</v>
      </c>
      <c r="F385" s="13" t="s">
        <v>1701</v>
      </c>
      <c r="G385" s="13" t="s">
        <v>1702</v>
      </c>
      <c r="H385" s="13" t="s">
        <v>1707</v>
      </c>
      <c r="I385" s="13" t="s">
        <v>82</v>
      </c>
      <c r="J385" s="13" t="s">
        <v>83</v>
      </c>
      <c r="K385" s="13"/>
      <c r="L385" s="13" t="s">
        <v>1704</v>
      </c>
      <c r="M385" s="13" t="s">
        <v>1705</v>
      </c>
    </row>
    <row r="386" customFormat="false" ht="23.85" hidden="false" customHeight="false" outlineLevel="0" collapsed="false">
      <c r="A386" s="13" t="s">
        <v>3</v>
      </c>
      <c r="B386" s="13" t="s">
        <v>68</v>
      </c>
      <c r="C386" s="13" t="n">
        <v>385</v>
      </c>
      <c r="D386" s="13" t="s">
        <v>1708</v>
      </c>
      <c r="E386" s="13" t="s">
        <v>1709</v>
      </c>
      <c r="F386" s="13" t="s">
        <v>1701</v>
      </c>
      <c r="G386" s="13" t="s">
        <v>1710</v>
      </c>
      <c r="H386" s="13" t="s">
        <v>1711</v>
      </c>
      <c r="I386" s="13" t="s">
        <v>82</v>
      </c>
      <c r="J386" s="13" t="s">
        <v>83</v>
      </c>
      <c r="K386" s="13"/>
      <c r="L386" s="13" t="s">
        <v>1712</v>
      </c>
      <c r="M386" s="13" t="s">
        <v>1713</v>
      </c>
    </row>
    <row r="387" customFormat="false" ht="23.85" hidden="false" customHeight="false" outlineLevel="0" collapsed="false">
      <c r="A387" s="13" t="s">
        <v>3</v>
      </c>
      <c r="B387" s="13" t="s">
        <v>68</v>
      </c>
      <c r="C387" s="13" t="n">
        <v>385</v>
      </c>
      <c r="D387" s="13" t="s">
        <v>1708</v>
      </c>
      <c r="E387" s="13" t="s">
        <v>1714</v>
      </c>
      <c r="F387" s="13" t="s">
        <v>1701</v>
      </c>
      <c r="G387" s="13" t="s">
        <v>1710</v>
      </c>
      <c r="H387" s="13" t="s">
        <v>1715</v>
      </c>
      <c r="I387" s="13" t="s">
        <v>82</v>
      </c>
      <c r="J387" s="13" t="s">
        <v>83</v>
      </c>
      <c r="K387" s="13"/>
      <c r="L387" s="13" t="s">
        <v>1712</v>
      </c>
      <c r="M387" s="13" t="s">
        <v>1713</v>
      </c>
    </row>
    <row r="388" customFormat="false" ht="23.85" hidden="false" customHeight="false" outlineLevel="0" collapsed="false">
      <c r="A388" s="13" t="s">
        <v>3</v>
      </c>
      <c r="B388" s="13" t="s">
        <v>68</v>
      </c>
      <c r="C388" s="13" t="n">
        <v>385</v>
      </c>
      <c r="D388" s="13" t="s">
        <v>1716</v>
      </c>
      <c r="E388" s="13" t="s">
        <v>1717</v>
      </c>
      <c r="F388" s="13" t="s">
        <v>1701</v>
      </c>
      <c r="G388" s="13" t="s">
        <v>1718</v>
      </c>
      <c r="H388" s="13" t="s">
        <v>1719</v>
      </c>
      <c r="I388" s="13" t="s">
        <v>82</v>
      </c>
      <c r="J388" s="13" t="s">
        <v>83</v>
      </c>
      <c r="K388" s="13"/>
      <c r="L388" s="13" t="s">
        <v>1720</v>
      </c>
      <c r="M388" s="13" t="s">
        <v>1721</v>
      </c>
    </row>
    <row r="389" customFormat="false" ht="35.05" hidden="false" customHeight="false" outlineLevel="0" collapsed="false">
      <c r="A389" s="13" t="s">
        <v>3</v>
      </c>
      <c r="B389" s="13" t="s">
        <v>68</v>
      </c>
      <c r="C389" s="13" t="n">
        <v>385</v>
      </c>
      <c r="D389" s="13" t="s">
        <v>1722</v>
      </c>
      <c r="E389" s="13" t="s">
        <v>1723</v>
      </c>
      <c r="F389" s="13" t="s">
        <v>1701</v>
      </c>
      <c r="G389" s="13" t="s">
        <v>1724</v>
      </c>
      <c r="H389" s="13" t="s">
        <v>1725</v>
      </c>
      <c r="I389" s="13" t="s">
        <v>82</v>
      </c>
      <c r="J389" s="13" t="s">
        <v>83</v>
      </c>
      <c r="K389" s="13"/>
      <c r="L389" s="13" t="s">
        <v>1726</v>
      </c>
      <c r="M389" s="13" t="s">
        <v>1727</v>
      </c>
    </row>
    <row r="390" customFormat="false" ht="35.05" hidden="false" customHeight="false" outlineLevel="0" collapsed="false">
      <c r="A390" s="13" t="s">
        <v>3</v>
      </c>
      <c r="B390" s="13" t="s">
        <v>68</v>
      </c>
      <c r="C390" s="13" t="n">
        <v>385</v>
      </c>
      <c r="D390" s="13" t="s">
        <v>1722</v>
      </c>
      <c r="E390" s="13" t="s">
        <v>1728</v>
      </c>
      <c r="F390" s="13" t="s">
        <v>1701</v>
      </c>
      <c r="G390" s="13" t="s">
        <v>1724</v>
      </c>
      <c r="H390" s="13" t="s">
        <v>1729</v>
      </c>
      <c r="I390" s="13" t="s">
        <v>82</v>
      </c>
      <c r="J390" s="13" t="s">
        <v>83</v>
      </c>
      <c r="K390" s="13"/>
      <c r="L390" s="13" t="s">
        <v>1726</v>
      </c>
      <c r="M390" s="13" t="s">
        <v>1727</v>
      </c>
    </row>
    <row r="391" customFormat="false" ht="35.05" hidden="false" customHeight="false" outlineLevel="0" collapsed="false">
      <c r="A391" s="13" t="s">
        <v>3</v>
      </c>
      <c r="B391" s="13" t="s">
        <v>68</v>
      </c>
      <c r="C391" s="13" t="n">
        <v>385</v>
      </c>
      <c r="D391" s="13" t="s">
        <v>1722</v>
      </c>
      <c r="E391" s="13" t="s">
        <v>1730</v>
      </c>
      <c r="F391" s="13" t="s">
        <v>1701</v>
      </c>
      <c r="G391" s="13" t="s">
        <v>1724</v>
      </c>
      <c r="H391" s="13" t="s">
        <v>1731</v>
      </c>
      <c r="I391" s="13" t="s">
        <v>82</v>
      </c>
      <c r="J391" s="13" t="s">
        <v>83</v>
      </c>
      <c r="K391" s="13"/>
      <c r="L391" s="13" t="s">
        <v>1726</v>
      </c>
      <c r="M391" s="13" t="s">
        <v>1727</v>
      </c>
    </row>
    <row r="392" customFormat="false" ht="35.05" hidden="false" customHeight="false" outlineLevel="0" collapsed="false">
      <c r="A392" s="13" t="s">
        <v>3</v>
      </c>
      <c r="B392" s="13" t="s">
        <v>68</v>
      </c>
      <c r="C392" s="13" t="n">
        <v>385</v>
      </c>
      <c r="D392" s="13" t="s">
        <v>1722</v>
      </c>
      <c r="E392" s="13" t="s">
        <v>1732</v>
      </c>
      <c r="F392" s="13" t="s">
        <v>1701</v>
      </c>
      <c r="G392" s="13" t="s">
        <v>1724</v>
      </c>
      <c r="H392" s="13" t="s">
        <v>1733</v>
      </c>
      <c r="I392" s="13" t="s">
        <v>82</v>
      </c>
      <c r="J392" s="13" t="s">
        <v>83</v>
      </c>
      <c r="K392" s="13"/>
      <c r="L392" s="13" t="s">
        <v>1726</v>
      </c>
      <c r="M392" s="13" t="s">
        <v>1727</v>
      </c>
    </row>
    <row r="393" customFormat="false" ht="91" hidden="false" customHeight="false" outlineLevel="0" collapsed="false">
      <c r="A393" s="13" t="s">
        <v>3</v>
      </c>
      <c r="B393" s="13" t="s">
        <v>68</v>
      </c>
      <c r="C393" s="13" t="n">
        <v>385</v>
      </c>
      <c r="D393" s="13" t="s">
        <v>1734</v>
      </c>
      <c r="E393" s="13" t="s">
        <v>1735</v>
      </c>
      <c r="F393" s="13" t="s">
        <v>1701</v>
      </c>
      <c r="G393" s="13" t="s">
        <v>196</v>
      </c>
      <c r="H393" s="13" t="s">
        <v>1736</v>
      </c>
      <c r="I393" s="13" t="s">
        <v>82</v>
      </c>
      <c r="J393" s="13" t="s">
        <v>83</v>
      </c>
      <c r="K393" s="13"/>
      <c r="L393" s="13" t="s">
        <v>1737</v>
      </c>
      <c r="M393" s="13" t="s">
        <v>1738</v>
      </c>
    </row>
    <row r="394" customFormat="false" ht="91" hidden="false" customHeight="false" outlineLevel="0" collapsed="false">
      <c r="A394" s="13" t="s">
        <v>3</v>
      </c>
      <c r="B394" s="13" t="s">
        <v>68</v>
      </c>
      <c r="C394" s="13" t="n">
        <v>385</v>
      </c>
      <c r="D394" s="13" t="s">
        <v>1734</v>
      </c>
      <c r="E394" s="13" t="s">
        <v>1739</v>
      </c>
      <c r="F394" s="13" t="s">
        <v>1736</v>
      </c>
      <c r="G394" s="13" t="s">
        <v>1740</v>
      </c>
      <c r="H394" s="13" t="s">
        <v>1741</v>
      </c>
      <c r="I394" s="13" t="s">
        <v>82</v>
      </c>
      <c r="J394" s="13" t="s">
        <v>83</v>
      </c>
      <c r="K394" s="13"/>
      <c r="L394" s="13" t="s">
        <v>1737</v>
      </c>
      <c r="M394" s="13" t="s">
        <v>1738</v>
      </c>
    </row>
    <row r="395" customFormat="false" ht="91" hidden="false" customHeight="false" outlineLevel="0" collapsed="false">
      <c r="A395" s="13" t="s">
        <v>3</v>
      </c>
      <c r="B395" s="13" t="s">
        <v>68</v>
      </c>
      <c r="C395" s="13" t="n">
        <v>385</v>
      </c>
      <c r="D395" s="13" t="s">
        <v>1734</v>
      </c>
      <c r="E395" s="13" t="s">
        <v>1742</v>
      </c>
      <c r="F395" s="13" t="s">
        <v>1701</v>
      </c>
      <c r="G395" s="13" t="s">
        <v>1743</v>
      </c>
      <c r="H395" s="13" t="s">
        <v>1744</v>
      </c>
      <c r="I395" s="13" t="s">
        <v>82</v>
      </c>
      <c r="J395" s="13" t="s">
        <v>83</v>
      </c>
      <c r="K395" s="13"/>
      <c r="L395" s="13" t="s">
        <v>1737</v>
      </c>
      <c r="M395" s="13" t="s">
        <v>1738</v>
      </c>
    </row>
    <row r="396" customFormat="false" ht="46.25" hidden="false" customHeight="false" outlineLevel="0" collapsed="false">
      <c r="A396" s="13" t="s">
        <v>3</v>
      </c>
      <c r="B396" s="13" t="s">
        <v>68</v>
      </c>
      <c r="C396" s="13" t="n">
        <v>385</v>
      </c>
      <c r="D396" s="13" t="s">
        <v>1745</v>
      </c>
      <c r="E396" s="13" t="s">
        <v>1746</v>
      </c>
      <c r="F396" s="13" t="s">
        <v>1701</v>
      </c>
      <c r="G396" s="13" t="s">
        <v>1747</v>
      </c>
      <c r="H396" s="13" t="s">
        <v>1748</v>
      </c>
      <c r="I396" s="13" t="s">
        <v>82</v>
      </c>
      <c r="J396" s="13" t="s">
        <v>83</v>
      </c>
      <c r="K396" s="13"/>
      <c r="L396" s="13" t="s">
        <v>1749</v>
      </c>
      <c r="M396" s="13" t="s">
        <v>1750</v>
      </c>
    </row>
    <row r="397" customFormat="false" ht="46.25" hidden="false" customHeight="false" outlineLevel="0" collapsed="false">
      <c r="A397" s="13" t="s">
        <v>3</v>
      </c>
      <c r="B397" s="13" t="s">
        <v>68</v>
      </c>
      <c r="C397" s="13" t="n">
        <v>385</v>
      </c>
      <c r="D397" s="13" t="s">
        <v>1745</v>
      </c>
      <c r="E397" s="13" t="s">
        <v>1751</v>
      </c>
      <c r="F397" s="13" t="s">
        <v>1701</v>
      </c>
      <c r="G397" s="13" t="s">
        <v>1752</v>
      </c>
      <c r="H397" s="13" t="s">
        <v>1753</v>
      </c>
      <c r="I397" s="13" t="s">
        <v>82</v>
      </c>
      <c r="J397" s="13" t="s">
        <v>83</v>
      </c>
      <c r="K397" s="13"/>
      <c r="L397" s="13" t="s">
        <v>1749</v>
      </c>
      <c r="M397" s="13" t="s">
        <v>1750</v>
      </c>
    </row>
    <row r="398" customFormat="false" ht="23.85" hidden="false" customHeight="false" outlineLevel="0" collapsed="false">
      <c r="A398" s="13" t="s">
        <v>3</v>
      </c>
      <c r="B398" s="13" t="s">
        <v>68</v>
      </c>
      <c r="C398" s="13" t="n">
        <v>385</v>
      </c>
      <c r="D398" s="13" t="s">
        <v>1754</v>
      </c>
      <c r="E398" s="13" t="s">
        <v>1755</v>
      </c>
      <c r="F398" s="13" t="s">
        <v>1701</v>
      </c>
      <c r="G398" s="13" t="s">
        <v>1556</v>
      </c>
      <c r="H398" s="13" t="s">
        <v>982</v>
      </c>
      <c r="I398" s="13" t="s">
        <v>82</v>
      </c>
      <c r="J398" s="13" t="s">
        <v>83</v>
      </c>
      <c r="K398" s="13"/>
      <c r="L398" s="13" t="s">
        <v>1756</v>
      </c>
      <c r="M398" s="13" t="s">
        <v>1757</v>
      </c>
    </row>
    <row r="399" customFormat="false" ht="23.85" hidden="false" customHeight="false" outlineLevel="0" collapsed="false">
      <c r="A399" s="13" t="s">
        <v>3</v>
      </c>
      <c r="B399" s="13" t="s">
        <v>68</v>
      </c>
      <c r="C399" s="13" t="n">
        <v>385</v>
      </c>
      <c r="D399" s="13" t="s">
        <v>1754</v>
      </c>
      <c r="E399" s="13" t="s">
        <v>1758</v>
      </c>
      <c r="F399" s="13" t="s">
        <v>982</v>
      </c>
      <c r="G399" s="13" t="s">
        <v>1759</v>
      </c>
      <c r="H399" s="13" t="s">
        <v>1760</v>
      </c>
      <c r="I399" s="13" t="s">
        <v>82</v>
      </c>
      <c r="J399" s="13" t="s">
        <v>83</v>
      </c>
      <c r="K399" s="13"/>
      <c r="L399" s="13" t="s">
        <v>1756</v>
      </c>
      <c r="M399" s="13" t="s">
        <v>1757</v>
      </c>
    </row>
    <row r="400" customFormat="false" ht="23.85" hidden="false" customHeight="false" outlineLevel="0" collapsed="false">
      <c r="A400" s="13" t="s">
        <v>3</v>
      </c>
      <c r="B400" s="13" t="s">
        <v>68</v>
      </c>
      <c r="C400" s="13" t="n">
        <v>385</v>
      </c>
      <c r="D400" s="13" t="s">
        <v>1761</v>
      </c>
      <c r="E400" s="13" t="s">
        <v>1762</v>
      </c>
      <c r="F400" s="13" t="s">
        <v>1701</v>
      </c>
      <c r="G400" s="13" t="s">
        <v>1556</v>
      </c>
      <c r="H400" s="13" t="s">
        <v>1763</v>
      </c>
      <c r="I400" s="13" t="s">
        <v>82</v>
      </c>
      <c r="J400" s="13" t="s">
        <v>83</v>
      </c>
      <c r="K400" s="13"/>
      <c r="L400" s="13" t="s">
        <v>1764</v>
      </c>
      <c r="M400" s="13" t="s">
        <v>1765</v>
      </c>
    </row>
    <row r="401" customFormat="false" ht="23.85" hidden="false" customHeight="false" outlineLevel="0" collapsed="false">
      <c r="A401" s="13" t="s">
        <v>3</v>
      </c>
      <c r="B401" s="13" t="s">
        <v>68</v>
      </c>
      <c r="C401" s="13" t="n">
        <v>385</v>
      </c>
      <c r="D401" s="13" t="s">
        <v>1761</v>
      </c>
      <c r="E401" s="13" t="s">
        <v>1766</v>
      </c>
      <c r="F401" s="13" t="s">
        <v>1763</v>
      </c>
      <c r="G401" s="13" t="s">
        <v>1759</v>
      </c>
      <c r="H401" s="13" t="s">
        <v>1767</v>
      </c>
      <c r="I401" s="13" t="s">
        <v>82</v>
      </c>
      <c r="J401" s="13" t="s">
        <v>83</v>
      </c>
      <c r="K401" s="13"/>
      <c r="L401" s="13" t="s">
        <v>1764</v>
      </c>
      <c r="M401" s="13" t="s">
        <v>1765</v>
      </c>
    </row>
    <row r="402" customFormat="false" ht="23.85" hidden="false" customHeight="false" outlineLevel="0" collapsed="false">
      <c r="A402" s="13" t="s">
        <v>3</v>
      </c>
      <c r="B402" s="13" t="s">
        <v>68</v>
      </c>
      <c r="C402" s="13" t="n">
        <v>385</v>
      </c>
      <c r="D402" s="13" t="s">
        <v>1768</v>
      </c>
      <c r="E402" s="13" t="s">
        <v>1769</v>
      </c>
      <c r="F402" s="13" t="s">
        <v>1701</v>
      </c>
      <c r="G402" s="13" t="s">
        <v>1556</v>
      </c>
      <c r="H402" s="13" t="s">
        <v>1770</v>
      </c>
      <c r="I402" s="13" t="s">
        <v>82</v>
      </c>
      <c r="J402" s="13" t="s">
        <v>83</v>
      </c>
      <c r="K402" s="13"/>
      <c r="L402" s="13" t="s">
        <v>1771</v>
      </c>
      <c r="M402" s="13" t="s">
        <v>1772</v>
      </c>
    </row>
    <row r="403" customFormat="false" ht="23.85" hidden="false" customHeight="false" outlineLevel="0" collapsed="false">
      <c r="A403" s="13" t="s">
        <v>3</v>
      </c>
      <c r="B403" s="13" t="s">
        <v>68</v>
      </c>
      <c r="C403" s="13" t="n">
        <v>385</v>
      </c>
      <c r="D403" s="13" t="s">
        <v>1768</v>
      </c>
      <c r="E403" s="13" t="s">
        <v>1773</v>
      </c>
      <c r="F403" s="13" t="s">
        <v>1770</v>
      </c>
      <c r="G403" s="13" t="s">
        <v>1759</v>
      </c>
      <c r="H403" s="13" t="s">
        <v>1774</v>
      </c>
      <c r="I403" s="13" t="s">
        <v>82</v>
      </c>
      <c r="J403" s="13" t="s">
        <v>83</v>
      </c>
      <c r="K403" s="13"/>
      <c r="L403" s="13" t="s">
        <v>1771</v>
      </c>
      <c r="M403" s="13" t="s">
        <v>1772</v>
      </c>
    </row>
    <row r="404" customFormat="false" ht="23.85" hidden="false" customHeight="false" outlineLevel="0" collapsed="false">
      <c r="A404" s="13" t="s">
        <v>3</v>
      </c>
      <c r="B404" s="13" t="s">
        <v>68</v>
      </c>
      <c r="C404" s="13" t="n">
        <v>385</v>
      </c>
      <c r="D404" s="13" t="s">
        <v>1775</v>
      </c>
      <c r="E404" s="13" t="s">
        <v>1776</v>
      </c>
      <c r="F404" s="13" t="s">
        <v>1701</v>
      </c>
      <c r="G404" s="13" t="s">
        <v>1777</v>
      </c>
      <c r="H404" s="13" t="s">
        <v>1778</v>
      </c>
      <c r="I404" s="13" t="s">
        <v>82</v>
      </c>
      <c r="J404" s="13" t="s">
        <v>83</v>
      </c>
      <c r="K404" s="13"/>
      <c r="L404" s="13" t="s">
        <v>1779</v>
      </c>
      <c r="M404" s="13" t="s">
        <v>1780</v>
      </c>
    </row>
    <row r="405" customFormat="false" ht="46.25" hidden="false" customHeight="false" outlineLevel="0" collapsed="false">
      <c r="A405" s="13" t="s">
        <v>3</v>
      </c>
      <c r="B405" s="13" t="s">
        <v>68</v>
      </c>
      <c r="C405" s="13" t="n">
        <v>385</v>
      </c>
      <c r="D405" s="13" t="s">
        <v>1781</v>
      </c>
      <c r="E405" s="13" t="s">
        <v>1782</v>
      </c>
      <c r="F405" s="13" t="s">
        <v>1701</v>
      </c>
      <c r="G405" s="13" t="s">
        <v>1783</v>
      </c>
      <c r="H405" s="13" t="s">
        <v>1784</v>
      </c>
      <c r="I405" s="13" t="s">
        <v>82</v>
      </c>
      <c r="J405" s="13" t="s">
        <v>83</v>
      </c>
      <c r="K405" s="13"/>
      <c r="L405" s="13" t="s">
        <v>1785</v>
      </c>
      <c r="M405" s="13" t="s">
        <v>1786</v>
      </c>
    </row>
    <row r="406" customFormat="false" ht="46.25" hidden="false" customHeight="false" outlineLevel="0" collapsed="false">
      <c r="A406" s="13" t="s">
        <v>3</v>
      </c>
      <c r="B406" s="13" t="s">
        <v>68</v>
      </c>
      <c r="C406" s="13" t="n">
        <v>385</v>
      </c>
      <c r="D406" s="13" t="s">
        <v>1781</v>
      </c>
      <c r="E406" s="13" t="s">
        <v>1787</v>
      </c>
      <c r="F406" s="13" t="s">
        <v>1784</v>
      </c>
      <c r="G406" s="13" t="s">
        <v>1788</v>
      </c>
      <c r="H406" s="13" t="s">
        <v>1789</v>
      </c>
      <c r="I406" s="13" t="s">
        <v>82</v>
      </c>
      <c r="J406" s="13" t="s">
        <v>83</v>
      </c>
      <c r="K406" s="13"/>
      <c r="L406" s="13" t="s">
        <v>1785</v>
      </c>
      <c r="M406" s="13" t="s">
        <v>1786</v>
      </c>
    </row>
    <row r="407" customFormat="false" ht="79.85" hidden="false" customHeight="false" outlineLevel="0" collapsed="false">
      <c r="A407" s="13" t="s">
        <v>3</v>
      </c>
      <c r="B407" s="13" t="s">
        <v>68</v>
      </c>
      <c r="C407" s="13" t="n">
        <v>385</v>
      </c>
      <c r="D407" s="13" t="s">
        <v>1790</v>
      </c>
      <c r="E407" s="13" t="s">
        <v>1791</v>
      </c>
      <c r="F407" s="13" t="s">
        <v>1701</v>
      </c>
      <c r="G407" s="13" t="s">
        <v>1792</v>
      </c>
      <c r="H407" s="13" t="s">
        <v>1793</v>
      </c>
      <c r="I407" s="13" t="s">
        <v>82</v>
      </c>
      <c r="J407" s="13" t="s">
        <v>83</v>
      </c>
      <c r="K407" s="13"/>
      <c r="L407" s="13" t="s">
        <v>1794</v>
      </c>
      <c r="M407" s="13" t="s">
        <v>1795</v>
      </c>
    </row>
    <row r="408" customFormat="false" ht="79.85" hidden="false" customHeight="false" outlineLevel="0" collapsed="false">
      <c r="A408" s="13" t="s">
        <v>3</v>
      </c>
      <c r="B408" s="13" t="s">
        <v>68</v>
      </c>
      <c r="C408" s="13" t="n">
        <v>385</v>
      </c>
      <c r="D408" s="13" t="s">
        <v>1790</v>
      </c>
      <c r="E408" s="13" t="s">
        <v>1796</v>
      </c>
      <c r="F408" s="13" t="s">
        <v>1701</v>
      </c>
      <c r="G408" s="13" t="s">
        <v>1797</v>
      </c>
      <c r="H408" s="13" t="s">
        <v>1798</v>
      </c>
      <c r="I408" s="13" t="s">
        <v>114</v>
      </c>
      <c r="J408" s="13" t="s">
        <v>1799</v>
      </c>
      <c r="K408" s="13" t="s">
        <v>1800</v>
      </c>
      <c r="L408" s="13" t="s">
        <v>1794</v>
      </c>
      <c r="M408" s="13" t="s">
        <v>1795</v>
      </c>
    </row>
    <row r="409" customFormat="false" ht="23.85" hidden="false" customHeight="false" outlineLevel="0" collapsed="false">
      <c r="A409" s="13" t="s">
        <v>3</v>
      </c>
      <c r="B409" s="13" t="s">
        <v>68</v>
      </c>
      <c r="C409" s="13" t="n">
        <v>385</v>
      </c>
      <c r="D409" s="13" t="s">
        <v>1801</v>
      </c>
      <c r="E409" s="13" t="s">
        <v>1802</v>
      </c>
      <c r="F409" s="13" t="s">
        <v>1701</v>
      </c>
      <c r="G409" s="13" t="s">
        <v>1803</v>
      </c>
      <c r="H409" s="13" t="s">
        <v>1804</v>
      </c>
      <c r="I409" s="13" t="s">
        <v>82</v>
      </c>
      <c r="J409" s="13" t="s">
        <v>83</v>
      </c>
      <c r="K409" s="13"/>
      <c r="L409" s="13" t="s">
        <v>1805</v>
      </c>
      <c r="M409" s="13" t="s">
        <v>1806</v>
      </c>
    </row>
    <row r="410" customFormat="false" ht="91" hidden="false" customHeight="false" outlineLevel="0" collapsed="false">
      <c r="A410" s="13" t="s">
        <v>3</v>
      </c>
      <c r="B410" s="13" t="s">
        <v>68</v>
      </c>
      <c r="C410" s="13" t="n">
        <v>385</v>
      </c>
      <c r="D410" s="13" t="s">
        <v>1807</v>
      </c>
      <c r="E410" s="13" t="s">
        <v>1808</v>
      </c>
      <c r="F410" s="13" t="s">
        <v>1701</v>
      </c>
      <c r="G410" s="13" t="s">
        <v>1809</v>
      </c>
      <c r="H410" s="13" t="s">
        <v>1763</v>
      </c>
      <c r="I410" s="13" t="s">
        <v>82</v>
      </c>
      <c r="J410" s="13" t="s">
        <v>83</v>
      </c>
      <c r="K410" s="13"/>
      <c r="L410" s="13" t="s">
        <v>1810</v>
      </c>
      <c r="M410" s="13" t="s">
        <v>1811</v>
      </c>
    </row>
    <row r="411" customFormat="false" ht="91" hidden="false" customHeight="false" outlineLevel="0" collapsed="false">
      <c r="A411" s="13" t="s">
        <v>3</v>
      </c>
      <c r="B411" s="13" t="s">
        <v>68</v>
      </c>
      <c r="C411" s="13" t="n">
        <v>385</v>
      </c>
      <c r="D411" s="13" t="s">
        <v>1807</v>
      </c>
      <c r="E411" s="13" t="s">
        <v>1812</v>
      </c>
      <c r="F411" s="13" t="s">
        <v>1701</v>
      </c>
      <c r="G411" s="13" t="s">
        <v>1813</v>
      </c>
      <c r="H411" s="13" t="s">
        <v>1774</v>
      </c>
      <c r="I411" s="13" t="s">
        <v>82</v>
      </c>
      <c r="J411" s="13" t="s">
        <v>83</v>
      </c>
      <c r="K411" s="13"/>
      <c r="L411" s="13" t="s">
        <v>1810</v>
      </c>
      <c r="M411" s="13" t="s">
        <v>1811</v>
      </c>
    </row>
    <row r="412" customFormat="false" ht="91" hidden="false" customHeight="false" outlineLevel="0" collapsed="false">
      <c r="A412" s="13" t="s">
        <v>3</v>
      </c>
      <c r="B412" s="13" t="s">
        <v>68</v>
      </c>
      <c r="C412" s="13" t="n">
        <v>385</v>
      </c>
      <c r="D412" s="13" t="s">
        <v>1807</v>
      </c>
      <c r="E412" s="13" t="s">
        <v>1814</v>
      </c>
      <c r="F412" s="13" t="s">
        <v>1701</v>
      </c>
      <c r="G412" s="13" t="s">
        <v>1815</v>
      </c>
      <c r="H412" s="13" t="s">
        <v>1816</v>
      </c>
      <c r="I412" s="13" t="s">
        <v>82</v>
      </c>
      <c r="J412" s="13" t="s">
        <v>83</v>
      </c>
      <c r="K412" s="13"/>
      <c r="L412" s="13" t="s">
        <v>1810</v>
      </c>
      <c r="M412" s="13" t="s">
        <v>1811</v>
      </c>
    </row>
    <row r="413" customFormat="false" ht="91" hidden="false" customHeight="false" outlineLevel="0" collapsed="false">
      <c r="A413" s="13" t="s">
        <v>3</v>
      </c>
      <c r="B413" s="13" t="s">
        <v>68</v>
      </c>
      <c r="C413" s="13" t="n">
        <v>385</v>
      </c>
      <c r="D413" s="13" t="s">
        <v>1807</v>
      </c>
      <c r="E413" s="13" t="s">
        <v>1817</v>
      </c>
      <c r="F413" s="13" t="s">
        <v>1701</v>
      </c>
      <c r="G413" s="13" t="s">
        <v>1818</v>
      </c>
      <c r="H413" s="13" t="s">
        <v>1819</v>
      </c>
      <c r="I413" s="13" t="s">
        <v>82</v>
      </c>
      <c r="J413" s="13" t="s">
        <v>83</v>
      </c>
      <c r="K413" s="13"/>
      <c r="L413" s="13" t="s">
        <v>1810</v>
      </c>
      <c r="M413" s="13" t="s">
        <v>1811</v>
      </c>
    </row>
    <row r="414" customFormat="false" ht="91" hidden="false" customHeight="false" outlineLevel="0" collapsed="false">
      <c r="A414" s="13" t="s">
        <v>3</v>
      </c>
      <c r="B414" s="13" t="s">
        <v>68</v>
      </c>
      <c r="C414" s="13" t="n">
        <v>385</v>
      </c>
      <c r="D414" s="13" t="s">
        <v>1807</v>
      </c>
      <c r="E414" s="13" t="s">
        <v>1820</v>
      </c>
      <c r="F414" s="13" t="s">
        <v>1701</v>
      </c>
      <c r="G414" s="13" t="s">
        <v>1821</v>
      </c>
      <c r="H414" s="13" t="s">
        <v>1822</v>
      </c>
      <c r="I414" s="13" t="s">
        <v>82</v>
      </c>
      <c r="J414" s="13" t="s">
        <v>83</v>
      </c>
      <c r="K414" s="13"/>
      <c r="L414" s="13" t="s">
        <v>1810</v>
      </c>
      <c r="M414" s="13" t="s">
        <v>1811</v>
      </c>
    </row>
    <row r="415" customFormat="false" ht="91" hidden="false" customHeight="false" outlineLevel="0" collapsed="false">
      <c r="A415" s="13" t="s">
        <v>3</v>
      </c>
      <c r="B415" s="13" t="s">
        <v>68</v>
      </c>
      <c r="C415" s="13" t="n">
        <v>385</v>
      </c>
      <c r="D415" s="13" t="s">
        <v>1807</v>
      </c>
      <c r="E415" s="13" t="s">
        <v>1823</v>
      </c>
      <c r="F415" s="13" t="s">
        <v>1701</v>
      </c>
      <c r="G415" s="13" t="s">
        <v>1824</v>
      </c>
      <c r="H415" s="13" t="s">
        <v>1763</v>
      </c>
      <c r="I415" s="13" t="s">
        <v>82</v>
      </c>
      <c r="J415" s="13" t="s">
        <v>83</v>
      </c>
      <c r="K415" s="13"/>
      <c r="L415" s="13" t="s">
        <v>1810</v>
      </c>
      <c r="M415" s="13" t="s">
        <v>1811</v>
      </c>
    </row>
    <row r="416" customFormat="false" ht="68.65" hidden="false" customHeight="false" outlineLevel="0" collapsed="false">
      <c r="A416" s="13" t="s">
        <v>3</v>
      </c>
      <c r="B416" s="13" t="s">
        <v>68</v>
      </c>
      <c r="C416" s="13" t="n">
        <v>388</v>
      </c>
      <c r="D416" s="13" t="s">
        <v>1825</v>
      </c>
      <c r="E416" s="13" t="s">
        <v>1826</v>
      </c>
      <c r="F416" s="13" t="s">
        <v>806</v>
      </c>
      <c r="G416" s="13" t="s">
        <v>1827</v>
      </c>
      <c r="H416" s="13" t="s">
        <v>1828</v>
      </c>
      <c r="I416" s="13" t="s">
        <v>82</v>
      </c>
      <c r="J416" s="13" t="s">
        <v>83</v>
      </c>
      <c r="K416" s="13"/>
      <c r="L416" s="13" t="s">
        <v>1829</v>
      </c>
      <c r="M416" s="13" t="s">
        <v>1830</v>
      </c>
    </row>
    <row r="417" customFormat="false" ht="68.65" hidden="false" customHeight="false" outlineLevel="0" collapsed="false">
      <c r="A417" s="13" t="s">
        <v>3</v>
      </c>
      <c r="B417" s="13" t="s">
        <v>68</v>
      </c>
      <c r="C417" s="13" t="n">
        <v>388</v>
      </c>
      <c r="D417" s="13" t="s">
        <v>1825</v>
      </c>
      <c r="E417" s="13" t="s">
        <v>1831</v>
      </c>
      <c r="F417" s="13" t="s">
        <v>806</v>
      </c>
      <c r="G417" s="13" t="s">
        <v>1832</v>
      </c>
      <c r="H417" s="13" t="s">
        <v>1833</v>
      </c>
      <c r="I417" s="13" t="s">
        <v>82</v>
      </c>
      <c r="J417" s="13" t="s">
        <v>83</v>
      </c>
      <c r="K417" s="13"/>
      <c r="L417" s="13" t="s">
        <v>1829</v>
      </c>
      <c r="M417" s="13" t="s">
        <v>1830</v>
      </c>
    </row>
    <row r="418" customFormat="false" ht="68.65" hidden="false" customHeight="false" outlineLevel="0" collapsed="false">
      <c r="A418" s="13" t="s">
        <v>3</v>
      </c>
      <c r="B418" s="13" t="s">
        <v>68</v>
      </c>
      <c r="C418" s="13" t="n">
        <v>388</v>
      </c>
      <c r="D418" s="13" t="s">
        <v>1825</v>
      </c>
      <c r="E418" s="13" t="s">
        <v>1834</v>
      </c>
      <c r="F418" s="13" t="s">
        <v>1835</v>
      </c>
      <c r="G418" s="13" t="s">
        <v>1836</v>
      </c>
      <c r="H418" s="13" t="s">
        <v>1837</v>
      </c>
      <c r="I418" s="13" t="s">
        <v>82</v>
      </c>
      <c r="J418" s="13" t="s">
        <v>83</v>
      </c>
      <c r="K418" s="13"/>
      <c r="L418" s="13" t="s">
        <v>1829</v>
      </c>
      <c r="M418" s="13" t="s">
        <v>1830</v>
      </c>
    </row>
    <row r="419" customFormat="false" ht="23.85" hidden="false" customHeight="false" outlineLevel="0" collapsed="false">
      <c r="A419" s="13" t="s">
        <v>3</v>
      </c>
      <c r="B419" s="13" t="s">
        <v>68</v>
      </c>
      <c r="C419" s="13" t="n">
        <v>388</v>
      </c>
      <c r="D419" s="13" t="s">
        <v>1838</v>
      </c>
      <c r="E419" s="13" t="s">
        <v>1839</v>
      </c>
      <c r="F419" s="13" t="s">
        <v>1840</v>
      </c>
      <c r="G419" s="13" t="s">
        <v>1841</v>
      </c>
      <c r="H419" s="13" t="s">
        <v>1842</v>
      </c>
      <c r="I419" s="13" t="s">
        <v>82</v>
      </c>
      <c r="J419" s="13" t="s">
        <v>83</v>
      </c>
      <c r="K419" s="13"/>
      <c r="L419" s="13" t="s">
        <v>1843</v>
      </c>
      <c r="M419" s="13" t="s">
        <v>1844</v>
      </c>
    </row>
    <row r="420" customFormat="false" ht="68.65" hidden="false" customHeight="false" outlineLevel="0" collapsed="false">
      <c r="A420" s="13" t="s">
        <v>3</v>
      </c>
      <c r="B420" s="13" t="s">
        <v>68</v>
      </c>
      <c r="C420" s="13" t="n">
        <v>388</v>
      </c>
      <c r="D420" s="13" t="s">
        <v>1845</v>
      </c>
      <c r="E420" s="13" t="s">
        <v>1846</v>
      </c>
      <c r="F420" s="13" t="s">
        <v>806</v>
      </c>
      <c r="G420" s="13" t="s">
        <v>1847</v>
      </c>
      <c r="H420" s="13" t="s">
        <v>1848</v>
      </c>
      <c r="I420" s="13" t="s">
        <v>82</v>
      </c>
      <c r="J420" s="13" t="s">
        <v>83</v>
      </c>
      <c r="K420" s="13"/>
      <c r="L420" s="13" t="s">
        <v>1849</v>
      </c>
      <c r="M420" s="13" t="s">
        <v>1850</v>
      </c>
    </row>
    <row r="421" customFormat="false" ht="68.65" hidden="false" customHeight="false" outlineLevel="0" collapsed="false">
      <c r="A421" s="13" t="s">
        <v>3</v>
      </c>
      <c r="B421" s="13" t="s">
        <v>68</v>
      </c>
      <c r="C421" s="13" t="n">
        <v>388</v>
      </c>
      <c r="D421" s="13" t="s">
        <v>1845</v>
      </c>
      <c r="E421" s="13" t="s">
        <v>1851</v>
      </c>
      <c r="F421" s="13" t="s">
        <v>1848</v>
      </c>
      <c r="G421" s="13" t="s">
        <v>1759</v>
      </c>
      <c r="H421" s="13" t="s">
        <v>1852</v>
      </c>
      <c r="I421" s="13" t="s">
        <v>82</v>
      </c>
      <c r="J421" s="13" t="s">
        <v>83</v>
      </c>
      <c r="K421" s="13"/>
      <c r="L421" s="13" t="s">
        <v>1849</v>
      </c>
      <c r="M421" s="13" t="s">
        <v>1850</v>
      </c>
    </row>
    <row r="422" customFormat="false" ht="68.65" hidden="false" customHeight="false" outlineLevel="0" collapsed="false">
      <c r="A422" s="13" t="s">
        <v>3</v>
      </c>
      <c r="B422" s="13" t="s">
        <v>68</v>
      </c>
      <c r="C422" s="13" t="n">
        <v>388</v>
      </c>
      <c r="D422" s="13" t="s">
        <v>1845</v>
      </c>
      <c r="E422" s="13" t="s">
        <v>1853</v>
      </c>
      <c r="F422" s="13" t="s">
        <v>1848</v>
      </c>
      <c r="G422" s="13" t="s">
        <v>1854</v>
      </c>
      <c r="H422" s="13" t="s">
        <v>1855</v>
      </c>
      <c r="I422" s="13" t="s">
        <v>82</v>
      </c>
      <c r="J422" s="13" t="s">
        <v>83</v>
      </c>
      <c r="K422" s="13"/>
      <c r="L422" s="13" t="s">
        <v>1849</v>
      </c>
      <c r="M422" s="13" t="s">
        <v>1850</v>
      </c>
    </row>
    <row r="423" customFormat="false" ht="35.05" hidden="false" customHeight="false" outlineLevel="0" collapsed="false">
      <c r="A423" s="13" t="s">
        <v>3</v>
      </c>
      <c r="B423" s="13" t="s">
        <v>68</v>
      </c>
      <c r="C423" s="13" t="n">
        <v>388</v>
      </c>
      <c r="D423" s="13" t="s">
        <v>1856</v>
      </c>
      <c r="E423" s="13" t="s">
        <v>1857</v>
      </c>
      <c r="F423" s="13" t="s">
        <v>806</v>
      </c>
      <c r="G423" s="13" t="s">
        <v>1858</v>
      </c>
      <c r="H423" s="13" t="s">
        <v>1859</v>
      </c>
      <c r="I423" s="13" t="s">
        <v>82</v>
      </c>
      <c r="J423" s="13" t="s">
        <v>83</v>
      </c>
      <c r="K423" s="13"/>
      <c r="L423" s="13" t="s">
        <v>1860</v>
      </c>
      <c r="M423" s="13" t="s">
        <v>1861</v>
      </c>
    </row>
    <row r="424" customFormat="false" ht="169.4" hidden="false" customHeight="false" outlineLevel="0" collapsed="false">
      <c r="A424" s="13" t="s">
        <v>3</v>
      </c>
      <c r="B424" s="13" t="s">
        <v>68</v>
      </c>
      <c r="C424" s="13" t="n">
        <v>388</v>
      </c>
      <c r="D424" s="13" t="s">
        <v>1862</v>
      </c>
      <c r="E424" s="13" t="s">
        <v>1863</v>
      </c>
      <c r="F424" s="13" t="s">
        <v>1864</v>
      </c>
      <c r="G424" s="13" t="s">
        <v>1865</v>
      </c>
      <c r="H424" s="13" t="s">
        <v>1793</v>
      </c>
      <c r="I424" s="13" t="s">
        <v>82</v>
      </c>
      <c r="J424" s="13" t="s">
        <v>83</v>
      </c>
      <c r="K424" s="13"/>
      <c r="L424" s="13" t="s">
        <v>1866</v>
      </c>
      <c r="M424" s="13" t="s">
        <v>1867</v>
      </c>
    </row>
    <row r="425" customFormat="false" ht="169.4" hidden="false" customHeight="false" outlineLevel="0" collapsed="false">
      <c r="A425" s="13" t="s">
        <v>3</v>
      </c>
      <c r="B425" s="13" t="s">
        <v>68</v>
      </c>
      <c r="C425" s="13" t="n">
        <v>388</v>
      </c>
      <c r="D425" s="13" t="s">
        <v>1862</v>
      </c>
      <c r="E425" s="13" t="s">
        <v>1868</v>
      </c>
      <c r="F425" s="13" t="s">
        <v>806</v>
      </c>
      <c r="G425" s="13" t="s">
        <v>1869</v>
      </c>
      <c r="H425" s="13" t="s">
        <v>1870</v>
      </c>
      <c r="I425" s="13" t="s">
        <v>82</v>
      </c>
      <c r="J425" s="13" t="s">
        <v>83</v>
      </c>
      <c r="K425" s="13"/>
      <c r="L425" s="13" t="s">
        <v>1866</v>
      </c>
      <c r="M425" s="13" t="s">
        <v>1867</v>
      </c>
    </row>
    <row r="426" customFormat="false" ht="169.4" hidden="false" customHeight="false" outlineLevel="0" collapsed="false">
      <c r="A426" s="13" t="s">
        <v>3</v>
      </c>
      <c r="B426" s="13" t="s">
        <v>68</v>
      </c>
      <c r="C426" s="13" t="n">
        <v>388</v>
      </c>
      <c r="D426" s="13" t="s">
        <v>1862</v>
      </c>
      <c r="E426" s="13" t="s">
        <v>1871</v>
      </c>
      <c r="F426" s="13" t="s">
        <v>806</v>
      </c>
      <c r="G426" s="13" t="s">
        <v>1858</v>
      </c>
      <c r="H426" s="13" t="s">
        <v>1872</v>
      </c>
      <c r="I426" s="13" t="s">
        <v>82</v>
      </c>
      <c r="J426" s="13" t="s">
        <v>83</v>
      </c>
      <c r="K426" s="13"/>
      <c r="L426" s="13" t="s">
        <v>1866</v>
      </c>
      <c r="M426" s="13" t="s">
        <v>1867</v>
      </c>
    </row>
    <row r="427" customFormat="false" ht="169.4" hidden="false" customHeight="false" outlineLevel="0" collapsed="false">
      <c r="A427" s="13" t="s">
        <v>3</v>
      </c>
      <c r="B427" s="13" t="s">
        <v>68</v>
      </c>
      <c r="C427" s="13" t="n">
        <v>388</v>
      </c>
      <c r="D427" s="13" t="s">
        <v>1862</v>
      </c>
      <c r="E427" s="13" t="s">
        <v>1873</v>
      </c>
      <c r="F427" s="13" t="s">
        <v>806</v>
      </c>
      <c r="G427" s="13" t="s">
        <v>1874</v>
      </c>
      <c r="H427" s="13" t="s">
        <v>1793</v>
      </c>
      <c r="I427" s="13" t="s">
        <v>82</v>
      </c>
      <c r="J427" s="13" t="s">
        <v>83</v>
      </c>
      <c r="K427" s="13"/>
      <c r="L427" s="13" t="s">
        <v>1866</v>
      </c>
      <c r="M427" s="13" t="s">
        <v>1867</v>
      </c>
    </row>
    <row r="428" customFormat="false" ht="169.4" hidden="false" customHeight="false" outlineLevel="0" collapsed="false">
      <c r="A428" s="13" t="s">
        <v>3</v>
      </c>
      <c r="B428" s="13" t="s">
        <v>68</v>
      </c>
      <c r="C428" s="13" t="n">
        <v>388</v>
      </c>
      <c r="D428" s="13" t="s">
        <v>1862</v>
      </c>
      <c r="E428" s="13" t="s">
        <v>1875</v>
      </c>
      <c r="F428" s="13" t="s">
        <v>806</v>
      </c>
      <c r="G428" s="13" t="s">
        <v>1876</v>
      </c>
      <c r="H428" s="13" t="s">
        <v>1877</v>
      </c>
      <c r="I428" s="13" t="s">
        <v>82</v>
      </c>
      <c r="J428" s="13" t="s">
        <v>83</v>
      </c>
      <c r="K428" s="13"/>
      <c r="L428" s="13" t="s">
        <v>1866</v>
      </c>
      <c r="M428" s="13" t="s">
        <v>1867</v>
      </c>
    </row>
    <row r="429" customFormat="false" ht="169.4" hidden="false" customHeight="false" outlineLevel="0" collapsed="false">
      <c r="A429" s="13" t="s">
        <v>3</v>
      </c>
      <c r="B429" s="13" t="s">
        <v>68</v>
      </c>
      <c r="C429" s="13" t="n">
        <v>388</v>
      </c>
      <c r="D429" s="13" t="s">
        <v>1862</v>
      </c>
      <c r="E429" s="13" t="s">
        <v>1878</v>
      </c>
      <c r="F429" s="13" t="s">
        <v>806</v>
      </c>
      <c r="G429" s="13" t="s">
        <v>1879</v>
      </c>
      <c r="H429" s="13" t="s">
        <v>1880</v>
      </c>
      <c r="I429" s="13" t="s">
        <v>82</v>
      </c>
      <c r="J429" s="13" t="s">
        <v>83</v>
      </c>
      <c r="K429" s="13"/>
      <c r="L429" s="13" t="s">
        <v>1866</v>
      </c>
      <c r="M429" s="13" t="s">
        <v>1867</v>
      </c>
    </row>
    <row r="430" customFormat="false" ht="57.45" hidden="false" customHeight="false" outlineLevel="0" collapsed="false">
      <c r="A430" s="13" t="s">
        <v>3</v>
      </c>
      <c r="B430" s="13" t="s">
        <v>68</v>
      </c>
      <c r="C430" s="13" t="n">
        <v>396</v>
      </c>
      <c r="D430" s="13" t="s">
        <v>1881</v>
      </c>
      <c r="E430" s="13" t="s">
        <v>1882</v>
      </c>
      <c r="F430" s="13" t="s">
        <v>1701</v>
      </c>
      <c r="G430" s="13" t="s">
        <v>1883</v>
      </c>
      <c r="H430" s="13" t="s">
        <v>1884</v>
      </c>
      <c r="I430" s="13" t="s">
        <v>82</v>
      </c>
      <c r="J430" s="13" t="s">
        <v>83</v>
      </c>
      <c r="K430" s="13"/>
      <c r="L430" s="13" t="s">
        <v>1885</v>
      </c>
      <c r="M430" s="13" t="s">
        <v>1886</v>
      </c>
    </row>
    <row r="431" customFormat="false" ht="23.85" hidden="false" customHeight="false" outlineLevel="0" collapsed="false">
      <c r="A431" s="13" t="s">
        <v>3</v>
      </c>
      <c r="B431" s="13" t="s">
        <v>68</v>
      </c>
      <c r="C431" s="13" t="n">
        <v>396</v>
      </c>
      <c r="D431" s="13" t="s">
        <v>1887</v>
      </c>
      <c r="E431" s="13" t="s">
        <v>1888</v>
      </c>
      <c r="F431" s="13" t="s">
        <v>1701</v>
      </c>
      <c r="G431" s="13" t="s">
        <v>1889</v>
      </c>
      <c r="H431" s="13" t="s">
        <v>1890</v>
      </c>
      <c r="I431" s="13" t="s">
        <v>82</v>
      </c>
      <c r="J431" s="13" t="s">
        <v>83</v>
      </c>
      <c r="K431" s="13"/>
      <c r="L431" s="13" t="s">
        <v>1891</v>
      </c>
      <c r="M431" s="13" t="s">
        <v>1892</v>
      </c>
    </row>
    <row r="432" customFormat="false" ht="23.85" hidden="false" customHeight="false" outlineLevel="0" collapsed="false">
      <c r="A432" s="13" t="s">
        <v>3</v>
      </c>
      <c r="B432" s="13" t="s">
        <v>68</v>
      </c>
      <c r="C432" s="13" t="n">
        <v>396</v>
      </c>
      <c r="D432" s="13" t="s">
        <v>1893</v>
      </c>
      <c r="E432" s="13" t="s">
        <v>1894</v>
      </c>
      <c r="F432" s="13" t="s">
        <v>1701</v>
      </c>
      <c r="G432" s="13" t="s">
        <v>1895</v>
      </c>
      <c r="H432" s="13" t="s">
        <v>1896</v>
      </c>
      <c r="I432" s="13" t="s">
        <v>82</v>
      </c>
      <c r="J432" s="13" t="s">
        <v>83</v>
      </c>
      <c r="K432" s="13"/>
      <c r="L432" s="13" t="s">
        <v>1897</v>
      </c>
      <c r="M432" s="13" t="s">
        <v>1898</v>
      </c>
    </row>
    <row r="433" customFormat="false" ht="23.85" hidden="false" customHeight="false" outlineLevel="0" collapsed="false">
      <c r="A433" s="13" t="s">
        <v>3</v>
      </c>
      <c r="B433" s="13" t="s">
        <v>68</v>
      </c>
      <c r="C433" s="13" t="n">
        <v>396</v>
      </c>
      <c r="D433" s="13" t="s">
        <v>1893</v>
      </c>
      <c r="E433" s="13" t="s">
        <v>1899</v>
      </c>
      <c r="F433" s="13" t="s">
        <v>1701</v>
      </c>
      <c r="G433" s="13" t="s">
        <v>1900</v>
      </c>
      <c r="H433" s="13" t="s">
        <v>1890</v>
      </c>
      <c r="I433" s="13" t="s">
        <v>82</v>
      </c>
      <c r="J433" s="13" t="s">
        <v>83</v>
      </c>
      <c r="K433" s="13"/>
      <c r="L433" s="13" t="s">
        <v>1897</v>
      </c>
      <c r="M433" s="13" t="s">
        <v>1898</v>
      </c>
    </row>
    <row r="434" customFormat="false" ht="57.45" hidden="false" customHeight="false" outlineLevel="0" collapsed="false">
      <c r="A434" s="13" t="s">
        <v>3</v>
      </c>
      <c r="B434" s="13" t="s">
        <v>68</v>
      </c>
      <c r="C434" s="13" t="n">
        <v>396</v>
      </c>
      <c r="D434" s="13" t="s">
        <v>1901</v>
      </c>
      <c r="E434" s="13" t="s">
        <v>1902</v>
      </c>
      <c r="F434" s="13" t="s">
        <v>1903</v>
      </c>
      <c r="G434" s="13" t="s">
        <v>1904</v>
      </c>
      <c r="H434" s="13" t="s">
        <v>1905</v>
      </c>
      <c r="I434" s="13" t="s">
        <v>82</v>
      </c>
      <c r="J434" s="13" t="s">
        <v>83</v>
      </c>
      <c r="K434" s="13"/>
      <c r="L434" s="13" t="s">
        <v>1906</v>
      </c>
      <c r="M434" s="13" t="s">
        <v>1907</v>
      </c>
    </row>
    <row r="435" customFormat="false" ht="57.45" hidden="false" customHeight="false" outlineLevel="0" collapsed="false">
      <c r="A435" s="13" t="s">
        <v>3</v>
      </c>
      <c r="B435" s="13" t="s">
        <v>68</v>
      </c>
      <c r="C435" s="13" t="n">
        <v>396</v>
      </c>
      <c r="D435" s="13" t="s">
        <v>1901</v>
      </c>
      <c r="E435" s="13" t="s">
        <v>1908</v>
      </c>
      <c r="F435" s="13" t="s">
        <v>1909</v>
      </c>
      <c r="G435" s="13" t="s">
        <v>1910</v>
      </c>
      <c r="H435" s="13" t="s">
        <v>1911</v>
      </c>
      <c r="I435" s="13" t="s">
        <v>82</v>
      </c>
      <c r="J435" s="13" t="s">
        <v>83</v>
      </c>
      <c r="K435" s="13"/>
      <c r="L435" s="13" t="s">
        <v>1906</v>
      </c>
      <c r="M435" s="13" t="s">
        <v>1907</v>
      </c>
    </row>
    <row r="436" customFormat="false" ht="57.45" hidden="false" customHeight="false" outlineLevel="0" collapsed="false">
      <c r="A436" s="13" t="s">
        <v>3</v>
      </c>
      <c r="B436" s="13" t="s">
        <v>68</v>
      </c>
      <c r="C436" s="13" t="n">
        <v>396</v>
      </c>
      <c r="D436" s="13" t="s">
        <v>1901</v>
      </c>
      <c r="E436" s="13" t="s">
        <v>1912</v>
      </c>
      <c r="F436" s="13" t="s">
        <v>1913</v>
      </c>
      <c r="G436" s="13" t="s">
        <v>1914</v>
      </c>
      <c r="H436" s="13" t="s">
        <v>1915</v>
      </c>
      <c r="I436" s="13" t="s">
        <v>82</v>
      </c>
      <c r="J436" s="13" t="s">
        <v>83</v>
      </c>
      <c r="K436" s="13"/>
      <c r="L436" s="13" t="s">
        <v>1906</v>
      </c>
      <c r="M436" s="13" t="s">
        <v>1907</v>
      </c>
    </row>
    <row r="437" customFormat="false" ht="57.45" hidden="false" customHeight="false" outlineLevel="0" collapsed="false">
      <c r="A437" s="13" t="s">
        <v>3</v>
      </c>
      <c r="B437" s="13" t="s">
        <v>68</v>
      </c>
      <c r="C437" s="13" t="n">
        <v>396</v>
      </c>
      <c r="D437" s="13" t="s">
        <v>1916</v>
      </c>
      <c r="E437" s="13" t="s">
        <v>1917</v>
      </c>
      <c r="F437" s="13" t="s">
        <v>1701</v>
      </c>
      <c r="G437" s="13" t="s">
        <v>1918</v>
      </c>
      <c r="H437" s="13" t="s">
        <v>1919</v>
      </c>
      <c r="I437" s="13" t="s">
        <v>82</v>
      </c>
      <c r="J437" s="13" t="s">
        <v>83</v>
      </c>
      <c r="K437" s="13"/>
      <c r="L437" s="13" t="s">
        <v>1920</v>
      </c>
      <c r="M437" s="13" t="s">
        <v>1921</v>
      </c>
    </row>
    <row r="438" customFormat="false" ht="57.45" hidden="false" customHeight="false" outlineLevel="0" collapsed="false">
      <c r="A438" s="13" t="s">
        <v>3</v>
      </c>
      <c r="B438" s="13" t="s">
        <v>68</v>
      </c>
      <c r="C438" s="13" t="n">
        <v>396</v>
      </c>
      <c r="D438" s="13" t="s">
        <v>1916</v>
      </c>
      <c r="E438" s="13" t="s">
        <v>1922</v>
      </c>
      <c r="F438" s="13" t="s">
        <v>1701</v>
      </c>
      <c r="G438" s="13" t="s">
        <v>1923</v>
      </c>
      <c r="H438" s="13" t="s">
        <v>1924</v>
      </c>
      <c r="I438" s="13" t="s">
        <v>82</v>
      </c>
      <c r="J438" s="13" t="s">
        <v>83</v>
      </c>
      <c r="K438" s="13"/>
      <c r="L438" s="13" t="s">
        <v>1920</v>
      </c>
      <c r="M438" s="13" t="s">
        <v>1921</v>
      </c>
    </row>
    <row r="439" customFormat="false" ht="46.25" hidden="false" customHeight="false" outlineLevel="0" collapsed="false">
      <c r="A439" s="13" t="s">
        <v>3</v>
      </c>
      <c r="B439" s="13" t="s">
        <v>68</v>
      </c>
      <c r="C439" s="13" t="n">
        <v>396</v>
      </c>
      <c r="D439" s="13" t="s">
        <v>1925</v>
      </c>
      <c r="E439" s="13" t="s">
        <v>1926</v>
      </c>
      <c r="F439" s="13" t="s">
        <v>1701</v>
      </c>
      <c r="G439" s="13" t="s">
        <v>1927</v>
      </c>
      <c r="H439" s="13" t="s">
        <v>1928</v>
      </c>
      <c r="I439" s="13" t="s">
        <v>82</v>
      </c>
      <c r="J439" s="13" t="s">
        <v>83</v>
      </c>
      <c r="K439" s="13"/>
      <c r="L439" s="13" t="s">
        <v>1929</v>
      </c>
      <c r="M439" s="13" t="s">
        <v>1930</v>
      </c>
    </row>
    <row r="440" customFormat="false" ht="46.25" hidden="false" customHeight="false" outlineLevel="0" collapsed="false">
      <c r="A440" s="13" t="s">
        <v>3</v>
      </c>
      <c r="B440" s="13" t="s">
        <v>68</v>
      </c>
      <c r="C440" s="13" t="n">
        <v>396</v>
      </c>
      <c r="D440" s="13" t="s">
        <v>1925</v>
      </c>
      <c r="E440" s="13" t="s">
        <v>1931</v>
      </c>
      <c r="F440" s="13" t="s">
        <v>1701</v>
      </c>
      <c r="G440" s="13" t="s">
        <v>1927</v>
      </c>
      <c r="H440" s="13" t="s">
        <v>1021</v>
      </c>
      <c r="I440" s="13" t="s">
        <v>82</v>
      </c>
      <c r="J440" s="13" t="s">
        <v>83</v>
      </c>
      <c r="K440" s="13"/>
      <c r="L440" s="13" t="s">
        <v>1929</v>
      </c>
      <c r="M440" s="13" t="s">
        <v>1930</v>
      </c>
    </row>
    <row r="441" customFormat="false" ht="46.25" hidden="false" customHeight="false" outlineLevel="0" collapsed="false">
      <c r="A441" s="13" t="s">
        <v>3</v>
      </c>
      <c r="B441" s="13" t="s">
        <v>68</v>
      </c>
      <c r="C441" s="13" t="n">
        <v>396</v>
      </c>
      <c r="D441" s="13" t="s">
        <v>1925</v>
      </c>
      <c r="E441" s="13" t="s">
        <v>1932</v>
      </c>
      <c r="F441" s="13" t="s">
        <v>1701</v>
      </c>
      <c r="G441" s="13" t="s">
        <v>1927</v>
      </c>
      <c r="H441" s="13" t="s">
        <v>1933</v>
      </c>
      <c r="I441" s="13" t="s">
        <v>82</v>
      </c>
      <c r="J441" s="13" t="s">
        <v>83</v>
      </c>
      <c r="K441" s="13"/>
      <c r="L441" s="13" t="s">
        <v>1929</v>
      </c>
      <c r="M441" s="13" t="s">
        <v>1930</v>
      </c>
    </row>
    <row r="442" customFormat="false" ht="46.25" hidden="false" customHeight="false" outlineLevel="0" collapsed="false">
      <c r="A442" s="13" t="s">
        <v>3</v>
      </c>
      <c r="B442" s="13" t="s">
        <v>68</v>
      </c>
      <c r="C442" s="13" t="n">
        <v>396</v>
      </c>
      <c r="D442" s="13" t="s">
        <v>1925</v>
      </c>
      <c r="E442" s="13" t="s">
        <v>1934</v>
      </c>
      <c r="F442" s="13" t="s">
        <v>1701</v>
      </c>
      <c r="G442" s="13" t="s">
        <v>1927</v>
      </c>
      <c r="H442" s="13" t="s">
        <v>1935</v>
      </c>
      <c r="I442" s="13" t="s">
        <v>82</v>
      </c>
      <c r="J442" s="13" t="s">
        <v>83</v>
      </c>
      <c r="K442" s="13"/>
      <c r="L442" s="13" t="s">
        <v>1929</v>
      </c>
      <c r="M442" s="13" t="s">
        <v>1930</v>
      </c>
    </row>
    <row r="443" customFormat="false" ht="23.85" hidden="false" customHeight="false" outlineLevel="0" collapsed="false">
      <c r="A443" s="13" t="s">
        <v>3</v>
      </c>
      <c r="B443" s="13" t="s">
        <v>68</v>
      </c>
      <c r="C443" s="13" t="n">
        <v>396</v>
      </c>
      <c r="D443" s="13" t="s">
        <v>1936</v>
      </c>
      <c r="E443" s="13" t="s">
        <v>1937</v>
      </c>
      <c r="F443" s="13" t="s">
        <v>1913</v>
      </c>
      <c r="G443" s="13" t="s">
        <v>1938</v>
      </c>
      <c r="H443" s="13" t="s">
        <v>1939</v>
      </c>
      <c r="I443" s="13" t="s">
        <v>82</v>
      </c>
      <c r="J443" s="13" t="s">
        <v>83</v>
      </c>
      <c r="K443" s="13"/>
      <c r="L443" s="13" t="s">
        <v>1940</v>
      </c>
      <c r="M443" s="13" t="s">
        <v>1941</v>
      </c>
    </row>
    <row r="444" customFormat="false" ht="23.85" hidden="false" customHeight="false" outlineLevel="0" collapsed="false">
      <c r="A444" s="13" t="s">
        <v>3</v>
      </c>
      <c r="B444" s="13" t="s">
        <v>68</v>
      </c>
      <c r="C444" s="13" t="n">
        <v>396</v>
      </c>
      <c r="D444" s="13" t="s">
        <v>1942</v>
      </c>
      <c r="E444" s="13" t="s">
        <v>1943</v>
      </c>
      <c r="F444" s="13" t="s">
        <v>1701</v>
      </c>
      <c r="G444" s="13" t="s">
        <v>1944</v>
      </c>
      <c r="H444" s="13" t="s">
        <v>1945</v>
      </c>
      <c r="I444" s="13" t="s">
        <v>82</v>
      </c>
      <c r="J444" s="13" t="s">
        <v>83</v>
      </c>
      <c r="K444" s="13"/>
      <c r="L444" s="13" t="s">
        <v>1946</v>
      </c>
      <c r="M444" s="13" t="s">
        <v>1947</v>
      </c>
    </row>
    <row r="445" customFormat="false" ht="35.05" hidden="false" customHeight="false" outlineLevel="0" collapsed="false">
      <c r="A445" s="13" t="s">
        <v>3</v>
      </c>
      <c r="B445" s="13" t="s">
        <v>68</v>
      </c>
      <c r="C445" s="13" t="n">
        <v>396</v>
      </c>
      <c r="D445" s="13" t="s">
        <v>1948</v>
      </c>
      <c r="E445" s="13" t="s">
        <v>1949</v>
      </c>
      <c r="F445" s="13" t="s">
        <v>1701</v>
      </c>
      <c r="G445" s="13" t="s">
        <v>1944</v>
      </c>
      <c r="H445" s="13" t="s">
        <v>1950</v>
      </c>
      <c r="I445" s="13" t="s">
        <v>82</v>
      </c>
      <c r="J445" s="13" t="s">
        <v>83</v>
      </c>
      <c r="K445" s="13"/>
      <c r="L445" s="13" t="s">
        <v>1951</v>
      </c>
      <c r="M445" s="13" t="s">
        <v>1952</v>
      </c>
    </row>
    <row r="446" customFormat="false" ht="35.05" hidden="false" customHeight="false" outlineLevel="0" collapsed="false">
      <c r="A446" s="13" t="s">
        <v>3</v>
      </c>
      <c r="B446" s="13" t="s">
        <v>68</v>
      </c>
      <c r="C446" s="13" t="n">
        <v>396</v>
      </c>
      <c r="D446" s="13" t="s">
        <v>1953</v>
      </c>
      <c r="E446" s="13" t="s">
        <v>1954</v>
      </c>
      <c r="F446" s="13" t="s">
        <v>1701</v>
      </c>
      <c r="G446" s="13" t="s">
        <v>1955</v>
      </c>
      <c r="H446" s="13" t="s">
        <v>1956</v>
      </c>
      <c r="I446" s="13" t="s">
        <v>82</v>
      </c>
      <c r="J446" s="13" t="s">
        <v>83</v>
      </c>
      <c r="K446" s="13"/>
      <c r="L446" s="13" t="s">
        <v>1957</v>
      </c>
      <c r="M446" s="13" t="s">
        <v>1958</v>
      </c>
    </row>
    <row r="447" customFormat="false" ht="23.85" hidden="false" customHeight="false" outlineLevel="0" collapsed="false">
      <c r="A447" s="13" t="s">
        <v>3</v>
      </c>
      <c r="B447" s="13" t="s">
        <v>68</v>
      </c>
      <c r="C447" s="13" t="n">
        <v>396</v>
      </c>
      <c r="D447" s="13" t="s">
        <v>1959</v>
      </c>
      <c r="E447" s="13" t="s">
        <v>1960</v>
      </c>
      <c r="F447" s="13" t="s">
        <v>1701</v>
      </c>
      <c r="G447" s="13" t="s">
        <v>1944</v>
      </c>
      <c r="H447" s="13" t="s">
        <v>1961</v>
      </c>
      <c r="I447" s="13" t="s">
        <v>82</v>
      </c>
      <c r="J447" s="13" t="s">
        <v>83</v>
      </c>
      <c r="K447" s="13"/>
      <c r="L447" s="13" t="s">
        <v>1962</v>
      </c>
      <c r="M447" s="13" t="s">
        <v>1963</v>
      </c>
    </row>
    <row r="448" customFormat="false" ht="23.85" hidden="false" customHeight="false" outlineLevel="0" collapsed="false">
      <c r="A448" s="13" t="s">
        <v>3</v>
      </c>
      <c r="B448" s="13" t="s">
        <v>68</v>
      </c>
      <c r="C448" s="13" t="n">
        <v>396</v>
      </c>
      <c r="D448" s="13" t="s">
        <v>1964</v>
      </c>
      <c r="E448" s="13" t="s">
        <v>1965</v>
      </c>
      <c r="F448" s="13" t="s">
        <v>1701</v>
      </c>
      <c r="G448" s="13" t="s">
        <v>1966</v>
      </c>
      <c r="H448" s="13" t="s">
        <v>1967</v>
      </c>
      <c r="I448" s="13" t="s">
        <v>82</v>
      </c>
      <c r="J448" s="13" t="s">
        <v>83</v>
      </c>
      <c r="K448" s="13"/>
      <c r="L448" s="13" t="s">
        <v>1968</v>
      </c>
      <c r="M448" s="13" t="s">
        <v>1969</v>
      </c>
    </row>
    <row r="449" customFormat="false" ht="135.8" hidden="false" customHeight="false" outlineLevel="0" collapsed="false">
      <c r="A449" s="13" t="s">
        <v>3</v>
      </c>
      <c r="B449" s="13" t="s">
        <v>68</v>
      </c>
      <c r="C449" s="13" t="n">
        <v>396</v>
      </c>
      <c r="D449" s="13" t="s">
        <v>1970</v>
      </c>
      <c r="E449" s="13" t="s">
        <v>1971</v>
      </c>
      <c r="F449" s="13" t="s">
        <v>1701</v>
      </c>
      <c r="G449" s="13" t="s">
        <v>1972</v>
      </c>
      <c r="H449" s="13" t="s">
        <v>1973</v>
      </c>
      <c r="I449" s="13" t="s">
        <v>82</v>
      </c>
      <c r="J449" s="13" t="s">
        <v>83</v>
      </c>
      <c r="K449" s="13"/>
      <c r="L449" s="13" t="s">
        <v>1974</v>
      </c>
      <c r="M449" s="13" t="s">
        <v>1975</v>
      </c>
    </row>
    <row r="450" customFormat="false" ht="135.8" hidden="false" customHeight="false" outlineLevel="0" collapsed="false">
      <c r="A450" s="13" t="s">
        <v>3</v>
      </c>
      <c r="B450" s="13" t="s">
        <v>68</v>
      </c>
      <c r="C450" s="13" t="n">
        <v>396</v>
      </c>
      <c r="D450" s="13" t="s">
        <v>1970</v>
      </c>
      <c r="E450" s="13" t="s">
        <v>1976</v>
      </c>
      <c r="F450" s="13" t="s">
        <v>1977</v>
      </c>
      <c r="G450" s="13" t="s">
        <v>1978</v>
      </c>
      <c r="H450" s="13" t="s">
        <v>1979</v>
      </c>
      <c r="I450" s="13" t="s">
        <v>82</v>
      </c>
      <c r="J450" s="13" t="s">
        <v>83</v>
      </c>
      <c r="K450" s="13"/>
      <c r="L450" s="13" t="s">
        <v>1974</v>
      </c>
      <c r="M450" s="13" t="s">
        <v>1975</v>
      </c>
    </row>
    <row r="451" customFormat="false" ht="135.8" hidden="false" customHeight="false" outlineLevel="0" collapsed="false">
      <c r="A451" s="13" t="s">
        <v>3</v>
      </c>
      <c r="B451" s="13" t="s">
        <v>68</v>
      </c>
      <c r="C451" s="13" t="n">
        <v>396</v>
      </c>
      <c r="D451" s="13" t="s">
        <v>1970</v>
      </c>
      <c r="E451" s="13" t="s">
        <v>1980</v>
      </c>
      <c r="F451" s="13" t="s">
        <v>1981</v>
      </c>
      <c r="G451" s="13" t="s">
        <v>1978</v>
      </c>
      <c r="H451" s="13" t="s">
        <v>1982</v>
      </c>
      <c r="I451" s="13" t="s">
        <v>82</v>
      </c>
      <c r="J451" s="13" t="s">
        <v>83</v>
      </c>
      <c r="K451" s="13"/>
      <c r="L451" s="13" t="s">
        <v>1974</v>
      </c>
      <c r="M451" s="13" t="s">
        <v>1975</v>
      </c>
    </row>
    <row r="452" customFormat="false" ht="135.8" hidden="false" customHeight="false" outlineLevel="0" collapsed="false">
      <c r="A452" s="13" t="s">
        <v>3</v>
      </c>
      <c r="B452" s="13" t="s">
        <v>68</v>
      </c>
      <c r="C452" s="13" t="n">
        <v>396</v>
      </c>
      <c r="D452" s="13" t="s">
        <v>1970</v>
      </c>
      <c r="E452" s="13" t="s">
        <v>1983</v>
      </c>
      <c r="F452" s="13" t="s">
        <v>1981</v>
      </c>
      <c r="G452" s="13" t="s">
        <v>1978</v>
      </c>
      <c r="H452" s="13" t="s">
        <v>1984</v>
      </c>
      <c r="I452" s="13" t="s">
        <v>82</v>
      </c>
      <c r="J452" s="13" t="s">
        <v>83</v>
      </c>
      <c r="K452" s="13"/>
      <c r="L452" s="13" t="s">
        <v>1974</v>
      </c>
      <c r="M452" s="13" t="s">
        <v>1975</v>
      </c>
    </row>
    <row r="453" customFormat="false" ht="135.8" hidden="false" customHeight="false" outlineLevel="0" collapsed="false">
      <c r="A453" s="13" t="s">
        <v>3</v>
      </c>
      <c r="B453" s="13" t="s">
        <v>68</v>
      </c>
      <c r="C453" s="13" t="n">
        <v>396</v>
      </c>
      <c r="D453" s="13" t="s">
        <v>1970</v>
      </c>
      <c r="E453" s="13" t="s">
        <v>1985</v>
      </c>
      <c r="F453" s="13" t="s">
        <v>1981</v>
      </c>
      <c r="G453" s="13" t="s">
        <v>1978</v>
      </c>
      <c r="H453" s="13" t="s">
        <v>1986</v>
      </c>
      <c r="I453" s="13" t="s">
        <v>74</v>
      </c>
      <c r="J453" s="13" t="s">
        <v>1987</v>
      </c>
      <c r="K453" s="13" t="s">
        <v>1988</v>
      </c>
      <c r="L453" s="13" t="s">
        <v>1974</v>
      </c>
      <c r="M453" s="13" t="s">
        <v>1975</v>
      </c>
    </row>
    <row r="454" customFormat="false" ht="23.85" hidden="false" customHeight="false" outlineLevel="0" collapsed="false">
      <c r="A454" s="13" t="s">
        <v>3</v>
      </c>
      <c r="B454" s="13" t="s">
        <v>68</v>
      </c>
      <c r="C454" s="13" t="n">
        <v>400</v>
      </c>
      <c r="D454" s="13" t="s">
        <v>1989</v>
      </c>
      <c r="E454" s="13" t="s">
        <v>1990</v>
      </c>
      <c r="F454" s="13" t="s">
        <v>806</v>
      </c>
      <c r="G454" s="13" t="s">
        <v>1991</v>
      </c>
      <c r="H454" s="13" t="s">
        <v>1992</v>
      </c>
      <c r="I454" s="13" t="s">
        <v>82</v>
      </c>
      <c r="J454" s="13" t="s">
        <v>83</v>
      </c>
      <c r="K454" s="13"/>
      <c r="L454" s="13" t="s">
        <v>1993</v>
      </c>
      <c r="M454" s="13" t="s">
        <v>1994</v>
      </c>
    </row>
    <row r="455" customFormat="false" ht="46.25" hidden="false" customHeight="false" outlineLevel="0" collapsed="false">
      <c r="A455" s="13" t="s">
        <v>3</v>
      </c>
      <c r="B455" s="13" t="s">
        <v>68</v>
      </c>
      <c r="C455" s="13" t="n">
        <v>400</v>
      </c>
      <c r="D455" s="13" t="s">
        <v>1995</v>
      </c>
      <c r="E455" s="13" t="s">
        <v>1996</v>
      </c>
      <c r="F455" s="13" t="s">
        <v>1997</v>
      </c>
      <c r="G455" s="13" t="s">
        <v>1991</v>
      </c>
      <c r="H455" s="13" t="s">
        <v>1992</v>
      </c>
      <c r="I455" s="13" t="s">
        <v>82</v>
      </c>
      <c r="J455" s="13" t="s">
        <v>83</v>
      </c>
      <c r="K455" s="13"/>
      <c r="L455" s="13" t="s">
        <v>1998</v>
      </c>
      <c r="M455" s="13" t="s">
        <v>1999</v>
      </c>
    </row>
    <row r="456" customFormat="false" ht="46.25" hidden="false" customHeight="false" outlineLevel="0" collapsed="false">
      <c r="A456" s="13" t="s">
        <v>3</v>
      </c>
      <c r="B456" s="13" t="s">
        <v>68</v>
      </c>
      <c r="C456" s="13" t="n">
        <v>400</v>
      </c>
      <c r="D456" s="13" t="s">
        <v>2000</v>
      </c>
      <c r="E456" s="13" t="s">
        <v>2001</v>
      </c>
      <c r="F456" s="13" t="s">
        <v>806</v>
      </c>
      <c r="G456" s="13" t="s">
        <v>2002</v>
      </c>
      <c r="H456" s="13" t="s">
        <v>2003</v>
      </c>
      <c r="I456" s="13" t="s">
        <v>114</v>
      </c>
      <c r="J456" s="13" t="s">
        <v>2004</v>
      </c>
      <c r="K456" s="13" t="s">
        <v>2005</v>
      </c>
      <c r="L456" s="13" t="s">
        <v>2006</v>
      </c>
      <c r="M456" s="13" t="s">
        <v>2007</v>
      </c>
    </row>
    <row r="457" customFormat="false" ht="68.65" hidden="false" customHeight="false" outlineLevel="0" collapsed="false">
      <c r="A457" s="13" t="s">
        <v>3</v>
      </c>
      <c r="B457" s="13" t="s">
        <v>68</v>
      </c>
      <c r="C457" s="13" t="n">
        <v>400</v>
      </c>
      <c r="D457" s="13" t="s">
        <v>2008</v>
      </c>
      <c r="E457" s="13" t="s">
        <v>2009</v>
      </c>
      <c r="F457" s="13" t="s">
        <v>2010</v>
      </c>
      <c r="G457" s="13" t="s">
        <v>2011</v>
      </c>
      <c r="H457" s="13" t="s">
        <v>2012</v>
      </c>
      <c r="I457" s="13" t="s">
        <v>82</v>
      </c>
      <c r="J457" s="13" t="s">
        <v>83</v>
      </c>
      <c r="K457" s="13"/>
      <c r="L457" s="13" t="s">
        <v>2013</v>
      </c>
      <c r="M457" s="13" t="s">
        <v>2014</v>
      </c>
    </row>
    <row r="458" customFormat="false" ht="68.65" hidden="false" customHeight="false" outlineLevel="0" collapsed="false">
      <c r="A458" s="13" t="s">
        <v>3</v>
      </c>
      <c r="B458" s="13" t="s">
        <v>68</v>
      </c>
      <c r="C458" s="13" t="n">
        <v>400</v>
      </c>
      <c r="D458" s="13" t="s">
        <v>2008</v>
      </c>
      <c r="E458" s="13" t="s">
        <v>2015</v>
      </c>
      <c r="F458" s="13" t="s">
        <v>2016</v>
      </c>
      <c r="G458" s="13" t="s">
        <v>2011</v>
      </c>
      <c r="H458" s="13" t="s">
        <v>2017</v>
      </c>
      <c r="I458" s="13" t="s">
        <v>82</v>
      </c>
      <c r="J458" s="13" t="s">
        <v>83</v>
      </c>
      <c r="K458" s="13"/>
      <c r="L458" s="13" t="s">
        <v>2013</v>
      </c>
      <c r="M458" s="13" t="s">
        <v>2014</v>
      </c>
    </row>
    <row r="459" customFormat="false" ht="68.65" hidden="false" customHeight="false" outlineLevel="0" collapsed="false">
      <c r="A459" s="13" t="s">
        <v>3</v>
      </c>
      <c r="B459" s="13" t="s">
        <v>68</v>
      </c>
      <c r="C459" s="13" t="n">
        <v>400</v>
      </c>
      <c r="D459" s="13" t="s">
        <v>2008</v>
      </c>
      <c r="E459" s="13" t="s">
        <v>2018</v>
      </c>
      <c r="F459" s="13" t="s">
        <v>2019</v>
      </c>
      <c r="G459" s="13" t="s">
        <v>2011</v>
      </c>
      <c r="H459" s="13" t="s">
        <v>2020</v>
      </c>
      <c r="I459" s="13" t="s">
        <v>82</v>
      </c>
      <c r="J459" s="13" t="s">
        <v>83</v>
      </c>
      <c r="K459" s="13"/>
      <c r="L459" s="13" t="s">
        <v>2013</v>
      </c>
      <c r="M459" s="13" t="s">
        <v>2014</v>
      </c>
    </row>
    <row r="460" customFormat="false" ht="68.65" hidden="false" customHeight="false" outlineLevel="0" collapsed="false">
      <c r="A460" s="13" t="s">
        <v>3</v>
      </c>
      <c r="B460" s="13" t="s">
        <v>68</v>
      </c>
      <c r="C460" s="13" t="n">
        <v>400</v>
      </c>
      <c r="D460" s="13" t="s">
        <v>2008</v>
      </c>
      <c r="E460" s="13" t="s">
        <v>2021</v>
      </c>
      <c r="F460" s="13" t="s">
        <v>2022</v>
      </c>
      <c r="G460" s="13" t="s">
        <v>2011</v>
      </c>
      <c r="H460" s="13" t="s">
        <v>2023</v>
      </c>
      <c r="I460" s="13" t="s">
        <v>82</v>
      </c>
      <c r="J460" s="13" t="s">
        <v>83</v>
      </c>
      <c r="K460" s="13"/>
      <c r="L460" s="13" t="s">
        <v>2013</v>
      </c>
      <c r="M460" s="13" t="s">
        <v>2014</v>
      </c>
    </row>
    <row r="461" customFormat="false" ht="68.65" hidden="false" customHeight="false" outlineLevel="0" collapsed="false">
      <c r="A461" s="13" t="s">
        <v>3</v>
      </c>
      <c r="B461" s="13" t="s">
        <v>68</v>
      </c>
      <c r="C461" s="13" t="n">
        <v>400</v>
      </c>
      <c r="D461" s="13" t="s">
        <v>2008</v>
      </c>
      <c r="E461" s="13" t="s">
        <v>2024</v>
      </c>
      <c r="F461" s="13" t="s">
        <v>2025</v>
      </c>
      <c r="G461" s="13" t="s">
        <v>2011</v>
      </c>
      <c r="H461" s="13" t="s">
        <v>2026</v>
      </c>
      <c r="I461" s="13" t="s">
        <v>82</v>
      </c>
      <c r="J461" s="13" t="s">
        <v>83</v>
      </c>
      <c r="K461" s="13"/>
      <c r="L461" s="13" t="s">
        <v>2013</v>
      </c>
      <c r="M461" s="13" t="s">
        <v>2014</v>
      </c>
    </row>
    <row r="462" customFormat="false" ht="68.65" hidden="false" customHeight="false" outlineLevel="0" collapsed="false">
      <c r="A462" s="13" t="s">
        <v>3</v>
      </c>
      <c r="B462" s="13" t="s">
        <v>68</v>
      </c>
      <c r="C462" s="13" t="n">
        <v>400</v>
      </c>
      <c r="D462" s="13" t="s">
        <v>2008</v>
      </c>
      <c r="E462" s="13" t="s">
        <v>2027</v>
      </c>
      <c r="F462" s="13" t="s">
        <v>2028</v>
      </c>
      <c r="G462" s="13" t="s">
        <v>2011</v>
      </c>
      <c r="H462" s="13" t="s">
        <v>2029</v>
      </c>
      <c r="I462" s="13" t="s">
        <v>82</v>
      </c>
      <c r="J462" s="13" t="s">
        <v>83</v>
      </c>
      <c r="K462" s="13"/>
      <c r="L462" s="13" t="s">
        <v>2013</v>
      </c>
      <c r="M462" s="13" t="s">
        <v>2014</v>
      </c>
    </row>
    <row r="463" customFormat="false" ht="68.65" hidden="false" customHeight="false" outlineLevel="0" collapsed="false">
      <c r="A463" s="13" t="s">
        <v>3</v>
      </c>
      <c r="B463" s="13" t="s">
        <v>68</v>
      </c>
      <c r="C463" s="13" t="n">
        <v>400</v>
      </c>
      <c r="D463" s="13" t="s">
        <v>2008</v>
      </c>
      <c r="E463" s="13" t="s">
        <v>2030</v>
      </c>
      <c r="F463" s="13" t="s">
        <v>2031</v>
      </c>
      <c r="G463" s="13" t="s">
        <v>2011</v>
      </c>
      <c r="H463" s="13" t="s">
        <v>2032</v>
      </c>
      <c r="I463" s="13" t="s">
        <v>82</v>
      </c>
      <c r="J463" s="13" t="s">
        <v>83</v>
      </c>
      <c r="K463" s="13"/>
      <c r="L463" s="13" t="s">
        <v>2013</v>
      </c>
      <c r="M463" s="13" t="s">
        <v>2014</v>
      </c>
    </row>
    <row r="464" customFormat="false" ht="68.65" hidden="false" customHeight="false" outlineLevel="0" collapsed="false">
      <c r="A464" s="13" t="s">
        <v>3</v>
      </c>
      <c r="B464" s="13" t="s">
        <v>68</v>
      </c>
      <c r="C464" s="13" t="n">
        <v>400</v>
      </c>
      <c r="D464" s="13" t="s">
        <v>2008</v>
      </c>
      <c r="E464" s="13" t="s">
        <v>2033</v>
      </c>
      <c r="F464" s="13" t="s">
        <v>2034</v>
      </c>
      <c r="G464" s="13" t="s">
        <v>2011</v>
      </c>
      <c r="H464" s="13" t="s">
        <v>2035</v>
      </c>
      <c r="I464" s="13" t="s">
        <v>82</v>
      </c>
      <c r="J464" s="13" t="s">
        <v>83</v>
      </c>
      <c r="K464" s="13"/>
      <c r="L464" s="13" t="s">
        <v>2013</v>
      </c>
      <c r="M464" s="13" t="s">
        <v>2014</v>
      </c>
    </row>
    <row r="465" customFormat="false" ht="35.05" hidden="false" customHeight="false" outlineLevel="0" collapsed="false">
      <c r="A465" s="13" t="s">
        <v>3</v>
      </c>
      <c r="B465" s="13" t="s">
        <v>68</v>
      </c>
      <c r="C465" s="13" t="n">
        <v>400</v>
      </c>
      <c r="D465" s="13" t="s">
        <v>2036</v>
      </c>
      <c r="E465" s="13" t="s">
        <v>2037</v>
      </c>
      <c r="F465" s="13" t="s">
        <v>806</v>
      </c>
      <c r="G465" s="13" t="s">
        <v>2038</v>
      </c>
      <c r="H465" s="13" t="s">
        <v>2039</v>
      </c>
      <c r="I465" s="13" t="s">
        <v>82</v>
      </c>
      <c r="J465" s="13" t="s">
        <v>83</v>
      </c>
      <c r="K465" s="13"/>
      <c r="L465" s="13" t="s">
        <v>2040</v>
      </c>
      <c r="M465" s="13" t="s">
        <v>2041</v>
      </c>
    </row>
    <row r="466" customFormat="false" ht="23.85" hidden="false" customHeight="false" outlineLevel="0" collapsed="false">
      <c r="A466" s="13" t="s">
        <v>3</v>
      </c>
      <c r="B466" s="13" t="s">
        <v>68</v>
      </c>
      <c r="C466" s="13" t="n">
        <v>400</v>
      </c>
      <c r="D466" s="13" t="s">
        <v>2042</v>
      </c>
      <c r="E466" s="13" t="s">
        <v>2043</v>
      </c>
      <c r="F466" s="13" t="s">
        <v>806</v>
      </c>
      <c r="G466" s="13" t="s">
        <v>2038</v>
      </c>
      <c r="H466" s="13" t="s">
        <v>2044</v>
      </c>
      <c r="I466" s="13" t="s">
        <v>82</v>
      </c>
      <c r="J466" s="13" t="s">
        <v>83</v>
      </c>
      <c r="K466" s="13"/>
      <c r="L466" s="13" t="s">
        <v>2045</v>
      </c>
      <c r="M466" s="13" t="s">
        <v>2046</v>
      </c>
    </row>
    <row r="467" customFormat="false" ht="23.85" hidden="false" customHeight="false" outlineLevel="0" collapsed="false">
      <c r="A467" s="13" t="s">
        <v>3</v>
      </c>
      <c r="B467" s="13" t="s">
        <v>68</v>
      </c>
      <c r="C467" s="13" t="n">
        <v>400</v>
      </c>
      <c r="D467" s="13" t="s">
        <v>2047</v>
      </c>
      <c r="E467" s="13" t="s">
        <v>2048</v>
      </c>
      <c r="F467" s="13" t="s">
        <v>806</v>
      </c>
      <c r="G467" s="13" t="s">
        <v>2038</v>
      </c>
      <c r="H467" s="13" t="s">
        <v>2049</v>
      </c>
      <c r="I467" s="13" t="s">
        <v>82</v>
      </c>
      <c r="J467" s="13" t="s">
        <v>83</v>
      </c>
      <c r="K467" s="13"/>
      <c r="L467" s="13" t="s">
        <v>2050</v>
      </c>
      <c r="M467" s="13" t="s">
        <v>2051</v>
      </c>
    </row>
    <row r="468" customFormat="false" ht="23.85" hidden="false" customHeight="false" outlineLevel="0" collapsed="false">
      <c r="A468" s="13" t="s">
        <v>3</v>
      </c>
      <c r="B468" s="13" t="s">
        <v>68</v>
      </c>
      <c r="C468" s="13" t="n">
        <v>400</v>
      </c>
      <c r="D468" s="13" t="s">
        <v>2052</v>
      </c>
      <c r="E468" s="13" t="s">
        <v>2053</v>
      </c>
      <c r="F468" s="13" t="s">
        <v>806</v>
      </c>
      <c r="G468" s="13" t="s">
        <v>2038</v>
      </c>
      <c r="H468" s="13" t="s">
        <v>2054</v>
      </c>
      <c r="I468" s="13" t="s">
        <v>82</v>
      </c>
      <c r="J468" s="13" t="s">
        <v>83</v>
      </c>
      <c r="K468" s="13"/>
      <c r="L468" s="13" t="s">
        <v>2055</v>
      </c>
      <c r="M468" s="13" t="s">
        <v>2056</v>
      </c>
    </row>
    <row r="469" customFormat="false" ht="35.05" hidden="false" customHeight="false" outlineLevel="0" collapsed="false">
      <c r="A469" s="13" t="s">
        <v>3</v>
      </c>
      <c r="B469" s="13" t="s">
        <v>68</v>
      </c>
      <c r="C469" s="13" t="n">
        <v>400</v>
      </c>
      <c r="D469" s="13" t="s">
        <v>2057</v>
      </c>
      <c r="E469" s="13" t="s">
        <v>2058</v>
      </c>
      <c r="F469" s="13" t="s">
        <v>2059</v>
      </c>
      <c r="G469" s="13" t="s">
        <v>2060</v>
      </c>
      <c r="H469" s="13" t="s">
        <v>2061</v>
      </c>
      <c r="I469" s="13" t="s">
        <v>82</v>
      </c>
      <c r="J469" s="13" t="s">
        <v>83</v>
      </c>
      <c r="K469" s="13"/>
      <c r="L469" s="13" t="s">
        <v>2062</v>
      </c>
      <c r="M469" s="13" t="s">
        <v>2063</v>
      </c>
    </row>
    <row r="470" customFormat="false" ht="35.05" hidden="false" customHeight="false" outlineLevel="0" collapsed="false">
      <c r="A470" s="13" t="s">
        <v>3</v>
      </c>
      <c r="B470" s="13" t="s">
        <v>68</v>
      </c>
      <c r="C470" s="13" t="n">
        <v>400</v>
      </c>
      <c r="D470" s="13" t="s">
        <v>2057</v>
      </c>
      <c r="E470" s="13" t="s">
        <v>2064</v>
      </c>
      <c r="F470" s="13" t="s">
        <v>806</v>
      </c>
      <c r="G470" s="13" t="s">
        <v>2065</v>
      </c>
      <c r="H470" s="13" t="s">
        <v>2066</v>
      </c>
      <c r="I470" s="13" t="s">
        <v>82</v>
      </c>
      <c r="J470" s="13" t="s">
        <v>83</v>
      </c>
      <c r="K470" s="13"/>
      <c r="L470" s="13" t="s">
        <v>2062</v>
      </c>
      <c r="M470" s="13" t="s">
        <v>2063</v>
      </c>
    </row>
    <row r="471" customFormat="false" ht="23.85" hidden="false" customHeight="false" outlineLevel="0" collapsed="false">
      <c r="A471" s="13" t="s">
        <v>3</v>
      </c>
      <c r="B471" s="13" t="s">
        <v>68</v>
      </c>
      <c r="C471" s="13" t="n">
        <v>400</v>
      </c>
      <c r="D471" s="13" t="s">
        <v>2067</v>
      </c>
      <c r="E471" s="13" t="s">
        <v>2068</v>
      </c>
      <c r="F471" s="13" t="s">
        <v>2069</v>
      </c>
      <c r="G471" s="13" t="s">
        <v>2070</v>
      </c>
      <c r="H471" s="13" t="s">
        <v>2071</v>
      </c>
      <c r="I471" s="13" t="s">
        <v>82</v>
      </c>
      <c r="J471" s="13" t="s">
        <v>83</v>
      </c>
      <c r="K471" s="13"/>
      <c r="L471" s="13" t="s">
        <v>2072</v>
      </c>
      <c r="M471" s="13" t="s">
        <v>2073</v>
      </c>
    </row>
    <row r="472" customFormat="false" ht="23.85" hidden="false" customHeight="false" outlineLevel="0" collapsed="false">
      <c r="A472" s="13" t="s">
        <v>3</v>
      </c>
      <c r="B472" s="13" t="s">
        <v>68</v>
      </c>
      <c r="C472" s="13" t="n">
        <v>400</v>
      </c>
      <c r="D472" s="13" t="s">
        <v>2074</v>
      </c>
      <c r="E472" s="13" t="s">
        <v>2075</v>
      </c>
      <c r="F472" s="13" t="s">
        <v>2076</v>
      </c>
      <c r="G472" s="13" t="s">
        <v>2070</v>
      </c>
      <c r="H472" s="13" t="s">
        <v>2077</v>
      </c>
      <c r="I472" s="13" t="s">
        <v>82</v>
      </c>
      <c r="J472" s="13" t="s">
        <v>83</v>
      </c>
      <c r="K472" s="13"/>
      <c r="L472" s="13" t="s">
        <v>2078</v>
      </c>
      <c r="M472" s="13" t="s">
        <v>2079</v>
      </c>
    </row>
    <row r="473" customFormat="false" ht="23.85" hidden="false" customHeight="false" outlineLevel="0" collapsed="false">
      <c r="A473" s="13" t="s">
        <v>3</v>
      </c>
      <c r="B473" s="13" t="s">
        <v>68</v>
      </c>
      <c r="C473" s="13" t="n">
        <v>400</v>
      </c>
      <c r="D473" s="13" t="s">
        <v>2074</v>
      </c>
      <c r="E473" s="13" t="s">
        <v>2080</v>
      </c>
      <c r="F473" s="13" t="s">
        <v>2081</v>
      </c>
      <c r="G473" s="13" t="s">
        <v>2070</v>
      </c>
      <c r="H473" s="13" t="s">
        <v>2082</v>
      </c>
      <c r="I473" s="13" t="s">
        <v>82</v>
      </c>
      <c r="J473" s="13" t="s">
        <v>83</v>
      </c>
      <c r="K473" s="13"/>
      <c r="L473" s="13" t="s">
        <v>2078</v>
      </c>
      <c r="M473" s="13" t="s">
        <v>2079</v>
      </c>
    </row>
    <row r="474" customFormat="false" ht="23.85" hidden="false" customHeight="false" outlineLevel="0" collapsed="false">
      <c r="A474" s="13" t="s">
        <v>3</v>
      </c>
      <c r="B474" s="13" t="s">
        <v>68</v>
      </c>
      <c r="C474" s="13" t="n">
        <v>400</v>
      </c>
      <c r="D474" s="13" t="s">
        <v>2074</v>
      </c>
      <c r="E474" s="13" t="s">
        <v>2083</v>
      </c>
      <c r="F474" s="13" t="s">
        <v>2084</v>
      </c>
      <c r="G474" s="13" t="s">
        <v>2070</v>
      </c>
      <c r="H474" s="13" t="s">
        <v>2085</v>
      </c>
      <c r="I474" s="13" t="s">
        <v>82</v>
      </c>
      <c r="J474" s="13" t="s">
        <v>83</v>
      </c>
      <c r="K474" s="13"/>
      <c r="L474" s="13" t="s">
        <v>2078</v>
      </c>
      <c r="M474" s="13" t="s">
        <v>2079</v>
      </c>
    </row>
    <row r="475" customFormat="false" ht="46.25" hidden="false" customHeight="false" outlineLevel="0" collapsed="false">
      <c r="A475" s="13" t="s">
        <v>3</v>
      </c>
      <c r="B475" s="13" t="s">
        <v>68</v>
      </c>
      <c r="C475" s="13" t="n">
        <v>400</v>
      </c>
      <c r="D475" s="13" t="s">
        <v>2086</v>
      </c>
      <c r="E475" s="13" t="s">
        <v>2087</v>
      </c>
      <c r="F475" s="13" t="s">
        <v>2088</v>
      </c>
      <c r="G475" s="13" t="s">
        <v>2070</v>
      </c>
      <c r="H475" s="13" t="s">
        <v>2089</v>
      </c>
      <c r="I475" s="13" t="s">
        <v>82</v>
      </c>
      <c r="J475" s="13" t="s">
        <v>83</v>
      </c>
      <c r="K475" s="13"/>
      <c r="L475" s="13" t="s">
        <v>2090</v>
      </c>
      <c r="M475" s="13" t="s">
        <v>2091</v>
      </c>
    </row>
    <row r="476" customFormat="false" ht="46.25" hidden="false" customHeight="false" outlineLevel="0" collapsed="false">
      <c r="A476" s="13" t="s">
        <v>3</v>
      </c>
      <c r="B476" s="13" t="s">
        <v>68</v>
      </c>
      <c r="C476" s="13" t="n">
        <v>400</v>
      </c>
      <c r="D476" s="13" t="s">
        <v>2086</v>
      </c>
      <c r="E476" s="13" t="s">
        <v>2092</v>
      </c>
      <c r="F476" s="13" t="s">
        <v>2093</v>
      </c>
      <c r="G476" s="13" t="s">
        <v>2070</v>
      </c>
      <c r="H476" s="13" t="s">
        <v>2094</v>
      </c>
      <c r="I476" s="13" t="s">
        <v>82</v>
      </c>
      <c r="J476" s="13" t="s">
        <v>83</v>
      </c>
      <c r="K476" s="13"/>
      <c r="L476" s="13" t="s">
        <v>2090</v>
      </c>
      <c r="M476" s="13" t="s">
        <v>2091</v>
      </c>
    </row>
    <row r="477" customFormat="false" ht="46.25" hidden="false" customHeight="false" outlineLevel="0" collapsed="false">
      <c r="A477" s="13" t="s">
        <v>3</v>
      </c>
      <c r="B477" s="13" t="s">
        <v>68</v>
      </c>
      <c r="C477" s="13" t="n">
        <v>400</v>
      </c>
      <c r="D477" s="13" t="s">
        <v>2086</v>
      </c>
      <c r="E477" s="13" t="s">
        <v>2095</v>
      </c>
      <c r="F477" s="13" t="s">
        <v>2096</v>
      </c>
      <c r="G477" s="13" t="s">
        <v>2070</v>
      </c>
      <c r="H477" s="13" t="s">
        <v>2097</v>
      </c>
      <c r="I477" s="13" t="s">
        <v>82</v>
      </c>
      <c r="J477" s="13" t="s">
        <v>83</v>
      </c>
      <c r="K477" s="13"/>
      <c r="L477" s="13" t="s">
        <v>2090</v>
      </c>
      <c r="M477" s="13" t="s">
        <v>2091</v>
      </c>
    </row>
    <row r="478" customFormat="false" ht="46.25" hidden="false" customHeight="false" outlineLevel="0" collapsed="false">
      <c r="A478" s="13" t="s">
        <v>3</v>
      </c>
      <c r="B478" s="13" t="s">
        <v>68</v>
      </c>
      <c r="C478" s="13" t="n">
        <v>400</v>
      </c>
      <c r="D478" s="13" t="s">
        <v>2086</v>
      </c>
      <c r="E478" s="13" t="s">
        <v>2098</v>
      </c>
      <c r="F478" s="13" t="s">
        <v>2099</v>
      </c>
      <c r="G478" s="13" t="s">
        <v>2070</v>
      </c>
      <c r="H478" s="13" t="s">
        <v>2100</v>
      </c>
      <c r="I478" s="13" t="s">
        <v>82</v>
      </c>
      <c r="J478" s="13" t="s">
        <v>83</v>
      </c>
      <c r="K478" s="13"/>
      <c r="L478" s="13" t="s">
        <v>2090</v>
      </c>
      <c r="M478" s="13" t="s">
        <v>2091</v>
      </c>
    </row>
    <row r="479" customFormat="false" ht="46.25" hidden="false" customHeight="false" outlineLevel="0" collapsed="false">
      <c r="A479" s="13" t="s">
        <v>3</v>
      </c>
      <c r="B479" s="13" t="s">
        <v>68</v>
      </c>
      <c r="C479" s="13" t="n">
        <v>400</v>
      </c>
      <c r="D479" s="13" t="s">
        <v>2086</v>
      </c>
      <c r="E479" s="13" t="s">
        <v>2101</v>
      </c>
      <c r="F479" s="13" t="s">
        <v>2102</v>
      </c>
      <c r="G479" s="13" t="s">
        <v>2070</v>
      </c>
      <c r="H479" s="13" t="s">
        <v>2103</v>
      </c>
      <c r="I479" s="13" t="s">
        <v>82</v>
      </c>
      <c r="J479" s="13" t="s">
        <v>83</v>
      </c>
      <c r="K479" s="13"/>
      <c r="L479" s="13" t="s">
        <v>2090</v>
      </c>
      <c r="M479" s="13" t="s">
        <v>2091</v>
      </c>
    </row>
    <row r="480" customFormat="false" ht="46.25" hidden="false" customHeight="false" outlineLevel="0" collapsed="false">
      <c r="A480" s="13" t="s">
        <v>3</v>
      </c>
      <c r="B480" s="13" t="s">
        <v>68</v>
      </c>
      <c r="C480" s="13" t="n">
        <v>400</v>
      </c>
      <c r="D480" s="13" t="s">
        <v>2086</v>
      </c>
      <c r="E480" s="13" t="s">
        <v>2104</v>
      </c>
      <c r="F480" s="13" t="s">
        <v>2105</v>
      </c>
      <c r="G480" s="13" t="s">
        <v>2070</v>
      </c>
      <c r="H480" s="13" t="s">
        <v>2106</v>
      </c>
      <c r="I480" s="13" t="s">
        <v>82</v>
      </c>
      <c r="J480" s="13" t="s">
        <v>83</v>
      </c>
      <c r="K480" s="13"/>
      <c r="L480" s="13" t="s">
        <v>2090</v>
      </c>
      <c r="M480" s="13" t="s">
        <v>2091</v>
      </c>
    </row>
    <row r="481" customFormat="false" ht="35.05" hidden="false" customHeight="false" outlineLevel="0" collapsed="false">
      <c r="A481" s="13" t="s">
        <v>3</v>
      </c>
      <c r="B481" s="13" t="s">
        <v>68</v>
      </c>
      <c r="C481" s="13" t="n">
        <v>400</v>
      </c>
      <c r="D481" s="13" t="s">
        <v>2107</v>
      </c>
      <c r="E481" s="13" t="s">
        <v>2108</v>
      </c>
      <c r="F481" s="13" t="s">
        <v>2109</v>
      </c>
      <c r="G481" s="13" t="s">
        <v>2070</v>
      </c>
      <c r="H481" s="13" t="s">
        <v>2110</v>
      </c>
      <c r="I481" s="13" t="s">
        <v>82</v>
      </c>
      <c r="J481" s="13" t="s">
        <v>83</v>
      </c>
      <c r="K481" s="13"/>
      <c r="L481" s="13" t="s">
        <v>2111</v>
      </c>
      <c r="M481" s="13" t="s">
        <v>2112</v>
      </c>
    </row>
    <row r="482" customFormat="false" ht="35.05" hidden="false" customHeight="false" outlineLevel="0" collapsed="false">
      <c r="A482" s="13" t="s">
        <v>3</v>
      </c>
      <c r="B482" s="13" t="s">
        <v>68</v>
      </c>
      <c r="C482" s="13" t="n">
        <v>400</v>
      </c>
      <c r="D482" s="13" t="s">
        <v>2107</v>
      </c>
      <c r="E482" s="13" t="s">
        <v>2113</v>
      </c>
      <c r="F482" s="13" t="s">
        <v>2114</v>
      </c>
      <c r="G482" s="13" t="s">
        <v>2070</v>
      </c>
      <c r="H482" s="13" t="s">
        <v>2115</v>
      </c>
      <c r="I482" s="13" t="s">
        <v>74</v>
      </c>
      <c r="J482" s="13" t="s">
        <v>2116</v>
      </c>
      <c r="K482" s="13" t="s">
        <v>2117</v>
      </c>
      <c r="L482" s="13" t="s">
        <v>2111</v>
      </c>
      <c r="M482" s="13" t="s">
        <v>2112</v>
      </c>
    </row>
    <row r="483" customFormat="false" ht="35.05" hidden="false" customHeight="false" outlineLevel="0" collapsed="false">
      <c r="A483" s="13" t="s">
        <v>3</v>
      </c>
      <c r="B483" s="13" t="s">
        <v>68</v>
      </c>
      <c r="C483" s="13" t="n">
        <v>400</v>
      </c>
      <c r="D483" s="13" t="s">
        <v>2107</v>
      </c>
      <c r="E483" s="13" t="s">
        <v>2118</v>
      </c>
      <c r="F483" s="13" t="s">
        <v>2119</v>
      </c>
      <c r="G483" s="13" t="s">
        <v>2070</v>
      </c>
      <c r="H483" s="13" t="s">
        <v>2120</v>
      </c>
      <c r="I483" s="13" t="s">
        <v>82</v>
      </c>
      <c r="J483" s="13" t="s">
        <v>83</v>
      </c>
      <c r="K483" s="13"/>
      <c r="L483" s="13" t="s">
        <v>2111</v>
      </c>
      <c r="M483" s="13" t="s">
        <v>2112</v>
      </c>
    </row>
    <row r="484" customFormat="false" ht="23.85" hidden="false" customHeight="false" outlineLevel="0" collapsed="false">
      <c r="A484" s="13" t="s">
        <v>3</v>
      </c>
      <c r="B484" s="13" t="s">
        <v>68</v>
      </c>
      <c r="C484" s="13" t="n">
        <v>400</v>
      </c>
      <c r="D484" s="13" t="s">
        <v>2121</v>
      </c>
      <c r="E484" s="13" t="s">
        <v>2122</v>
      </c>
      <c r="F484" s="13" t="s">
        <v>2123</v>
      </c>
      <c r="G484" s="13" t="s">
        <v>2011</v>
      </c>
      <c r="H484" s="13" t="s">
        <v>2124</v>
      </c>
      <c r="I484" s="13" t="s">
        <v>82</v>
      </c>
      <c r="J484" s="13" t="s">
        <v>83</v>
      </c>
      <c r="K484" s="13"/>
      <c r="L484" s="13" t="s">
        <v>2125</v>
      </c>
      <c r="M484" s="13" t="s">
        <v>2126</v>
      </c>
    </row>
    <row r="485" customFormat="false" ht="35.05" hidden="false" customHeight="false" outlineLevel="0" collapsed="false">
      <c r="A485" s="13" t="s">
        <v>3</v>
      </c>
      <c r="B485" s="13" t="s">
        <v>68</v>
      </c>
      <c r="C485" s="13" t="n">
        <v>400</v>
      </c>
      <c r="D485" s="13" t="s">
        <v>2127</v>
      </c>
      <c r="E485" s="13" t="s">
        <v>2128</v>
      </c>
      <c r="F485" s="13" t="s">
        <v>806</v>
      </c>
      <c r="G485" s="13" t="s">
        <v>2129</v>
      </c>
      <c r="H485" s="13" t="s">
        <v>2130</v>
      </c>
      <c r="I485" s="13" t="s">
        <v>82</v>
      </c>
      <c r="J485" s="13" t="s">
        <v>83</v>
      </c>
      <c r="K485" s="13"/>
      <c r="L485" s="13" t="s">
        <v>2131</v>
      </c>
      <c r="M485" s="13" t="s">
        <v>2132</v>
      </c>
    </row>
    <row r="486" customFormat="false" ht="35.05" hidden="false" customHeight="false" outlineLevel="0" collapsed="false">
      <c r="A486" s="13" t="s">
        <v>3</v>
      </c>
      <c r="B486" s="13" t="s">
        <v>68</v>
      </c>
      <c r="C486" s="13" t="n">
        <v>400</v>
      </c>
      <c r="D486" s="13" t="s">
        <v>2133</v>
      </c>
      <c r="E486" s="13" t="s">
        <v>2134</v>
      </c>
      <c r="F486" s="13" t="s">
        <v>806</v>
      </c>
      <c r="G486" s="13" t="s">
        <v>2129</v>
      </c>
      <c r="H486" s="13" t="s">
        <v>2135</v>
      </c>
      <c r="I486" s="13" t="s">
        <v>82</v>
      </c>
      <c r="J486" s="13" t="s">
        <v>83</v>
      </c>
      <c r="K486" s="13"/>
      <c r="L486" s="13" t="s">
        <v>2136</v>
      </c>
      <c r="M486" s="13" t="s">
        <v>2137</v>
      </c>
    </row>
    <row r="487" customFormat="false" ht="23.85" hidden="false" customHeight="false" outlineLevel="0" collapsed="false">
      <c r="A487" s="13" t="s">
        <v>3</v>
      </c>
      <c r="B487" s="13" t="s">
        <v>68</v>
      </c>
      <c r="C487" s="13" t="n">
        <v>400</v>
      </c>
      <c r="D487" s="13" t="s">
        <v>2138</v>
      </c>
      <c r="E487" s="13" t="s">
        <v>2139</v>
      </c>
      <c r="F487" s="13" t="s">
        <v>806</v>
      </c>
      <c r="G487" s="13" t="s">
        <v>2140</v>
      </c>
      <c r="H487" s="13" t="s">
        <v>2141</v>
      </c>
      <c r="I487" s="13" t="s">
        <v>82</v>
      </c>
      <c r="J487" s="13" t="s">
        <v>83</v>
      </c>
      <c r="K487" s="13"/>
      <c r="L487" s="13" t="s">
        <v>2142</v>
      </c>
      <c r="M487" s="13" t="s">
        <v>2143</v>
      </c>
    </row>
    <row r="488" customFormat="false" ht="158.2" hidden="false" customHeight="false" outlineLevel="0" collapsed="false">
      <c r="A488" s="13" t="s">
        <v>3</v>
      </c>
      <c r="B488" s="13" t="s">
        <v>68</v>
      </c>
      <c r="C488" s="13" t="n">
        <v>400</v>
      </c>
      <c r="D488" s="13" t="s">
        <v>2144</v>
      </c>
      <c r="E488" s="13" t="s">
        <v>2145</v>
      </c>
      <c r="F488" s="13" t="s">
        <v>2146</v>
      </c>
      <c r="G488" s="13" t="s">
        <v>1005</v>
      </c>
      <c r="H488" s="13" t="s">
        <v>2147</v>
      </c>
      <c r="I488" s="13" t="s">
        <v>82</v>
      </c>
      <c r="J488" s="13" t="s">
        <v>83</v>
      </c>
      <c r="K488" s="13"/>
      <c r="L488" s="13" t="s">
        <v>2148</v>
      </c>
      <c r="M488" s="13" t="s">
        <v>2149</v>
      </c>
    </row>
    <row r="489" customFormat="false" ht="91" hidden="false" customHeight="false" outlineLevel="0" collapsed="false">
      <c r="A489" s="13" t="s">
        <v>3</v>
      </c>
      <c r="B489" s="13" t="s">
        <v>2150</v>
      </c>
      <c r="C489" s="13" t="n">
        <v>61</v>
      </c>
      <c r="D489" s="13" t="s">
        <v>2151</v>
      </c>
      <c r="E489" s="13" t="s">
        <v>2152</v>
      </c>
      <c r="F489" s="13" t="s">
        <v>806</v>
      </c>
      <c r="G489" s="13" t="s">
        <v>2153</v>
      </c>
      <c r="H489" s="13" t="s">
        <v>2154</v>
      </c>
      <c r="I489" s="13" t="s">
        <v>82</v>
      </c>
      <c r="J489" s="13" t="s">
        <v>83</v>
      </c>
      <c r="K489" s="13"/>
      <c r="L489" s="13" t="s">
        <v>2155</v>
      </c>
      <c r="M489" s="13" t="s">
        <v>2156</v>
      </c>
    </row>
    <row r="490" customFormat="false" ht="91" hidden="false" customHeight="false" outlineLevel="0" collapsed="false">
      <c r="A490" s="13" t="s">
        <v>3</v>
      </c>
      <c r="B490" s="13" t="s">
        <v>2150</v>
      </c>
      <c r="C490" s="13" t="n">
        <v>61</v>
      </c>
      <c r="D490" s="13" t="s">
        <v>2151</v>
      </c>
      <c r="E490" s="13" t="s">
        <v>2157</v>
      </c>
      <c r="F490" s="13" t="s">
        <v>806</v>
      </c>
      <c r="G490" s="13" t="s">
        <v>2158</v>
      </c>
      <c r="H490" s="13" t="s">
        <v>2154</v>
      </c>
      <c r="I490" s="13" t="s">
        <v>82</v>
      </c>
      <c r="J490" s="13" t="s">
        <v>83</v>
      </c>
      <c r="K490" s="13"/>
      <c r="L490" s="13" t="s">
        <v>2155</v>
      </c>
      <c r="M490" s="13" t="s">
        <v>2156</v>
      </c>
    </row>
    <row r="491" customFormat="false" ht="91" hidden="false" customHeight="false" outlineLevel="0" collapsed="false">
      <c r="A491" s="13" t="s">
        <v>3</v>
      </c>
      <c r="B491" s="13" t="s">
        <v>2150</v>
      </c>
      <c r="C491" s="13" t="n">
        <v>61</v>
      </c>
      <c r="D491" s="13" t="s">
        <v>2151</v>
      </c>
      <c r="E491" s="13" t="s">
        <v>2159</v>
      </c>
      <c r="F491" s="13" t="s">
        <v>2154</v>
      </c>
      <c r="G491" s="13" t="s">
        <v>2160</v>
      </c>
      <c r="H491" s="13" t="s">
        <v>806</v>
      </c>
      <c r="I491" s="13" t="s">
        <v>82</v>
      </c>
      <c r="J491" s="13" t="s">
        <v>83</v>
      </c>
      <c r="K491" s="13"/>
      <c r="L491" s="13" t="s">
        <v>2155</v>
      </c>
      <c r="M491" s="13" t="s">
        <v>2156</v>
      </c>
    </row>
    <row r="492" customFormat="false" ht="46.25" hidden="false" customHeight="false" outlineLevel="0" collapsed="false">
      <c r="A492" s="13" t="s">
        <v>3</v>
      </c>
      <c r="B492" s="13" t="s">
        <v>2150</v>
      </c>
      <c r="C492" s="13" t="n">
        <v>61</v>
      </c>
      <c r="D492" s="13" t="s">
        <v>2161</v>
      </c>
      <c r="E492" s="13" t="s">
        <v>2162</v>
      </c>
      <c r="F492" s="13" t="s">
        <v>806</v>
      </c>
      <c r="G492" s="13" t="s">
        <v>2163</v>
      </c>
      <c r="H492" s="13" t="s">
        <v>2164</v>
      </c>
      <c r="I492" s="13" t="s">
        <v>82</v>
      </c>
      <c r="J492" s="13" t="s">
        <v>83</v>
      </c>
      <c r="K492" s="13"/>
      <c r="L492" s="13" t="s">
        <v>2165</v>
      </c>
      <c r="M492" s="13" t="s">
        <v>2166</v>
      </c>
    </row>
    <row r="493" customFormat="false" ht="46.25" hidden="false" customHeight="false" outlineLevel="0" collapsed="false">
      <c r="A493" s="13" t="s">
        <v>3</v>
      </c>
      <c r="B493" s="13" t="s">
        <v>2150</v>
      </c>
      <c r="C493" s="13" t="n">
        <v>61</v>
      </c>
      <c r="D493" s="13" t="s">
        <v>2161</v>
      </c>
      <c r="E493" s="13" t="s">
        <v>2167</v>
      </c>
      <c r="F493" s="13" t="s">
        <v>806</v>
      </c>
      <c r="G493" s="13" t="s">
        <v>2168</v>
      </c>
      <c r="H493" s="13" t="s">
        <v>2169</v>
      </c>
      <c r="I493" s="13" t="s">
        <v>82</v>
      </c>
      <c r="J493" s="13" t="s">
        <v>83</v>
      </c>
      <c r="K493" s="13"/>
      <c r="L493" s="13" t="s">
        <v>2165</v>
      </c>
      <c r="M493" s="13" t="s">
        <v>2166</v>
      </c>
    </row>
    <row r="494" customFormat="false" ht="46.25" hidden="false" customHeight="false" outlineLevel="0" collapsed="false">
      <c r="A494" s="13" t="s">
        <v>3</v>
      </c>
      <c r="B494" s="13" t="s">
        <v>2150</v>
      </c>
      <c r="C494" s="13" t="n">
        <v>61</v>
      </c>
      <c r="D494" s="13" t="s">
        <v>2161</v>
      </c>
      <c r="E494" s="13" t="s">
        <v>2170</v>
      </c>
      <c r="F494" s="13" t="s">
        <v>806</v>
      </c>
      <c r="G494" s="13" t="s">
        <v>2171</v>
      </c>
      <c r="H494" s="13" t="s">
        <v>2172</v>
      </c>
      <c r="I494" s="13" t="s">
        <v>82</v>
      </c>
      <c r="J494" s="13" t="s">
        <v>83</v>
      </c>
      <c r="K494" s="13"/>
      <c r="L494" s="13" t="s">
        <v>2165</v>
      </c>
      <c r="M494" s="13" t="s">
        <v>2166</v>
      </c>
    </row>
    <row r="495" customFormat="false" ht="46.25" hidden="false" customHeight="false" outlineLevel="0" collapsed="false">
      <c r="A495" s="13" t="s">
        <v>3</v>
      </c>
      <c r="B495" s="13" t="s">
        <v>2150</v>
      </c>
      <c r="C495" s="13" t="n">
        <v>61</v>
      </c>
      <c r="D495" s="13" t="s">
        <v>2161</v>
      </c>
      <c r="E495" s="13" t="s">
        <v>2173</v>
      </c>
      <c r="F495" s="13" t="s">
        <v>806</v>
      </c>
      <c r="G495" s="13" t="s">
        <v>1858</v>
      </c>
      <c r="H495" s="13" t="s">
        <v>2174</v>
      </c>
      <c r="I495" s="13" t="s">
        <v>82</v>
      </c>
      <c r="J495" s="13" t="s">
        <v>83</v>
      </c>
      <c r="K495" s="13"/>
      <c r="L495" s="13" t="s">
        <v>2165</v>
      </c>
      <c r="M495" s="13" t="s">
        <v>2166</v>
      </c>
    </row>
    <row r="496" customFormat="false" ht="35.05" hidden="false" customHeight="false" outlineLevel="0" collapsed="false">
      <c r="A496" s="13" t="s">
        <v>3</v>
      </c>
      <c r="B496" s="13" t="s">
        <v>2150</v>
      </c>
      <c r="C496" s="13" t="n">
        <v>61</v>
      </c>
      <c r="D496" s="13" t="s">
        <v>2175</v>
      </c>
      <c r="E496" s="13" t="s">
        <v>2176</v>
      </c>
      <c r="F496" s="13" t="s">
        <v>806</v>
      </c>
      <c r="G496" s="13" t="s">
        <v>2177</v>
      </c>
      <c r="H496" s="13" t="s">
        <v>2178</v>
      </c>
      <c r="I496" s="13" t="s">
        <v>82</v>
      </c>
      <c r="J496" s="13" t="s">
        <v>83</v>
      </c>
      <c r="K496" s="13"/>
      <c r="L496" s="13" t="s">
        <v>2179</v>
      </c>
      <c r="M496" s="13" t="s">
        <v>2180</v>
      </c>
    </row>
    <row r="497" customFormat="false" ht="35.05" hidden="false" customHeight="false" outlineLevel="0" collapsed="false">
      <c r="A497" s="13" t="s">
        <v>3</v>
      </c>
      <c r="B497" s="13" t="s">
        <v>2150</v>
      </c>
      <c r="C497" s="13" t="n">
        <v>61</v>
      </c>
      <c r="D497" s="13" t="s">
        <v>2175</v>
      </c>
      <c r="E497" s="13" t="s">
        <v>2181</v>
      </c>
      <c r="F497" s="13" t="s">
        <v>806</v>
      </c>
      <c r="G497" s="13" t="s">
        <v>2182</v>
      </c>
      <c r="H497" s="13" t="s">
        <v>2183</v>
      </c>
      <c r="I497" s="13" t="s">
        <v>82</v>
      </c>
      <c r="J497" s="13" t="s">
        <v>83</v>
      </c>
      <c r="K497" s="13"/>
      <c r="L497" s="13" t="s">
        <v>2179</v>
      </c>
      <c r="M497" s="13" t="s">
        <v>2180</v>
      </c>
    </row>
    <row r="498" customFormat="false" ht="35.05" hidden="false" customHeight="false" outlineLevel="0" collapsed="false">
      <c r="A498" s="13" t="s">
        <v>3</v>
      </c>
      <c r="B498" s="13" t="s">
        <v>2150</v>
      </c>
      <c r="C498" s="13" t="n">
        <v>61</v>
      </c>
      <c r="D498" s="13" t="s">
        <v>2175</v>
      </c>
      <c r="E498" s="13" t="s">
        <v>2184</v>
      </c>
      <c r="F498" s="13" t="s">
        <v>2185</v>
      </c>
      <c r="G498" s="13" t="s">
        <v>2186</v>
      </c>
      <c r="H498" s="13" t="s">
        <v>2183</v>
      </c>
      <c r="I498" s="13" t="s">
        <v>82</v>
      </c>
      <c r="J498" s="13" t="s">
        <v>83</v>
      </c>
      <c r="K498" s="13"/>
      <c r="L498" s="13" t="s">
        <v>2179</v>
      </c>
      <c r="M498" s="13" t="s">
        <v>2180</v>
      </c>
    </row>
    <row r="499" customFormat="false" ht="147" hidden="false" customHeight="false" outlineLevel="0" collapsed="false">
      <c r="A499" s="13" t="s">
        <v>3</v>
      </c>
      <c r="B499" s="13" t="s">
        <v>2150</v>
      </c>
      <c r="C499" s="13" t="n">
        <v>61</v>
      </c>
      <c r="D499" s="13" t="s">
        <v>2187</v>
      </c>
      <c r="E499" s="13" t="s">
        <v>2188</v>
      </c>
      <c r="F499" s="13" t="s">
        <v>806</v>
      </c>
      <c r="G499" s="13" t="s">
        <v>2189</v>
      </c>
      <c r="H499" s="13" t="s">
        <v>2185</v>
      </c>
      <c r="I499" s="13" t="s">
        <v>82</v>
      </c>
      <c r="J499" s="13" t="s">
        <v>83</v>
      </c>
      <c r="K499" s="13"/>
      <c r="L499" s="13" t="s">
        <v>2190</v>
      </c>
      <c r="M499" s="13" t="s">
        <v>2191</v>
      </c>
    </row>
    <row r="500" customFormat="false" ht="147" hidden="false" customHeight="false" outlineLevel="0" collapsed="false">
      <c r="A500" s="13" t="s">
        <v>3</v>
      </c>
      <c r="B500" s="13" t="s">
        <v>2150</v>
      </c>
      <c r="C500" s="13" t="n">
        <v>61</v>
      </c>
      <c r="D500" s="13" t="s">
        <v>2187</v>
      </c>
      <c r="E500" s="13" t="s">
        <v>2192</v>
      </c>
      <c r="F500" s="13" t="s">
        <v>806</v>
      </c>
      <c r="G500" s="13" t="s">
        <v>2193</v>
      </c>
      <c r="H500" s="13" t="s">
        <v>2194</v>
      </c>
      <c r="I500" s="13" t="s">
        <v>82</v>
      </c>
      <c r="J500" s="13" t="s">
        <v>83</v>
      </c>
      <c r="K500" s="13"/>
      <c r="L500" s="13" t="s">
        <v>2190</v>
      </c>
      <c r="M500" s="13" t="s">
        <v>2191</v>
      </c>
    </row>
    <row r="501" customFormat="false" ht="147" hidden="false" customHeight="false" outlineLevel="0" collapsed="false">
      <c r="A501" s="13" t="s">
        <v>3</v>
      </c>
      <c r="B501" s="13" t="s">
        <v>2150</v>
      </c>
      <c r="C501" s="13" t="n">
        <v>61</v>
      </c>
      <c r="D501" s="13" t="s">
        <v>2187</v>
      </c>
      <c r="E501" s="13" t="s">
        <v>2195</v>
      </c>
      <c r="F501" s="13" t="s">
        <v>806</v>
      </c>
      <c r="G501" s="13" t="s">
        <v>2196</v>
      </c>
      <c r="H501" s="13" t="s">
        <v>2197</v>
      </c>
      <c r="I501" s="13" t="s">
        <v>82</v>
      </c>
      <c r="J501" s="13" t="s">
        <v>83</v>
      </c>
      <c r="K501" s="13"/>
      <c r="L501" s="13" t="s">
        <v>2190</v>
      </c>
      <c r="M501" s="13" t="s">
        <v>2191</v>
      </c>
    </row>
    <row r="502" customFormat="false" ht="147" hidden="false" customHeight="false" outlineLevel="0" collapsed="false">
      <c r="A502" s="13" t="s">
        <v>3</v>
      </c>
      <c r="B502" s="13" t="s">
        <v>2150</v>
      </c>
      <c r="C502" s="13" t="n">
        <v>61</v>
      </c>
      <c r="D502" s="13" t="s">
        <v>2187</v>
      </c>
      <c r="E502" s="13" t="s">
        <v>2198</v>
      </c>
      <c r="F502" s="13" t="s">
        <v>806</v>
      </c>
      <c r="G502" s="13" t="s">
        <v>2199</v>
      </c>
      <c r="H502" s="13" t="s">
        <v>2194</v>
      </c>
      <c r="I502" s="13" t="s">
        <v>82</v>
      </c>
      <c r="J502" s="13" t="s">
        <v>83</v>
      </c>
      <c r="K502" s="13"/>
      <c r="L502" s="13" t="s">
        <v>2190</v>
      </c>
      <c r="M502" s="13" t="s">
        <v>2191</v>
      </c>
    </row>
    <row r="503" customFormat="false" ht="35.05" hidden="false" customHeight="false" outlineLevel="0" collapsed="false">
      <c r="A503" s="13" t="s">
        <v>3</v>
      </c>
      <c r="B503" s="13" t="s">
        <v>2150</v>
      </c>
      <c r="C503" s="13" t="n">
        <v>61</v>
      </c>
      <c r="D503" s="13" t="s">
        <v>2200</v>
      </c>
      <c r="E503" s="13" t="s">
        <v>2201</v>
      </c>
      <c r="F503" s="13" t="s">
        <v>806</v>
      </c>
      <c r="G503" s="13" t="s">
        <v>2202</v>
      </c>
      <c r="H503" s="13" t="s">
        <v>2203</v>
      </c>
      <c r="I503" s="13" t="s">
        <v>82</v>
      </c>
      <c r="J503" s="13" t="s">
        <v>83</v>
      </c>
      <c r="K503" s="13"/>
      <c r="L503" s="13" t="s">
        <v>2204</v>
      </c>
      <c r="M503" s="13" t="s">
        <v>2205</v>
      </c>
    </row>
    <row r="504" customFormat="false" ht="35.05" hidden="false" customHeight="false" outlineLevel="0" collapsed="false">
      <c r="A504" s="13" t="s">
        <v>3</v>
      </c>
      <c r="B504" s="13" t="s">
        <v>2150</v>
      </c>
      <c r="C504" s="13" t="n">
        <v>61</v>
      </c>
      <c r="D504" s="13" t="s">
        <v>2200</v>
      </c>
      <c r="E504" s="13" t="s">
        <v>2206</v>
      </c>
      <c r="F504" s="13" t="s">
        <v>806</v>
      </c>
      <c r="G504" s="13" t="s">
        <v>2207</v>
      </c>
      <c r="H504" s="13" t="s">
        <v>2164</v>
      </c>
      <c r="I504" s="13" t="s">
        <v>82</v>
      </c>
      <c r="J504" s="13" t="s">
        <v>83</v>
      </c>
      <c r="K504" s="13"/>
      <c r="L504" s="13" t="s">
        <v>2204</v>
      </c>
      <c r="M504" s="13" t="s">
        <v>2205</v>
      </c>
    </row>
    <row r="505" customFormat="false" ht="23.85" hidden="false" customHeight="false" outlineLevel="0" collapsed="false">
      <c r="A505" s="13" t="s">
        <v>3</v>
      </c>
      <c r="B505" s="13" t="s">
        <v>2150</v>
      </c>
      <c r="C505" s="13" t="n">
        <v>61</v>
      </c>
      <c r="D505" s="13" t="s">
        <v>2208</v>
      </c>
      <c r="E505" s="13" t="s">
        <v>2209</v>
      </c>
      <c r="F505" s="13" t="s">
        <v>806</v>
      </c>
      <c r="G505" s="13" t="s">
        <v>2210</v>
      </c>
      <c r="H505" s="13" t="s">
        <v>2211</v>
      </c>
      <c r="I505" s="13" t="s">
        <v>82</v>
      </c>
      <c r="J505" s="13" t="s">
        <v>83</v>
      </c>
      <c r="K505" s="13"/>
      <c r="L505" s="13" t="s">
        <v>2212</v>
      </c>
      <c r="M505" s="13" t="s">
        <v>2213</v>
      </c>
    </row>
    <row r="506" customFormat="false" ht="23.85" hidden="false" customHeight="false" outlineLevel="0" collapsed="false">
      <c r="A506" s="13" t="s">
        <v>3</v>
      </c>
      <c r="B506" s="13" t="s">
        <v>2150</v>
      </c>
      <c r="C506" s="13" t="n">
        <v>61</v>
      </c>
      <c r="D506" s="13" t="s">
        <v>2214</v>
      </c>
      <c r="E506" s="13" t="s">
        <v>2215</v>
      </c>
      <c r="F506" s="13" t="s">
        <v>2216</v>
      </c>
      <c r="G506" s="13" t="s">
        <v>2217</v>
      </c>
      <c r="H506" s="13" t="s">
        <v>2218</v>
      </c>
      <c r="I506" s="13" t="s">
        <v>82</v>
      </c>
      <c r="J506" s="13" t="s">
        <v>83</v>
      </c>
      <c r="K506" s="13"/>
      <c r="L506" s="13" t="s">
        <v>2219</v>
      </c>
      <c r="M506" s="13" t="s">
        <v>2220</v>
      </c>
    </row>
    <row r="507" customFormat="false" ht="23.85" hidden="false" customHeight="false" outlineLevel="0" collapsed="false">
      <c r="A507" s="13" t="s">
        <v>3</v>
      </c>
      <c r="B507" s="13" t="s">
        <v>2150</v>
      </c>
      <c r="C507" s="13" t="n">
        <v>61</v>
      </c>
      <c r="D507" s="13" t="s">
        <v>2221</v>
      </c>
      <c r="E507" s="13" t="s">
        <v>2222</v>
      </c>
      <c r="F507" s="13" t="s">
        <v>806</v>
      </c>
      <c r="G507" s="13" t="s">
        <v>2223</v>
      </c>
      <c r="H507" s="13" t="s">
        <v>2224</v>
      </c>
      <c r="I507" s="13" t="s">
        <v>82</v>
      </c>
      <c r="J507" s="13" t="s">
        <v>83</v>
      </c>
      <c r="K507" s="13"/>
      <c r="L507" s="13" t="s">
        <v>2225</v>
      </c>
      <c r="M507" s="13" t="s">
        <v>2226</v>
      </c>
    </row>
    <row r="508" customFormat="false" ht="23.85" hidden="false" customHeight="false" outlineLevel="0" collapsed="false">
      <c r="A508" s="13" t="s">
        <v>3</v>
      </c>
      <c r="B508" s="13" t="s">
        <v>2150</v>
      </c>
      <c r="C508" s="13" t="n">
        <v>61</v>
      </c>
      <c r="D508" s="13" t="s">
        <v>2221</v>
      </c>
      <c r="E508" s="13" t="s">
        <v>2227</v>
      </c>
      <c r="F508" s="13" t="s">
        <v>2224</v>
      </c>
      <c r="G508" s="13" t="s">
        <v>2228</v>
      </c>
      <c r="H508" s="13" t="s">
        <v>2229</v>
      </c>
      <c r="I508" s="13" t="s">
        <v>82</v>
      </c>
      <c r="J508" s="13" t="s">
        <v>83</v>
      </c>
      <c r="K508" s="13"/>
      <c r="L508" s="13" t="s">
        <v>2225</v>
      </c>
      <c r="M508" s="13" t="s">
        <v>2226</v>
      </c>
    </row>
    <row r="509" customFormat="false" ht="46.25" hidden="false" customHeight="false" outlineLevel="0" collapsed="false">
      <c r="A509" s="13" t="s">
        <v>3</v>
      </c>
      <c r="B509" s="13" t="s">
        <v>2150</v>
      </c>
      <c r="C509" s="13" t="n">
        <v>61</v>
      </c>
      <c r="D509" s="13" t="s">
        <v>2230</v>
      </c>
      <c r="E509" s="13" t="s">
        <v>2231</v>
      </c>
      <c r="F509" s="13" t="s">
        <v>2232</v>
      </c>
      <c r="G509" s="13" t="s">
        <v>2233</v>
      </c>
      <c r="H509" s="13" t="s">
        <v>2164</v>
      </c>
      <c r="I509" s="13" t="s">
        <v>82</v>
      </c>
      <c r="J509" s="13" t="s">
        <v>83</v>
      </c>
      <c r="K509" s="13"/>
      <c r="L509" s="13" t="s">
        <v>2234</v>
      </c>
      <c r="M509" s="13" t="s">
        <v>2235</v>
      </c>
    </row>
    <row r="510" customFormat="false" ht="46.25" hidden="false" customHeight="false" outlineLevel="0" collapsed="false">
      <c r="A510" s="13" t="s">
        <v>3</v>
      </c>
      <c r="B510" s="13" t="s">
        <v>2150</v>
      </c>
      <c r="C510" s="13" t="n">
        <v>61</v>
      </c>
      <c r="D510" s="13" t="s">
        <v>2230</v>
      </c>
      <c r="E510" s="13" t="s">
        <v>2236</v>
      </c>
      <c r="F510" s="13" t="s">
        <v>2237</v>
      </c>
      <c r="G510" s="13" t="s">
        <v>2238</v>
      </c>
      <c r="H510" s="13" t="s">
        <v>2239</v>
      </c>
      <c r="I510" s="13" t="s">
        <v>82</v>
      </c>
      <c r="J510" s="13" t="s">
        <v>83</v>
      </c>
      <c r="K510" s="13"/>
      <c r="L510" s="13" t="s">
        <v>2234</v>
      </c>
      <c r="M510" s="13" t="s">
        <v>2235</v>
      </c>
    </row>
    <row r="511" customFormat="false" ht="113.4" hidden="false" customHeight="false" outlineLevel="0" collapsed="false">
      <c r="A511" s="13" t="s">
        <v>3</v>
      </c>
      <c r="B511" s="13" t="s">
        <v>2150</v>
      </c>
      <c r="C511" s="13" t="n">
        <v>61</v>
      </c>
      <c r="D511" s="13" t="s">
        <v>2240</v>
      </c>
      <c r="E511" s="13" t="s">
        <v>2241</v>
      </c>
      <c r="F511" s="13" t="s">
        <v>806</v>
      </c>
      <c r="G511" s="13" t="s">
        <v>2242</v>
      </c>
      <c r="H511" s="13" t="s">
        <v>2243</v>
      </c>
      <c r="I511" s="13" t="s">
        <v>82</v>
      </c>
      <c r="J511" s="13" t="s">
        <v>83</v>
      </c>
      <c r="K511" s="13"/>
      <c r="L511" s="13" t="s">
        <v>2244</v>
      </c>
      <c r="M511" s="13" t="s">
        <v>2245</v>
      </c>
    </row>
    <row r="512" customFormat="false" ht="113.4" hidden="false" customHeight="false" outlineLevel="0" collapsed="false">
      <c r="A512" s="13" t="s">
        <v>3</v>
      </c>
      <c r="B512" s="13" t="s">
        <v>2150</v>
      </c>
      <c r="C512" s="13" t="n">
        <v>61</v>
      </c>
      <c r="D512" s="13" t="s">
        <v>2240</v>
      </c>
      <c r="E512" s="13" t="s">
        <v>2246</v>
      </c>
      <c r="F512" s="13" t="s">
        <v>806</v>
      </c>
      <c r="G512" s="13" t="s">
        <v>2247</v>
      </c>
      <c r="H512" s="13" t="s">
        <v>2248</v>
      </c>
      <c r="I512" s="13" t="s">
        <v>74</v>
      </c>
      <c r="J512" s="13" t="s">
        <v>2249</v>
      </c>
      <c r="K512" s="13" t="s">
        <v>2250</v>
      </c>
      <c r="L512" s="13" t="s">
        <v>2244</v>
      </c>
      <c r="M512" s="13" t="s">
        <v>2245</v>
      </c>
    </row>
    <row r="513" customFormat="false" ht="113.4" hidden="false" customHeight="false" outlineLevel="0" collapsed="false">
      <c r="A513" s="13" t="s">
        <v>3</v>
      </c>
      <c r="B513" s="13" t="s">
        <v>2150</v>
      </c>
      <c r="C513" s="13" t="n">
        <v>61</v>
      </c>
      <c r="D513" s="13" t="s">
        <v>2240</v>
      </c>
      <c r="E513" s="13" t="s">
        <v>2251</v>
      </c>
      <c r="F513" s="13" t="s">
        <v>806</v>
      </c>
      <c r="G513" s="13" t="s">
        <v>2252</v>
      </c>
      <c r="H513" s="13" t="s">
        <v>2253</v>
      </c>
      <c r="I513" s="13" t="s">
        <v>82</v>
      </c>
      <c r="J513" s="13" t="s">
        <v>83</v>
      </c>
      <c r="K513" s="13"/>
      <c r="L513" s="13" t="s">
        <v>2244</v>
      </c>
      <c r="M513" s="13" t="s">
        <v>2245</v>
      </c>
    </row>
    <row r="514" customFormat="false" ht="113.4" hidden="false" customHeight="false" outlineLevel="0" collapsed="false">
      <c r="A514" s="13" t="s">
        <v>3</v>
      </c>
      <c r="B514" s="13" t="s">
        <v>2150</v>
      </c>
      <c r="C514" s="13" t="n">
        <v>61</v>
      </c>
      <c r="D514" s="13" t="s">
        <v>2240</v>
      </c>
      <c r="E514" s="13" t="s">
        <v>2254</v>
      </c>
      <c r="F514" s="13" t="s">
        <v>806</v>
      </c>
      <c r="G514" s="13" t="s">
        <v>2252</v>
      </c>
      <c r="H514" s="13" t="s">
        <v>2183</v>
      </c>
      <c r="I514" s="13" t="s">
        <v>82</v>
      </c>
      <c r="J514" s="13" t="s">
        <v>83</v>
      </c>
      <c r="K514" s="13"/>
      <c r="L514" s="13" t="s">
        <v>2244</v>
      </c>
      <c r="M514" s="13" t="s">
        <v>2245</v>
      </c>
    </row>
    <row r="515" customFormat="false" ht="135.8" hidden="false" customHeight="false" outlineLevel="0" collapsed="false">
      <c r="A515" s="13" t="s">
        <v>3</v>
      </c>
      <c r="B515" s="13" t="s">
        <v>2150</v>
      </c>
      <c r="C515" s="13" t="n">
        <v>63</v>
      </c>
      <c r="D515" s="13" t="s">
        <v>2255</v>
      </c>
      <c r="E515" s="13" t="s">
        <v>2256</v>
      </c>
      <c r="F515" s="13" t="s">
        <v>806</v>
      </c>
      <c r="G515" s="13" t="s">
        <v>2257</v>
      </c>
      <c r="H515" s="13" t="s">
        <v>2258</v>
      </c>
      <c r="I515" s="13" t="s">
        <v>82</v>
      </c>
      <c r="J515" s="13" t="s">
        <v>83</v>
      </c>
      <c r="K515" s="13"/>
      <c r="L515" s="13" t="s">
        <v>2259</v>
      </c>
      <c r="M515" s="13" t="s">
        <v>2260</v>
      </c>
    </row>
    <row r="516" customFormat="false" ht="135.8" hidden="false" customHeight="false" outlineLevel="0" collapsed="false">
      <c r="A516" s="13" t="s">
        <v>3</v>
      </c>
      <c r="B516" s="13" t="s">
        <v>2150</v>
      </c>
      <c r="C516" s="13" t="n">
        <v>63</v>
      </c>
      <c r="D516" s="13" t="s">
        <v>2255</v>
      </c>
      <c r="E516" s="13" t="s">
        <v>2261</v>
      </c>
      <c r="F516" s="13" t="s">
        <v>2258</v>
      </c>
      <c r="G516" s="13" t="s">
        <v>2262</v>
      </c>
      <c r="H516" s="13" t="s">
        <v>2263</v>
      </c>
      <c r="I516" s="13" t="s">
        <v>82</v>
      </c>
      <c r="J516" s="13" t="s">
        <v>83</v>
      </c>
      <c r="K516" s="13"/>
      <c r="L516" s="13" t="s">
        <v>2259</v>
      </c>
      <c r="M516" s="13" t="s">
        <v>2260</v>
      </c>
    </row>
    <row r="517" customFormat="false" ht="135.8" hidden="false" customHeight="false" outlineLevel="0" collapsed="false">
      <c r="A517" s="13" t="s">
        <v>3</v>
      </c>
      <c r="B517" s="13" t="s">
        <v>2150</v>
      </c>
      <c r="C517" s="13" t="n">
        <v>63</v>
      </c>
      <c r="D517" s="13" t="s">
        <v>2255</v>
      </c>
      <c r="E517" s="13" t="s">
        <v>2264</v>
      </c>
      <c r="F517" s="13" t="s">
        <v>806</v>
      </c>
      <c r="G517" s="13" t="s">
        <v>2265</v>
      </c>
      <c r="H517" s="13" t="s">
        <v>2266</v>
      </c>
      <c r="I517" s="13" t="s">
        <v>82</v>
      </c>
      <c r="J517" s="13" t="s">
        <v>83</v>
      </c>
      <c r="K517" s="13"/>
      <c r="L517" s="13" t="s">
        <v>2259</v>
      </c>
      <c r="M517" s="13" t="s">
        <v>2260</v>
      </c>
    </row>
    <row r="518" customFormat="false" ht="68.65" hidden="false" customHeight="false" outlineLevel="0" collapsed="false">
      <c r="A518" s="13" t="s">
        <v>3</v>
      </c>
      <c r="B518" s="13" t="s">
        <v>2150</v>
      </c>
      <c r="C518" s="13" t="n">
        <v>63</v>
      </c>
      <c r="D518" s="13" t="s">
        <v>2267</v>
      </c>
      <c r="E518" s="13" t="s">
        <v>2268</v>
      </c>
      <c r="F518" s="13" t="s">
        <v>2269</v>
      </c>
      <c r="G518" s="13" t="s">
        <v>2270</v>
      </c>
      <c r="H518" s="13" t="s">
        <v>2271</v>
      </c>
      <c r="I518" s="13" t="s">
        <v>82</v>
      </c>
      <c r="J518" s="13" t="s">
        <v>83</v>
      </c>
      <c r="K518" s="13"/>
      <c r="L518" s="13" t="s">
        <v>2272</v>
      </c>
      <c r="M518" s="13" t="s">
        <v>2273</v>
      </c>
    </row>
    <row r="519" customFormat="false" ht="57.45" hidden="false" customHeight="false" outlineLevel="0" collapsed="false">
      <c r="A519" s="13" t="s">
        <v>3</v>
      </c>
      <c r="B519" s="13" t="s">
        <v>2150</v>
      </c>
      <c r="C519" s="13" t="n">
        <v>63</v>
      </c>
      <c r="D519" s="13" t="s">
        <v>2274</v>
      </c>
      <c r="E519" s="13" t="s">
        <v>2275</v>
      </c>
      <c r="F519" s="13" t="s">
        <v>2269</v>
      </c>
      <c r="G519" s="13" t="s">
        <v>2276</v>
      </c>
      <c r="H519" s="13" t="s">
        <v>2277</v>
      </c>
      <c r="I519" s="13" t="s">
        <v>82</v>
      </c>
      <c r="J519" s="13" t="s">
        <v>83</v>
      </c>
      <c r="K519" s="13"/>
      <c r="L519" s="13" t="s">
        <v>2278</v>
      </c>
      <c r="M519" s="13" t="s">
        <v>2279</v>
      </c>
    </row>
    <row r="520" customFormat="false" ht="57.45" hidden="false" customHeight="false" outlineLevel="0" collapsed="false">
      <c r="A520" s="13" t="s">
        <v>3</v>
      </c>
      <c r="B520" s="13" t="s">
        <v>2150</v>
      </c>
      <c r="C520" s="13" t="n">
        <v>63</v>
      </c>
      <c r="D520" s="13" t="s">
        <v>2274</v>
      </c>
      <c r="E520" s="13" t="s">
        <v>2280</v>
      </c>
      <c r="F520" s="13" t="s">
        <v>2269</v>
      </c>
      <c r="G520" s="13" t="s">
        <v>2281</v>
      </c>
      <c r="H520" s="13" t="s">
        <v>2282</v>
      </c>
      <c r="I520" s="13" t="s">
        <v>82</v>
      </c>
      <c r="J520" s="13" t="s">
        <v>83</v>
      </c>
      <c r="K520" s="13"/>
      <c r="L520" s="13" t="s">
        <v>2278</v>
      </c>
      <c r="M520" s="13" t="s">
        <v>2279</v>
      </c>
    </row>
    <row r="521" customFormat="false" ht="23.85" hidden="false" customHeight="false" outlineLevel="0" collapsed="false">
      <c r="A521" s="13" t="s">
        <v>3</v>
      </c>
      <c r="B521" s="13" t="s">
        <v>2150</v>
      </c>
      <c r="C521" s="13" t="n">
        <v>63</v>
      </c>
      <c r="D521" s="13" t="s">
        <v>2283</v>
      </c>
      <c r="E521" s="13" t="s">
        <v>2284</v>
      </c>
      <c r="F521" s="13" t="s">
        <v>2269</v>
      </c>
      <c r="G521" s="13" t="s">
        <v>80</v>
      </c>
      <c r="H521" s="13" t="s">
        <v>2285</v>
      </c>
      <c r="I521" s="13" t="s">
        <v>82</v>
      </c>
      <c r="J521" s="13" t="s">
        <v>83</v>
      </c>
      <c r="K521" s="13"/>
      <c r="L521" s="13" t="s">
        <v>2286</v>
      </c>
      <c r="M521" s="13" t="s">
        <v>2287</v>
      </c>
    </row>
    <row r="522" customFormat="false" ht="23.85" hidden="false" customHeight="false" outlineLevel="0" collapsed="false">
      <c r="A522" s="13" t="s">
        <v>3</v>
      </c>
      <c r="B522" s="13" t="s">
        <v>2150</v>
      </c>
      <c r="C522" s="13" t="n">
        <v>63</v>
      </c>
      <c r="D522" s="13" t="s">
        <v>2288</v>
      </c>
      <c r="E522" s="13" t="s">
        <v>2289</v>
      </c>
      <c r="F522" s="13" t="s">
        <v>2269</v>
      </c>
      <c r="G522" s="13" t="s">
        <v>2290</v>
      </c>
      <c r="H522" s="13" t="s">
        <v>2291</v>
      </c>
      <c r="I522" s="13" t="s">
        <v>82</v>
      </c>
      <c r="J522" s="13" t="s">
        <v>83</v>
      </c>
      <c r="K522" s="13"/>
      <c r="L522" s="13" t="s">
        <v>2292</v>
      </c>
      <c r="M522" s="13" t="s">
        <v>2293</v>
      </c>
    </row>
    <row r="523" customFormat="false" ht="23.85" hidden="false" customHeight="false" outlineLevel="0" collapsed="false">
      <c r="A523" s="13" t="s">
        <v>3</v>
      </c>
      <c r="B523" s="13" t="s">
        <v>2150</v>
      </c>
      <c r="C523" s="13" t="n">
        <v>63</v>
      </c>
      <c r="D523" s="13" t="s">
        <v>2294</v>
      </c>
      <c r="E523" s="13" t="s">
        <v>2295</v>
      </c>
      <c r="F523" s="13" t="s">
        <v>806</v>
      </c>
      <c r="G523" s="13" t="s">
        <v>2296</v>
      </c>
      <c r="H523" s="13" t="s">
        <v>2297</v>
      </c>
      <c r="I523" s="13" t="s">
        <v>82</v>
      </c>
      <c r="J523" s="13" t="s">
        <v>83</v>
      </c>
      <c r="K523" s="13"/>
      <c r="L523" s="13" t="s">
        <v>2298</v>
      </c>
      <c r="M523" s="13" t="s">
        <v>2299</v>
      </c>
    </row>
    <row r="524" customFormat="false" ht="46.25" hidden="false" customHeight="false" outlineLevel="0" collapsed="false">
      <c r="A524" s="13" t="s">
        <v>3</v>
      </c>
      <c r="B524" s="13" t="s">
        <v>2150</v>
      </c>
      <c r="C524" s="13" t="n">
        <v>63</v>
      </c>
      <c r="D524" s="13" t="s">
        <v>2300</v>
      </c>
      <c r="E524" s="13" t="s">
        <v>2301</v>
      </c>
      <c r="F524" s="13" t="s">
        <v>2302</v>
      </c>
      <c r="G524" s="13" t="s">
        <v>2303</v>
      </c>
      <c r="H524" s="13" t="s">
        <v>2304</v>
      </c>
      <c r="I524" s="13" t="s">
        <v>82</v>
      </c>
      <c r="J524" s="13" t="s">
        <v>83</v>
      </c>
      <c r="K524" s="13"/>
      <c r="L524" s="13" t="s">
        <v>2305</v>
      </c>
      <c r="M524" s="13" t="s">
        <v>2306</v>
      </c>
    </row>
    <row r="525" customFormat="false" ht="91" hidden="false" customHeight="false" outlineLevel="0" collapsed="false">
      <c r="A525" s="13" t="s">
        <v>3</v>
      </c>
      <c r="B525" s="13" t="s">
        <v>2150</v>
      </c>
      <c r="C525" s="13" t="n">
        <v>63</v>
      </c>
      <c r="D525" s="13" t="s">
        <v>2307</v>
      </c>
      <c r="E525" s="13" t="s">
        <v>2308</v>
      </c>
      <c r="F525" s="13" t="s">
        <v>806</v>
      </c>
      <c r="G525" s="13" t="s">
        <v>2309</v>
      </c>
      <c r="H525" s="13" t="s">
        <v>2310</v>
      </c>
      <c r="I525" s="13" t="s">
        <v>82</v>
      </c>
      <c r="J525" s="13" t="s">
        <v>83</v>
      </c>
      <c r="K525" s="13"/>
      <c r="L525" s="13" t="s">
        <v>2311</v>
      </c>
      <c r="M525" s="13" t="s">
        <v>2312</v>
      </c>
    </row>
    <row r="526" customFormat="false" ht="91" hidden="false" customHeight="false" outlineLevel="0" collapsed="false">
      <c r="A526" s="13" t="s">
        <v>3</v>
      </c>
      <c r="B526" s="13" t="s">
        <v>2150</v>
      </c>
      <c r="C526" s="13" t="n">
        <v>63</v>
      </c>
      <c r="D526" s="13" t="s">
        <v>2307</v>
      </c>
      <c r="E526" s="13" t="s">
        <v>2313</v>
      </c>
      <c r="F526" s="13" t="s">
        <v>806</v>
      </c>
      <c r="G526" s="13" t="s">
        <v>2314</v>
      </c>
      <c r="H526" s="13" t="s">
        <v>2315</v>
      </c>
      <c r="I526" s="13" t="s">
        <v>82</v>
      </c>
      <c r="J526" s="13" t="s">
        <v>83</v>
      </c>
      <c r="K526" s="13"/>
      <c r="L526" s="13" t="s">
        <v>2311</v>
      </c>
      <c r="M526" s="13" t="s">
        <v>2312</v>
      </c>
    </row>
    <row r="527" customFormat="false" ht="91" hidden="false" customHeight="false" outlineLevel="0" collapsed="false">
      <c r="A527" s="13" t="s">
        <v>3</v>
      </c>
      <c r="B527" s="13" t="s">
        <v>2150</v>
      </c>
      <c r="C527" s="13" t="n">
        <v>63</v>
      </c>
      <c r="D527" s="13" t="s">
        <v>2307</v>
      </c>
      <c r="E527" s="13" t="s">
        <v>2316</v>
      </c>
      <c r="F527" s="13" t="s">
        <v>806</v>
      </c>
      <c r="G527" s="13" t="s">
        <v>2317</v>
      </c>
      <c r="H527" s="13" t="s">
        <v>1601</v>
      </c>
      <c r="I527" s="13" t="s">
        <v>82</v>
      </c>
      <c r="J527" s="13" t="s">
        <v>83</v>
      </c>
      <c r="K527" s="13"/>
      <c r="L527" s="13" t="s">
        <v>2311</v>
      </c>
      <c r="M527" s="13" t="s">
        <v>2312</v>
      </c>
    </row>
    <row r="528" customFormat="false" ht="91" hidden="false" customHeight="false" outlineLevel="0" collapsed="false">
      <c r="A528" s="13" t="s">
        <v>3</v>
      </c>
      <c r="B528" s="13" t="s">
        <v>2150</v>
      </c>
      <c r="C528" s="13" t="n">
        <v>63</v>
      </c>
      <c r="D528" s="13" t="s">
        <v>2307</v>
      </c>
      <c r="E528" s="13" t="s">
        <v>2318</v>
      </c>
      <c r="F528" s="13" t="s">
        <v>806</v>
      </c>
      <c r="G528" s="13" t="s">
        <v>2319</v>
      </c>
      <c r="H528" s="13" t="s">
        <v>2320</v>
      </c>
      <c r="I528" s="13" t="s">
        <v>82</v>
      </c>
      <c r="J528" s="13" t="s">
        <v>83</v>
      </c>
      <c r="K528" s="13"/>
      <c r="L528" s="13" t="s">
        <v>2311</v>
      </c>
      <c r="M528" s="13" t="s">
        <v>2312</v>
      </c>
    </row>
    <row r="529" customFormat="false" ht="91" hidden="false" customHeight="false" outlineLevel="0" collapsed="false">
      <c r="A529" s="13" t="s">
        <v>3</v>
      </c>
      <c r="B529" s="13" t="s">
        <v>2150</v>
      </c>
      <c r="C529" s="13" t="n">
        <v>63</v>
      </c>
      <c r="D529" s="13" t="s">
        <v>2307</v>
      </c>
      <c r="E529" s="13" t="s">
        <v>2321</v>
      </c>
      <c r="F529" s="13" t="s">
        <v>2320</v>
      </c>
      <c r="G529" s="13" t="s">
        <v>1978</v>
      </c>
      <c r="H529" s="13" t="s">
        <v>2322</v>
      </c>
      <c r="I529" s="13" t="s">
        <v>82</v>
      </c>
      <c r="J529" s="13" t="s">
        <v>83</v>
      </c>
      <c r="K529" s="13"/>
      <c r="L529" s="13" t="s">
        <v>2311</v>
      </c>
      <c r="M529" s="13" t="s">
        <v>2312</v>
      </c>
    </row>
    <row r="530" customFormat="false" ht="23.85" hidden="false" customHeight="false" outlineLevel="0" collapsed="false">
      <c r="A530" s="13" t="s">
        <v>3</v>
      </c>
      <c r="B530" s="13" t="s">
        <v>2150</v>
      </c>
      <c r="C530" s="13" t="n">
        <v>63</v>
      </c>
      <c r="D530" s="13" t="s">
        <v>2323</v>
      </c>
      <c r="E530" s="13" t="s">
        <v>2324</v>
      </c>
      <c r="F530" s="13" t="s">
        <v>806</v>
      </c>
      <c r="G530" s="13" t="s">
        <v>2325</v>
      </c>
      <c r="H530" s="13" t="s">
        <v>2326</v>
      </c>
      <c r="I530" s="13" t="s">
        <v>82</v>
      </c>
      <c r="J530" s="13" t="s">
        <v>83</v>
      </c>
      <c r="K530" s="13"/>
      <c r="L530" s="13" t="s">
        <v>2327</v>
      </c>
      <c r="M530" s="13" t="s">
        <v>2328</v>
      </c>
    </row>
    <row r="531" customFormat="false" ht="23.85" hidden="false" customHeight="false" outlineLevel="0" collapsed="false">
      <c r="A531" s="13" t="s">
        <v>3</v>
      </c>
      <c r="B531" s="13" t="s">
        <v>2150</v>
      </c>
      <c r="C531" s="13" t="n">
        <v>63</v>
      </c>
      <c r="D531" s="13" t="s">
        <v>2323</v>
      </c>
      <c r="E531" s="13" t="s">
        <v>2329</v>
      </c>
      <c r="F531" s="13" t="s">
        <v>806</v>
      </c>
      <c r="G531" s="13" t="s">
        <v>2330</v>
      </c>
      <c r="H531" s="13" t="s">
        <v>2331</v>
      </c>
      <c r="I531" s="13" t="s">
        <v>82</v>
      </c>
      <c r="J531" s="13" t="s">
        <v>83</v>
      </c>
      <c r="K531" s="13"/>
      <c r="L531" s="13" t="s">
        <v>2327</v>
      </c>
      <c r="M531" s="13" t="s">
        <v>2328</v>
      </c>
    </row>
    <row r="532" customFormat="false" ht="23.85" hidden="false" customHeight="false" outlineLevel="0" collapsed="false">
      <c r="A532" s="13" t="s">
        <v>3</v>
      </c>
      <c r="B532" s="13" t="s">
        <v>2150</v>
      </c>
      <c r="C532" s="13" t="n">
        <v>63</v>
      </c>
      <c r="D532" s="13" t="s">
        <v>2323</v>
      </c>
      <c r="E532" s="13" t="s">
        <v>2332</v>
      </c>
      <c r="F532" s="13" t="s">
        <v>806</v>
      </c>
      <c r="G532" s="13" t="s">
        <v>2333</v>
      </c>
      <c r="H532" s="13" t="s">
        <v>2334</v>
      </c>
      <c r="I532" s="13" t="s">
        <v>82</v>
      </c>
      <c r="J532" s="13" t="s">
        <v>83</v>
      </c>
      <c r="K532" s="13"/>
      <c r="L532" s="13" t="s">
        <v>2327</v>
      </c>
      <c r="M532" s="13" t="s">
        <v>2328</v>
      </c>
    </row>
    <row r="533" customFormat="false" ht="46.25" hidden="false" customHeight="false" outlineLevel="0" collapsed="false">
      <c r="A533" s="13" t="s">
        <v>3</v>
      </c>
      <c r="B533" s="13" t="s">
        <v>2150</v>
      </c>
      <c r="C533" s="13" t="n">
        <v>63</v>
      </c>
      <c r="D533" s="13" t="s">
        <v>2335</v>
      </c>
      <c r="E533" s="13" t="s">
        <v>2336</v>
      </c>
      <c r="F533" s="13" t="s">
        <v>806</v>
      </c>
      <c r="G533" s="13" t="s">
        <v>2337</v>
      </c>
      <c r="H533" s="13" t="s">
        <v>2338</v>
      </c>
      <c r="I533" s="13" t="s">
        <v>82</v>
      </c>
      <c r="J533" s="13" t="s">
        <v>83</v>
      </c>
      <c r="K533" s="13"/>
      <c r="L533" s="13" t="s">
        <v>2339</v>
      </c>
      <c r="M533" s="13" t="s">
        <v>2340</v>
      </c>
    </row>
    <row r="534" customFormat="false" ht="46.25" hidden="false" customHeight="false" outlineLevel="0" collapsed="false">
      <c r="A534" s="13" t="s">
        <v>3</v>
      </c>
      <c r="B534" s="13" t="s">
        <v>2150</v>
      </c>
      <c r="C534" s="13" t="n">
        <v>63</v>
      </c>
      <c r="D534" s="13" t="s">
        <v>2335</v>
      </c>
      <c r="E534" s="13" t="s">
        <v>2341</v>
      </c>
      <c r="F534" s="13" t="s">
        <v>806</v>
      </c>
      <c r="G534" s="13" t="s">
        <v>2337</v>
      </c>
      <c r="H534" s="13" t="s">
        <v>2342</v>
      </c>
      <c r="I534" s="13" t="s">
        <v>82</v>
      </c>
      <c r="J534" s="13" t="s">
        <v>83</v>
      </c>
      <c r="K534" s="13"/>
      <c r="L534" s="13" t="s">
        <v>2339</v>
      </c>
      <c r="M534" s="13" t="s">
        <v>2340</v>
      </c>
    </row>
    <row r="535" customFormat="false" ht="46.25" hidden="false" customHeight="false" outlineLevel="0" collapsed="false">
      <c r="A535" s="13" t="s">
        <v>3</v>
      </c>
      <c r="B535" s="13" t="s">
        <v>2150</v>
      </c>
      <c r="C535" s="13" t="n">
        <v>63</v>
      </c>
      <c r="D535" s="13" t="s">
        <v>2335</v>
      </c>
      <c r="E535" s="13" t="s">
        <v>2343</v>
      </c>
      <c r="F535" s="13" t="s">
        <v>806</v>
      </c>
      <c r="G535" s="13" t="s">
        <v>2337</v>
      </c>
      <c r="H535" s="13" t="s">
        <v>2344</v>
      </c>
      <c r="I535" s="13" t="s">
        <v>82</v>
      </c>
      <c r="J535" s="13" t="s">
        <v>83</v>
      </c>
      <c r="K535" s="13"/>
      <c r="L535" s="13" t="s">
        <v>2339</v>
      </c>
      <c r="M535" s="13" t="s">
        <v>2340</v>
      </c>
    </row>
    <row r="536" customFormat="false" ht="46.25" hidden="false" customHeight="false" outlineLevel="0" collapsed="false">
      <c r="A536" s="13" t="s">
        <v>3</v>
      </c>
      <c r="B536" s="13" t="s">
        <v>2150</v>
      </c>
      <c r="C536" s="13" t="n">
        <v>63</v>
      </c>
      <c r="D536" s="13" t="s">
        <v>2335</v>
      </c>
      <c r="E536" s="13" t="s">
        <v>2345</v>
      </c>
      <c r="F536" s="13" t="s">
        <v>1784</v>
      </c>
      <c r="G536" s="13" t="s">
        <v>2346</v>
      </c>
      <c r="H536" s="13" t="s">
        <v>2347</v>
      </c>
      <c r="I536" s="13" t="s">
        <v>82</v>
      </c>
      <c r="J536" s="13" t="s">
        <v>83</v>
      </c>
      <c r="K536" s="13"/>
      <c r="L536" s="13" t="s">
        <v>2339</v>
      </c>
      <c r="M536" s="13" t="s">
        <v>2340</v>
      </c>
    </row>
    <row r="537" customFormat="false" ht="113.4" hidden="false" customHeight="false" outlineLevel="0" collapsed="false">
      <c r="A537" s="13" t="s">
        <v>3</v>
      </c>
      <c r="B537" s="13" t="s">
        <v>2150</v>
      </c>
      <c r="C537" s="13" t="n">
        <v>81</v>
      </c>
      <c r="D537" s="13" t="s">
        <v>2348</v>
      </c>
      <c r="E537" s="13" t="s">
        <v>2349</v>
      </c>
      <c r="F537" s="13" t="s">
        <v>2350</v>
      </c>
      <c r="G537" s="13" t="s">
        <v>2351</v>
      </c>
      <c r="H537" s="13" t="s">
        <v>2178</v>
      </c>
      <c r="I537" s="13" t="s">
        <v>82</v>
      </c>
      <c r="J537" s="13" t="s">
        <v>83</v>
      </c>
      <c r="K537" s="13"/>
      <c r="L537" s="13" t="s">
        <v>2352</v>
      </c>
      <c r="M537" s="13" t="s">
        <v>2353</v>
      </c>
    </row>
    <row r="538" customFormat="false" ht="113.4" hidden="false" customHeight="false" outlineLevel="0" collapsed="false">
      <c r="A538" s="13" t="s">
        <v>3</v>
      </c>
      <c r="B538" s="13" t="s">
        <v>2150</v>
      </c>
      <c r="C538" s="13" t="n">
        <v>81</v>
      </c>
      <c r="D538" s="13" t="s">
        <v>2348</v>
      </c>
      <c r="E538" s="13" t="s">
        <v>2354</v>
      </c>
      <c r="F538" s="13" t="s">
        <v>2350</v>
      </c>
      <c r="G538" s="13" t="s">
        <v>2355</v>
      </c>
      <c r="H538" s="13" t="s">
        <v>2356</v>
      </c>
      <c r="I538" s="13" t="s">
        <v>82</v>
      </c>
      <c r="J538" s="13" t="s">
        <v>83</v>
      </c>
      <c r="K538" s="13"/>
      <c r="L538" s="13" t="s">
        <v>2352</v>
      </c>
      <c r="M538" s="13" t="s">
        <v>2353</v>
      </c>
    </row>
    <row r="539" customFormat="false" ht="113.4" hidden="false" customHeight="false" outlineLevel="0" collapsed="false">
      <c r="A539" s="13" t="s">
        <v>3</v>
      </c>
      <c r="B539" s="13" t="s">
        <v>2150</v>
      </c>
      <c r="C539" s="13" t="n">
        <v>81</v>
      </c>
      <c r="D539" s="13" t="s">
        <v>2348</v>
      </c>
      <c r="E539" s="13" t="s">
        <v>2357</v>
      </c>
      <c r="F539" s="13" t="s">
        <v>2350</v>
      </c>
      <c r="G539" s="13" t="s">
        <v>2358</v>
      </c>
      <c r="H539" s="13" t="s">
        <v>2359</v>
      </c>
      <c r="I539" s="13" t="s">
        <v>82</v>
      </c>
      <c r="J539" s="13" t="s">
        <v>83</v>
      </c>
      <c r="K539" s="13"/>
      <c r="L539" s="13" t="s">
        <v>2352</v>
      </c>
      <c r="M539" s="13" t="s">
        <v>2353</v>
      </c>
    </row>
    <row r="540" customFormat="false" ht="23.85" hidden="false" customHeight="false" outlineLevel="0" collapsed="false">
      <c r="A540" s="13" t="s">
        <v>3</v>
      </c>
      <c r="B540" s="13" t="s">
        <v>2150</v>
      </c>
      <c r="C540" s="13" t="n">
        <v>81</v>
      </c>
      <c r="D540" s="13" t="s">
        <v>2360</v>
      </c>
      <c r="E540" s="13" t="s">
        <v>2361</v>
      </c>
      <c r="F540" s="13" t="s">
        <v>2362</v>
      </c>
      <c r="G540" s="13" t="s">
        <v>2363</v>
      </c>
      <c r="H540" s="13" t="s">
        <v>2356</v>
      </c>
      <c r="I540" s="13" t="s">
        <v>82</v>
      </c>
      <c r="J540" s="13" t="s">
        <v>83</v>
      </c>
      <c r="K540" s="13"/>
      <c r="L540" s="13" t="s">
        <v>2364</v>
      </c>
      <c r="M540" s="13" t="s">
        <v>2365</v>
      </c>
    </row>
    <row r="541" customFormat="false" ht="23.85" hidden="false" customHeight="false" outlineLevel="0" collapsed="false">
      <c r="A541" s="13" t="s">
        <v>3</v>
      </c>
      <c r="B541" s="13" t="s">
        <v>2150</v>
      </c>
      <c r="C541" s="13" t="n">
        <v>81</v>
      </c>
      <c r="D541" s="13" t="s">
        <v>2366</v>
      </c>
      <c r="E541" s="13" t="s">
        <v>2367</v>
      </c>
      <c r="F541" s="13" t="s">
        <v>2368</v>
      </c>
      <c r="G541" s="13" t="s">
        <v>2369</v>
      </c>
      <c r="H541" s="13" t="s">
        <v>2356</v>
      </c>
      <c r="I541" s="13" t="s">
        <v>82</v>
      </c>
      <c r="J541" s="13" t="s">
        <v>83</v>
      </c>
      <c r="K541" s="13"/>
      <c r="L541" s="13" t="s">
        <v>2370</v>
      </c>
      <c r="M541" s="13" t="s">
        <v>2371</v>
      </c>
    </row>
    <row r="542" customFormat="false" ht="23.85" hidden="false" customHeight="false" outlineLevel="0" collapsed="false">
      <c r="A542" s="13" t="s">
        <v>3</v>
      </c>
      <c r="B542" s="13" t="s">
        <v>2150</v>
      </c>
      <c r="C542" s="13" t="n">
        <v>81</v>
      </c>
      <c r="D542" s="13" t="s">
        <v>2372</v>
      </c>
      <c r="E542" s="13" t="s">
        <v>2373</v>
      </c>
      <c r="F542" s="13" t="s">
        <v>2374</v>
      </c>
      <c r="G542" s="13" t="s">
        <v>2369</v>
      </c>
      <c r="H542" s="13" t="s">
        <v>2356</v>
      </c>
      <c r="I542" s="13" t="s">
        <v>82</v>
      </c>
      <c r="J542" s="13" t="s">
        <v>83</v>
      </c>
      <c r="K542" s="13"/>
      <c r="L542" s="13" t="s">
        <v>2375</v>
      </c>
      <c r="M542" s="13" t="s">
        <v>2376</v>
      </c>
    </row>
    <row r="543" customFormat="false" ht="23.85" hidden="false" customHeight="false" outlineLevel="0" collapsed="false">
      <c r="A543" s="13" t="s">
        <v>3</v>
      </c>
      <c r="B543" s="13" t="s">
        <v>2150</v>
      </c>
      <c r="C543" s="13" t="n">
        <v>81</v>
      </c>
      <c r="D543" s="13" t="s">
        <v>2377</v>
      </c>
      <c r="E543" s="13" t="s">
        <v>2378</v>
      </c>
      <c r="F543" s="13" t="s">
        <v>2379</v>
      </c>
      <c r="G543" s="13" t="s">
        <v>2369</v>
      </c>
      <c r="H543" s="13" t="s">
        <v>2356</v>
      </c>
      <c r="I543" s="13" t="s">
        <v>82</v>
      </c>
      <c r="J543" s="13" t="s">
        <v>83</v>
      </c>
      <c r="K543" s="13"/>
      <c r="L543" s="13" t="s">
        <v>2380</v>
      </c>
      <c r="M543" s="13" t="s">
        <v>2381</v>
      </c>
    </row>
    <row r="544" customFormat="false" ht="23.85" hidden="false" customHeight="false" outlineLevel="0" collapsed="false">
      <c r="A544" s="13" t="s">
        <v>3</v>
      </c>
      <c r="B544" s="13" t="s">
        <v>2150</v>
      </c>
      <c r="C544" s="13" t="n">
        <v>81</v>
      </c>
      <c r="D544" s="13" t="s">
        <v>2382</v>
      </c>
      <c r="E544" s="13" t="s">
        <v>2383</v>
      </c>
      <c r="F544" s="13" t="s">
        <v>2384</v>
      </c>
      <c r="G544" s="13" t="s">
        <v>2369</v>
      </c>
      <c r="H544" s="13" t="s">
        <v>2356</v>
      </c>
      <c r="I544" s="13" t="s">
        <v>82</v>
      </c>
      <c r="J544" s="13" t="s">
        <v>83</v>
      </c>
      <c r="K544" s="13"/>
      <c r="L544" s="13" t="s">
        <v>2385</v>
      </c>
      <c r="M544" s="13" t="s">
        <v>2386</v>
      </c>
    </row>
    <row r="545" customFormat="false" ht="79.85" hidden="false" customHeight="false" outlineLevel="0" collapsed="false">
      <c r="A545" s="13" t="s">
        <v>3</v>
      </c>
      <c r="B545" s="13" t="s">
        <v>2150</v>
      </c>
      <c r="C545" s="13" t="n">
        <v>81</v>
      </c>
      <c r="D545" s="13" t="s">
        <v>2387</v>
      </c>
      <c r="E545" s="13" t="s">
        <v>2388</v>
      </c>
      <c r="F545" s="13" t="s">
        <v>2389</v>
      </c>
      <c r="G545" s="13" t="s">
        <v>2369</v>
      </c>
      <c r="H545" s="13" t="s">
        <v>2356</v>
      </c>
      <c r="I545" s="13" t="s">
        <v>82</v>
      </c>
      <c r="J545" s="13" t="s">
        <v>83</v>
      </c>
      <c r="K545" s="13"/>
      <c r="L545" s="13" t="s">
        <v>2390</v>
      </c>
      <c r="M545" s="13" t="s">
        <v>2391</v>
      </c>
    </row>
    <row r="546" customFormat="false" ht="79.85" hidden="false" customHeight="false" outlineLevel="0" collapsed="false">
      <c r="A546" s="13" t="s">
        <v>3</v>
      </c>
      <c r="B546" s="13" t="s">
        <v>2150</v>
      </c>
      <c r="C546" s="13" t="n">
        <v>81</v>
      </c>
      <c r="D546" s="13" t="s">
        <v>2387</v>
      </c>
      <c r="E546" s="13" t="s">
        <v>2392</v>
      </c>
      <c r="F546" s="13" t="s">
        <v>2393</v>
      </c>
      <c r="G546" s="13" t="s">
        <v>2394</v>
      </c>
      <c r="H546" s="13" t="s">
        <v>2395</v>
      </c>
      <c r="I546" s="13" t="s">
        <v>82</v>
      </c>
      <c r="J546" s="13" t="s">
        <v>83</v>
      </c>
      <c r="K546" s="13"/>
      <c r="L546" s="13" t="s">
        <v>2390</v>
      </c>
      <c r="M546" s="13" t="s">
        <v>2391</v>
      </c>
    </row>
    <row r="547" customFormat="false" ht="23.85" hidden="false" customHeight="false" outlineLevel="0" collapsed="false">
      <c r="A547" s="13" t="s">
        <v>3</v>
      </c>
      <c r="B547" s="13" t="s">
        <v>2150</v>
      </c>
      <c r="C547" s="13" t="n">
        <v>81</v>
      </c>
      <c r="D547" s="13" t="s">
        <v>2396</v>
      </c>
      <c r="E547" s="13" t="s">
        <v>2397</v>
      </c>
      <c r="F547" s="13" t="s">
        <v>2356</v>
      </c>
      <c r="G547" s="13" t="s">
        <v>2398</v>
      </c>
      <c r="H547" s="13" t="s">
        <v>2399</v>
      </c>
      <c r="I547" s="13" t="s">
        <v>82</v>
      </c>
      <c r="J547" s="13" t="s">
        <v>83</v>
      </c>
      <c r="K547" s="13"/>
      <c r="L547" s="13" t="s">
        <v>2400</v>
      </c>
      <c r="M547" s="13" t="s">
        <v>2401</v>
      </c>
    </row>
    <row r="548" customFormat="false" ht="35.05" hidden="false" customHeight="false" outlineLevel="0" collapsed="false">
      <c r="A548" s="13" t="s">
        <v>3</v>
      </c>
      <c r="B548" s="13" t="s">
        <v>2150</v>
      </c>
      <c r="C548" s="13" t="n">
        <v>81</v>
      </c>
      <c r="D548" s="13" t="s">
        <v>2402</v>
      </c>
      <c r="E548" s="13" t="s">
        <v>2403</v>
      </c>
      <c r="F548" s="13" t="s">
        <v>2404</v>
      </c>
      <c r="G548" s="13" t="s">
        <v>2405</v>
      </c>
      <c r="H548" s="13" t="s">
        <v>2406</v>
      </c>
      <c r="I548" s="13" t="s">
        <v>82</v>
      </c>
      <c r="J548" s="13" t="s">
        <v>83</v>
      </c>
      <c r="K548" s="13"/>
      <c r="L548" s="13" t="s">
        <v>2407</v>
      </c>
      <c r="M548" s="13" t="s">
        <v>2408</v>
      </c>
    </row>
    <row r="549" customFormat="false" ht="23.85" hidden="false" customHeight="false" outlineLevel="0" collapsed="false">
      <c r="A549" s="13" t="s">
        <v>3</v>
      </c>
      <c r="B549" s="13" t="s">
        <v>2150</v>
      </c>
      <c r="C549" s="13" t="n">
        <v>81</v>
      </c>
      <c r="D549" s="13" t="s">
        <v>2409</v>
      </c>
      <c r="E549" s="13" t="s">
        <v>2410</v>
      </c>
      <c r="F549" s="13" t="s">
        <v>2393</v>
      </c>
      <c r="G549" s="13" t="s">
        <v>2411</v>
      </c>
      <c r="H549" s="13" t="s">
        <v>2389</v>
      </c>
      <c r="I549" s="13" t="s">
        <v>82</v>
      </c>
      <c r="J549" s="13" t="s">
        <v>83</v>
      </c>
      <c r="K549" s="13"/>
      <c r="L549" s="13" t="s">
        <v>2412</v>
      </c>
      <c r="M549" s="13" t="s">
        <v>2413</v>
      </c>
    </row>
    <row r="550" customFormat="false" ht="35.05" hidden="false" customHeight="false" outlineLevel="0" collapsed="false">
      <c r="A550" s="13" t="s">
        <v>3</v>
      </c>
      <c r="B550" s="13" t="s">
        <v>2150</v>
      </c>
      <c r="C550" s="13" t="n">
        <v>81</v>
      </c>
      <c r="D550" s="13" t="s">
        <v>2414</v>
      </c>
      <c r="E550" s="13" t="s">
        <v>2415</v>
      </c>
      <c r="F550" s="13" t="s">
        <v>2389</v>
      </c>
      <c r="G550" s="13" t="s">
        <v>2416</v>
      </c>
      <c r="H550" s="13" t="s">
        <v>2356</v>
      </c>
      <c r="I550" s="13" t="s">
        <v>82</v>
      </c>
      <c r="J550" s="13" t="s">
        <v>83</v>
      </c>
      <c r="K550" s="13"/>
      <c r="L550" s="13" t="s">
        <v>2417</v>
      </c>
      <c r="M550" s="13" t="s">
        <v>2418</v>
      </c>
    </row>
    <row r="551" customFormat="false" ht="35.05" hidden="false" customHeight="false" outlineLevel="0" collapsed="false">
      <c r="A551" s="13" t="s">
        <v>3</v>
      </c>
      <c r="B551" s="13" t="s">
        <v>2150</v>
      </c>
      <c r="C551" s="13" t="n">
        <v>81</v>
      </c>
      <c r="D551" s="13" t="s">
        <v>2414</v>
      </c>
      <c r="E551" s="13" t="s">
        <v>2419</v>
      </c>
      <c r="F551" s="13" t="s">
        <v>2389</v>
      </c>
      <c r="G551" s="13" t="s">
        <v>2420</v>
      </c>
      <c r="H551" s="13" t="s">
        <v>2356</v>
      </c>
      <c r="I551" s="13" t="s">
        <v>82</v>
      </c>
      <c r="J551" s="13" t="s">
        <v>83</v>
      </c>
      <c r="K551" s="13"/>
      <c r="L551" s="13" t="s">
        <v>2417</v>
      </c>
      <c r="M551" s="13" t="s">
        <v>2418</v>
      </c>
    </row>
    <row r="552" customFormat="false" ht="23.85" hidden="false" customHeight="false" outlineLevel="0" collapsed="false">
      <c r="A552" s="13" t="s">
        <v>3</v>
      </c>
      <c r="B552" s="13" t="s">
        <v>2150</v>
      </c>
      <c r="C552" s="13" t="n">
        <v>81</v>
      </c>
      <c r="D552" s="13" t="s">
        <v>2421</v>
      </c>
      <c r="E552" s="13" t="s">
        <v>2422</v>
      </c>
      <c r="F552" s="13" t="s">
        <v>2389</v>
      </c>
      <c r="G552" s="13" t="s">
        <v>2423</v>
      </c>
      <c r="H552" s="13" t="s">
        <v>2424</v>
      </c>
      <c r="I552" s="13" t="s">
        <v>82</v>
      </c>
      <c r="J552" s="13" t="s">
        <v>83</v>
      </c>
      <c r="K552" s="13"/>
      <c r="L552" s="13" t="s">
        <v>2425</v>
      </c>
      <c r="M552" s="13" t="s">
        <v>2426</v>
      </c>
    </row>
    <row r="553" customFormat="false" ht="57.45" hidden="false" customHeight="false" outlineLevel="0" collapsed="false">
      <c r="A553" s="13" t="s">
        <v>3</v>
      </c>
      <c r="B553" s="13" t="s">
        <v>2150</v>
      </c>
      <c r="C553" s="13" t="n">
        <v>81</v>
      </c>
      <c r="D553" s="13" t="s">
        <v>2427</v>
      </c>
      <c r="E553" s="13" t="s">
        <v>2428</v>
      </c>
      <c r="F553" s="13" t="s">
        <v>2429</v>
      </c>
      <c r="G553" s="13" t="s">
        <v>2430</v>
      </c>
      <c r="H553" s="13" t="s">
        <v>2431</v>
      </c>
      <c r="I553" s="13" t="s">
        <v>82</v>
      </c>
      <c r="J553" s="13" t="s">
        <v>83</v>
      </c>
      <c r="K553" s="13"/>
      <c r="L553" s="13" t="s">
        <v>2432</v>
      </c>
      <c r="M553" s="13" t="s">
        <v>2433</v>
      </c>
    </row>
    <row r="554" customFormat="false" ht="57.45" hidden="false" customHeight="false" outlineLevel="0" collapsed="false">
      <c r="A554" s="13" t="s">
        <v>3</v>
      </c>
      <c r="B554" s="13" t="s">
        <v>2150</v>
      </c>
      <c r="C554" s="13" t="n">
        <v>81</v>
      </c>
      <c r="D554" s="13" t="s">
        <v>2427</v>
      </c>
      <c r="E554" s="13" t="s">
        <v>2434</v>
      </c>
      <c r="F554" s="13" t="s">
        <v>2429</v>
      </c>
      <c r="G554" s="13" t="s">
        <v>2430</v>
      </c>
      <c r="H554" s="13" t="s">
        <v>2435</v>
      </c>
      <c r="I554" s="13" t="s">
        <v>82</v>
      </c>
      <c r="J554" s="13" t="s">
        <v>83</v>
      </c>
      <c r="K554" s="13"/>
      <c r="L554" s="13" t="s">
        <v>2432</v>
      </c>
      <c r="M554" s="13" t="s">
        <v>2433</v>
      </c>
    </row>
    <row r="555" customFormat="false" ht="57.45" hidden="false" customHeight="false" outlineLevel="0" collapsed="false">
      <c r="A555" s="13" t="s">
        <v>3</v>
      </c>
      <c r="B555" s="13" t="s">
        <v>2150</v>
      </c>
      <c r="C555" s="13" t="n">
        <v>81</v>
      </c>
      <c r="D555" s="13" t="s">
        <v>2427</v>
      </c>
      <c r="E555" s="13" t="s">
        <v>2436</v>
      </c>
      <c r="F555" s="13" t="s">
        <v>2429</v>
      </c>
      <c r="G555" s="13" t="s">
        <v>2430</v>
      </c>
      <c r="H555" s="13" t="s">
        <v>2437</v>
      </c>
      <c r="I555" s="13" t="s">
        <v>82</v>
      </c>
      <c r="J555" s="13" t="s">
        <v>83</v>
      </c>
      <c r="K555" s="13"/>
      <c r="L555" s="13" t="s">
        <v>2432</v>
      </c>
      <c r="M555" s="13" t="s">
        <v>2433</v>
      </c>
    </row>
    <row r="556" customFormat="false" ht="57.45" hidden="false" customHeight="false" outlineLevel="0" collapsed="false">
      <c r="A556" s="13" t="s">
        <v>3</v>
      </c>
      <c r="B556" s="13" t="s">
        <v>2150</v>
      </c>
      <c r="C556" s="13" t="n">
        <v>81</v>
      </c>
      <c r="D556" s="13" t="s">
        <v>2427</v>
      </c>
      <c r="E556" s="13" t="s">
        <v>2438</v>
      </c>
      <c r="F556" s="13" t="s">
        <v>2429</v>
      </c>
      <c r="G556" s="13" t="s">
        <v>2430</v>
      </c>
      <c r="H556" s="13" t="s">
        <v>2439</v>
      </c>
      <c r="I556" s="13" t="s">
        <v>82</v>
      </c>
      <c r="J556" s="13" t="s">
        <v>83</v>
      </c>
      <c r="K556" s="13"/>
      <c r="L556" s="13" t="s">
        <v>2432</v>
      </c>
      <c r="M556" s="13" t="s">
        <v>2433</v>
      </c>
    </row>
    <row r="557" customFormat="false" ht="79.85" hidden="false" customHeight="false" outlineLevel="0" collapsed="false">
      <c r="A557" s="13" t="s">
        <v>3</v>
      </c>
      <c r="B557" s="13" t="s">
        <v>2150</v>
      </c>
      <c r="C557" s="13" t="n">
        <v>81</v>
      </c>
      <c r="D557" s="13" t="s">
        <v>2440</v>
      </c>
      <c r="E557" s="13" t="s">
        <v>2441</v>
      </c>
      <c r="F557" s="13" t="s">
        <v>2442</v>
      </c>
      <c r="G557" s="13" t="s">
        <v>2443</v>
      </c>
      <c r="H557" s="13" t="s">
        <v>2444</v>
      </c>
      <c r="I557" s="13" t="s">
        <v>82</v>
      </c>
      <c r="J557" s="13" t="s">
        <v>83</v>
      </c>
      <c r="K557" s="13"/>
      <c r="L557" s="13" t="s">
        <v>2445</v>
      </c>
      <c r="M557" s="13" t="s">
        <v>2446</v>
      </c>
    </row>
    <row r="558" customFormat="false" ht="79.85" hidden="false" customHeight="false" outlineLevel="0" collapsed="false">
      <c r="A558" s="13" t="s">
        <v>3</v>
      </c>
      <c r="B558" s="13" t="s">
        <v>2150</v>
      </c>
      <c r="C558" s="13" t="n">
        <v>81</v>
      </c>
      <c r="D558" s="13" t="s">
        <v>2440</v>
      </c>
      <c r="E558" s="13" t="s">
        <v>2447</v>
      </c>
      <c r="F558" s="13" t="s">
        <v>2448</v>
      </c>
      <c r="G558" s="13" t="s">
        <v>2449</v>
      </c>
      <c r="H558" s="13" t="s">
        <v>2450</v>
      </c>
      <c r="I558" s="13" t="s">
        <v>82</v>
      </c>
      <c r="J558" s="13" t="s">
        <v>83</v>
      </c>
      <c r="K558" s="13"/>
      <c r="L558" s="13" t="s">
        <v>2445</v>
      </c>
      <c r="M558" s="13" t="s">
        <v>2446</v>
      </c>
    </row>
    <row r="559" customFormat="false" ht="79.85" hidden="false" customHeight="false" outlineLevel="0" collapsed="false">
      <c r="A559" s="13" t="s">
        <v>3</v>
      </c>
      <c r="B559" s="13" t="s">
        <v>2150</v>
      </c>
      <c r="C559" s="13" t="n">
        <v>81</v>
      </c>
      <c r="D559" s="13" t="s">
        <v>2440</v>
      </c>
      <c r="E559" s="13" t="s">
        <v>2451</v>
      </c>
      <c r="F559" s="13" t="s">
        <v>2452</v>
      </c>
      <c r="G559" s="13" t="s">
        <v>2453</v>
      </c>
      <c r="H559" s="13" t="s">
        <v>2454</v>
      </c>
      <c r="I559" s="13" t="s">
        <v>82</v>
      </c>
      <c r="J559" s="13" t="s">
        <v>83</v>
      </c>
      <c r="K559" s="13"/>
      <c r="L559" s="13" t="s">
        <v>2445</v>
      </c>
      <c r="M559" s="13" t="s">
        <v>2446</v>
      </c>
    </row>
    <row r="560" customFormat="false" ht="46.25" hidden="false" customHeight="false" outlineLevel="0" collapsed="false">
      <c r="A560" s="13" t="s">
        <v>3</v>
      </c>
      <c r="B560" s="13" t="s">
        <v>2150</v>
      </c>
      <c r="C560" s="13" t="n">
        <v>86</v>
      </c>
      <c r="D560" s="13" t="s">
        <v>2455</v>
      </c>
      <c r="E560" s="13" t="s">
        <v>2456</v>
      </c>
      <c r="F560" s="13" t="s">
        <v>2457</v>
      </c>
      <c r="G560" s="13" t="s">
        <v>2458</v>
      </c>
      <c r="H560" s="13" t="s">
        <v>2459</v>
      </c>
      <c r="I560" s="13" t="s">
        <v>82</v>
      </c>
      <c r="J560" s="13" t="s">
        <v>83</v>
      </c>
      <c r="K560" s="13"/>
      <c r="L560" s="13" t="s">
        <v>2460</v>
      </c>
      <c r="M560" s="13" t="s">
        <v>2461</v>
      </c>
    </row>
    <row r="561" customFormat="false" ht="46.25" hidden="false" customHeight="false" outlineLevel="0" collapsed="false">
      <c r="A561" s="13" t="s">
        <v>3</v>
      </c>
      <c r="B561" s="13" t="s">
        <v>2150</v>
      </c>
      <c r="C561" s="13" t="n">
        <v>86</v>
      </c>
      <c r="D561" s="13" t="s">
        <v>2455</v>
      </c>
      <c r="E561" s="13" t="s">
        <v>2462</v>
      </c>
      <c r="F561" s="13" t="s">
        <v>2459</v>
      </c>
      <c r="G561" s="13" t="s">
        <v>2463</v>
      </c>
      <c r="H561" s="13" t="s">
        <v>2464</v>
      </c>
      <c r="I561" s="13" t="s">
        <v>82</v>
      </c>
      <c r="J561" s="13" t="s">
        <v>83</v>
      </c>
      <c r="K561" s="13"/>
      <c r="L561" s="13" t="s">
        <v>2460</v>
      </c>
      <c r="M561" s="13" t="s">
        <v>2461</v>
      </c>
    </row>
    <row r="562" customFormat="false" ht="46.25" hidden="false" customHeight="false" outlineLevel="0" collapsed="false">
      <c r="A562" s="13" t="s">
        <v>3</v>
      </c>
      <c r="B562" s="13" t="s">
        <v>2150</v>
      </c>
      <c r="C562" s="13" t="n">
        <v>86</v>
      </c>
      <c r="D562" s="13" t="s">
        <v>2455</v>
      </c>
      <c r="E562" s="13" t="s">
        <v>2465</v>
      </c>
      <c r="F562" s="13" t="s">
        <v>2459</v>
      </c>
      <c r="G562" s="13" t="s">
        <v>2466</v>
      </c>
      <c r="H562" s="13" t="s">
        <v>2467</v>
      </c>
      <c r="I562" s="13" t="s">
        <v>82</v>
      </c>
      <c r="J562" s="13" t="s">
        <v>83</v>
      </c>
      <c r="K562" s="13"/>
      <c r="L562" s="13" t="s">
        <v>2460</v>
      </c>
      <c r="M562" s="13" t="s">
        <v>2461</v>
      </c>
    </row>
    <row r="563" customFormat="false" ht="23.85" hidden="false" customHeight="false" outlineLevel="0" collapsed="false">
      <c r="A563" s="13" t="s">
        <v>3</v>
      </c>
      <c r="B563" s="13" t="s">
        <v>2150</v>
      </c>
      <c r="C563" s="13" t="n">
        <v>86</v>
      </c>
      <c r="D563" s="13" t="s">
        <v>2468</v>
      </c>
      <c r="E563" s="13" t="s">
        <v>2469</v>
      </c>
      <c r="F563" s="13" t="s">
        <v>2467</v>
      </c>
      <c r="G563" s="13" t="s">
        <v>2470</v>
      </c>
      <c r="H563" s="13" t="s">
        <v>2471</v>
      </c>
      <c r="I563" s="13" t="s">
        <v>82</v>
      </c>
      <c r="J563" s="13" t="s">
        <v>83</v>
      </c>
      <c r="K563" s="13"/>
      <c r="L563" s="13" t="s">
        <v>2472</v>
      </c>
      <c r="M563" s="13" t="s">
        <v>2473</v>
      </c>
    </row>
    <row r="564" customFormat="false" ht="23.85" hidden="false" customHeight="false" outlineLevel="0" collapsed="false">
      <c r="A564" s="13" t="s">
        <v>3</v>
      </c>
      <c r="B564" s="13" t="s">
        <v>2150</v>
      </c>
      <c r="C564" s="13" t="n">
        <v>86</v>
      </c>
      <c r="D564" s="13" t="s">
        <v>2474</v>
      </c>
      <c r="E564" s="13" t="s">
        <v>2475</v>
      </c>
      <c r="F564" s="13" t="s">
        <v>2467</v>
      </c>
      <c r="G564" s="13" t="s">
        <v>2476</v>
      </c>
      <c r="H564" s="13" t="s">
        <v>2477</v>
      </c>
      <c r="I564" s="13" t="s">
        <v>82</v>
      </c>
      <c r="J564" s="13" t="s">
        <v>83</v>
      </c>
      <c r="K564" s="13"/>
      <c r="L564" s="13" t="s">
        <v>2478</v>
      </c>
      <c r="M564" s="13" t="s">
        <v>2479</v>
      </c>
    </row>
    <row r="565" customFormat="false" ht="23.85" hidden="false" customHeight="false" outlineLevel="0" collapsed="false">
      <c r="A565" s="13" t="s">
        <v>3</v>
      </c>
      <c r="B565" s="13" t="s">
        <v>2150</v>
      </c>
      <c r="C565" s="13" t="n">
        <v>86</v>
      </c>
      <c r="D565" s="13" t="s">
        <v>2480</v>
      </c>
      <c r="E565" s="13" t="s">
        <v>2481</v>
      </c>
      <c r="F565" s="13" t="s">
        <v>2482</v>
      </c>
      <c r="G565" s="13" t="s">
        <v>2483</v>
      </c>
      <c r="H565" s="13" t="s">
        <v>2484</v>
      </c>
      <c r="I565" s="13" t="s">
        <v>82</v>
      </c>
      <c r="J565" s="13" t="s">
        <v>83</v>
      </c>
      <c r="K565" s="13"/>
      <c r="L565" s="13" t="s">
        <v>2485</v>
      </c>
      <c r="M565" s="13" t="s">
        <v>2486</v>
      </c>
    </row>
    <row r="566" customFormat="false" ht="79.85" hidden="false" customHeight="false" outlineLevel="0" collapsed="false">
      <c r="A566" s="13" t="s">
        <v>3</v>
      </c>
      <c r="B566" s="13" t="s">
        <v>2150</v>
      </c>
      <c r="C566" s="13" t="n">
        <v>86</v>
      </c>
      <c r="D566" s="13" t="s">
        <v>2487</v>
      </c>
      <c r="E566" s="13" t="s">
        <v>2488</v>
      </c>
      <c r="F566" s="13" t="s">
        <v>1405</v>
      </c>
      <c r="G566" s="13" t="s">
        <v>2489</v>
      </c>
      <c r="H566" s="13" t="s">
        <v>2490</v>
      </c>
      <c r="I566" s="13" t="s">
        <v>82</v>
      </c>
      <c r="J566" s="13" t="s">
        <v>83</v>
      </c>
      <c r="K566" s="13"/>
      <c r="L566" s="13" t="s">
        <v>2491</v>
      </c>
      <c r="M566" s="13" t="s">
        <v>2492</v>
      </c>
    </row>
    <row r="567" customFormat="false" ht="79.85" hidden="false" customHeight="false" outlineLevel="0" collapsed="false">
      <c r="A567" s="13" t="s">
        <v>3</v>
      </c>
      <c r="B567" s="13" t="s">
        <v>2150</v>
      </c>
      <c r="C567" s="13" t="n">
        <v>86</v>
      </c>
      <c r="D567" s="13" t="s">
        <v>2487</v>
      </c>
      <c r="E567" s="13" t="s">
        <v>2493</v>
      </c>
      <c r="F567" s="13" t="s">
        <v>1405</v>
      </c>
      <c r="G567" s="13" t="s">
        <v>2494</v>
      </c>
      <c r="H567" s="13" t="s">
        <v>2495</v>
      </c>
      <c r="I567" s="13" t="s">
        <v>82</v>
      </c>
      <c r="J567" s="13" t="s">
        <v>83</v>
      </c>
      <c r="K567" s="13"/>
      <c r="L567" s="13" t="s">
        <v>2491</v>
      </c>
      <c r="M567" s="13" t="s">
        <v>2492</v>
      </c>
    </row>
    <row r="568" customFormat="false" ht="79.85" hidden="false" customHeight="false" outlineLevel="0" collapsed="false">
      <c r="A568" s="13" t="s">
        <v>3</v>
      </c>
      <c r="B568" s="13" t="s">
        <v>2150</v>
      </c>
      <c r="C568" s="13" t="n">
        <v>86</v>
      </c>
      <c r="D568" s="13" t="s">
        <v>2487</v>
      </c>
      <c r="E568" s="13" t="s">
        <v>2496</v>
      </c>
      <c r="F568" s="13" t="s">
        <v>1405</v>
      </c>
      <c r="G568" s="13" t="s">
        <v>2497</v>
      </c>
      <c r="H568" s="13" t="s">
        <v>2498</v>
      </c>
      <c r="I568" s="13" t="s">
        <v>82</v>
      </c>
      <c r="J568" s="13" t="s">
        <v>83</v>
      </c>
      <c r="K568" s="13"/>
      <c r="L568" s="13" t="s">
        <v>2491</v>
      </c>
      <c r="M568" s="13" t="s">
        <v>2492</v>
      </c>
    </row>
    <row r="569" customFormat="false" ht="23.85" hidden="false" customHeight="false" outlineLevel="0" collapsed="false">
      <c r="A569" s="13" t="s">
        <v>3</v>
      </c>
      <c r="B569" s="13" t="s">
        <v>2150</v>
      </c>
      <c r="C569" s="13" t="n">
        <v>86</v>
      </c>
      <c r="D569" s="13" t="s">
        <v>2499</v>
      </c>
      <c r="E569" s="13" t="s">
        <v>2500</v>
      </c>
      <c r="F569" s="13" t="s">
        <v>2501</v>
      </c>
      <c r="G569" s="13" t="s">
        <v>2502</v>
      </c>
      <c r="H569" s="13" t="s">
        <v>2503</v>
      </c>
      <c r="I569" s="13" t="s">
        <v>82</v>
      </c>
      <c r="J569" s="13" t="s">
        <v>83</v>
      </c>
      <c r="K569" s="13"/>
      <c r="L569" s="13" t="s">
        <v>2504</v>
      </c>
      <c r="M569" s="13" t="s">
        <v>2505</v>
      </c>
    </row>
    <row r="570" customFormat="false" ht="23.85" hidden="false" customHeight="false" outlineLevel="0" collapsed="false">
      <c r="A570" s="13" t="s">
        <v>3</v>
      </c>
      <c r="B570" s="13" t="s">
        <v>2150</v>
      </c>
      <c r="C570" s="13" t="n">
        <v>86</v>
      </c>
      <c r="D570" s="13" t="s">
        <v>2506</v>
      </c>
      <c r="E570" s="13" t="s">
        <v>2507</v>
      </c>
      <c r="F570" s="13" t="s">
        <v>1405</v>
      </c>
      <c r="G570" s="13" t="s">
        <v>2508</v>
      </c>
      <c r="H570" s="13" t="s">
        <v>2509</v>
      </c>
      <c r="I570" s="13" t="s">
        <v>82</v>
      </c>
      <c r="J570" s="13" t="s">
        <v>83</v>
      </c>
      <c r="K570" s="13"/>
      <c r="L570" s="13" t="s">
        <v>2510</v>
      </c>
      <c r="M570" s="13" t="s">
        <v>2511</v>
      </c>
    </row>
    <row r="571" customFormat="false" ht="68.65" hidden="false" customHeight="false" outlineLevel="0" collapsed="false">
      <c r="A571" s="13" t="s">
        <v>3</v>
      </c>
      <c r="B571" s="13" t="s">
        <v>2150</v>
      </c>
      <c r="C571" s="13" t="n">
        <v>86</v>
      </c>
      <c r="D571" s="13" t="s">
        <v>2512</v>
      </c>
      <c r="E571" s="13" t="s">
        <v>2513</v>
      </c>
      <c r="F571" s="13" t="s">
        <v>1405</v>
      </c>
      <c r="G571" s="13" t="s">
        <v>2514</v>
      </c>
      <c r="H571" s="13" t="s">
        <v>2467</v>
      </c>
      <c r="I571" s="13" t="s">
        <v>82</v>
      </c>
      <c r="J571" s="13" t="s">
        <v>83</v>
      </c>
      <c r="K571" s="13"/>
      <c r="L571" s="13" t="s">
        <v>2515</v>
      </c>
      <c r="M571" s="13" t="s">
        <v>2516</v>
      </c>
    </row>
    <row r="572" customFormat="false" ht="68.65" hidden="false" customHeight="false" outlineLevel="0" collapsed="false">
      <c r="A572" s="13" t="s">
        <v>3</v>
      </c>
      <c r="B572" s="13" t="s">
        <v>2150</v>
      </c>
      <c r="C572" s="13" t="n">
        <v>86</v>
      </c>
      <c r="D572" s="13" t="s">
        <v>2512</v>
      </c>
      <c r="E572" s="13" t="s">
        <v>2517</v>
      </c>
      <c r="F572" s="13" t="s">
        <v>1405</v>
      </c>
      <c r="G572" s="13" t="s">
        <v>2518</v>
      </c>
      <c r="H572" s="13" t="s">
        <v>2519</v>
      </c>
      <c r="I572" s="13" t="s">
        <v>82</v>
      </c>
      <c r="J572" s="13" t="s">
        <v>83</v>
      </c>
      <c r="K572" s="13"/>
      <c r="L572" s="13" t="s">
        <v>2515</v>
      </c>
      <c r="M572" s="13" t="s">
        <v>2516</v>
      </c>
    </row>
    <row r="573" customFormat="false" ht="68.65" hidden="false" customHeight="false" outlineLevel="0" collapsed="false">
      <c r="A573" s="13" t="s">
        <v>3</v>
      </c>
      <c r="B573" s="13" t="s">
        <v>2150</v>
      </c>
      <c r="C573" s="13" t="n">
        <v>86</v>
      </c>
      <c r="D573" s="13" t="s">
        <v>2512</v>
      </c>
      <c r="E573" s="13" t="s">
        <v>2520</v>
      </c>
      <c r="F573" s="13" t="s">
        <v>1405</v>
      </c>
      <c r="G573" s="13" t="s">
        <v>2521</v>
      </c>
      <c r="H573" s="13" t="s">
        <v>2490</v>
      </c>
      <c r="I573" s="13" t="s">
        <v>82</v>
      </c>
      <c r="J573" s="13" t="s">
        <v>83</v>
      </c>
      <c r="K573" s="13"/>
      <c r="L573" s="13" t="s">
        <v>2515</v>
      </c>
      <c r="M573" s="13" t="s">
        <v>2516</v>
      </c>
    </row>
    <row r="574" customFormat="false" ht="35.05" hidden="false" customHeight="false" outlineLevel="0" collapsed="false">
      <c r="A574" s="13" t="s">
        <v>3</v>
      </c>
      <c r="B574" s="13" t="s">
        <v>2150</v>
      </c>
      <c r="C574" s="13" t="n">
        <v>86</v>
      </c>
      <c r="D574" s="13" t="s">
        <v>2522</v>
      </c>
      <c r="E574" s="13" t="s">
        <v>2523</v>
      </c>
      <c r="F574" s="13" t="s">
        <v>1405</v>
      </c>
      <c r="G574" s="13" t="s">
        <v>2524</v>
      </c>
      <c r="H574" s="13" t="s">
        <v>2525</v>
      </c>
      <c r="I574" s="13" t="s">
        <v>82</v>
      </c>
      <c r="J574" s="13" t="s">
        <v>83</v>
      </c>
      <c r="K574" s="13"/>
      <c r="L574" s="13" t="s">
        <v>2526</v>
      </c>
      <c r="M574" s="13" t="s">
        <v>2527</v>
      </c>
    </row>
    <row r="575" customFormat="false" ht="35.05" hidden="false" customHeight="false" outlineLevel="0" collapsed="false">
      <c r="A575" s="13" t="s">
        <v>3</v>
      </c>
      <c r="B575" s="13" t="s">
        <v>2150</v>
      </c>
      <c r="C575" s="13" t="n">
        <v>86</v>
      </c>
      <c r="D575" s="13" t="s">
        <v>2522</v>
      </c>
      <c r="E575" s="13" t="s">
        <v>2528</v>
      </c>
      <c r="F575" s="13" t="s">
        <v>1405</v>
      </c>
      <c r="G575" s="13" t="s">
        <v>822</v>
      </c>
      <c r="H575" s="13" t="s">
        <v>2529</v>
      </c>
      <c r="I575" s="13" t="s">
        <v>74</v>
      </c>
      <c r="J575" s="13" t="s">
        <v>2530</v>
      </c>
      <c r="K575" s="13" t="s">
        <v>2531</v>
      </c>
      <c r="L575" s="13" t="s">
        <v>2526</v>
      </c>
      <c r="M575" s="13" t="s">
        <v>2527</v>
      </c>
    </row>
    <row r="576" customFormat="false" ht="23.85" hidden="false" customHeight="false" outlineLevel="0" collapsed="false">
      <c r="A576" s="13" t="s">
        <v>3</v>
      </c>
      <c r="B576" s="13" t="s">
        <v>2150</v>
      </c>
      <c r="C576" s="13" t="n">
        <v>86</v>
      </c>
      <c r="D576" s="13" t="s">
        <v>2532</v>
      </c>
      <c r="E576" s="13" t="s">
        <v>2533</v>
      </c>
      <c r="F576" s="13" t="s">
        <v>1405</v>
      </c>
      <c r="G576" s="13" t="s">
        <v>822</v>
      </c>
      <c r="H576" s="13" t="s">
        <v>2534</v>
      </c>
      <c r="I576" s="13" t="s">
        <v>82</v>
      </c>
      <c r="J576" s="13" t="s">
        <v>83</v>
      </c>
      <c r="K576" s="13"/>
      <c r="L576" s="13" t="s">
        <v>2535</v>
      </c>
      <c r="M576" s="13" t="s">
        <v>2536</v>
      </c>
    </row>
    <row r="577" customFormat="false" ht="23.85" hidden="false" customHeight="false" outlineLevel="0" collapsed="false">
      <c r="A577" s="13" t="s">
        <v>3</v>
      </c>
      <c r="B577" s="13" t="s">
        <v>2150</v>
      </c>
      <c r="C577" s="13" t="n">
        <v>86</v>
      </c>
      <c r="D577" s="13" t="s">
        <v>2537</v>
      </c>
      <c r="E577" s="13" t="s">
        <v>2538</v>
      </c>
      <c r="F577" s="13" t="s">
        <v>1405</v>
      </c>
      <c r="G577" s="13" t="s">
        <v>822</v>
      </c>
      <c r="H577" s="13" t="s">
        <v>2539</v>
      </c>
      <c r="I577" s="13" t="s">
        <v>74</v>
      </c>
      <c r="J577" s="13" t="s">
        <v>2540</v>
      </c>
      <c r="K577" s="13" t="s">
        <v>2541</v>
      </c>
      <c r="L577" s="13" t="s">
        <v>2542</v>
      </c>
      <c r="M577" s="13" t="s">
        <v>2543</v>
      </c>
    </row>
    <row r="578" customFormat="false" ht="23.85" hidden="false" customHeight="false" outlineLevel="0" collapsed="false">
      <c r="A578" s="13" t="s">
        <v>3</v>
      </c>
      <c r="B578" s="13" t="s">
        <v>2150</v>
      </c>
      <c r="C578" s="13" t="n">
        <v>86</v>
      </c>
      <c r="D578" s="13" t="s">
        <v>2544</v>
      </c>
      <c r="E578" s="13" t="s">
        <v>2545</v>
      </c>
      <c r="F578" s="13" t="s">
        <v>1405</v>
      </c>
      <c r="G578" s="13" t="s">
        <v>822</v>
      </c>
      <c r="H578" s="13" t="s">
        <v>2546</v>
      </c>
      <c r="I578" s="13" t="s">
        <v>82</v>
      </c>
      <c r="J578" s="13" t="s">
        <v>83</v>
      </c>
      <c r="K578" s="13"/>
      <c r="L578" s="13" t="s">
        <v>2547</v>
      </c>
      <c r="M578" s="13" t="s">
        <v>2548</v>
      </c>
    </row>
    <row r="579" customFormat="false" ht="23.85" hidden="false" customHeight="false" outlineLevel="0" collapsed="false">
      <c r="A579" s="13" t="s">
        <v>3</v>
      </c>
      <c r="B579" s="13" t="s">
        <v>2150</v>
      </c>
      <c r="C579" s="13" t="n">
        <v>86</v>
      </c>
      <c r="D579" s="13" t="s">
        <v>2549</v>
      </c>
      <c r="E579" s="13" t="s">
        <v>2550</v>
      </c>
      <c r="F579" s="13" t="s">
        <v>1405</v>
      </c>
      <c r="G579" s="13" t="s">
        <v>822</v>
      </c>
      <c r="H579" s="13" t="s">
        <v>2551</v>
      </c>
      <c r="I579" s="13" t="s">
        <v>82</v>
      </c>
      <c r="J579" s="13" t="s">
        <v>83</v>
      </c>
      <c r="K579" s="13"/>
      <c r="L579" s="13" t="s">
        <v>2552</v>
      </c>
      <c r="M579" s="13" t="s">
        <v>2553</v>
      </c>
    </row>
    <row r="580" customFormat="false" ht="23.85" hidden="false" customHeight="false" outlineLevel="0" collapsed="false">
      <c r="A580" s="13" t="s">
        <v>3</v>
      </c>
      <c r="B580" s="13" t="s">
        <v>2150</v>
      </c>
      <c r="C580" s="13" t="n">
        <v>86</v>
      </c>
      <c r="D580" s="13" t="s">
        <v>2554</v>
      </c>
      <c r="E580" s="13" t="s">
        <v>2555</v>
      </c>
      <c r="F580" s="13" t="s">
        <v>1405</v>
      </c>
      <c r="G580" s="13" t="s">
        <v>822</v>
      </c>
      <c r="H580" s="13" t="s">
        <v>2556</v>
      </c>
      <c r="I580" s="13" t="s">
        <v>82</v>
      </c>
      <c r="J580" s="13" t="s">
        <v>83</v>
      </c>
      <c r="K580" s="13"/>
      <c r="L580" s="13" t="s">
        <v>2557</v>
      </c>
      <c r="M580" s="13" t="s">
        <v>2558</v>
      </c>
    </row>
    <row r="581" customFormat="false" ht="23.85" hidden="false" customHeight="false" outlineLevel="0" collapsed="false">
      <c r="A581" s="13" t="s">
        <v>3</v>
      </c>
      <c r="B581" s="13" t="s">
        <v>2150</v>
      </c>
      <c r="C581" s="13" t="n">
        <v>86</v>
      </c>
      <c r="D581" s="13" t="s">
        <v>2559</v>
      </c>
      <c r="E581" s="13" t="s">
        <v>2560</v>
      </c>
      <c r="F581" s="13" t="s">
        <v>1405</v>
      </c>
      <c r="G581" s="13" t="s">
        <v>822</v>
      </c>
      <c r="H581" s="13" t="s">
        <v>2561</v>
      </c>
      <c r="I581" s="13" t="s">
        <v>82</v>
      </c>
      <c r="J581" s="13" t="s">
        <v>83</v>
      </c>
      <c r="K581" s="13"/>
      <c r="L581" s="13" t="s">
        <v>2562</v>
      </c>
      <c r="M581" s="13" t="s">
        <v>2563</v>
      </c>
    </row>
    <row r="582" customFormat="false" ht="23.85" hidden="false" customHeight="false" outlineLevel="0" collapsed="false">
      <c r="A582" s="13" t="s">
        <v>3</v>
      </c>
      <c r="B582" s="13" t="s">
        <v>2150</v>
      </c>
      <c r="C582" s="13" t="n">
        <v>86</v>
      </c>
      <c r="D582" s="13" t="s">
        <v>2564</v>
      </c>
      <c r="E582" s="13" t="s">
        <v>2565</v>
      </c>
      <c r="F582" s="13" t="s">
        <v>1405</v>
      </c>
      <c r="G582" s="13" t="s">
        <v>2566</v>
      </c>
      <c r="H582" s="13" t="s">
        <v>2567</v>
      </c>
      <c r="I582" s="13" t="s">
        <v>82</v>
      </c>
      <c r="J582" s="13" t="s">
        <v>83</v>
      </c>
      <c r="K582" s="13"/>
      <c r="L582" s="13" t="s">
        <v>2568</v>
      </c>
      <c r="M582" s="13" t="s">
        <v>2569</v>
      </c>
    </row>
    <row r="583" customFormat="false" ht="23.85" hidden="false" customHeight="false" outlineLevel="0" collapsed="false">
      <c r="A583" s="13" t="s">
        <v>3</v>
      </c>
      <c r="B583" s="13" t="s">
        <v>2150</v>
      </c>
      <c r="C583" s="13" t="n">
        <v>86</v>
      </c>
      <c r="D583" s="13" t="s">
        <v>2570</v>
      </c>
      <c r="E583" s="13" t="s">
        <v>2571</v>
      </c>
      <c r="F583" s="13" t="s">
        <v>1405</v>
      </c>
      <c r="G583" s="13" t="s">
        <v>822</v>
      </c>
      <c r="H583" s="13" t="s">
        <v>2356</v>
      </c>
      <c r="I583" s="13" t="s">
        <v>82</v>
      </c>
      <c r="J583" s="13" t="s">
        <v>83</v>
      </c>
      <c r="K583" s="13"/>
      <c r="L583" s="13" t="s">
        <v>2572</v>
      </c>
      <c r="M583" s="13" t="s">
        <v>2573</v>
      </c>
    </row>
    <row r="584" customFormat="false" ht="35.05" hidden="false" customHeight="false" outlineLevel="0" collapsed="false">
      <c r="A584" s="13" t="s">
        <v>3</v>
      </c>
      <c r="B584" s="13" t="s">
        <v>2150</v>
      </c>
      <c r="C584" s="13" t="n">
        <v>86</v>
      </c>
      <c r="D584" s="13" t="s">
        <v>2574</v>
      </c>
      <c r="E584" s="13" t="s">
        <v>2575</v>
      </c>
      <c r="F584" s="13" t="s">
        <v>1405</v>
      </c>
      <c r="G584" s="13" t="s">
        <v>2576</v>
      </c>
      <c r="H584" s="13" t="s">
        <v>2577</v>
      </c>
      <c r="I584" s="13" t="s">
        <v>114</v>
      </c>
      <c r="J584" s="13" t="s">
        <v>2578</v>
      </c>
      <c r="K584" s="13" t="s">
        <v>2579</v>
      </c>
      <c r="L584" s="13" t="s">
        <v>2580</v>
      </c>
      <c r="M584" s="13" t="s">
        <v>2581</v>
      </c>
    </row>
    <row r="585" customFormat="false" ht="23.85" hidden="false" customHeight="false" outlineLevel="0" collapsed="false">
      <c r="A585" s="13" t="s">
        <v>3</v>
      </c>
      <c r="B585" s="13" t="s">
        <v>2150</v>
      </c>
      <c r="C585" s="13" t="n">
        <v>86</v>
      </c>
      <c r="D585" s="13" t="s">
        <v>2582</v>
      </c>
      <c r="E585" s="13" t="s">
        <v>2583</v>
      </c>
      <c r="F585" s="13" t="s">
        <v>2584</v>
      </c>
      <c r="G585" s="13" t="s">
        <v>2585</v>
      </c>
      <c r="H585" s="13" t="s">
        <v>2586</v>
      </c>
      <c r="I585" s="13" t="s">
        <v>82</v>
      </c>
      <c r="J585" s="13" t="s">
        <v>83</v>
      </c>
      <c r="K585" s="13"/>
      <c r="L585" s="13" t="s">
        <v>2587</v>
      </c>
      <c r="M585" s="13" t="s">
        <v>2588</v>
      </c>
    </row>
    <row r="586" customFormat="false" ht="35.05" hidden="false" customHeight="false" outlineLevel="0" collapsed="false">
      <c r="A586" s="13" t="s">
        <v>3</v>
      </c>
      <c r="B586" s="13" t="s">
        <v>2150</v>
      </c>
      <c r="C586" s="13" t="n">
        <v>86</v>
      </c>
      <c r="D586" s="13" t="s">
        <v>2589</v>
      </c>
      <c r="E586" s="13" t="s">
        <v>2590</v>
      </c>
      <c r="F586" s="13" t="s">
        <v>2591</v>
      </c>
      <c r="G586" s="13" t="s">
        <v>2585</v>
      </c>
      <c r="H586" s="13" t="s">
        <v>2592</v>
      </c>
      <c r="I586" s="13" t="s">
        <v>82</v>
      </c>
      <c r="J586" s="13" t="s">
        <v>83</v>
      </c>
      <c r="K586" s="13"/>
      <c r="L586" s="13" t="s">
        <v>2593</v>
      </c>
      <c r="M586" s="13" t="s">
        <v>2594</v>
      </c>
    </row>
    <row r="587" customFormat="false" ht="57.45" hidden="false" customHeight="false" outlineLevel="0" collapsed="false">
      <c r="A587" s="13" t="s">
        <v>3</v>
      </c>
      <c r="B587" s="13" t="s">
        <v>2150</v>
      </c>
      <c r="C587" s="13" t="n">
        <v>86</v>
      </c>
      <c r="D587" s="13" t="s">
        <v>2595</v>
      </c>
      <c r="E587" s="13" t="s">
        <v>2596</v>
      </c>
      <c r="F587" s="13" t="s">
        <v>2597</v>
      </c>
      <c r="G587" s="13" t="s">
        <v>2598</v>
      </c>
      <c r="H587" s="13" t="s">
        <v>2356</v>
      </c>
      <c r="I587" s="13" t="s">
        <v>82</v>
      </c>
      <c r="J587" s="13" t="s">
        <v>83</v>
      </c>
      <c r="K587" s="13"/>
      <c r="L587" s="13" t="s">
        <v>2599</v>
      </c>
      <c r="M587" s="13" t="s">
        <v>2600</v>
      </c>
    </row>
    <row r="588" customFormat="false" ht="57.45" hidden="false" customHeight="false" outlineLevel="0" collapsed="false">
      <c r="A588" s="13" t="s">
        <v>3</v>
      </c>
      <c r="B588" s="13" t="s">
        <v>2150</v>
      </c>
      <c r="C588" s="13" t="n">
        <v>86</v>
      </c>
      <c r="D588" s="13" t="s">
        <v>2595</v>
      </c>
      <c r="E588" s="13" t="s">
        <v>2601</v>
      </c>
      <c r="F588" s="13" t="s">
        <v>2602</v>
      </c>
      <c r="G588" s="13" t="s">
        <v>2603</v>
      </c>
      <c r="H588" s="13" t="s">
        <v>2356</v>
      </c>
      <c r="I588" s="13" t="s">
        <v>82</v>
      </c>
      <c r="J588" s="13" t="s">
        <v>83</v>
      </c>
      <c r="K588" s="13"/>
      <c r="L588" s="13" t="s">
        <v>2599</v>
      </c>
      <c r="M588" s="13" t="s">
        <v>2600</v>
      </c>
    </row>
    <row r="589" customFormat="false" ht="46.25" hidden="false" customHeight="false" outlineLevel="0" collapsed="false">
      <c r="A589" s="13" t="s">
        <v>3</v>
      </c>
      <c r="B589" s="13" t="s">
        <v>2150</v>
      </c>
      <c r="C589" s="13" t="n">
        <v>92</v>
      </c>
      <c r="D589" s="13" t="s">
        <v>2604</v>
      </c>
      <c r="E589" s="13" t="s">
        <v>2605</v>
      </c>
      <c r="F589" s="13" t="s">
        <v>2606</v>
      </c>
      <c r="G589" s="13" t="s">
        <v>2607</v>
      </c>
      <c r="H589" s="13" t="s">
        <v>2608</v>
      </c>
      <c r="I589" s="13" t="s">
        <v>82</v>
      </c>
      <c r="J589" s="13" t="s">
        <v>83</v>
      </c>
      <c r="K589" s="13"/>
      <c r="L589" s="13" t="s">
        <v>2609</v>
      </c>
      <c r="M589" s="13" t="s">
        <v>2610</v>
      </c>
    </row>
    <row r="590" customFormat="false" ht="46.25" hidden="false" customHeight="false" outlineLevel="0" collapsed="false">
      <c r="A590" s="13" t="s">
        <v>3</v>
      </c>
      <c r="B590" s="13" t="s">
        <v>2150</v>
      </c>
      <c r="C590" s="13" t="n">
        <v>92</v>
      </c>
      <c r="D590" s="13" t="s">
        <v>2604</v>
      </c>
      <c r="E590" s="13" t="s">
        <v>2611</v>
      </c>
      <c r="F590" s="13" t="s">
        <v>2612</v>
      </c>
      <c r="G590" s="13" t="s">
        <v>2607</v>
      </c>
      <c r="H590" s="13" t="s">
        <v>2608</v>
      </c>
      <c r="I590" s="13" t="s">
        <v>82</v>
      </c>
      <c r="J590" s="13" t="s">
        <v>83</v>
      </c>
      <c r="K590" s="13"/>
      <c r="L590" s="13" t="s">
        <v>2609</v>
      </c>
      <c r="M590" s="13" t="s">
        <v>2610</v>
      </c>
    </row>
    <row r="591" customFormat="false" ht="46.25" hidden="false" customHeight="false" outlineLevel="0" collapsed="false">
      <c r="A591" s="13" t="s">
        <v>3</v>
      </c>
      <c r="B591" s="13" t="s">
        <v>2150</v>
      </c>
      <c r="C591" s="13" t="n">
        <v>92</v>
      </c>
      <c r="D591" s="13" t="s">
        <v>2604</v>
      </c>
      <c r="E591" s="13" t="s">
        <v>2613</v>
      </c>
      <c r="F591" s="13" t="s">
        <v>2614</v>
      </c>
      <c r="G591" s="13" t="s">
        <v>2607</v>
      </c>
      <c r="H591" s="13" t="s">
        <v>2615</v>
      </c>
      <c r="I591" s="13" t="s">
        <v>82</v>
      </c>
      <c r="J591" s="13" t="s">
        <v>83</v>
      </c>
      <c r="K591" s="13"/>
      <c r="L591" s="13" t="s">
        <v>2609</v>
      </c>
      <c r="M591" s="13" t="s">
        <v>2610</v>
      </c>
    </row>
    <row r="592" customFormat="false" ht="46.25" hidden="false" customHeight="false" outlineLevel="0" collapsed="false">
      <c r="A592" s="13" t="s">
        <v>3</v>
      </c>
      <c r="B592" s="13" t="s">
        <v>2150</v>
      </c>
      <c r="C592" s="13" t="n">
        <v>92</v>
      </c>
      <c r="D592" s="13" t="s">
        <v>2604</v>
      </c>
      <c r="E592" s="13" t="s">
        <v>2616</v>
      </c>
      <c r="F592" s="13" t="s">
        <v>2617</v>
      </c>
      <c r="G592" s="13" t="s">
        <v>2618</v>
      </c>
      <c r="H592" s="13" t="s">
        <v>2619</v>
      </c>
      <c r="I592" s="13" t="s">
        <v>82</v>
      </c>
      <c r="J592" s="13" t="s">
        <v>83</v>
      </c>
      <c r="K592" s="13"/>
      <c r="L592" s="13" t="s">
        <v>2609</v>
      </c>
      <c r="M592" s="13" t="s">
        <v>2610</v>
      </c>
    </row>
    <row r="593" customFormat="false" ht="79.85" hidden="false" customHeight="false" outlineLevel="0" collapsed="false">
      <c r="A593" s="13" t="s">
        <v>3</v>
      </c>
      <c r="B593" s="13" t="s">
        <v>2150</v>
      </c>
      <c r="C593" s="13" t="n">
        <v>92</v>
      </c>
      <c r="D593" s="13" t="s">
        <v>2620</v>
      </c>
      <c r="E593" s="13" t="s">
        <v>2621</v>
      </c>
      <c r="F593" s="13" t="s">
        <v>2622</v>
      </c>
      <c r="G593" s="13" t="s">
        <v>2623</v>
      </c>
      <c r="H593" s="13" t="s">
        <v>2624</v>
      </c>
      <c r="I593" s="13" t="s">
        <v>82</v>
      </c>
      <c r="J593" s="13" t="s">
        <v>83</v>
      </c>
      <c r="K593" s="13"/>
      <c r="L593" s="13" t="s">
        <v>2625</v>
      </c>
      <c r="M593" s="13" t="s">
        <v>2626</v>
      </c>
    </row>
    <row r="594" customFormat="false" ht="79.85" hidden="false" customHeight="false" outlineLevel="0" collapsed="false">
      <c r="A594" s="13" t="s">
        <v>3</v>
      </c>
      <c r="B594" s="13" t="s">
        <v>2150</v>
      </c>
      <c r="C594" s="13" t="n">
        <v>92</v>
      </c>
      <c r="D594" s="13" t="s">
        <v>2620</v>
      </c>
      <c r="E594" s="13" t="s">
        <v>2627</v>
      </c>
      <c r="F594" s="13" t="s">
        <v>2628</v>
      </c>
      <c r="G594" s="13" t="s">
        <v>2623</v>
      </c>
      <c r="H594" s="13" t="s">
        <v>2629</v>
      </c>
      <c r="I594" s="13" t="s">
        <v>82</v>
      </c>
      <c r="J594" s="13" t="s">
        <v>83</v>
      </c>
      <c r="K594" s="13"/>
      <c r="L594" s="13" t="s">
        <v>2625</v>
      </c>
      <c r="M594" s="13" t="s">
        <v>2626</v>
      </c>
    </row>
    <row r="595" customFormat="false" ht="79.85" hidden="false" customHeight="false" outlineLevel="0" collapsed="false">
      <c r="A595" s="13" t="s">
        <v>3</v>
      </c>
      <c r="B595" s="13" t="s">
        <v>2150</v>
      </c>
      <c r="C595" s="13" t="n">
        <v>92</v>
      </c>
      <c r="D595" s="13" t="s">
        <v>2620</v>
      </c>
      <c r="E595" s="13" t="s">
        <v>2630</v>
      </c>
      <c r="F595" s="13" t="s">
        <v>2631</v>
      </c>
      <c r="G595" s="13" t="s">
        <v>2623</v>
      </c>
      <c r="H595" s="13" t="s">
        <v>2632</v>
      </c>
      <c r="I595" s="13" t="s">
        <v>82</v>
      </c>
      <c r="J595" s="13" t="s">
        <v>83</v>
      </c>
      <c r="K595" s="13"/>
      <c r="L595" s="13" t="s">
        <v>2625</v>
      </c>
      <c r="M595" s="13" t="s">
        <v>2626</v>
      </c>
    </row>
    <row r="596" customFormat="false" ht="35.05" hidden="false" customHeight="false" outlineLevel="0" collapsed="false">
      <c r="A596" s="13" t="s">
        <v>3</v>
      </c>
      <c r="B596" s="13" t="s">
        <v>2150</v>
      </c>
      <c r="C596" s="13" t="n">
        <v>92</v>
      </c>
      <c r="D596" s="13" t="s">
        <v>2633</v>
      </c>
      <c r="E596" s="13" t="s">
        <v>2634</v>
      </c>
      <c r="F596" s="13" t="s">
        <v>2635</v>
      </c>
      <c r="G596" s="13" t="s">
        <v>2636</v>
      </c>
      <c r="H596" s="13" t="s">
        <v>2606</v>
      </c>
      <c r="I596" s="13" t="s">
        <v>82</v>
      </c>
      <c r="J596" s="13" t="s">
        <v>83</v>
      </c>
      <c r="K596" s="13"/>
      <c r="L596" s="13" t="s">
        <v>2637</v>
      </c>
      <c r="M596" s="13" t="s">
        <v>2638</v>
      </c>
    </row>
    <row r="597" customFormat="false" ht="35.05" hidden="false" customHeight="false" outlineLevel="0" collapsed="false">
      <c r="A597" s="13" t="s">
        <v>3</v>
      </c>
      <c r="B597" s="13" t="s">
        <v>2150</v>
      </c>
      <c r="C597" s="13" t="n">
        <v>92</v>
      </c>
      <c r="D597" s="13" t="s">
        <v>2633</v>
      </c>
      <c r="E597" s="13" t="s">
        <v>2639</v>
      </c>
      <c r="F597" s="13" t="s">
        <v>2635</v>
      </c>
      <c r="G597" s="13" t="s">
        <v>2640</v>
      </c>
      <c r="H597" s="13" t="s">
        <v>2606</v>
      </c>
      <c r="I597" s="13" t="s">
        <v>82</v>
      </c>
      <c r="J597" s="13" t="s">
        <v>83</v>
      </c>
      <c r="K597" s="13"/>
      <c r="L597" s="13" t="s">
        <v>2637</v>
      </c>
      <c r="M597" s="13" t="s">
        <v>2638</v>
      </c>
    </row>
    <row r="598" customFormat="false" ht="35.05" hidden="false" customHeight="false" outlineLevel="0" collapsed="false">
      <c r="A598" s="13" t="s">
        <v>3</v>
      </c>
      <c r="B598" s="13" t="s">
        <v>2150</v>
      </c>
      <c r="C598" s="13" t="n">
        <v>92</v>
      </c>
      <c r="D598" s="13" t="s">
        <v>2641</v>
      </c>
      <c r="E598" s="13" t="s">
        <v>2642</v>
      </c>
      <c r="F598" s="13" t="s">
        <v>2643</v>
      </c>
      <c r="G598" s="13" t="s">
        <v>2607</v>
      </c>
      <c r="H598" s="13" t="s">
        <v>2615</v>
      </c>
      <c r="I598" s="13" t="s">
        <v>82</v>
      </c>
      <c r="J598" s="13" t="s">
        <v>83</v>
      </c>
      <c r="K598" s="13"/>
      <c r="L598" s="13" t="s">
        <v>2644</v>
      </c>
      <c r="M598" s="13" t="s">
        <v>2645</v>
      </c>
    </row>
    <row r="599" customFormat="false" ht="35.05" hidden="false" customHeight="false" outlineLevel="0" collapsed="false">
      <c r="A599" s="13" t="s">
        <v>3</v>
      </c>
      <c r="B599" s="13" t="s">
        <v>2150</v>
      </c>
      <c r="C599" s="13" t="n">
        <v>92</v>
      </c>
      <c r="D599" s="13" t="s">
        <v>2641</v>
      </c>
      <c r="E599" s="13" t="s">
        <v>2646</v>
      </c>
      <c r="F599" s="13" t="s">
        <v>2647</v>
      </c>
      <c r="G599" s="13" t="s">
        <v>2607</v>
      </c>
      <c r="H599" s="13" t="s">
        <v>2615</v>
      </c>
      <c r="I599" s="13" t="s">
        <v>82</v>
      </c>
      <c r="J599" s="13" t="s">
        <v>83</v>
      </c>
      <c r="K599" s="13"/>
      <c r="L599" s="13" t="s">
        <v>2644</v>
      </c>
      <c r="M599" s="13" t="s">
        <v>2645</v>
      </c>
    </row>
    <row r="600" customFormat="false" ht="35.05" hidden="false" customHeight="false" outlineLevel="0" collapsed="false">
      <c r="A600" s="13" t="s">
        <v>3</v>
      </c>
      <c r="B600" s="13" t="s">
        <v>2150</v>
      </c>
      <c r="C600" s="13" t="n">
        <v>92</v>
      </c>
      <c r="D600" s="13" t="s">
        <v>2641</v>
      </c>
      <c r="E600" s="13" t="s">
        <v>2648</v>
      </c>
      <c r="F600" s="13" t="s">
        <v>2649</v>
      </c>
      <c r="G600" s="13" t="s">
        <v>2607</v>
      </c>
      <c r="H600" s="13" t="s">
        <v>2608</v>
      </c>
      <c r="I600" s="13" t="s">
        <v>82</v>
      </c>
      <c r="J600" s="13" t="s">
        <v>83</v>
      </c>
      <c r="K600" s="13"/>
      <c r="L600" s="13" t="s">
        <v>2644</v>
      </c>
      <c r="M600" s="13" t="s">
        <v>2645</v>
      </c>
    </row>
    <row r="601" customFormat="false" ht="57.45" hidden="false" customHeight="false" outlineLevel="0" collapsed="false">
      <c r="A601" s="13" t="s">
        <v>3</v>
      </c>
      <c r="B601" s="13" t="s">
        <v>2150</v>
      </c>
      <c r="C601" s="13" t="n">
        <v>92</v>
      </c>
      <c r="D601" s="13" t="s">
        <v>2650</v>
      </c>
      <c r="E601" s="13" t="s">
        <v>2651</v>
      </c>
      <c r="F601" s="13" t="s">
        <v>2652</v>
      </c>
      <c r="G601" s="13" t="s">
        <v>2653</v>
      </c>
      <c r="H601" s="13" t="s">
        <v>2606</v>
      </c>
      <c r="I601" s="13" t="s">
        <v>82</v>
      </c>
      <c r="J601" s="13" t="s">
        <v>83</v>
      </c>
      <c r="K601" s="13"/>
      <c r="L601" s="13" t="s">
        <v>2654</v>
      </c>
      <c r="M601" s="13" t="s">
        <v>2655</v>
      </c>
    </row>
    <row r="602" customFormat="false" ht="57.45" hidden="false" customHeight="false" outlineLevel="0" collapsed="false">
      <c r="A602" s="13" t="s">
        <v>3</v>
      </c>
      <c r="B602" s="13" t="s">
        <v>2150</v>
      </c>
      <c r="C602" s="13" t="n">
        <v>92</v>
      </c>
      <c r="D602" s="13" t="s">
        <v>2650</v>
      </c>
      <c r="E602" s="13" t="s">
        <v>2656</v>
      </c>
      <c r="F602" s="13" t="s">
        <v>2657</v>
      </c>
      <c r="G602" s="13" t="s">
        <v>2653</v>
      </c>
      <c r="H602" s="13" t="s">
        <v>2606</v>
      </c>
      <c r="I602" s="13" t="s">
        <v>82</v>
      </c>
      <c r="J602" s="13" t="s">
        <v>83</v>
      </c>
      <c r="K602" s="13"/>
      <c r="L602" s="13" t="s">
        <v>2654</v>
      </c>
      <c r="M602" s="13" t="s">
        <v>2655</v>
      </c>
    </row>
    <row r="603" customFormat="false" ht="35.05" hidden="false" customHeight="false" outlineLevel="0" collapsed="false">
      <c r="A603" s="13" t="s">
        <v>3</v>
      </c>
      <c r="B603" s="13" t="s">
        <v>2150</v>
      </c>
      <c r="C603" s="13" t="n">
        <v>92</v>
      </c>
      <c r="D603" s="13" t="s">
        <v>2658</v>
      </c>
      <c r="E603" s="13" t="s">
        <v>2659</v>
      </c>
      <c r="F603" s="13" t="s">
        <v>2660</v>
      </c>
      <c r="G603" s="13" t="s">
        <v>2661</v>
      </c>
      <c r="H603" s="13" t="s">
        <v>2606</v>
      </c>
      <c r="I603" s="13" t="s">
        <v>82</v>
      </c>
      <c r="J603" s="13" t="s">
        <v>83</v>
      </c>
      <c r="K603" s="13"/>
      <c r="L603" s="13" t="s">
        <v>2662</v>
      </c>
      <c r="M603" s="13" t="s">
        <v>2663</v>
      </c>
    </row>
    <row r="604" customFormat="false" ht="35.05" hidden="false" customHeight="false" outlineLevel="0" collapsed="false">
      <c r="A604" s="13" t="s">
        <v>3</v>
      </c>
      <c r="B604" s="13" t="s">
        <v>2150</v>
      </c>
      <c r="C604" s="13" t="n">
        <v>92</v>
      </c>
      <c r="D604" s="13" t="s">
        <v>2658</v>
      </c>
      <c r="E604" s="13" t="s">
        <v>2664</v>
      </c>
      <c r="F604" s="13" t="s">
        <v>2660</v>
      </c>
      <c r="G604" s="13" t="s">
        <v>2607</v>
      </c>
      <c r="H604" s="13" t="s">
        <v>2665</v>
      </c>
      <c r="I604" s="13" t="s">
        <v>82</v>
      </c>
      <c r="J604" s="13" t="s">
        <v>83</v>
      </c>
      <c r="K604" s="13"/>
      <c r="L604" s="13" t="s">
        <v>2662</v>
      </c>
      <c r="M604" s="13" t="s">
        <v>2663</v>
      </c>
    </row>
    <row r="605" customFormat="false" ht="46.25" hidden="false" customHeight="false" outlineLevel="0" collapsed="false">
      <c r="A605" s="13" t="s">
        <v>3</v>
      </c>
      <c r="B605" s="13" t="s">
        <v>2150</v>
      </c>
      <c r="C605" s="13" t="n">
        <v>92</v>
      </c>
      <c r="D605" s="13" t="s">
        <v>2666</v>
      </c>
      <c r="E605" s="13" t="s">
        <v>2667</v>
      </c>
      <c r="F605" s="13" t="s">
        <v>2652</v>
      </c>
      <c r="G605" s="13" t="s">
        <v>2653</v>
      </c>
      <c r="H605" s="13" t="s">
        <v>2606</v>
      </c>
      <c r="I605" s="13" t="s">
        <v>82</v>
      </c>
      <c r="J605" s="13" t="s">
        <v>83</v>
      </c>
      <c r="K605" s="13"/>
      <c r="L605" s="13" t="s">
        <v>2668</v>
      </c>
      <c r="M605" s="13" t="s">
        <v>2669</v>
      </c>
    </row>
    <row r="606" customFormat="false" ht="46.25" hidden="false" customHeight="false" outlineLevel="0" collapsed="false">
      <c r="A606" s="13" t="s">
        <v>3</v>
      </c>
      <c r="B606" s="13" t="s">
        <v>2150</v>
      </c>
      <c r="C606" s="13" t="n">
        <v>92</v>
      </c>
      <c r="D606" s="13" t="s">
        <v>2666</v>
      </c>
      <c r="E606" s="13" t="s">
        <v>2670</v>
      </c>
      <c r="F606" s="13" t="s">
        <v>2671</v>
      </c>
      <c r="G606" s="13" t="s">
        <v>2607</v>
      </c>
      <c r="H606" s="13" t="s">
        <v>2672</v>
      </c>
      <c r="I606" s="13" t="s">
        <v>82</v>
      </c>
      <c r="J606" s="13" t="s">
        <v>83</v>
      </c>
      <c r="K606" s="13"/>
      <c r="L606" s="13" t="s">
        <v>2668</v>
      </c>
      <c r="M606" s="13" t="s">
        <v>2669</v>
      </c>
    </row>
    <row r="607" customFormat="false" ht="57.45" hidden="false" customHeight="false" outlineLevel="0" collapsed="false">
      <c r="A607" s="13" t="s">
        <v>3</v>
      </c>
      <c r="B607" s="13" t="s">
        <v>2150</v>
      </c>
      <c r="C607" s="13" t="n">
        <v>92</v>
      </c>
      <c r="D607" s="13" t="s">
        <v>2673</v>
      </c>
      <c r="E607" s="13" t="s">
        <v>2674</v>
      </c>
      <c r="F607" s="13" t="s">
        <v>2606</v>
      </c>
      <c r="G607" s="13" t="s">
        <v>2675</v>
      </c>
      <c r="H607" s="13" t="s">
        <v>2676</v>
      </c>
      <c r="I607" s="13" t="s">
        <v>82</v>
      </c>
      <c r="J607" s="13" t="s">
        <v>83</v>
      </c>
      <c r="K607" s="13"/>
      <c r="L607" s="13" t="s">
        <v>2677</v>
      </c>
      <c r="M607" s="13" t="s">
        <v>2678</v>
      </c>
    </row>
    <row r="608" customFormat="false" ht="57.45" hidden="false" customHeight="false" outlineLevel="0" collapsed="false">
      <c r="A608" s="13" t="s">
        <v>3</v>
      </c>
      <c r="B608" s="13" t="s">
        <v>2150</v>
      </c>
      <c r="C608" s="13" t="n">
        <v>92</v>
      </c>
      <c r="D608" s="13" t="s">
        <v>2673</v>
      </c>
      <c r="E608" s="13" t="s">
        <v>2679</v>
      </c>
      <c r="F608" s="13" t="s">
        <v>2606</v>
      </c>
      <c r="G608" s="13" t="s">
        <v>2675</v>
      </c>
      <c r="H608" s="13" t="s">
        <v>2680</v>
      </c>
      <c r="I608" s="13" t="s">
        <v>82</v>
      </c>
      <c r="J608" s="13" t="s">
        <v>83</v>
      </c>
      <c r="K608" s="13"/>
      <c r="L608" s="13" t="s">
        <v>2677</v>
      </c>
      <c r="M608" s="13" t="s">
        <v>2678</v>
      </c>
    </row>
    <row r="609" customFormat="false" ht="57.45" hidden="false" customHeight="false" outlineLevel="0" collapsed="false">
      <c r="A609" s="13" t="s">
        <v>3</v>
      </c>
      <c r="B609" s="13" t="s">
        <v>2150</v>
      </c>
      <c r="C609" s="13" t="n">
        <v>92</v>
      </c>
      <c r="D609" s="13" t="s">
        <v>2673</v>
      </c>
      <c r="E609" s="13" t="s">
        <v>2681</v>
      </c>
      <c r="F609" s="13" t="s">
        <v>2606</v>
      </c>
      <c r="G609" s="13" t="s">
        <v>2675</v>
      </c>
      <c r="H609" s="13" t="s">
        <v>2682</v>
      </c>
      <c r="I609" s="13" t="s">
        <v>82</v>
      </c>
      <c r="J609" s="13" t="s">
        <v>83</v>
      </c>
      <c r="K609" s="13"/>
      <c r="L609" s="13" t="s">
        <v>2677</v>
      </c>
      <c r="M609" s="13" t="s">
        <v>2678</v>
      </c>
    </row>
    <row r="610" customFormat="false" ht="35.05" hidden="false" customHeight="false" outlineLevel="0" collapsed="false">
      <c r="A610" s="13" t="s">
        <v>3</v>
      </c>
      <c r="B610" s="13" t="s">
        <v>2150</v>
      </c>
      <c r="C610" s="13" t="n">
        <v>92</v>
      </c>
      <c r="D610" s="13" t="s">
        <v>2683</v>
      </c>
      <c r="E610" s="13" t="s">
        <v>2684</v>
      </c>
      <c r="F610" s="13" t="s">
        <v>2685</v>
      </c>
      <c r="G610" s="13" t="s">
        <v>2607</v>
      </c>
      <c r="H610" s="13" t="s">
        <v>2615</v>
      </c>
      <c r="I610" s="13" t="s">
        <v>82</v>
      </c>
      <c r="J610" s="13" t="s">
        <v>83</v>
      </c>
      <c r="K610" s="13"/>
      <c r="L610" s="13" t="s">
        <v>2686</v>
      </c>
      <c r="M610" s="13" t="s">
        <v>2687</v>
      </c>
    </row>
    <row r="611" customFormat="false" ht="23.85" hidden="false" customHeight="false" outlineLevel="0" collapsed="false">
      <c r="A611" s="13" t="s">
        <v>3</v>
      </c>
      <c r="B611" s="13" t="s">
        <v>2150</v>
      </c>
      <c r="C611" s="13" t="n">
        <v>92</v>
      </c>
      <c r="D611" s="13" t="s">
        <v>2688</v>
      </c>
      <c r="E611" s="13" t="s">
        <v>2689</v>
      </c>
      <c r="F611" s="13" t="s">
        <v>2690</v>
      </c>
      <c r="G611" s="13" t="s">
        <v>2691</v>
      </c>
      <c r="H611" s="13" t="s">
        <v>2692</v>
      </c>
      <c r="I611" s="13" t="s">
        <v>82</v>
      </c>
      <c r="J611" s="13" t="s">
        <v>83</v>
      </c>
      <c r="K611" s="13"/>
      <c r="L611" s="13" t="s">
        <v>2693</v>
      </c>
      <c r="M611" s="13" t="s">
        <v>2694</v>
      </c>
    </row>
    <row r="612" customFormat="false" ht="46.25" hidden="false" customHeight="false" outlineLevel="0" collapsed="false">
      <c r="A612" s="13" t="s">
        <v>3</v>
      </c>
      <c r="B612" s="13" t="s">
        <v>2150</v>
      </c>
      <c r="C612" s="13" t="n">
        <v>92</v>
      </c>
      <c r="D612" s="13" t="s">
        <v>2695</v>
      </c>
      <c r="E612" s="13" t="s">
        <v>2696</v>
      </c>
      <c r="F612" s="13" t="s">
        <v>2697</v>
      </c>
      <c r="G612" s="13" t="s">
        <v>2698</v>
      </c>
      <c r="H612" s="13" t="s">
        <v>2606</v>
      </c>
      <c r="I612" s="13" t="s">
        <v>82</v>
      </c>
      <c r="J612" s="13" t="s">
        <v>83</v>
      </c>
      <c r="K612" s="13"/>
      <c r="L612" s="13" t="s">
        <v>2699</v>
      </c>
      <c r="M612" s="13" t="s">
        <v>2700</v>
      </c>
    </row>
    <row r="613" customFormat="false" ht="46.25" hidden="false" customHeight="false" outlineLevel="0" collapsed="false">
      <c r="A613" s="13" t="s">
        <v>3</v>
      </c>
      <c r="B613" s="13" t="s">
        <v>2150</v>
      </c>
      <c r="C613" s="13" t="n">
        <v>92</v>
      </c>
      <c r="D613" s="13" t="s">
        <v>2695</v>
      </c>
      <c r="E613" s="13" t="s">
        <v>2701</v>
      </c>
      <c r="F613" s="13" t="s">
        <v>2702</v>
      </c>
      <c r="G613" s="13" t="s">
        <v>2607</v>
      </c>
      <c r="H613" s="13" t="s">
        <v>2615</v>
      </c>
      <c r="I613" s="13" t="s">
        <v>82</v>
      </c>
      <c r="J613" s="13" t="s">
        <v>83</v>
      </c>
      <c r="K613" s="13"/>
      <c r="L613" s="13" t="s">
        <v>2699</v>
      </c>
      <c r="M613" s="13" t="s">
        <v>2700</v>
      </c>
    </row>
    <row r="614" customFormat="false" ht="23.85" hidden="false" customHeight="false" outlineLevel="0" collapsed="false">
      <c r="A614" s="13" t="s">
        <v>3</v>
      </c>
      <c r="B614" s="13" t="s">
        <v>2150</v>
      </c>
      <c r="C614" s="13" t="n">
        <v>92</v>
      </c>
      <c r="D614" s="13" t="s">
        <v>2703</v>
      </c>
      <c r="E614" s="13" t="s">
        <v>2704</v>
      </c>
      <c r="F614" s="13" t="s">
        <v>2606</v>
      </c>
      <c r="G614" s="13" t="s">
        <v>2705</v>
      </c>
      <c r="H614" s="13" t="s">
        <v>2647</v>
      </c>
      <c r="I614" s="13" t="s">
        <v>82</v>
      </c>
      <c r="J614" s="13" t="s">
        <v>83</v>
      </c>
      <c r="K614" s="13"/>
      <c r="L614" s="13" t="s">
        <v>2706</v>
      </c>
      <c r="M614" s="13" t="s">
        <v>2707</v>
      </c>
    </row>
    <row r="615" customFormat="false" ht="46.25" hidden="false" customHeight="false" outlineLevel="0" collapsed="false">
      <c r="A615" s="13" t="s">
        <v>3</v>
      </c>
      <c r="B615" s="13" t="s">
        <v>2150</v>
      </c>
      <c r="C615" s="13" t="n">
        <v>92</v>
      </c>
      <c r="D615" s="13" t="s">
        <v>2708</v>
      </c>
      <c r="E615" s="13" t="s">
        <v>2709</v>
      </c>
      <c r="F615" s="13" t="s">
        <v>2649</v>
      </c>
      <c r="G615" s="13" t="s">
        <v>2710</v>
      </c>
      <c r="H615" s="13" t="s">
        <v>2711</v>
      </c>
      <c r="I615" s="13" t="s">
        <v>82</v>
      </c>
      <c r="J615" s="13" t="s">
        <v>83</v>
      </c>
      <c r="K615" s="13"/>
      <c r="L615" s="13" t="s">
        <v>2712</v>
      </c>
      <c r="M615" s="13" t="s">
        <v>2713</v>
      </c>
    </row>
    <row r="616" customFormat="false" ht="46.25" hidden="false" customHeight="false" outlineLevel="0" collapsed="false">
      <c r="A616" s="13" t="s">
        <v>3</v>
      </c>
      <c r="B616" s="13" t="s">
        <v>2150</v>
      </c>
      <c r="C616" s="13" t="n">
        <v>92</v>
      </c>
      <c r="D616" s="13" t="s">
        <v>2708</v>
      </c>
      <c r="E616" s="13" t="s">
        <v>2714</v>
      </c>
      <c r="F616" s="13" t="s">
        <v>2715</v>
      </c>
      <c r="G616" s="13" t="s">
        <v>2607</v>
      </c>
      <c r="H616" s="13" t="s">
        <v>2716</v>
      </c>
      <c r="I616" s="13" t="s">
        <v>82</v>
      </c>
      <c r="J616" s="13" t="s">
        <v>83</v>
      </c>
      <c r="K616" s="13"/>
      <c r="L616" s="13" t="s">
        <v>2712</v>
      </c>
      <c r="M616" s="13" t="s">
        <v>2713</v>
      </c>
    </row>
    <row r="617" customFormat="false" ht="46.25" hidden="false" customHeight="false" outlineLevel="0" collapsed="false">
      <c r="A617" s="13" t="s">
        <v>3</v>
      </c>
      <c r="B617" s="13" t="s">
        <v>2150</v>
      </c>
      <c r="C617" s="13" t="n">
        <v>92</v>
      </c>
      <c r="D617" s="13" t="s">
        <v>2717</v>
      </c>
      <c r="E617" s="13" t="s">
        <v>2718</v>
      </c>
      <c r="F617" s="13" t="s">
        <v>2635</v>
      </c>
      <c r="G617" s="13" t="s">
        <v>2719</v>
      </c>
      <c r="H617" s="13" t="s">
        <v>2647</v>
      </c>
      <c r="I617" s="13" t="s">
        <v>82</v>
      </c>
      <c r="J617" s="13" t="s">
        <v>83</v>
      </c>
      <c r="K617" s="13"/>
      <c r="L617" s="13" t="s">
        <v>2720</v>
      </c>
      <c r="M617" s="13" t="s">
        <v>2721</v>
      </c>
    </row>
    <row r="618" customFormat="false" ht="46.25" hidden="false" customHeight="false" outlineLevel="0" collapsed="false">
      <c r="A618" s="13" t="s">
        <v>3</v>
      </c>
      <c r="B618" s="13" t="s">
        <v>2150</v>
      </c>
      <c r="C618" s="13" t="n">
        <v>92</v>
      </c>
      <c r="D618" s="13" t="s">
        <v>2717</v>
      </c>
      <c r="E618" s="13" t="s">
        <v>2722</v>
      </c>
      <c r="F618" s="13" t="s">
        <v>2643</v>
      </c>
      <c r="G618" s="13" t="s">
        <v>2607</v>
      </c>
      <c r="H618" s="13" t="s">
        <v>2615</v>
      </c>
      <c r="I618" s="13" t="s">
        <v>82</v>
      </c>
      <c r="J618" s="13" t="s">
        <v>83</v>
      </c>
      <c r="K618" s="13"/>
      <c r="L618" s="13" t="s">
        <v>2720</v>
      </c>
      <c r="M618" s="13" t="s">
        <v>2721</v>
      </c>
    </row>
    <row r="619" customFormat="false" ht="35.05" hidden="false" customHeight="false" outlineLevel="0" collapsed="false">
      <c r="A619" s="13" t="s">
        <v>3</v>
      </c>
      <c r="B619" s="13" t="s">
        <v>2150</v>
      </c>
      <c r="C619" s="13" t="n">
        <v>92</v>
      </c>
      <c r="D619" s="13" t="s">
        <v>2723</v>
      </c>
      <c r="E619" s="13" t="s">
        <v>2724</v>
      </c>
      <c r="F619" s="13" t="s">
        <v>2725</v>
      </c>
      <c r="G619" s="13" t="s">
        <v>2726</v>
      </c>
      <c r="H619" s="13" t="s">
        <v>2606</v>
      </c>
      <c r="I619" s="13" t="s">
        <v>82</v>
      </c>
      <c r="J619" s="13" t="s">
        <v>83</v>
      </c>
      <c r="K619" s="13"/>
      <c r="L619" s="13" t="s">
        <v>2727</v>
      </c>
      <c r="M619" s="13" t="s">
        <v>2728</v>
      </c>
    </row>
    <row r="620" customFormat="false" ht="102.2" hidden="false" customHeight="false" outlineLevel="0" collapsed="false">
      <c r="A620" s="13" t="s">
        <v>3</v>
      </c>
      <c r="B620" s="13" t="s">
        <v>2150</v>
      </c>
      <c r="C620" s="13" t="n">
        <v>157</v>
      </c>
      <c r="D620" s="13" t="s">
        <v>2729</v>
      </c>
      <c r="E620" s="13" t="s">
        <v>2730</v>
      </c>
      <c r="F620" s="13" t="s">
        <v>806</v>
      </c>
      <c r="G620" s="13" t="s">
        <v>2731</v>
      </c>
      <c r="H620" s="13" t="s">
        <v>2732</v>
      </c>
      <c r="I620" s="13" t="s">
        <v>82</v>
      </c>
      <c r="J620" s="13" t="s">
        <v>83</v>
      </c>
      <c r="K620" s="13"/>
      <c r="L620" s="13" t="s">
        <v>2733</v>
      </c>
      <c r="M620" s="13" t="s">
        <v>2734</v>
      </c>
    </row>
    <row r="621" customFormat="false" ht="102.2" hidden="false" customHeight="false" outlineLevel="0" collapsed="false">
      <c r="A621" s="13" t="s">
        <v>3</v>
      </c>
      <c r="B621" s="13" t="s">
        <v>2150</v>
      </c>
      <c r="C621" s="13" t="n">
        <v>157</v>
      </c>
      <c r="D621" s="13" t="s">
        <v>2729</v>
      </c>
      <c r="E621" s="13" t="s">
        <v>2735</v>
      </c>
      <c r="F621" s="13" t="s">
        <v>806</v>
      </c>
      <c r="G621" s="13" t="s">
        <v>2731</v>
      </c>
      <c r="H621" s="13" t="s">
        <v>2736</v>
      </c>
      <c r="I621" s="13" t="s">
        <v>82</v>
      </c>
      <c r="J621" s="13" t="s">
        <v>83</v>
      </c>
      <c r="K621" s="13"/>
      <c r="L621" s="13" t="s">
        <v>2733</v>
      </c>
      <c r="M621" s="13" t="s">
        <v>2734</v>
      </c>
    </row>
    <row r="622" customFormat="false" ht="102.2" hidden="false" customHeight="false" outlineLevel="0" collapsed="false">
      <c r="A622" s="13" t="s">
        <v>3</v>
      </c>
      <c r="B622" s="13" t="s">
        <v>2150</v>
      </c>
      <c r="C622" s="13" t="n">
        <v>157</v>
      </c>
      <c r="D622" s="13" t="s">
        <v>2729</v>
      </c>
      <c r="E622" s="13" t="s">
        <v>2737</v>
      </c>
      <c r="F622" s="13" t="s">
        <v>806</v>
      </c>
      <c r="G622" s="13" t="s">
        <v>2738</v>
      </c>
      <c r="H622" s="13" t="s">
        <v>2739</v>
      </c>
      <c r="I622" s="13" t="s">
        <v>82</v>
      </c>
      <c r="J622" s="13" t="s">
        <v>83</v>
      </c>
      <c r="K622" s="13"/>
      <c r="L622" s="13" t="s">
        <v>2733</v>
      </c>
      <c r="M622" s="13" t="s">
        <v>2734</v>
      </c>
    </row>
    <row r="623" customFormat="false" ht="79.85" hidden="false" customHeight="false" outlineLevel="0" collapsed="false">
      <c r="A623" s="13" t="s">
        <v>3</v>
      </c>
      <c r="B623" s="13" t="s">
        <v>2150</v>
      </c>
      <c r="C623" s="13" t="n">
        <v>157</v>
      </c>
      <c r="D623" s="13" t="s">
        <v>2740</v>
      </c>
      <c r="E623" s="13" t="s">
        <v>2741</v>
      </c>
      <c r="F623" s="13" t="s">
        <v>806</v>
      </c>
      <c r="G623" s="13" t="s">
        <v>2742</v>
      </c>
      <c r="H623" s="13" t="s">
        <v>2743</v>
      </c>
      <c r="I623" s="13" t="s">
        <v>82</v>
      </c>
      <c r="J623" s="13" t="s">
        <v>83</v>
      </c>
      <c r="K623" s="13"/>
      <c r="L623" s="13" t="s">
        <v>2744</v>
      </c>
      <c r="M623" s="13" t="s">
        <v>2745</v>
      </c>
    </row>
    <row r="624" customFormat="false" ht="79.85" hidden="false" customHeight="false" outlineLevel="0" collapsed="false">
      <c r="A624" s="13" t="s">
        <v>3</v>
      </c>
      <c r="B624" s="13" t="s">
        <v>2150</v>
      </c>
      <c r="C624" s="13" t="n">
        <v>157</v>
      </c>
      <c r="D624" s="13" t="s">
        <v>2740</v>
      </c>
      <c r="E624" s="13" t="s">
        <v>2746</v>
      </c>
      <c r="F624" s="13" t="s">
        <v>806</v>
      </c>
      <c r="G624" s="13" t="s">
        <v>2747</v>
      </c>
      <c r="H624" s="13" t="s">
        <v>2743</v>
      </c>
      <c r="I624" s="13" t="s">
        <v>82</v>
      </c>
      <c r="J624" s="13" t="s">
        <v>83</v>
      </c>
      <c r="K624" s="13"/>
      <c r="L624" s="13" t="s">
        <v>2744</v>
      </c>
      <c r="M624" s="13" t="s">
        <v>2745</v>
      </c>
    </row>
    <row r="625" customFormat="false" ht="35.05" hidden="false" customHeight="false" outlineLevel="0" collapsed="false">
      <c r="A625" s="13" t="s">
        <v>3</v>
      </c>
      <c r="B625" s="13" t="s">
        <v>2150</v>
      </c>
      <c r="C625" s="13" t="n">
        <v>157</v>
      </c>
      <c r="D625" s="13" t="s">
        <v>2748</v>
      </c>
      <c r="E625" s="13" t="s">
        <v>2749</v>
      </c>
      <c r="F625" s="13" t="s">
        <v>806</v>
      </c>
      <c r="G625" s="13" t="s">
        <v>2750</v>
      </c>
      <c r="H625" s="13" t="s">
        <v>2751</v>
      </c>
      <c r="I625" s="13" t="s">
        <v>82</v>
      </c>
      <c r="J625" s="13" t="s">
        <v>83</v>
      </c>
      <c r="K625" s="13"/>
      <c r="L625" s="13" t="s">
        <v>2752</v>
      </c>
      <c r="M625" s="13" t="s">
        <v>2753</v>
      </c>
    </row>
    <row r="626" customFormat="false" ht="57.45" hidden="false" customHeight="false" outlineLevel="0" collapsed="false">
      <c r="A626" s="13" t="s">
        <v>3</v>
      </c>
      <c r="B626" s="13" t="s">
        <v>2150</v>
      </c>
      <c r="C626" s="13" t="n">
        <v>157</v>
      </c>
      <c r="D626" s="13" t="s">
        <v>2754</v>
      </c>
      <c r="E626" s="13" t="s">
        <v>2755</v>
      </c>
      <c r="F626" s="13" t="s">
        <v>806</v>
      </c>
      <c r="G626" s="13" t="s">
        <v>1150</v>
      </c>
      <c r="H626" s="13" t="s">
        <v>2756</v>
      </c>
      <c r="I626" s="13" t="s">
        <v>82</v>
      </c>
      <c r="J626" s="13" t="s">
        <v>83</v>
      </c>
      <c r="K626" s="13"/>
      <c r="L626" s="13" t="s">
        <v>2757</v>
      </c>
      <c r="M626" s="13" t="s">
        <v>2758</v>
      </c>
    </row>
    <row r="627" customFormat="false" ht="57.45" hidden="false" customHeight="false" outlineLevel="0" collapsed="false">
      <c r="A627" s="13" t="s">
        <v>3</v>
      </c>
      <c r="B627" s="13" t="s">
        <v>2150</v>
      </c>
      <c r="C627" s="13" t="n">
        <v>157</v>
      </c>
      <c r="D627" s="13" t="s">
        <v>2754</v>
      </c>
      <c r="E627" s="13" t="s">
        <v>2759</v>
      </c>
      <c r="F627" s="13" t="s">
        <v>806</v>
      </c>
      <c r="G627" s="13" t="s">
        <v>2760</v>
      </c>
      <c r="H627" s="13" t="s">
        <v>2756</v>
      </c>
      <c r="I627" s="13" t="s">
        <v>82</v>
      </c>
      <c r="J627" s="13" t="s">
        <v>83</v>
      </c>
      <c r="K627" s="13"/>
      <c r="L627" s="13" t="s">
        <v>2757</v>
      </c>
      <c r="M627" s="13" t="s">
        <v>2758</v>
      </c>
    </row>
    <row r="628" customFormat="false" ht="57.45" hidden="false" customHeight="false" outlineLevel="0" collapsed="false">
      <c r="A628" s="13" t="s">
        <v>3</v>
      </c>
      <c r="B628" s="13" t="s">
        <v>2150</v>
      </c>
      <c r="C628" s="13" t="n">
        <v>157</v>
      </c>
      <c r="D628" s="13" t="s">
        <v>2754</v>
      </c>
      <c r="E628" s="13" t="s">
        <v>2761</v>
      </c>
      <c r="F628" s="13" t="s">
        <v>806</v>
      </c>
      <c r="G628" s="13" t="s">
        <v>2762</v>
      </c>
      <c r="H628" s="13" t="s">
        <v>2763</v>
      </c>
      <c r="I628" s="13" t="s">
        <v>82</v>
      </c>
      <c r="J628" s="13" t="s">
        <v>83</v>
      </c>
      <c r="K628" s="13"/>
      <c r="L628" s="13" t="s">
        <v>2757</v>
      </c>
      <c r="M628" s="13" t="s">
        <v>2758</v>
      </c>
    </row>
    <row r="629" customFormat="false" ht="23.85" hidden="false" customHeight="false" outlineLevel="0" collapsed="false">
      <c r="A629" s="13" t="s">
        <v>3</v>
      </c>
      <c r="B629" s="13" t="s">
        <v>2150</v>
      </c>
      <c r="C629" s="13" t="n">
        <v>157</v>
      </c>
      <c r="D629" s="13" t="s">
        <v>2764</v>
      </c>
      <c r="E629" s="13" t="s">
        <v>2765</v>
      </c>
      <c r="F629" s="13" t="s">
        <v>806</v>
      </c>
      <c r="G629" s="13" t="s">
        <v>2766</v>
      </c>
      <c r="H629" s="13" t="s">
        <v>2767</v>
      </c>
      <c r="I629" s="13" t="s">
        <v>82</v>
      </c>
      <c r="J629" s="13" t="s">
        <v>83</v>
      </c>
      <c r="K629" s="13"/>
      <c r="L629" s="13" t="s">
        <v>2768</v>
      </c>
      <c r="M629" s="13" t="s">
        <v>2769</v>
      </c>
    </row>
    <row r="630" customFormat="false" ht="35.05" hidden="false" customHeight="false" outlineLevel="0" collapsed="false">
      <c r="A630" s="13" t="s">
        <v>3</v>
      </c>
      <c r="B630" s="13" t="s">
        <v>2150</v>
      </c>
      <c r="C630" s="13" t="n">
        <v>157</v>
      </c>
      <c r="D630" s="13" t="s">
        <v>2770</v>
      </c>
      <c r="E630" s="13" t="s">
        <v>2771</v>
      </c>
      <c r="F630" s="13" t="s">
        <v>2772</v>
      </c>
      <c r="G630" s="13" t="s">
        <v>2773</v>
      </c>
      <c r="H630" s="13" t="s">
        <v>806</v>
      </c>
      <c r="I630" s="13" t="s">
        <v>82</v>
      </c>
      <c r="J630" s="13" t="s">
        <v>83</v>
      </c>
      <c r="K630" s="13"/>
      <c r="L630" s="13" t="s">
        <v>2774</v>
      </c>
      <c r="M630" s="13" t="s">
        <v>2775</v>
      </c>
    </row>
    <row r="631" customFormat="false" ht="23.85" hidden="false" customHeight="false" outlineLevel="0" collapsed="false">
      <c r="A631" s="13" t="s">
        <v>3</v>
      </c>
      <c r="B631" s="13" t="s">
        <v>2150</v>
      </c>
      <c r="C631" s="13" t="n">
        <v>157</v>
      </c>
      <c r="D631" s="13" t="s">
        <v>2776</v>
      </c>
      <c r="E631" s="13" t="s">
        <v>2777</v>
      </c>
      <c r="F631" s="13" t="s">
        <v>2778</v>
      </c>
      <c r="G631" s="13" t="s">
        <v>2779</v>
      </c>
      <c r="H631" s="13" t="s">
        <v>806</v>
      </c>
      <c r="I631" s="13" t="s">
        <v>82</v>
      </c>
      <c r="J631" s="13" t="s">
        <v>83</v>
      </c>
      <c r="K631" s="13"/>
      <c r="L631" s="13" t="s">
        <v>2780</v>
      </c>
      <c r="M631" s="13" t="s">
        <v>2781</v>
      </c>
    </row>
    <row r="632" customFormat="false" ht="23.85" hidden="false" customHeight="false" outlineLevel="0" collapsed="false">
      <c r="A632" s="13" t="s">
        <v>3</v>
      </c>
      <c r="B632" s="13" t="s">
        <v>2150</v>
      </c>
      <c r="C632" s="13" t="n">
        <v>157</v>
      </c>
      <c r="D632" s="13" t="s">
        <v>2782</v>
      </c>
      <c r="E632" s="13" t="s">
        <v>2783</v>
      </c>
      <c r="F632" s="13" t="s">
        <v>2778</v>
      </c>
      <c r="G632" s="13" t="s">
        <v>2784</v>
      </c>
      <c r="H632" s="13" t="s">
        <v>806</v>
      </c>
      <c r="I632" s="13" t="s">
        <v>82</v>
      </c>
      <c r="J632" s="13" t="s">
        <v>83</v>
      </c>
      <c r="K632" s="13"/>
      <c r="L632" s="13" t="s">
        <v>2785</v>
      </c>
      <c r="M632" s="13" t="s">
        <v>2786</v>
      </c>
    </row>
    <row r="633" customFormat="false" ht="57.45" hidden="false" customHeight="false" outlineLevel="0" collapsed="false">
      <c r="A633" s="13" t="s">
        <v>3</v>
      </c>
      <c r="B633" s="13" t="s">
        <v>2150</v>
      </c>
      <c r="C633" s="13" t="n">
        <v>157</v>
      </c>
      <c r="D633" s="13" t="s">
        <v>2787</v>
      </c>
      <c r="E633" s="13" t="s">
        <v>2788</v>
      </c>
      <c r="F633" s="13" t="s">
        <v>2778</v>
      </c>
      <c r="G633" s="13" t="s">
        <v>2789</v>
      </c>
      <c r="H633" s="13" t="s">
        <v>806</v>
      </c>
      <c r="I633" s="13" t="s">
        <v>82</v>
      </c>
      <c r="J633" s="13" t="s">
        <v>83</v>
      </c>
      <c r="K633" s="13"/>
      <c r="L633" s="13" t="s">
        <v>2790</v>
      </c>
      <c r="M633" s="13" t="s">
        <v>2791</v>
      </c>
    </row>
    <row r="634" customFormat="false" ht="23.85" hidden="false" customHeight="false" outlineLevel="0" collapsed="false">
      <c r="A634" s="13" t="s">
        <v>3</v>
      </c>
      <c r="B634" s="13" t="s">
        <v>2150</v>
      </c>
      <c r="C634" s="13" t="n">
        <v>157</v>
      </c>
      <c r="D634" s="13" t="s">
        <v>2792</v>
      </c>
      <c r="E634" s="13" t="s">
        <v>2793</v>
      </c>
      <c r="F634" s="13" t="s">
        <v>2778</v>
      </c>
      <c r="G634" s="13" t="s">
        <v>2794</v>
      </c>
      <c r="H634" s="13" t="s">
        <v>806</v>
      </c>
      <c r="I634" s="13" t="s">
        <v>82</v>
      </c>
      <c r="J634" s="13" t="s">
        <v>83</v>
      </c>
      <c r="K634" s="13"/>
      <c r="L634" s="13" t="s">
        <v>2795</v>
      </c>
      <c r="M634" s="13" t="s">
        <v>2796</v>
      </c>
    </row>
    <row r="635" customFormat="false" ht="35.05" hidden="false" customHeight="false" outlineLevel="0" collapsed="false">
      <c r="A635" s="13" t="s">
        <v>3</v>
      </c>
      <c r="B635" s="13" t="s">
        <v>2150</v>
      </c>
      <c r="C635" s="13" t="n">
        <v>157</v>
      </c>
      <c r="D635" s="13" t="s">
        <v>2797</v>
      </c>
      <c r="E635" s="13" t="s">
        <v>2798</v>
      </c>
      <c r="F635" s="13" t="s">
        <v>2799</v>
      </c>
      <c r="G635" s="13" t="s">
        <v>2800</v>
      </c>
      <c r="H635" s="13" t="s">
        <v>806</v>
      </c>
      <c r="I635" s="13" t="s">
        <v>82</v>
      </c>
      <c r="J635" s="13" t="s">
        <v>83</v>
      </c>
      <c r="K635" s="13"/>
      <c r="L635" s="13" t="s">
        <v>2801</v>
      </c>
      <c r="M635" s="13" t="s">
        <v>2802</v>
      </c>
    </row>
    <row r="636" customFormat="false" ht="35.05" hidden="false" customHeight="false" outlineLevel="0" collapsed="false">
      <c r="A636" s="13" t="s">
        <v>3</v>
      </c>
      <c r="B636" s="13" t="s">
        <v>2150</v>
      </c>
      <c r="C636" s="13" t="n">
        <v>157</v>
      </c>
      <c r="D636" s="13" t="s">
        <v>2797</v>
      </c>
      <c r="E636" s="13" t="s">
        <v>2803</v>
      </c>
      <c r="F636" s="13" t="s">
        <v>2799</v>
      </c>
      <c r="G636" s="13" t="s">
        <v>2804</v>
      </c>
      <c r="H636" s="13" t="s">
        <v>806</v>
      </c>
      <c r="I636" s="13" t="s">
        <v>82</v>
      </c>
      <c r="J636" s="13" t="s">
        <v>83</v>
      </c>
      <c r="K636" s="13"/>
      <c r="L636" s="13" t="s">
        <v>2801</v>
      </c>
      <c r="M636" s="13" t="s">
        <v>2802</v>
      </c>
    </row>
    <row r="637" customFormat="false" ht="23.85" hidden="false" customHeight="false" outlineLevel="0" collapsed="false">
      <c r="A637" s="13" t="s">
        <v>3</v>
      </c>
      <c r="B637" s="13" t="s">
        <v>2150</v>
      </c>
      <c r="C637" s="13" t="n">
        <v>157</v>
      </c>
      <c r="D637" s="13" t="s">
        <v>2805</v>
      </c>
      <c r="E637" s="13" t="s">
        <v>2806</v>
      </c>
      <c r="F637" s="13" t="s">
        <v>2807</v>
      </c>
      <c r="G637" s="13" t="s">
        <v>2808</v>
      </c>
      <c r="H637" s="13" t="s">
        <v>806</v>
      </c>
      <c r="I637" s="13" t="s">
        <v>82</v>
      </c>
      <c r="J637" s="13" t="s">
        <v>83</v>
      </c>
      <c r="K637" s="13"/>
      <c r="L637" s="13" t="s">
        <v>2809</v>
      </c>
      <c r="M637" s="13" t="s">
        <v>2810</v>
      </c>
    </row>
    <row r="638" customFormat="false" ht="46.25" hidden="false" customHeight="false" outlineLevel="0" collapsed="false">
      <c r="A638" s="13" t="s">
        <v>3</v>
      </c>
      <c r="B638" s="13" t="s">
        <v>2150</v>
      </c>
      <c r="C638" s="13" t="n">
        <v>157</v>
      </c>
      <c r="D638" s="13" t="s">
        <v>2811</v>
      </c>
      <c r="E638" s="13" t="s">
        <v>2812</v>
      </c>
      <c r="F638" s="13" t="s">
        <v>2813</v>
      </c>
      <c r="G638" s="13" t="s">
        <v>2814</v>
      </c>
      <c r="H638" s="13" t="s">
        <v>806</v>
      </c>
      <c r="I638" s="13" t="s">
        <v>82</v>
      </c>
      <c r="J638" s="13" t="s">
        <v>83</v>
      </c>
      <c r="K638" s="13"/>
      <c r="L638" s="13" t="s">
        <v>2815</v>
      </c>
      <c r="M638" s="13" t="s">
        <v>2816</v>
      </c>
    </row>
    <row r="639" customFormat="false" ht="46.25" hidden="false" customHeight="false" outlineLevel="0" collapsed="false">
      <c r="A639" s="13" t="s">
        <v>3</v>
      </c>
      <c r="B639" s="13" t="s">
        <v>2150</v>
      </c>
      <c r="C639" s="13" t="n">
        <v>157</v>
      </c>
      <c r="D639" s="13" t="s">
        <v>2811</v>
      </c>
      <c r="E639" s="13" t="s">
        <v>2817</v>
      </c>
      <c r="F639" s="13" t="s">
        <v>2813</v>
      </c>
      <c r="G639" s="13" t="s">
        <v>2818</v>
      </c>
      <c r="H639" s="13" t="s">
        <v>806</v>
      </c>
      <c r="I639" s="13" t="s">
        <v>82</v>
      </c>
      <c r="J639" s="13" t="s">
        <v>83</v>
      </c>
      <c r="K639" s="13"/>
      <c r="L639" s="13" t="s">
        <v>2815</v>
      </c>
      <c r="M639" s="13" t="s">
        <v>2816</v>
      </c>
    </row>
    <row r="640" customFormat="false" ht="124.6" hidden="false" customHeight="false" outlineLevel="0" collapsed="false">
      <c r="A640" s="13" t="s">
        <v>3</v>
      </c>
      <c r="B640" s="13" t="s">
        <v>2150</v>
      </c>
      <c r="C640" s="13" t="n">
        <v>178</v>
      </c>
      <c r="D640" s="13" t="s">
        <v>2819</v>
      </c>
      <c r="E640" s="13" t="s">
        <v>2820</v>
      </c>
      <c r="F640" s="13" t="s">
        <v>806</v>
      </c>
      <c r="G640" s="13" t="s">
        <v>2158</v>
      </c>
      <c r="H640" s="13" t="s">
        <v>2821</v>
      </c>
      <c r="I640" s="13" t="s">
        <v>82</v>
      </c>
      <c r="J640" s="13" t="s">
        <v>83</v>
      </c>
      <c r="K640" s="13"/>
      <c r="L640" s="13" t="s">
        <v>2822</v>
      </c>
      <c r="M640" s="13" t="s">
        <v>2823</v>
      </c>
    </row>
    <row r="641" customFormat="false" ht="191.75" hidden="false" customHeight="false" outlineLevel="0" collapsed="false">
      <c r="A641" s="13" t="s">
        <v>3</v>
      </c>
      <c r="B641" s="13" t="s">
        <v>2150</v>
      </c>
      <c r="C641" s="13" t="n">
        <v>178</v>
      </c>
      <c r="D641" s="13" t="s">
        <v>2824</v>
      </c>
      <c r="E641" s="13" t="s">
        <v>2825</v>
      </c>
      <c r="F641" s="13" t="s">
        <v>806</v>
      </c>
      <c r="G641" s="13" t="s">
        <v>2826</v>
      </c>
      <c r="H641" s="13" t="s">
        <v>2827</v>
      </c>
      <c r="I641" s="13" t="s">
        <v>82</v>
      </c>
      <c r="J641" s="13" t="s">
        <v>83</v>
      </c>
      <c r="K641" s="13"/>
      <c r="L641" s="13" t="s">
        <v>2828</v>
      </c>
      <c r="M641" s="13" t="s">
        <v>2829</v>
      </c>
    </row>
    <row r="642" customFormat="false" ht="191.75" hidden="false" customHeight="false" outlineLevel="0" collapsed="false">
      <c r="A642" s="13" t="s">
        <v>3</v>
      </c>
      <c r="B642" s="13" t="s">
        <v>2150</v>
      </c>
      <c r="C642" s="13" t="n">
        <v>178</v>
      </c>
      <c r="D642" s="13" t="s">
        <v>2824</v>
      </c>
      <c r="E642" s="13" t="s">
        <v>2830</v>
      </c>
      <c r="F642" s="13" t="s">
        <v>2827</v>
      </c>
      <c r="G642" s="13" t="s">
        <v>1759</v>
      </c>
      <c r="H642" s="13" t="s">
        <v>2831</v>
      </c>
      <c r="I642" s="13" t="s">
        <v>82</v>
      </c>
      <c r="J642" s="13" t="s">
        <v>83</v>
      </c>
      <c r="K642" s="13"/>
      <c r="L642" s="13" t="s">
        <v>2828</v>
      </c>
      <c r="M642" s="13" t="s">
        <v>2829</v>
      </c>
    </row>
    <row r="643" customFormat="false" ht="191.75" hidden="false" customHeight="false" outlineLevel="0" collapsed="false">
      <c r="A643" s="13" t="s">
        <v>3</v>
      </c>
      <c r="B643" s="13" t="s">
        <v>2150</v>
      </c>
      <c r="C643" s="13" t="n">
        <v>178</v>
      </c>
      <c r="D643" s="13" t="s">
        <v>2824</v>
      </c>
      <c r="E643" s="13" t="s">
        <v>2832</v>
      </c>
      <c r="F643" s="13" t="s">
        <v>806</v>
      </c>
      <c r="G643" s="13" t="s">
        <v>2826</v>
      </c>
      <c r="H643" s="13" t="s">
        <v>2833</v>
      </c>
      <c r="I643" s="13" t="s">
        <v>82</v>
      </c>
      <c r="J643" s="13" t="s">
        <v>83</v>
      </c>
      <c r="K643" s="13"/>
      <c r="L643" s="13" t="s">
        <v>2828</v>
      </c>
      <c r="M643" s="13" t="s">
        <v>2829</v>
      </c>
    </row>
    <row r="644" customFormat="false" ht="191.75" hidden="false" customHeight="false" outlineLevel="0" collapsed="false">
      <c r="A644" s="13" t="s">
        <v>3</v>
      </c>
      <c r="B644" s="13" t="s">
        <v>2150</v>
      </c>
      <c r="C644" s="13" t="n">
        <v>178</v>
      </c>
      <c r="D644" s="13" t="s">
        <v>2824</v>
      </c>
      <c r="E644" s="13" t="s">
        <v>2834</v>
      </c>
      <c r="F644" s="13" t="s">
        <v>2833</v>
      </c>
      <c r="G644" s="13" t="s">
        <v>1759</v>
      </c>
      <c r="H644" s="13" t="s">
        <v>2835</v>
      </c>
      <c r="I644" s="13" t="s">
        <v>82</v>
      </c>
      <c r="J644" s="13" t="s">
        <v>83</v>
      </c>
      <c r="K644" s="13"/>
      <c r="L644" s="13" t="s">
        <v>2828</v>
      </c>
      <c r="M644" s="13" t="s">
        <v>2829</v>
      </c>
    </row>
    <row r="645" customFormat="false" ht="191.75" hidden="false" customHeight="false" outlineLevel="0" collapsed="false">
      <c r="A645" s="13" t="s">
        <v>3</v>
      </c>
      <c r="B645" s="13" t="s">
        <v>2150</v>
      </c>
      <c r="C645" s="13" t="n">
        <v>178</v>
      </c>
      <c r="D645" s="13" t="s">
        <v>2824</v>
      </c>
      <c r="E645" s="13" t="s">
        <v>2836</v>
      </c>
      <c r="F645" s="13" t="s">
        <v>806</v>
      </c>
      <c r="G645" s="13" t="s">
        <v>2826</v>
      </c>
      <c r="H645" s="13" t="s">
        <v>2837</v>
      </c>
      <c r="I645" s="13" t="s">
        <v>82</v>
      </c>
      <c r="J645" s="13" t="s">
        <v>83</v>
      </c>
      <c r="K645" s="13"/>
      <c r="L645" s="13" t="s">
        <v>2828</v>
      </c>
      <c r="M645" s="13" t="s">
        <v>2829</v>
      </c>
    </row>
    <row r="646" customFormat="false" ht="191.75" hidden="false" customHeight="false" outlineLevel="0" collapsed="false">
      <c r="A646" s="13" t="s">
        <v>3</v>
      </c>
      <c r="B646" s="13" t="s">
        <v>2150</v>
      </c>
      <c r="C646" s="13" t="n">
        <v>178</v>
      </c>
      <c r="D646" s="13" t="s">
        <v>2824</v>
      </c>
      <c r="E646" s="13" t="s">
        <v>2838</v>
      </c>
      <c r="F646" s="13" t="s">
        <v>2837</v>
      </c>
      <c r="G646" s="13" t="s">
        <v>1759</v>
      </c>
      <c r="H646" s="13" t="s">
        <v>2839</v>
      </c>
      <c r="I646" s="13" t="s">
        <v>82</v>
      </c>
      <c r="J646" s="13" t="s">
        <v>83</v>
      </c>
      <c r="K646" s="13"/>
      <c r="L646" s="13" t="s">
        <v>2828</v>
      </c>
      <c r="M646" s="13" t="s">
        <v>2829</v>
      </c>
    </row>
    <row r="647" customFormat="false" ht="191.75" hidden="false" customHeight="false" outlineLevel="0" collapsed="false">
      <c r="A647" s="13" t="s">
        <v>3</v>
      </c>
      <c r="B647" s="13" t="s">
        <v>2150</v>
      </c>
      <c r="C647" s="13" t="n">
        <v>178</v>
      </c>
      <c r="D647" s="13" t="s">
        <v>2824</v>
      </c>
      <c r="E647" s="13" t="s">
        <v>2840</v>
      </c>
      <c r="F647" s="13" t="s">
        <v>806</v>
      </c>
      <c r="G647" s="13" t="s">
        <v>2826</v>
      </c>
      <c r="H647" s="13" t="s">
        <v>2841</v>
      </c>
      <c r="I647" s="13" t="s">
        <v>82</v>
      </c>
      <c r="J647" s="13" t="s">
        <v>83</v>
      </c>
      <c r="K647" s="13"/>
      <c r="L647" s="13" t="s">
        <v>2828</v>
      </c>
      <c r="M647" s="13" t="s">
        <v>2829</v>
      </c>
    </row>
    <row r="648" customFormat="false" ht="191.75" hidden="false" customHeight="false" outlineLevel="0" collapsed="false">
      <c r="A648" s="13" t="s">
        <v>3</v>
      </c>
      <c r="B648" s="13" t="s">
        <v>2150</v>
      </c>
      <c r="C648" s="13" t="n">
        <v>178</v>
      </c>
      <c r="D648" s="13" t="s">
        <v>2824</v>
      </c>
      <c r="E648" s="13" t="s">
        <v>2842</v>
      </c>
      <c r="F648" s="13" t="s">
        <v>2841</v>
      </c>
      <c r="G648" s="13" t="s">
        <v>1759</v>
      </c>
      <c r="H648" s="13" t="s">
        <v>2843</v>
      </c>
      <c r="I648" s="13" t="s">
        <v>82</v>
      </c>
      <c r="J648" s="13" t="s">
        <v>83</v>
      </c>
      <c r="K648" s="13"/>
      <c r="L648" s="13" t="s">
        <v>2828</v>
      </c>
      <c r="M648" s="13" t="s">
        <v>2829</v>
      </c>
    </row>
    <row r="649" customFormat="false" ht="191.75" hidden="false" customHeight="false" outlineLevel="0" collapsed="false">
      <c r="A649" s="13" t="s">
        <v>3</v>
      </c>
      <c r="B649" s="13" t="s">
        <v>2150</v>
      </c>
      <c r="C649" s="13" t="n">
        <v>178</v>
      </c>
      <c r="D649" s="13" t="s">
        <v>2824</v>
      </c>
      <c r="E649" s="13" t="s">
        <v>2844</v>
      </c>
      <c r="F649" s="13" t="s">
        <v>806</v>
      </c>
      <c r="G649" s="13" t="s">
        <v>2826</v>
      </c>
      <c r="H649" s="13" t="s">
        <v>2845</v>
      </c>
      <c r="I649" s="13" t="s">
        <v>82</v>
      </c>
      <c r="J649" s="13" t="s">
        <v>83</v>
      </c>
      <c r="K649" s="13"/>
      <c r="L649" s="13" t="s">
        <v>2828</v>
      </c>
      <c r="M649" s="13" t="s">
        <v>2829</v>
      </c>
    </row>
    <row r="650" customFormat="false" ht="191.75" hidden="false" customHeight="false" outlineLevel="0" collapsed="false">
      <c r="A650" s="13" t="s">
        <v>3</v>
      </c>
      <c r="B650" s="13" t="s">
        <v>2150</v>
      </c>
      <c r="C650" s="13" t="n">
        <v>178</v>
      </c>
      <c r="D650" s="13" t="s">
        <v>2824</v>
      </c>
      <c r="E650" s="13" t="s">
        <v>2846</v>
      </c>
      <c r="F650" s="13" t="s">
        <v>2845</v>
      </c>
      <c r="G650" s="13" t="s">
        <v>1759</v>
      </c>
      <c r="H650" s="13" t="s">
        <v>2847</v>
      </c>
      <c r="I650" s="13" t="s">
        <v>82</v>
      </c>
      <c r="J650" s="13" t="s">
        <v>83</v>
      </c>
      <c r="K650" s="13"/>
      <c r="L650" s="13" t="s">
        <v>2828</v>
      </c>
      <c r="M650" s="13" t="s">
        <v>2829</v>
      </c>
    </row>
    <row r="651" customFormat="false" ht="191.75" hidden="false" customHeight="false" outlineLevel="0" collapsed="false">
      <c r="A651" s="13" t="s">
        <v>3</v>
      </c>
      <c r="B651" s="13" t="s">
        <v>2150</v>
      </c>
      <c r="C651" s="13" t="n">
        <v>178</v>
      </c>
      <c r="D651" s="13" t="s">
        <v>2824</v>
      </c>
      <c r="E651" s="13" t="s">
        <v>2848</v>
      </c>
      <c r="F651" s="13" t="s">
        <v>806</v>
      </c>
      <c r="G651" s="13" t="s">
        <v>2826</v>
      </c>
      <c r="H651" s="13" t="s">
        <v>2849</v>
      </c>
      <c r="I651" s="13" t="s">
        <v>82</v>
      </c>
      <c r="J651" s="13" t="s">
        <v>83</v>
      </c>
      <c r="K651" s="13"/>
      <c r="L651" s="13" t="s">
        <v>2828</v>
      </c>
      <c r="M651" s="13" t="s">
        <v>2829</v>
      </c>
    </row>
    <row r="652" customFormat="false" ht="191.75" hidden="false" customHeight="false" outlineLevel="0" collapsed="false">
      <c r="A652" s="13" t="s">
        <v>3</v>
      </c>
      <c r="B652" s="13" t="s">
        <v>2150</v>
      </c>
      <c r="C652" s="13" t="n">
        <v>178</v>
      </c>
      <c r="D652" s="13" t="s">
        <v>2824</v>
      </c>
      <c r="E652" s="13" t="s">
        <v>2850</v>
      </c>
      <c r="F652" s="13" t="s">
        <v>2849</v>
      </c>
      <c r="G652" s="13" t="s">
        <v>1759</v>
      </c>
      <c r="H652" s="13" t="s">
        <v>2851</v>
      </c>
      <c r="I652" s="13" t="s">
        <v>82</v>
      </c>
      <c r="J652" s="13" t="s">
        <v>83</v>
      </c>
      <c r="K652" s="13"/>
      <c r="L652" s="13" t="s">
        <v>2828</v>
      </c>
      <c r="M652" s="13" t="s">
        <v>2829</v>
      </c>
    </row>
    <row r="653" customFormat="false" ht="191.75" hidden="false" customHeight="false" outlineLevel="0" collapsed="false">
      <c r="A653" s="13" t="s">
        <v>3</v>
      </c>
      <c r="B653" s="13" t="s">
        <v>2150</v>
      </c>
      <c r="C653" s="13" t="n">
        <v>178</v>
      </c>
      <c r="D653" s="13" t="s">
        <v>2824</v>
      </c>
      <c r="E653" s="13" t="s">
        <v>2852</v>
      </c>
      <c r="F653" s="13" t="s">
        <v>806</v>
      </c>
      <c r="G653" s="13" t="s">
        <v>2826</v>
      </c>
      <c r="H653" s="13" t="s">
        <v>2853</v>
      </c>
      <c r="I653" s="13" t="s">
        <v>82</v>
      </c>
      <c r="J653" s="13" t="s">
        <v>83</v>
      </c>
      <c r="K653" s="13"/>
      <c r="L653" s="13" t="s">
        <v>2828</v>
      </c>
      <c r="M653" s="13" t="s">
        <v>2829</v>
      </c>
    </row>
    <row r="654" customFormat="false" ht="191.75" hidden="false" customHeight="false" outlineLevel="0" collapsed="false">
      <c r="A654" s="13" t="s">
        <v>3</v>
      </c>
      <c r="B654" s="13" t="s">
        <v>2150</v>
      </c>
      <c r="C654" s="13" t="n">
        <v>178</v>
      </c>
      <c r="D654" s="13" t="s">
        <v>2824</v>
      </c>
      <c r="E654" s="13" t="s">
        <v>2854</v>
      </c>
      <c r="F654" s="13" t="s">
        <v>2853</v>
      </c>
      <c r="G654" s="13" t="s">
        <v>1759</v>
      </c>
      <c r="H654" s="13" t="s">
        <v>2855</v>
      </c>
      <c r="I654" s="13" t="s">
        <v>82</v>
      </c>
      <c r="J654" s="13" t="s">
        <v>83</v>
      </c>
      <c r="K654" s="13"/>
      <c r="L654" s="13" t="s">
        <v>2828</v>
      </c>
      <c r="M654" s="13" t="s">
        <v>2829</v>
      </c>
    </row>
    <row r="655" customFormat="false" ht="191.75" hidden="false" customHeight="false" outlineLevel="0" collapsed="false">
      <c r="A655" s="13" t="s">
        <v>3</v>
      </c>
      <c r="B655" s="13" t="s">
        <v>2150</v>
      </c>
      <c r="C655" s="13" t="n">
        <v>178</v>
      </c>
      <c r="D655" s="13" t="s">
        <v>2824</v>
      </c>
      <c r="E655" s="13" t="s">
        <v>2856</v>
      </c>
      <c r="F655" s="13" t="s">
        <v>806</v>
      </c>
      <c r="G655" s="13" t="s">
        <v>2826</v>
      </c>
      <c r="H655" s="13" t="s">
        <v>2857</v>
      </c>
      <c r="I655" s="13" t="s">
        <v>82</v>
      </c>
      <c r="J655" s="13" t="s">
        <v>83</v>
      </c>
      <c r="K655" s="13"/>
      <c r="L655" s="13" t="s">
        <v>2828</v>
      </c>
      <c r="M655" s="13" t="s">
        <v>2829</v>
      </c>
    </row>
    <row r="656" customFormat="false" ht="191.75" hidden="false" customHeight="false" outlineLevel="0" collapsed="false">
      <c r="A656" s="13" t="s">
        <v>3</v>
      </c>
      <c r="B656" s="13" t="s">
        <v>2150</v>
      </c>
      <c r="C656" s="13" t="n">
        <v>178</v>
      </c>
      <c r="D656" s="13" t="s">
        <v>2824</v>
      </c>
      <c r="E656" s="13" t="s">
        <v>2858</v>
      </c>
      <c r="F656" s="13" t="s">
        <v>2857</v>
      </c>
      <c r="G656" s="13" t="s">
        <v>1759</v>
      </c>
      <c r="H656" s="13" t="s">
        <v>2859</v>
      </c>
      <c r="I656" s="13" t="s">
        <v>82</v>
      </c>
      <c r="J656" s="13" t="s">
        <v>83</v>
      </c>
      <c r="K656" s="13"/>
      <c r="L656" s="13" t="s">
        <v>2828</v>
      </c>
      <c r="M656" s="13" t="s">
        <v>2829</v>
      </c>
    </row>
    <row r="657" customFormat="false" ht="191.75" hidden="false" customHeight="false" outlineLevel="0" collapsed="false">
      <c r="A657" s="13" t="s">
        <v>3</v>
      </c>
      <c r="B657" s="13" t="s">
        <v>2150</v>
      </c>
      <c r="C657" s="13" t="n">
        <v>178</v>
      </c>
      <c r="D657" s="13" t="s">
        <v>2824</v>
      </c>
      <c r="E657" s="13" t="s">
        <v>2860</v>
      </c>
      <c r="F657" s="13" t="s">
        <v>806</v>
      </c>
      <c r="G657" s="13" t="s">
        <v>2826</v>
      </c>
      <c r="H657" s="13" t="s">
        <v>2861</v>
      </c>
      <c r="I657" s="13" t="s">
        <v>82</v>
      </c>
      <c r="J657" s="13" t="s">
        <v>83</v>
      </c>
      <c r="K657" s="13"/>
      <c r="L657" s="13" t="s">
        <v>2828</v>
      </c>
      <c r="M657" s="13" t="s">
        <v>2829</v>
      </c>
    </row>
    <row r="658" customFormat="false" ht="191.75" hidden="false" customHeight="false" outlineLevel="0" collapsed="false">
      <c r="A658" s="13" t="s">
        <v>3</v>
      </c>
      <c r="B658" s="13" t="s">
        <v>2150</v>
      </c>
      <c r="C658" s="13" t="n">
        <v>178</v>
      </c>
      <c r="D658" s="13" t="s">
        <v>2824</v>
      </c>
      <c r="E658" s="13" t="s">
        <v>2862</v>
      </c>
      <c r="F658" s="13" t="s">
        <v>2861</v>
      </c>
      <c r="G658" s="13" t="s">
        <v>1759</v>
      </c>
      <c r="H658" s="13" t="s">
        <v>2863</v>
      </c>
      <c r="I658" s="13" t="s">
        <v>82</v>
      </c>
      <c r="J658" s="13" t="s">
        <v>83</v>
      </c>
      <c r="K658" s="13"/>
      <c r="L658" s="13" t="s">
        <v>2828</v>
      </c>
      <c r="M658" s="13" t="s">
        <v>2829</v>
      </c>
    </row>
    <row r="659" customFormat="false" ht="191.75" hidden="false" customHeight="false" outlineLevel="0" collapsed="false">
      <c r="A659" s="13" t="s">
        <v>3</v>
      </c>
      <c r="B659" s="13" t="s">
        <v>2150</v>
      </c>
      <c r="C659" s="13" t="n">
        <v>178</v>
      </c>
      <c r="D659" s="13" t="s">
        <v>2824</v>
      </c>
      <c r="E659" s="13" t="s">
        <v>2864</v>
      </c>
      <c r="F659" s="13" t="s">
        <v>806</v>
      </c>
      <c r="G659" s="13" t="s">
        <v>2826</v>
      </c>
      <c r="H659" s="13" t="s">
        <v>2865</v>
      </c>
      <c r="I659" s="13" t="s">
        <v>82</v>
      </c>
      <c r="J659" s="13" t="s">
        <v>83</v>
      </c>
      <c r="K659" s="13"/>
      <c r="L659" s="13" t="s">
        <v>2828</v>
      </c>
      <c r="M659" s="13" t="s">
        <v>2829</v>
      </c>
    </row>
    <row r="660" customFormat="false" ht="191.75" hidden="false" customHeight="false" outlineLevel="0" collapsed="false">
      <c r="A660" s="13" t="s">
        <v>3</v>
      </c>
      <c r="B660" s="13" t="s">
        <v>2150</v>
      </c>
      <c r="C660" s="13" t="n">
        <v>178</v>
      </c>
      <c r="D660" s="13" t="s">
        <v>2824</v>
      </c>
      <c r="E660" s="13" t="s">
        <v>2866</v>
      </c>
      <c r="F660" s="13" t="s">
        <v>2865</v>
      </c>
      <c r="G660" s="13" t="s">
        <v>1759</v>
      </c>
      <c r="H660" s="13" t="s">
        <v>2867</v>
      </c>
      <c r="I660" s="13" t="s">
        <v>82</v>
      </c>
      <c r="J660" s="13" t="s">
        <v>83</v>
      </c>
      <c r="K660" s="13"/>
      <c r="L660" s="13" t="s">
        <v>2828</v>
      </c>
      <c r="M660" s="13" t="s">
        <v>2829</v>
      </c>
    </row>
    <row r="661" customFormat="false" ht="191.75" hidden="false" customHeight="false" outlineLevel="0" collapsed="false">
      <c r="A661" s="13" t="s">
        <v>3</v>
      </c>
      <c r="B661" s="13" t="s">
        <v>2150</v>
      </c>
      <c r="C661" s="13" t="n">
        <v>178</v>
      </c>
      <c r="D661" s="13" t="s">
        <v>2824</v>
      </c>
      <c r="E661" s="13" t="s">
        <v>2868</v>
      </c>
      <c r="F661" s="13" t="s">
        <v>806</v>
      </c>
      <c r="G661" s="13" t="s">
        <v>2826</v>
      </c>
      <c r="H661" s="13" t="s">
        <v>2869</v>
      </c>
      <c r="I661" s="13" t="s">
        <v>82</v>
      </c>
      <c r="J661" s="13" t="s">
        <v>83</v>
      </c>
      <c r="K661" s="13"/>
      <c r="L661" s="13" t="s">
        <v>2828</v>
      </c>
      <c r="M661" s="13" t="s">
        <v>2829</v>
      </c>
    </row>
    <row r="662" customFormat="false" ht="191.75" hidden="false" customHeight="false" outlineLevel="0" collapsed="false">
      <c r="A662" s="13" t="s">
        <v>3</v>
      </c>
      <c r="B662" s="13" t="s">
        <v>2150</v>
      </c>
      <c r="C662" s="13" t="n">
        <v>178</v>
      </c>
      <c r="D662" s="13" t="s">
        <v>2824</v>
      </c>
      <c r="E662" s="13" t="s">
        <v>2870</v>
      </c>
      <c r="F662" s="13" t="s">
        <v>2869</v>
      </c>
      <c r="G662" s="13" t="s">
        <v>1759</v>
      </c>
      <c r="H662" s="13" t="s">
        <v>2855</v>
      </c>
      <c r="I662" s="13" t="s">
        <v>82</v>
      </c>
      <c r="J662" s="13" t="s">
        <v>83</v>
      </c>
      <c r="K662" s="13"/>
      <c r="L662" s="13" t="s">
        <v>2828</v>
      </c>
      <c r="M662" s="13" t="s">
        <v>2829</v>
      </c>
    </row>
    <row r="663" customFormat="false" ht="191.75" hidden="false" customHeight="false" outlineLevel="0" collapsed="false">
      <c r="A663" s="13" t="s">
        <v>3</v>
      </c>
      <c r="B663" s="13" t="s">
        <v>2150</v>
      </c>
      <c r="C663" s="13" t="n">
        <v>178</v>
      </c>
      <c r="D663" s="13" t="s">
        <v>2824</v>
      </c>
      <c r="E663" s="13" t="s">
        <v>2871</v>
      </c>
      <c r="F663" s="13" t="s">
        <v>806</v>
      </c>
      <c r="G663" s="13" t="s">
        <v>2826</v>
      </c>
      <c r="H663" s="13" t="s">
        <v>2872</v>
      </c>
      <c r="I663" s="13" t="s">
        <v>82</v>
      </c>
      <c r="J663" s="13" t="s">
        <v>83</v>
      </c>
      <c r="K663" s="13"/>
      <c r="L663" s="13" t="s">
        <v>2828</v>
      </c>
      <c r="M663" s="13" t="s">
        <v>2829</v>
      </c>
    </row>
    <row r="664" customFormat="false" ht="191.75" hidden="false" customHeight="false" outlineLevel="0" collapsed="false">
      <c r="A664" s="13" t="s">
        <v>3</v>
      </c>
      <c r="B664" s="13" t="s">
        <v>2150</v>
      </c>
      <c r="C664" s="13" t="n">
        <v>178</v>
      </c>
      <c r="D664" s="13" t="s">
        <v>2824</v>
      </c>
      <c r="E664" s="13" t="s">
        <v>2873</v>
      </c>
      <c r="F664" s="13" t="s">
        <v>2872</v>
      </c>
      <c r="G664" s="13" t="s">
        <v>1759</v>
      </c>
      <c r="H664" s="13" t="s">
        <v>2874</v>
      </c>
      <c r="I664" s="13" t="s">
        <v>82</v>
      </c>
      <c r="J664" s="13" t="s">
        <v>83</v>
      </c>
      <c r="K664" s="13"/>
      <c r="L664" s="13" t="s">
        <v>2828</v>
      </c>
      <c r="M664" s="13" t="s">
        <v>2829</v>
      </c>
    </row>
    <row r="665" customFormat="false" ht="191.75" hidden="false" customHeight="false" outlineLevel="0" collapsed="false">
      <c r="A665" s="13" t="s">
        <v>3</v>
      </c>
      <c r="B665" s="13" t="s">
        <v>2150</v>
      </c>
      <c r="C665" s="13" t="n">
        <v>178</v>
      </c>
      <c r="D665" s="13" t="s">
        <v>2824</v>
      </c>
      <c r="E665" s="13" t="s">
        <v>2875</v>
      </c>
      <c r="F665" s="13" t="s">
        <v>806</v>
      </c>
      <c r="G665" s="13" t="s">
        <v>2826</v>
      </c>
      <c r="H665" s="13" t="s">
        <v>2876</v>
      </c>
      <c r="I665" s="13" t="s">
        <v>82</v>
      </c>
      <c r="J665" s="13" t="s">
        <v>83</v>
      </c>
      <c r="K665" s="13"/>
      <c r="L665" s="13" t="s">
        <v>2828</v>
      </c>
      <c r="M665" s="13" t="s">
        <v>2829</v>
      </c>
    </row>
    <row r="666" customFormat="false" ht="191.75" hidden="false" customHeight="false" outlineLevel="0" collapsed="false">
      <c r="A666" s="13" t="s">
        <v>3</v>
      </c>
      <c r="B666" s="13" t="s">
        <v>2150</v>
      </c>
      <c r="C666" s="13" t="n">
        <v>178</v>
      </c>
      <c r="D666" s="13" t="s">
        <v>2824</v>
      </c>
      <c r="E666" s="13" t="s">
        <v>2877</v>
      </c>
      <c r="F666" s="13" t="s">
        <v>2876</v>
      </c>
      <c r="G666" s="13" t="s">
        <v>1759</v>
      </c>
      <c r="H666" s="13" t="s">
        <v>2878</v>
      </c>
      <c r="I666" s="13" t="s">
        <v>82</v>
      </c>
      <c r="J666" s="13" t="s">
        <v>83</v>
      </c>
      <c r="K666" s="13"/>
      <c r="L666" s="13" t="s">
        <v>2828</v>
      </c>
      <c r="M666" s="13" t="s">
        <v>2829</v>
      </c>
    </row>
    <row r="667" customFormat="false" ht="191.75" hidden="false" customHeight="false" outlineLevel="0" collapsed="false">
      <c r="A667" s="13" t="s">
        <v>3</v>
      </c>
      <c r="B667" s="13" t="s">
        <v>2150</v>
      </c>
      <c r="C667" s="13" t="n">
        <v>178</v>
      </c>
      <c r="D667" s="13" t="s">
        <v>2824</v>
      </c>
      <c r="E667" s="13" t="s">
        <v>2879</v>
      </c>
      <c r="F667" s="13" t="s">
        <v>806</v>
      </c>
      <c r="G667" s="13" t="s">
        <v>2826</v>
      </c>
      <c r="H667" s="13" t="s">
        <v>2880</v>
      </c>
      <c r="I667" s="13" t="s">
        <v>82</v>
      </c>
      <c r="J667" s="13" t="s">
        <v>83</v>
      </c>
      <c r="K667" s="13"/>
      <c r="L667" s="13" t="s">
        <v>2828</v>
      </c>
      <c r="M667" s="13" t="s">
        <v>2829</v>
      </c>
    </row>
    <row r="668" customFormat="false" ht="191.75" hidden="false" customHeight="false" outlineLevel="0" collapsed="false">
      <c r="A668" s="13" t="s">
        <v>3</v>
      </c>
      <c r="B668" s="13" t="s">
        <v>2150</v>
      </c>
      <c r="C668" s="13" t="n">
        <v>178</v>
      </c>
      <c r="D668" s="13" t="s">
        <v>2824</v>
      </c>
      <c r="E668" s="13" t="s">
        <v>2881</v>
      </c>
      <c r="F668" s="13" t="s">
        <v>2880</v>
      </c>
      <c r="G668" s="13" t="s">
        <v>1759</v>
      </c>
      <c r="H668" s="13" t="s">
        <v>2882</v>
      </c>
      <c r="I668" s="13" t="s">
        <v>82</v>
      </c>
      <c r="J668" s="13" t="s">
        <v>83</v>
      </c>
      <c r="K668" s="13"/>
      <c r="L668" s="13" t="s">
        <v>2828</v>
      </c>
      <c r="M668" s="13" t="s">
        <v>2829</v>
      </c>
    </row>
    <row r="669" customFormat="false" ht="191.75" hidden="false" customHeight="false" outlineLevel="0" collapsed="false">
      <c r="A669" s="13" t="s">
        <v>3</v>
      </c>
      <c r="B669" s="13" t="s">
        <v>2150</v>
      </c>
      <c r="C669" s="13" t="n">
        <v>178</v>
      </c>
      <c r="D669" s="13" t="s">
        <v>2824</v>
      </c>
      <c r="E669" s="13" t="s">
        <v>2883</v>
      </c>
      <c r="F669" s="13" t="s">
        <v>806</v>
      </c>
      <c r="G669" s="13" t="s">
        <v>2826</v>
      </c>
      <c r="H669" s="13" t="s">
        <v>2884</v>
      </c>
      <c r="I669" s="13" t="s">
        <v>82</v>
      </c>
      <c r="J669" s="13" t="s">
        <v>83</v>
      </c>
      <c r="K669" s="13"/>
      <c r="L669" s="13" t="s">
        <v>2828</v>
      </c>
      <c r="M669" s="13" t="s">
        <v>2829</v>
      </c>
    </row>
    <row r="670" customFormat="false" ht="191.75" hidden="false" customHeight="false" outlineLevel="0" collapsed="false">
      <c r="A670" s="13" t="s">
        <v>3</v>
      </c>
      <c r="B670" s="13" t="s">
        <v>2150</v>
      </c>
      <c r="C670" s="13" t="n">
        <v>178</v>
      </c>
      <c r="D670" s="13" t="s">
        <v>2824</v>
      </c>
      <c r="E670" s="13" t="s">
        <v>2885</v>
      </c>
      <c r="F670" s="13" t="s">
        <v>2884</v>
      </c>
      <c r="G670" s="13" t="s">
        <v>1759</v>
      </c>
      <c r="H670" s="13" t="s">
        <v>2886</v>
      </c>
      <c r="I670" s="13" t="s">
        <v>82</v>
      </c>
      <c r="J670" s="13" t="s">
        <v>83</v>
      </c>
      <c r="K670" s="13"/>
      <c r="L670" s="13" t="s">
        <v>2828</v>
      </c>
      <c r="M670" s="13" t="s">
        <v>2829</v>
      </c>
    </row>
    <row r="671" customFormat="false" ht="191.75" hidden="false" customHeight="false" outlineLevel="0" collapsed="false">
      <c r="A671" s="13" t="s">
        <v>3</v>
      </c>
      <c r="B671" s="13" t="s">
        <v>2150</v>
      </c>
      <c r="C671" s="13" t="n">
        <v>178</v>
      </c>
      <c r="D671" s="13" t="s">
        <v>2824</v>
      </c>
      <c r="E671" s="13" t="s">
        <v>2887</v>
      </c>
      <c r="F671" s="13" t="s">
        <v>806</v>
      </c>
      <c r="G671" s="13" t="s">
        <v>2826</v>
      </c>
      <c r="H671" s="13" t="s">
        <v>2888</v>
      </c>
      <c r="I671" s="13" t="s">
        <v>82</v>
      </c>
      <c r="J671" s="13" t="s">
        <v>83</v>
      </c>
      <c r="K671" s="13"/>
      <c r="L671" s="13" t="s">
        <v>2828</v>
      </c>
      <c r="M671" s="13" t="s">
        <v>2829</v>
      </c>
    </row>
    <row r="672" customFormat="false" ht="191.75" hidden="false" customHeight="false" outlineLevel="0" collapsed="false">
      <c r="A672" s="13" t="s">
        <v>3</v>
      </c>
      <c r="B672" s="13" t="s">
        <v>2150</v>
      </c>
      <c r="C672" s="13" t="n">
        <v>178</v>
      </c>
      <c r="D672" s="13" t="s">
        <v>2824</v>
      </c>
      <c r="E672" s="13" t="s">
        <v>2889</v>
      </c>
      <c r="F672" s="13" t="s">
        <v>2888</v>
      </c>
      <c r="G672" s="13" t="s">
        <v>1759</v>
      </c>
      <c r="H672" s="13" t="s">
        <v>2890</v>
      </c>
      <c r="I672" s="13" t="s">
        <v>82</v>
      </c>
      <c r="J672" s="13" t="s">
        <v>83</v>
      </c>
      <c r="K672" s="13"/>
      <c r="L672" s="13" t="s">
        <v>2828</v>
      </c>
      <c r="M672" s="13" t="s">
        <v>2829</v>
      </c>
    </row>
    <row r="673" customFormat="false" ht="191.75" hidden="false" customHeight="false" outlineLevel="0" collapsed="false">
      <c r="A673" s="13" t="s">
        <v>3</v>
      </c>
      <c r="B673" s="13" t="s">
        <v>2150</v>
      </c>
      <c r="C673" s="13" t="n">
        <v>178</v>
      </c>
      <c r="D673" s="13" t="s">
        <v>2824</v>
      </c>
      <c r="E673" s="13" t="s">
        <v>2891</v>
      </c>
      <c r="F673" s="13" t="s">
        <v>806</v>
      </c>
      <c r="G673" s="13" t="s">
        <v>2826</v>
      </c>
      <c r="H673" s="13" t="s">
        <v>2892</v>
      </c>
      <c r="I673" s="13" t="s">
        <v>82</v>
      </c>
      <c r="J673" s="13" t="s">
        <v>83</v>
      </c>
      <c r="K673" s="13"/>
      <c r="L673" s="13" t="s">
        <v>2828</v>
      </c>
      <c r="M673" s="13" t="s">
        <v>2829</v>
      </c>
    </row>
    <row r="674" customFormat="false" ht="191.75" hidden="false" customHeight="false" outlineLevel="0" collapsed="false">
      <c r="A674" s="13" t="s">
        <v>3</v>
      </c>
      <c r="B674" s="13" t="s">
        <v>2150</v>
      </c>
      <c r="C674" s="13" t="n">
        <v>178</v>
      </c>
      <c r="D674" s="13" t="s">
        <v>2824</v>
      </c>
      <c r="E674" s="13" t="s">
        <v>2893</v>
      </c>
      <c r="F674" s="13" t="s">
        <v>2892</v>
      </c>
      <c r="G674" s="13" t="s">
        <v>1759</v>
      </c>
      <c r="H674" s="13" t="s">
        <v>2894</v>
      </c>
      <c r="I674" s="13" t="s">
        <v>82</v>
      </c>
      <c r="J674" s="13" t="s">
        <v>83</v>
      </c>
      <c r="K674" s="13"/>
      <c r="L674" s="13" t="s">
        <v>2828</v>
      </c>
      <c r="M674" s="13" t="s">
        <v>2829</v>
      </c>
    </row>
    <row r="675" customFormat="false" ht="191.75" hidden="false" customHeight="false" outlineLevel="0" collapsed="false">
      <c r="A675" s="13" t="s">
        <v>3</v>
      </c>
      <c r="B675" s="13" t="s">
        <v>2150</v>
      </c>
      <c r="C675" s="13" t="n">
        <v>178</v>
      </c>
      <c r="D675" s="13" t="s">
        <v>2824</v>
      </c>
      <c r="E675" s="13" t="s">
        <v>2895</v>
      </c>
      <c r="F675" s="13" t="s">
        <v>806</v>
      </c>
      <c r="G675" s="13" t="s">
        <v>2826</v>
      </c>
      <c r="H675" s="13" t="s">
        <v>2896</v>
      </c>
      <c r="I675" s="13" t="s">
        <v>82</v>
      </c>
      <c r="J675" s="13" t="s">
        <v>83</v>
      </c>
      <c r="K675" s="13"/>
      <c r="L675" s="13" t="s">
        <v>2828</v>
      </c>
      <c r="M675" s="13" t="s">
        <v>2829</v>
      </c>
    </row>
    <row r="676" customFormat="false" ht="191.75" hidden="false" customHeight="false" outlineLevel="0" collapsed="false">
      <c r="A676" s="13" t="s">
        <v>3</v>
      </c>
      <c r="B676" s="13" t="s">
        <v>2150</v>
      </c>
      <c r="C676" s="13" t="n">
        <v>178</v>
      </c>
      <c r="D676" s="13" t="s">
        <v>2824</v>
      </c>
      <c r="E676" s="13" t="s">
        <v>2897</v>
      </c>
      <c r="F676" s="13" t="s">
        <v>2896</v>
      </c>
      <c r="G676" s="13" t="s">
        <v>1759</v>
      </c>
      <c r="H676" s="13" t="s">
        <v>2898</v>
      </c>
      <c r="I676" s="13" t="s">
        <v>82</v>
      </c>
      <c r="J676" s="13" t="s">
        <v>83</v>
      </c>
      <c r="K676" s="13"/>
      <c r="L676" s="13" t="s">
        <v>2828</v>
      </c>
      <c r="M676" s="13" t="s">
        <v>2829</v>
      </c>
    </row>
    <row r="677" customFormat="false" ht="191.75" hidden="false" customHeight="false" outlineLevel="0" collapsed="false">
      <c r="A677" s="13" t="s">
        <v>3</v>
      </c>
      <c r="B677" s="13" t="s">
        <v>2150</v>
      </c>
      <c r="C677" s="13" t="n">
        <v>178</v>
      </c>
      <c r="D677" s="13" t="s">
        <v>2824</v>
      </c>
      <c r="E677" s="13" t="s">
        <v>2899</v>
      </c>
      <c r="F677" s="13" t="s">
        <v>806</v>
      </c>
      <c r="G677" s="13" t="s">
        <v>2826</v>
      </c>
      <c r="H677" s="13" t="s">
        <v>2900</v>
      </c>
      <c r="I677" s="13" t="s">
        <v>82</v>
      </c>
      <c r="J677" s="13" t="s">
        <v>83</v>
      </c>
      <c r="K677" s="13"/>
      <c r="L677" s="13" t="s">
        <v>2828</v>
      </c>
      <c r="M677" s="13" t="s">
        <v>2829</v>
      </c>
    </row>
    <row r="678" customFormat="false" ht="191.75" hidden="false" customHeight="false" outlineLevel="0" collapsed="false">
      <c r="A678" s="13" t="s">
        <v>3</v>
      </c>
      <c r="B678" s="13" t="s">
        <v>2150</v>
      </c>
      <c r="C678" s="13" t="n">
        <v>178</v>
      </c>
      <c r="D678" s="13" t="s">
        <v>2824</v>
      </c>
      <c r="E678" s="13" t="s">
        <v>2901</v>
      </c>
      <c r="F678" s="13" t="s">
        <v>2900</v>
      </c>
      <c r="G678" s="13" t="s">
        <v>1759</v>
      </c>
      <c r="H678" s="13" t="s">
        <v>2902</v>
      </c>
      <c r="I678" s="13" t="s">
        <v>82</v>
      </c>
      <c r="J678" s="13" t="s">
        <v>83</v>
      </c>
      <c r="K678" s="13"/>
      <c r="L678" s="13" t="s">
        <v>2828</v>
      </c>
      <c r="M678" s="13" t="s">
        <v>2829</v>
      </c>
    </row>
    <row r="679" customFormat="false" ht="191.75" hidden="false" customHeight="false" outlineLevel="0" collapsed="false">
      <c r="A679" s="13" t="s">
        <v>3</v>
      </c>
      <c r="B679" s="13" t="s">
        <v>2150</v>
      </c>
      <c r="C679" s="13" t="n">
        <v>178</v>
      </c>
      <c r="D679" s="13" t="s">
        <v>2824</v>
      </c>
      <c r="E679" s="13" t="s">
        <v>2903</v>
      </c>
      <c r="F679" s="13" t="s">
        <v>806</v>
      </c>
      <c r="G679" s="13" t="s">
        <v>2826</v>
      </c>
      <c r="H679" s="13" t="s">
        <v>2904</v>
      </c>
      <c r="I679" s="13" t="s">
        <v>82</v>
      </c>
      <c r="J679" s="13" t="s">
        <v>83</v>
      </c>
      <c r="K679" s="13"/>
      <c r="L679" s="13" t="s">
        <v>2828</v>
      </c>
      <c r="M679" s="13" t="s">
        <v>2829</v>
      </c>
    </row>
    <row r="680" customFormat="false" ht="191.75" hidden="false" customHeight="false" outlineLevel="0" collapsed="false">
      <c r="A680" s="13" t="s">
        <v>3</v>
      </c>
      <c r="B680" s="13" t="s">
        <v>2150</v>
      </c>
      <c r="C680" s="13" t="n">
        <v>178</v>
      </c>
      <c r="D680" s="13" t="s">
        <v>2824</v>
      </c>
      <c r="E680" s="13" t="s">
        <v>2905</v>
      </c>
      <c r="F680" s="13" t="s">
        <v>2904</v>
      </c>
      <c r="G680" s="13" t="s">
        <v>1759</v>
      </c>
      <c r="H680" s="13" t="s">
        <v>2906</v>
      </c>
      <c r="I680" s="13" t="s">
        <v>82</v>
      </c>
      <c r="J680" s="13" t="s">
        <v>83</v>
      </c>
      <c r="K680" s="13"/>
      <c r="L680" s="13" t="s">
        <v>2828</v>
      </c>
      <c r="M680" s="13" t="s">
        <v>2829</v>
      </c>
    </row>
    <row r="681" customFormat="false" ht="191.75" hidden="false" customHeight="false" outlineLevel="0" collapsed="false">
      <c r="A681" s="13" t="s">
        <v>3</v>
      </c>
      <c r="B681" s="13" t="s">
        <v>2150</v>
      </c>
      <c r="C681" s="13" t="n">
        <v>178</v>
      </c>
      <c r="D681" s="13" t="s">
        <v>2824</v>
      </c>
      <c r="E681" s="13" t="s">
        <v>2907</v>
      </c>
      <c r="F681" s="13" t="s">
        <v>806</v>
      </c>
      <c r="G681" s="13" t="s">
        <v>2826</v>
      </c>
      <c r="H681" s="13" t="s">
        <v>2908</v>
      </c>
      <c r="I681" s="13" t="s">
        <v>82</v>
      </c>
      <c r="J681" s="13" t="s">
        <v>83</v>
      </c>
      <c r="K681" s="13"/>
      <c r="L681" s="13" t="s">
        <v>2828</v>
      </c>
      <c r="M681" s="13" t="s">
        <v>2829</v>
      </c>
    </row>
    <row r="682" customFormat="false" ht="191.75" hidden="false" customHeight="false" outlineLevel="0" collapsed="false">
      <c r="A682" s="13" t="s">
        <v>3</v>
      </c>
      <c r="B682" s="13" t="s">
        <v>2150</v>
      </c>
      <c r="C682" s="13" t="n">
        <v>178</v>
      </c>
      <c r="D682" s="13" t="s">
        <v>2824</v>
      </c>
      <c r="E682" s="13" t="s">
        <v>2909</v>
      </c>
      <c r="F682" s="13" t="s">
        <v>2908</v>
      </c>
      <c r="G682" s="13" t="s">
        <v>1759</v>
      </c>
      <c r="H682" s="13" t="s">
        <v>2910</v>
      </c>
      <c r="I682" s="13" t="s">
        <v>82</v>
      </c>
      <c r="J682" s="13" t="s">
        <v>83</v>
      </c>
      <c r="K682" s="13"/>
      <c r="L682" s="13" t="s">
        <v>2828</v>
      </c>
      <c r="M682" s="13" t="s">
        <v>2829</v>
      </c>
    </row>
    <row r="683" customFormat="false" ht="191.75" hidden="false" customHeight="false" outlineLevel="0" collapsed="false">
      <c r="A683" s="13" t="s">
        <v>3</v>
      </c>
      <c r="B683" s="13" t="s">
        <v>2150</v>
      </c>
      <c r="C683" s="13" t="n">
        <v>178</v>
      </c>
      <c r="D683" s="13" t="s">
        <v>2824</v>
      </c>
      <c r="E683" s="13" t="s">
        <v>2911</v>
      </c>
      <c r="F683" s="13" t="s">
        <v>806</v>
      </c>
      <c r="G683" s="13" t="s">
        <v>2826</v>
      </c>
      <c r="H683" s="13" t="s">
        <v>2912</v>
      </c>
      <c r="I683" s="13" t="s">
        <v>82</v>
      </c>
      <c r="J683" s="13" t="s">
        <v>83</v>
      </c>
      <c r="K683" s="13"/>
      <c r="L683" s="13" t="s">
        <v>2828</v>
      </c>
      <c r="M683" s="13" t="s">
        <v>2829</v>
      </c>
    </row>
    <row r="684" customFormat="false" ht="191.75" hidden="false" customHeight="false" outlineLevel="0" collapsed="false">
      <c r="A684" s="13" t="s">
        <v>3</v>
      </c>
      <c r="B684" s="13" t="s">
        <v>2150</v>
      </c>
      <c r="C684" s="13" t="n">
        <v>178</v>
      </c>
      <c r="D684" s="13" t="s">
        <v>2824</v>
      </c>
      <c r="E684" s="13" t="s">
        <v>2913</v>
      </c>
      <c r="F684" s="13" t="s">
        <v>2912</v>
      </c>
      <c r="G684" s="13" t="s">
        <v>1759</v>
      </c>
      <c r="H684" s="13" t="s">
        <v>2914</v>
      </c>
      <c r="I684" s="13" t="s">
        <v>82</v>
      </c>
      <c r="J684" s="13" t="s">
        <v>83</v>
      </c>
      <c r="K684" s="13"/>
      <c r="L684" s="13" t="s">
        <v>2828</v>
      </c>
      <c r="M684" s="13" t="s">
        <v>2829</v>
      </c>
    </row>
    <row r="685" customFormat="false" ht="191.75" hidden="false" customHeight="false" outlineLevel="0" collapsed="false">
      <c r="A685" s="13" t="s">
        <v>3</v>
      </c>
      <c r="B685" s="13" t="s">
        <v>2150</v>
      </c>
      <c r="C685" s="13" t="n">
        <v>178</v>
      </c>
      <c r="D685" s="13" t="s">
        <v>2824</v>
      </c>
      <c r="E685" s="13" t="s">
        <v>2915</v>
      </c>
      <c r="F685" s="13" t="s">
        <v>806</v>
      </c>
      <c r="G685" s="13" t="s">
        <v>2826</v>
      </c>
      <c r="H685" s="13" t="s">
        <v>2916</v>
      </c>
      <c r="I685" s="13" t="s">
        <v>82</v>
      </c>
      <c r="J685" s="13" t="s">
        <v>83</v>
      </c>
      <c r="K685" s="13"/>
      <c r="L685" s="13" t="s">
        <v>2828</v>
      </c>
      <c r="M685" s="13" t="s">
        <v>2829</v>
      </c>
    </row>
    <row r="686" customFormat="false" ht="191.75" hidden="false" customHeight="false" outlineLevel="0" collapsed="false">
      <c r="A686" s="13" t="s">
        <v>3</v>
      </c>
      <c r="B686" s="13" t="s">
        <v>2150</v>
      </c>
      <c r="C686" s="13" t="n">
        <v>178</v>
      </c>
      <c r="D686" s="13" t="s">
        <v>2824</v>
      </c>
      <c r="E686" s="13" t="s">
        <v>2917</v>
      </c>
      <c r="F686" s="13" t="s">
        <v>2916</v>
      </c>
      <c r="G686" s="13" t="s">
        <v>1759</v>
      </c>
      <c r="H686" s="13" t="s">
        <v>2918</v>
      </c>
      <c r="I686" s="13" t="s">
        <v>82</v>
      </c>
      <c r="J686" s="13" t="s">
        <v>83</v>
      </c>
      <c r="K686" s="13"/>
      <c r="L686" s="13" t="s">
        <v>2828</v>
      </c>
      <c r="M686" s="13" t="s">
        <v>2829</v>
      </c>
    </row>
    <row r="687" customFormat="false" ht="35.05" hidden="false" customHeight="false" outlineLevel="0" collapsed="false">
      <c r="A687" s="13" t="s">
        <v>3</v>
      </c>
      <c r="B687" s="13" t="s">
        <v>2150</v>
      </c>
      <c r="C687" s="13" t="n">
        <v>178</v>
      </c>
      <c r="D687" s="13" t="s">
        <v>2919</v>
      </c>
      <c r="E687" s="13" t="s">
        <v>2920</v>
      </c>
      <c r="F687" s="13" t="s">
        <v>806</v>
      </c>
      <c r="G687" s="13" t="s">
        <v>2158</v>
      </c>
      <c r="H687" s="13" t="s">
        <v>2921</v>
      </c>
      <c r="I687" s="13" t="s">
        <v>82</v>
      </c>
      <c r="J687" s="13" t="s">
        <v>83</v>
      </c>
      <c r="K687" s="13"/>
      <c r="L687" s="13" t="s">
        <v>2922</v>
      </c>
      <c r="M687" s="13" t="s">
        <v>2923</v>
      </c>
    </row>
    <row r="688" customFormat="false" ht="35.05" hidden="false" customHeight="false" outlineLevel="0" collapsed="false">
      <c r="A688" s="13" t="s">
        <v>3</v>
      </c>
      <c r="B688" s="13" t="s">
        <v>2150</v>
      </c>
      <c r="C688" s="13" t="n">
        <v>178</v>
      </c>
      <c r="D688" s="13" t="s">
        <v>2924</v>
      </c>
      <c r="E688" s="13" t="s">
        <v>2925</v>
      </c>
      <c r="F688" s="13" t="s">
        <v>806</v>
      </c>
      <c r="G688" s="13" t="s">
        <v>2826</v>
      </c>
      <c r="H688" s="13" t="s">
        <v>2926</v>
      </c>
      <c r="I688" s="13" t="s">
        <v>82</v>
      </c>
      <c r="J688" s="13" t="s">
        <v>83</v>
      </c>
      <c r="K688" s="13"/>
      <c r="L688" s="13" t="s">
        <v>2927</v>
      </c>
      <c r="M688" s="13" t="s">
        <v>2928</v>
      </c>
    </row>
    <row r="689" customFormat="false" ht="35.05" hidden="false" customHeight="false" outlineLevel="0" collapsed="false">
      <c r="A689" s="13" t="s">
        <v>3</v>
      </c>
      <c r="B689" s="13" t="s">
        <v>2150</v>
      </c>
      <c r="C689" s="13" t="n">
        <v>178</v>
      </c>
      <c r="D689" s="13" t="s">
        <v>2924</v>
      </c>
      <c r="E689" s="13" t="s">
        <v>2929</v>
      </c>
      <c r="F689" s="13" t="s">
        <v>2926</v>
      </c>
      <c r="G689" s="13" t="s">
        <v>1759</v>
      </c>
      <c r="H689" s="13" t="s">
        <v>2930</v>
      </c>
      <c r="I689" s="13" t="s">
        <v>82</v>
      </c>
      <c r="J689" s="13" t="s">
        <v>83</v>
      </c>
      <c r="K689" s="13"/>
      <c r="L689" s="13" t="s">
        <v>2927</v>
      </c>
      <c r="M689" s="13" t="s">
        <v>2928</v>
      </c>
    </row>
    <row r="690" customFormat="false" ht="35.05" hidden="false" customHeight="false" outlineLevel="0" collapsed="false">
      <c r="A690" s="13" t="s">
        <v>3</v>
      </c>
      <c r="B690" s="13" t="s">
        <v>2150</v>
      </c>
      <c r="C690" s="13" t="n">
        <v>178</v>
      </c>
      <c r="D690" s="13" t="s">
        <v>2931</v>
      </c>
      <c r="E690" s="13" t="s">
        <v>2932</v>
      </c>
      <c r="F690" s="13" t="s">
        <v>806</v>
      </c>
      <c r="G690" s="13" t="s">
        <v>2158</v>
      </c>
      <c r="H690" s="13" t="s">
        <v>2926</v>
      </c>
      <c r="I690" s="13" t="s">
        <v>82</v>
      </c>
      <c r="J690" s="13" t="s">
        <v>83</v>
      </c>
      <c r="K690" s="13"/>
      <c r="L690" s="13" t="s">
        <v>2933</v>
      </c>
      <c r="M690" s="13" t="s">
        <v>2934</v>
      </c>
    </row>
    <row r="691" customFormat="false" ht="191.75" hidden="false" customHeight="false" outlineLevel="0" collapsed="false">
      <c r="A691" s="13" t="s">
        <v>3</v>
      </c>
      <c r="B691" s="13" t="s">
        <v>2150</v>
      </c>
      <c r="C691" s="13" t="n">
        <v>178</v>
      </c>
      <c r="D691" s="13" t="s">
        <v>2935</v>
      </c>
      <c r="E691" s="13" t="s">
        <v>2936</v>
      </c>
      <c r="F691" s="13" t="s">
        <v>806</v>
      </c>
      <c r="G691" s="13" t="s">
        <v>2826</v>
      </c>
      <c r="H691" s="13" t="s">
        <v>2937</v>
      </c>
      <c r="I691" s="13" t="s">
        <v>82</v>
      </c>
      <c r="J691" s="13" t="s">
        <v>83</v>
      </c>
      <c r="K691" s="13"/>
      <c r="L691" s="13" t="s">
        <v>2938</v>
      </c>
      <c r="M691" s="13" t="s">
        <v>2939</v>
      </c>
    </row>
    <row r="692" customFormat="false" ht="191.75" hidden="false" customHeight="false" outlineLevel="0" collapsed="false">
      <c r="A692" s="13" t="s">
        <v>3</v>
      </c>
      <c r="B692" s="13" t="s">
        <v>2150</v>
      </c>
      <c r="C692" s="13" t="n">
        <v>178</v>
      </c>
      <c r="D692" s="13" t="s">
        <v>2935</v>
      </c>
      <c r="E692" s="13" t="s">
        <v>2940</v>
      </c>
      <c r="F692" s="13" t="s">
        <v>2937</v>
      </c>
      <c r="G692" s="13" t="s">
        <v>1759</v>
      </c>
      <c r="H692" s="13" t="s">
        <v>2941</v>
      </c>
      <c r="I692" s="13" t="s">
        <v>82</v>
      </c>
      <c r="J692" s="13" t="s">
        <v>83</v>
      </c>
      <c r="K692" s="13"/>
      <c r="L692" s="13" t="s">
        <v>2938</v>
      </c>
      <c r="M692" s="13" t="s">
        <v>2939</v>
      </c>
    </row>
    <row r="693" customFormat="false" ht="191.75" hidden="false" customHeight="false" outlineLevel="0" collapsed="false">
      <c r="A693" s="13" t="s">
        <v>3</v>
      </c>
      <c r="B693" s="13" t="s">
        <v>2150</v>
      </c>
      <c r="C693" s="13" t="n">
        <v>178</v>
      </c>
      <c r="D693" s="13" t="s">
        <v>2935</v>
      </c>
      <c r="E693" s="13" t="s">
        <v>2942</v>
      </c>
      <c r="F693" s="13" t="s">
        <v>806</v>
      </c>
      <c r="G693" s="13" t="s">
        <v>2826</v>
      </c>
      <c r="H693" s="13" t="s">
        <v>2943</v>
      </c>
      <c r="I693" s="13" t="s">
        <v>82</v>
      </c>
      <c r="J693" s="13" t="s">
        <v>83</v>
      </c>
      <c r="K693" s="13"/>
      <c r="L693" s="13" t="s">
        <v>2938</v>
      </c>
      <c r="M693" s="13" t="s">
        <v>2939</v>
      </c>
    </row>
    <row r="694" customFormat="false" ht="191.75" hidden="false" customHeight="false" outlineLevel="0" collapsed="false">
      <c r="A694" s="13" t="s">
        <v>3</v>
      </c>
      <c r="B694" s="13" t="s">
        <v>2150</v>
      </c>
      <c r="C694" s="13" t="n">
        <v>178</v>
      </c>
      <c r="D694" s="13" t="s">
        <v>2935</v>
      </c>
      <c r="E694" s="13" t="s">
        <v>2944</v>
      </c>
      <c r="F694" s="13" t="s">
        <v>2943</v>
      </c>
      <c r="G694" s="13" t="s">
        <v>1759</v>
      </c>
      <c r="H694" s="13" t="s">
        <v>2945</v>
      </c>
      <c r="I694" s="13" t="s">
        <v>82</v>
      </c>
      <c r="J694" s="13" t="s">
        <v>83</v>
      </c>
      <c r="K694" s="13"/>
      <c r="L694" s="13" t="s">
        <v>2938</v>
      </c>
      <c r="M694" s="13" t="s">
        <v>2939</v>
      </c>
    </row>
    <row r="695" customFormat="false" ht="191.75" hidden="false" customHeight="false" outlineLevel="0" collapsed="false">
      <c r="A695" s="13" t="s">
        <v>3</v>
      </c>
      <c r="B695" s="13" t="s">
        <v>2150</v>
      </c>
      <c r="C695" s="13" t="n">
        <v>178</v>
      </c>
      <c r="D695" s="13" t="s">
        <v>2935</v>
      </c>
      <c r="E695" s="13" t="s">
        <v>2946</v>
      </c>
      <c r="F695" s="13" t="s">
        <v>806</v>
      </c>
      <c r="G695" s="13" t="s">
        <v>2826</v>
      </c>
      <c r="H695" s="13" t="s">
        <v>2947</v>
      </c>
      <c r="I695" s="13" t="s">
        <v>82</v>
      </c>
      <c r="J695" s="13" t="s">
        <v>83</v>
      </c>
      <c r="K695" s="13"/>
      <c r="L695" s="13" t="s">
        <v>2938</v>
      </c>
      <c r="M695" s="13" t="s">
        <v>2939</v>
      </c>
    </row>
    <row r="696" customFormat="false" ht="191.75" hidden="false" customHeight="false" outlineLevel="0" collapsed="false">
      <c r="A696" s="13" t="s">
        <v>3</v>
      </c>
      <c r="B696" s="13" t="s">
        <v>2150</v>
      </c>
      <c r="C696" s="13" t="n">
        <v>178</v>
      </c>
      <c r="D696" s="13" t="s">
        <v>2935</v>
      </c>
      <c r="E696" s="13" t="s">
        <v>2948</v>
      </c>
      <c r="F696" s="13" t="s">
        <v>2947</v>
      </c>
      <c r="G696" s="13" t="s">
        <v>1759</v>
      </c>
      <c r="H696" s="13" t="s">
        <v>2949</v>
      </c>
      <c r="I696" s="13" t="s">
        <v>82</v>
      </c>
      <c r="J696" s="13" t="s">
        <v>83</v>
      </c>
      <c r="K696" s="13"/>
      <c r="L696" s="13" t="s">
        <v>2938</v>
      </c>
      <c r="M696" s="13" t="s">
        <v>2939</v>
      </c>
    </row>
    <row r="697" customFormat="false" ht="191.75" hidden="false" customHeight="false" outlineLevel="0" collapsed="false">
      <c r="A697" s="13" t="s">
        <v>3</v>
      </c>
      <c r="B697" s="13" t="s">
        <v>2150</v>
      </c>
      <c r="C697" s="13" t="n">
        <v>178</v>
      </c>
      <c r="D697" s="13" t="s">
        <v>2935</v>
      </c>
      <c r="E697" s="13" t="s">
        <v>2950</v>
      </c>
      <c r="F697" s="13" t="s">
        <v>806</v>
      </c>
      <c r="G697" s="13" t="s">
        <v>2826</v>
      </c>
      <c r="H697" s="13" t="s">
        <v>2951</v>
      </c>
      <c r="I697" s="13" t="s">
        <v>82</v>
      </c>
      <c r="J697" s="13" t="s">
        <v>83</v>
      </c>
      <c r="K697" s="13"/>
      <c r="L697" s="13" t="s">
        <v>2938</v>
      </c>
      <c r="M697" s="13" t="s">
        <v>2939</v>
      </c>
    </row>
    <row r="698" customFormat="false" ht="191.75" hidden="false" customHeight="false" outlineLevel="0" collapsed="false">
      <c r="A698" s="13" t="s">
        <v>3</v>
      </c>
      <c r="B698" s="13" t="s">
        <v>2150</v>
      </c>
      <c r="C698" s="13" t="n">
        <v>178</v>
      </c>
      <c r="D698" s="13" t="s">
        <v>2935</v>
      </c>
      <c r="E698" s="13" t="s">
        <v>2952</v>
      </c>
      <c r="F698" s="13" t="s">
        <v>2951</v>
      </c>
      <c r="G698" s="13" t="s">
        <v>1759</v>
      </c>
      <c r="H698" s="13" t="s">
        <v>2953</v>
      </c>
      <c r="I698" s="13" t="s">
        <v>82</v>
      </c>
      <c r="J698" s="13" t="s">
        <v>83</v>
      </c>
      <c r="K698" s="13"/>
      <c r="L698" s="13" t="s">
        <v>2938</v>
      </c>
      <c r="M698" s="13" t="s">
        <v>2939</v>
      </c>
    </row>
    <row r="699" customFormat="false" ht="191.75" hidden="false" customHeight="false" outlineLevel="0" collapsed="false">
      <c r="A699" s="13" t="s">
        <v>3</v>
      </c>
      <c r="B699" s="13" t="s">
        <v>2150</v>
      </c>
      <c r="C699" s="13" t="n">
        <v>178</v>
      </c>
      <c r="D699" s="13" t="s">
        <v>2935</v>
      </c>
      <c r="E699" s="13" t="s">
        <v>2954</v>
      </c>
      <c r="F699" s="13" t="s">
        <v>806</v>
      </c>
      <c r="G699" s="13" t="s">
        <v>2826</v>
      </c>
      <c r="H699" s="13" t="s">
        <v>2955</v>
      </c>
      <c r="I699" s="13" t="s">
        <v>82</v>
      </c>
      <c r="J699" s="13" t="s">
        <v>83</v>
      </c>
      <c r="K699" s="13"/>
      <c r="L699" s="13" t="s">
        <v>2938</v>
      </c>
      <c r="M699" s="13" t="s">
        <v>2939</v>
      </c>
    </row>
    <row r="700" customFormat="false" ht="191.75" hidden="false" customHeight="false" outlineLevel="0" collapsed="false">
      <c r="A700" s="13" t="s">
        <v>3</v>
      </c>
      <c r="B700" s="13" t="s">
        <v>2150</v>
      </c>
      <c r="C700" s="13" t="n">
        <v>178</v>
      </c>
      <c r="D700" s="13" t="s">
        <v>2935</v>
      </c>
      <c r="E700" s="13" t="s">
        <v>2956</v>
      </c>
      <c r="F700" s="13" t="s">
        <v>2955</v>
      </c>
      <c r="G700" s="13" t="s">
        <v>1759</v>
      </c>
      <c r="H700" s="13" t="s">
        <v>2957</v>
      </c>
      <c r="I700" s="13" t="s">
        <v>82</v>
      </c>
      <c r="J700" s="13" t="s">
        <v>83</v>
      </c>
      <c r="K700" s="13"/>
      <c r="L700" s="13" t="s">
        <v>2938</v>
      </c>
      <c r="M700" s="13" t="s">
        <v>2939</v>
      </c>
    </row>
    <row r="701" customFormat="false" ht="191.75" hidden="false" customHeight="false" outlineLevel="0" collapsed="false">
      <c r="A701" s="13" t="s">
        <v>3</v>
      </c>
      <c r="B701" s="13" t="s">
        <v>2150</v>
      </c>
      <c r="C701" s="13" t="n">
        <v>178</v>
      </c>
      <c r="D701" s="13" t="s">
        <v>2935</v>
      </c>
      <c r="E701" s="13" t="s">
        <v>2958</v>
      </c>
      <c r="F701" s="13" t="s">
        <v>806</v>
      </c>
      <c r="G701" s="13" t="s">
        <v>2826</v>
      </c>
      <c r="H701" s="13" t="s">
        <v>2959</v>
      </c>
      <c r="I701" s="13" t="s">
        <v>82</v>
      </c>
      <c r="J701" s="13" t="s">
        <v>83</v>
      </c>
      <c r="K701" s="13"/>
      <c r="L701" s="13" t="s">
        <v>2938</v>
      </c>
      <c r="M701" s="13" t="s">
        <v>2939</v>
      </c>
    </row>
    <row r="702" customFormat="false" ht="191.75" hidden="false" customHeight="false" outlineLevel="0" collapsed="false">
      <c r="A702" s="13" t="s">
        <v>3</v>
      </c>
      <c r="B702" s="13" t="s">
        <v>2150</v>
      </c>
      <c r="C702" s="13" t="n">
        <v>178</v>
      </c>
      <c r="D702" s="13" t="s">
        <v>2935</v>
      </c>
      <c r="E702" s="13" t="s">
        <v>2960</v>
      </c>
      <c r="F702" s="13" t="s">
        <v>2959</v>
      </c>
      <c r="G702" s="13" t="s">
        <v>1759</v>
      </c>
      <c r="H702" s="13" t="s">
        <v>2961</v>
      </c>
      <c r="I702" s="13" t="s">
        <v>82</v>
      </c>
      <c r="J702" s="13" t="s">
        <v>83</v>
      </c>
      <c r="K702" s="13"/>
      <c r="L702" s="13" t="s">
        <v>2938</v>
      </c>
      <c r="M702" s="13" t="s">
        <v>2939</v>
      </c>
    </row>
    <row r="703" customFormat="false" ht="191.75" hidden="false" customHeight="false" outlineLevel="0" collapsed="false">
      <c r="A703" s="13" t="s">
        <v>3</v>
      </c>
      <c r="B703" s="13" t="s">
        <v>2150</v>
      </c>
      <c r="C703" s="13" t="n">
        <v>178</v>
      </c>
      <c r="D703" s="13" t="s">
        <v>2935</v>
      </c>
      <c r="E703" s="13" t="s">
        <v>2962</v>
      </c>
      <c r="F703" s="13" t="s">
        <v>806</v>
      </c>
      <c r="G703" s="13" t="s">
        <v>2826</v>
      </c>
      <c r="H703" s="13" t="s">
        <v>2963</v>
      </c>
      <c r="I703" s="13" t="s">
        <v>82</v>
      </c>
      <c r="J703" s="13" t="s">
        <v>83</v>
      </c>
      <c r="K703" s="13"/>
      <c r="L703" s="13" t="s">
        <v>2938</v>
      </c>
      <c r="M703" s="13" t="s">
        <v>2939</v>
      </c>
    </row>
    <row r="704" customFormat="false" ht="191.75" hidden="false" customHeight="false" outlineLevel="0" collapsed="false">
      <c r="A704" s="13" t="s">
        <v>3</v>
      </c>
      <c r="B704" s="13" t="s">
        <v>2150</v>
      </c>
      <c r="C704" s="13" t="n">
        <v>178</v>
      </c>
      <c r="D704" s="13" t="s">
        <v>2935</v>
      </c>
      <c r="E704" s="13" t="s">
        <v>2964</v>
      </c>
      <c r="F704" s="13" t="s">
        <v>2963</v>
      </c>
      <c r="G704" s="13" t="s">
        <v>1759</v>
      </c>
      <c r="H704" s="13" t="s">
        <v>2965</v>
      </c>
      <c r="I704" s="13" t="s">
        <v>82</v>
      </c>
      <c r="J704" s="13" t="s">
        <v>83</v>
      </c>
      <c r="K704" s="13"/>
      <c r="L704" s="13" t="s">
        <v>2938</v>
      </c>
      <c r="M704" s="13" t="s">
        <v>2939</v>
      </c>
    </row>
    <row r="705" customFormat="false" ht="191.75" hidden="false" customHeight="false" outlineLevel="0" collapsed="false">
      <c r="A705" s="13" t="s">
        <v>3</v>
      </c>
      <c r="B705" s="13" t="s">
        <v>2150</v>
      </c>
      <c r="C705" s="13" t="n">
        <v>178</v>
      </c>
      <c r="D705" s="13" t="s">
        <v>2935</v>
      </c>
      <c r="E705" s="13" t="s">
        <v>2966</v>
      </c>
      <c r="F705" s="13" t="s">
        <v>806</v>
      </c>
      <c r="G705" s="13" t="s">
        <v>2826</v>
      </c>
      <c r="H705" s="13" t="s">
        <v>2967</v>
      </c>
      <c r="I705" s="13" t="s">
        <v>82</v>
      </c>
      <c r="J705" s="13" t="s">
        <v>83</v>
      </c>
      <c r="K705" s="13"/>
      <c r="L705" s="13" t="s">
        <v>2938</v>
      </c>
      <c r="M705" s="13" t="s">
        <v>2939</v>
      </c>
    </row>
    <row r="706" customFormat="false" ht="191.75" hidden="false" customHeight="false" outlineLevel="0" collapsed="false">
      <c r="A706" s="13" t="s">
        <v>3</v>
      </c>
      <c r="B706" s="13" t="s">
        <v>2150</v>
      </c>
      <c r="C706" s="13" t="n">
        <v>178</v>
      </c>
      <c r="D706" s="13" t="s">
        <v>2935</v>
      </c>
      <c r="E706" s="13" t="s">
        <v>2968</v>
      </c>
      <c r="F706" s="13" t="s">
        <v>2967</v>
      </c>
      <c r="G706" s="13" t="s">
        <v>1759</v>
      </c>
      <c r="H706" s="13" t="s">
        <v>2969</v>
      </c>
      <c r="I706" s="13" t="s">
        <v>82</v>
      </c>
      <c r="J706" s="13" t="s">
        <v>83</v>
      </c>
      <c r="K706" s="13"/>
      <c r="L706" s="13" t="s">
        <v>2938</v>
      </c>
      <c r="M706" s="13" t="s">
        <v>2939</v>
      </c>
    </row>
    <row r="707" customFormat="false" ht="191.75" hidden="false" customHeight="false" outlineLevel="0" collapsed="false">
      <c r="A707" s="13" t="s">
        <v>3</v>
      </c>
      <c r="B707" s="13" t="s">
        <v>2150</v>
      </c>
      <c r="C707" s="13" t="n">
        <v>178</v>
      </c>
      <c r="D707" s="13" t="s">
        <v>2935</v>
      </c>
      <c r="E707" s="13" t="s">
        <v>2970</v>
      </c>
      <c r="F707" s="13" t="s">
        <v>806</v>
      </c>
      <c r="G707" s="13" t="s">
        <v>2826</v>
      </c>
      <c r="H707" s="13" t="s">
        <v>2971</v>
      </c>
      <c r="I707" s="13" t="s">
        <v>82</v>
      </c>
      <c r="J707" s="13" t="s">
        <v>83</v>
      </c>
      <c r="K707" s="13"/>
      <c r="L707" s="13" t="s">
        <v>2938</v>
      </c>
      <c r="M707" s="13" t="s">
        <v>2939</v>
      </c>
    </row>
    <row r="708" customFormat="false" ht="191.75" hidden="false" customHeight="false" outlineLevel="0" collapsed="false">
      <c r="A708" s="13" t="s">
        <v>3</v>
      </c>
      <c r="B708" s="13" t="s">
        <v>2150</v>
      </c>
      <c r="C708" s="13" t="n">
        <v>178</v>
      </c>
      <c r="D708" s="13" t="s">
        <v>2935</v>
      </c>
      <c r="E708" s="13" t="s">
        <v>2972</v>
      </c>
      <c r="F708" s="13" t="s">
        <v>2971</v>
      </c>
      <c r="G708" s="13" t="s">
        <v>1759</v>
      </c>
      <c r="H708" s="13" t="s">
        <v>2973</v>
      </c>
      <c r="I708" s="13" t="s">
        <v>82</v>
      </c>
      <c r="J708" s="13" t="s">
        <v>83</v>
      </c>
      <c r="K708" s="13"/>
      <c r="L708" s="13" t="s">
        <v>2938</v>
      </c>
      <c r="M708" s="13" t="s">
        <v>2939</v>
      </c>
    </row>
    <row r="709" customFormat="false" ht="191.75" hidden="false" customHeight="false" outlineLevel="0" collapsed="false">
      <c r="A709" s="13" t="s">
        <v>3</v>
      </c>
      <c r="B709" s="13" t="s">
        <v>2150</v>
      </c>
      <c r="C709" s="13" t="n">
        <v>178</v>
      </c>
      <c r="D709" s="13" t="s">
        <v>2935</v>
      </c>
      <c r="E709" s="13" t="s">
        <v>2974</v>
      </c>
      <c r="F709" s="13" t="s">
        <v>806</v>
      </c>
      <c r="G709" s="13" t="s">
        <v>2826</v>
      </c>
      <c r="H709" s="13" t="s">
        <v>2975</v>
      </c>
      <c r="I709" s="13" t="s">
        <v>82</v>
      </c>
      <c r="J709" s="13" t="s">
        <v>83</v>
      </c>
      <c r="K709" s="13"/>
      <c r="L709" s="13" t="s">
        <v>2938</v>
      </c>
      <c r="M709" s="13" t="s">
        <v>2939</v>
      </c>
    </row>
    <row r="710" customFormat="false" ht="191.75" hidden="false" customHeight="false" outlineLevel="0" collapsed="false">
      <c r="A710" s="13" t="s">
        <v>3</v>
      </c>
      <c r="B710" s="13" t="s">
        <v>2150</v>
      </c>
      <c r="C710" s="13" t="n">
        <v>178</v>
      </c>
      <c r="D710" s="13" t="s">
        <v>2935</v>
      </c>
      <c r="E710" s="13" t="s">
        <v>2976</v>
      </c>
      <c r="F710" s="13" t="s">
        <v>2975</v>
      </c>
      <c r="G710" s="13" t="s">
        <v>1759</v>
      </c>
      <c r="H710" s="13" t="s">
        <v>2977</v>
      </c>
      <c r="I710" s="13" t="s">
        <v>82</v>
      </c>
      <c r="J710" s="13" t="s">
        <v>83</v>
      </c>
      <c r="K710" s="13"/>
      <c r="L710" s="13" t="s">
        <v>2938</v>
      </c>
      <c r="M710" s="13" t="s">
        <v>2939</v>
      </c>
    </row>
    <row r="711" customFormat="false" ht="191.75" hidden="false" customHeight="false" outlineLevel="0" collapsed="false">
      <c r="A711" s="13" t="s">
        <v>3</v>
      </c>
      <c r="B711" s="13" t="s">
        <v>2150</v>
      </c>
      <c r="C711" s="13" t="n">
        <v>178</v>
      </c>
      <c r="D711" s="13" t="s">
        <v>2935</v>
      </c>
      <c r="E711" s="13" t="s">
        <v>2978</v>
      </c>
      <c r="F711" s="13" t="s">
        <v>806</v>
      </c>
      <c r="G711" s="13" t="s">
        <v>2826</v>
      </c>
      <c r="H711" s="13" t="s">
        <v>2979</v>
      </c>
      <c r="I711" s="13" t="s">
        <v>82</v>
      </c>
      <c r="J711" s="13" t="s">
        <v>83</v>
      </c>
      <c r="K711" s="13"/>
      <c r="L711" s="13" t="s">
        <v>2938</v>
      </c>
      <c r="M711" s="13" t="s">
        <v>2939</v>
      </c>
    </row>
    <row r="712" customFormat="false" ht="191.75" hidden="false" customHeight="false" outlineLevel="0" collapsed="false">
      <c r="A712" s="13" t="s">
        <v>3</v>
      </c>
      <c r="B712" s="13" t="s">
        <v>2150</v>
      </c>
      <c r="C712" s="13" t="n">
        <v>178</v>
      </c>
      <c r="D712" s="13" t="s">
        <v>2935</v>
      </c>
      <c r="E712" s="13" t="s">
        <v>2980</v>
      </c>
      <c r="F712" s="13" t="s">
        <v>2979</v>
      </c>
      <c r="G712" s="13" t="s">
        <v>1759</v>
      </c>
      <c r="H712" s="13" t="s">
        <v>2981</v>
      </c>
      <c r="I712" s="13" t="s">
        <v>82</v>
      </c>
      <c r="J712" s="13" t="s">
        <v>83</v>
      </c>
      <c r="K712" s="13"/>
      <c r="L712" s="13" t="s">
        <v>2938</v>
      </c>
      <c r="M712" s="13" t="s">
        <v>2939</v>
      </c>
    </row>
    <row r="713" customFormat="false" ht="191.75" hidden="false" customHeight="false" outlineLevel="0" collapsed="false">
      <c r="A713" s="13" t="s">
        <v>3</v>
      </c>
      <c r="B713" s="13" t="s">
        <v>2150</v>
      </c>
      <c r="C713" s="13" t="n">
        <v>178</v>
      </c>
      <c r="D713" s="13" t="s">
        <v>2935</v>
      </c>
      <c r="E713" s="13" t="s">
        <v>2982</v>
      </c>
      <c r="F713" s="13" t="s">
        <v>806</v>
      </c>
      <c r="G713" s="13" t="s">
        <v>2826</v>
      </c>
      <c r="H713" s="13" t="s">
        <v>2983</v>
      </c>
      <c r="I713" s="13" t="s">
        <v>82</v>
      </c>
      <c r="J713" s="13" t="s">
        <v>83</v>
      </c>
      <c r="K713" s="13"/>
      <c r="L713" s="13" t="s">
        <v>2938</v>
      </c>
      <c r="M713" s="13" t="s">
        <v>2939</v>
      </c>
    </row>
    <row r="714" customFormat="false" ht="191.75" hidden="false" customHeight="false" outlineLevel="0" collapsed="false">
      <c r="A714" s="13" t="s">
        <v>3</v>
      </c>
      <c r="B714" s="13" t="s">
        <v>2150</v>
      </c>
      <c r="C714" s="13" t="n">
        <v>178</v>
      </c>
      <c r="D714" s="13" t="s">
        <v>2935</v>
      </c>
      <c r="E714" s="13" t="s">
        <v>2984</v>
      </c>
      <c r="F714" s="13" t="s">
        <v>2983</v>
      </c>
      <c r="G714" s="13" t="s">
        <v>1759</v>
      </c>
      <c r="H714" s="13" t="s">
        <v>2985</v>
      </c>
      <c r="I714" s="13" t="s">
        <v>82</v>
      </c>
      <c r="J714" s="13" t="s">
        <v>83</v>
      </c>
      <c r="K714" s="13"/>
      <c r="L714" s="13" t="s">
        <v>2938</v>
      </c>
      <c r="M714" s="13" t="s">
        <v>2939</v>
      </c>
    </row>
    <row r="715" customFormat="false" ht="191.75" hidden="false" customHeight="false" outlineLevel="0" collapsed="false">
      <c r="A715" s="13" t="s">
        <v>3</v>
      </c>
      <c r="B715" s="13" t="s">
        <v>2150</v>
      </c>
      <c r="C715" s="13" t="n">
        <v>178</v>
      </c>
      <c r="D715" s="13" t="s">
        <v>2935</v>
      </c>
      <c r="E715" s="13" t="s">
        <v>2986</v>
      </c>
      <c r="F715" s="13" t="s">
        <v>806</v>
      </c>
      <c r="G715" s="13" t="s">
        <v>2826</v>
      </c>
      <c r="H715" s="13" t="s">
        <v>2987</v>
      </c>
      <c r="I715" s="13" t="s">
        <v>82</v>
      </c>
      <c r="J715" s="13" t="s">
        <v>83</v>
      </c>
      <c r="K715" s="13"/>
      <c r="L715" s="13" t="s">
        <v>2938</v>
      </c>
      <c r="M715" s="13" t="s">
        <v>2939</v>
      </c>
    </row>
    <row r="716" customFormat="false" ht="191.75" hidden="false" customHeight="false" outlineLevel="0" collapsed="false">
      <c r="A716" s="13" t="s">
        <v>3</v>
      </c>
      <c r="B716" s="13" t="s">
        <v>2150</v>
      </c>
      <c r="C716" s="13" t="n">
        <v>178</v>
      </c>
      <c r="D716" s="13" t="s">
        <v>2935</v>
      </c>
      <c r="E716" s="13" t="s">
        <v>2988</v>
      </c>
      <c r="F716" s="13" t="s">
        <v>2987</v>
      </c>
      <c r="G716" s="13" t="s">
        <v>1759</v>
      </c>
      <c r="H716" s="13" t="s">
        <v>2989</v>
      </c>
      <c r="I716" s="13" t="s">
        <v>82</v>
      </c>
      <c r="J716" s="13" t="s">
        <v>83</v>
      </c>
      <c r="K716" s="13"/>
      <c r="L716" s="13" t="s">
        <v>2938</v>
      </c>
      <c r="M716" s="13" t="s">
        <v>2939</v>
      </c>
    </row>
    <row r="717" customFormat="false" ht="191.75" hidden="false" customHeight="false" outlineLevel="0" collapsed="false">
      <c r="A717" s="13" t="s">
        <v>3</v>
      </c>
      <c r="B717" s="13" t="s">
        <v>2150</v>
      </c>
      <c r="C717" s="13" t="n">
        <v>178</v>
      </c>
      <c r="D717" s="13" t="s">
        <v>2935</v>
      </c>
      <c r="E717" s="13" t="s">
        <v>2990</v>
      </c>
      <c r="F717" s="13" t="s">
        <v>806</v>
      </c>
      <c r="G717" s="13" t="s">
        <v>2826</v>
      </c>
      <c r="H717" s="13" t="s">
        <v>2991</v>
      </c>
      <c r="I717" s="13" t="s">
        <v>82</v>
      </c>
      <c r="J717" s="13" t="s">
        <v>83</v>
      </c>
      <c r="K717" s="13"/>
      <c r="L717" s="13" t="s">
        <v>2938</v>
      </c>
      <c r="M717" s="13" t="s">
        <v>2939</v>
      </c>
    </row>
    <row r="718" customFormat="false" ht="191.75" hidden="false" customHeight="false" outlineLevel="0" collapsed="false">
      <c r="A718" s="13" t="s">
        <v>3</v>
      </c>
      <c r="B718" s="13" t="s">
        <v>2150</v>
      </c>
      <c r="C718" s="13" t="n">
        <v>178</v>
      </c>
      <c r="D718" s="13" t="s">
        <v>2935</v>
      </c>
      <c r="E718" s="13" t="s">
        <v>2992</v>
      </c>
      <c r="F718" s="13" t="s">
        <v>2991</v>
      </c>
      <c r="G718" s="13" t="s">
        <v>1759</v>
      </c>
      <c r="H718" s="13" t="s">
        <v>2993</v>
      </c>
      <c r="I718" s="13" t="s">
        <v>82</v>
      </c>
      <c r="J718" s="13" t="s">
        <v>83</v>
      </c>
      <c r="K718" s="13"/>
      <c r="L718" s="13" t="s">
        <v>2938</v>
      </c>
      <c r="M718" s="13" t="s">
        <v>2939</v>
      </c>
    </row>
    <row r="719" customFormat="false" ht="191.75" hidden="false" customHeight="false" outlineLevel="0" collapsed="false">
      <c r="A719" s="13" t="s">
        <v>3</v>
      </c>
      <c r="B719" s="13" t="s">
        <v>2150</v>
      </c>
      <c r="C719" s="13" t="n">
        <v>178</v>
      </c>
      <c r="D719" s="13" t="s">
        <v>2935</v>
      </c>
      <c r="E719" s="13" t="s">
        <v>2994</v>
      </c>
      <c r="F719" s="13" t="s">
        <v>806</v>
      </c>
      <c r="G719" s="13" t="s">
        <v>2826</v>
      </c>
      <c r="H719" s="13" t="s">
        <v>2995</v>
      </c>
      <c r="I719" s="13" t="s">
        <v>82</v>
      </c>
      <c r="J719" s="13" t="s">
        <v>83</v>
      </c>
      <c r="K719" s="13"/>
      <c r="L719" s="13" t="s">
        <v>2938</v>
      </c>
      <c r="M719" s="13" t="s">
        <v>2939</v>
      </c>
    </row>
    <row r="720" customFormat="false" ht="191.75" hidden="false" customHeight="false" outlineLevel="0" collapsed="false">
      <c r="A720" s="13" t="s">
        <v>3</v>
      </c>
      <c r="B720" s="13" t="s">
        <v>2150</v>
      </c>
      <c r="C720" s="13" t="n">
        <v>178</v>
      </c>
      <c r="D720" s="13" t="s">
        <v>2935</v>
      </c>
      <c r="E720" s="13" t="s">
        <v>2996</v>
      </c>
      <c r="F720" s="13" t="s">
        <v>2995</v>
      </c>
      <c r="G720" s="13" t="s">
        <v>1759</v>
      </c>
      <c r="H720" s="13" t="s">
        <v>2997</v>
      </c>
      <c r="I720" s="13" t="s">
        <v>82</v>
      </c>
      <c r="J720" s="13" t="s">
        <v>83</v>
      </c>
      <c r="K720" s="13"/>
      <c r="L720" s="13" t="s">
        <v>2938</v>
      </c>
      <c r="M720" s="13" t="s">
        <v>2939</v>
      </c>
    </row>
    <row r="721" customFormat="false" ht="191.75" hidden="false" customHeight="false" outlineLevel="0" collapsed="false">
      <c r="A721" s="13" t="s">
        <v>3</v>
      </c>
      <c r="B721" s="13" t="s">
        <v>2150</v>
      </c>
      <c r="C721" s="13" t="n">
        <v>178</v>
      </c>
      <c r="D721" s="13" t="s">
        <v>2935</v>
      </c>
      <c r="E721" s="13" t="s">
        <v>2998</v>
      </c>
      <c r="F721" s="13" t="s">
        <v>806</v>
      </c>
      <c r="G721" s="13" t="s">
        <v>2826</v>
      </c>
      <c r="H721" s="13" t="s">
        <v>2999</v>
      </c>
      <c r="I721" s="13" t="s">
        <v>82</v>
      </c>
      <c r="J721" s="13" t="s">
        <v>83</v>
      </c>
      <c r="K721" s="13"/>
      <c r="L721" s="13" t="s">
        <v>2938</v>
      </c>
      <c r="M721" s="13" t="s">
        <v>2939</v>
      </c>
    </row>
    <row r="722" customFormat="false" ht="191.75" hidden="false" customHeight="false" outlineLevel="0" collapsed="false">
      <c r="A722" s="13" t="s">
        <v>3</v>
      </c>
      <c r="B722" s="13" t="s">
        <v>2150</v>
      </c>
      <c r="C722" s="13" t="n">
        <v>178</v>
      </c>
      <c r="D722" s="13" t="s">
        <v>2935</v>
      </c>
      <c r="E722" s="13" t="s">
        <v>3000</v>
      </c>
      <c r="F722" s="13" t="s">
        <v>2999</v>
      </c>
      <c r="G722" s="13" t="s">
        <v>1759</v>
      </c>
      <c r="H722" s="13" t="s">
        <v>3001</v>
      </c>
      <c r="I722" s="13" t="s">
        <v>82</v>
      </c>
      <c r="J722" s="13" t="s">
        <v>83</v>
      </c>
      <c r="K722" s="13"/>
      <c r="L722" s="13" t="s">
        <v>2938</v>
      </c>
      <c r="M722" s="13" t="s">
        <v>2939</v>
      </c>
    </row>
    <row r="723" customFormat="false" ht="191.75" hidden="false" customHeight="false" outlineLevel="0" collapsed="false">
      <c r="A723" s="13" t="s">
        <v>3</v>
      </c>
      <c r="B723" s="13" t="s">
        <v>2150</v>
      </c>
      <c r="C723" s="13" t="n">
        <v>178</v>
      </c>
      <c r="D723" s="13" t="s">
        <v>2935</v>
      </c>
      <c r="E723" s="13" t="s">
        <v>3002</v>
      </c>
      <c r="F723" s="13" t="s">
        <v>806</v>
      </c>
      <c r="G723" s="13" t="s">
        <v>2826</v>
      </c>
      <c r="H723" s="13" t="s">
        <v>3003</v>
      </c>
      <c r="I723" s="13" t="s">
        <v>82</v>
      </c>
      <c r="J723" s="13" t="s">
        <v>83</v>
      </c>
      <c r="K723" s="13"/>
      <c r="L723" s="13" t="s">
        <v>2938</v>
      </c>
      <c r="M723" s="13" t="s">
        <v>2939</v>
      </c>
    </row>
    <row r="724" customFormat="false" ht="191.75" hidden="false" customHeight="false" outlineLevel="0" collapsed="false">
      <c r="A724" s="13" t="s">
        <v>3</v>
      </c>
      <c r="B724" s="13" t="s">
        <v>2150</v>
      </c>
      <c r="C724" s="13" t="n">
        <v>178</v>
      </c>
      <c r="D724" s="13" t="s">
        <v>2935</v>
      </c>
      <c r="E724" s="13" t="s">
        <v>3004</v>
      </c>
      <c r="F724" s="13" t="s">
        <v>3003</v>
      </c>
      <c r="G724" s="13" t="s">
        <v>1759</v>
      </c>
      <c r="H724" s="13" t="s">
        <v>3005</v>
      </c>
      <c r="I724" s="13" t="s">
        <v>82</v>
      </c>
      <c r="J724" s="13" t="s">
        <v>83</v>
      </c>
      <c r="K724" s="13"/>
      <c r="L724" s="13" t="s">
        <v>2938</v>
      </c>
      <c r="M724" s="13" t="s">
        <v>2939</v>
      </c>
    </row>
    <row r="725" customFormat="false" ht="191.75" hidden="false" customHeight="false" outlineLevel="0" collapsed="false">
      <c r="A725" s="13" t="s">
        <v>3</v>
      </c>
      <c r="B725" s="13" t="s">
        <v>2150</v>
      </c>
      <c r="C725" s="13" t="n">
        <v>178</v>
      </c>
      <c r="D725" s="13" t="s">
        <v>2935</v>
      </c>
      <c r="E725" s="13" t="s">
        <v>3006</v>
      </c>
      <c r="F725" s="13" t="s">
        <v>806</v>
      </c>
      <c r="G725" s="13" t="s">
        <v>2826</v>
      </c>
      <c r="H725" s="13" t="s">
        <v>3007</v>
      </c>
      <c r="I725" s="13" t="s">
        <v>82</v>
      </c>
      <c r="J725" s="13" t="s">
        <v>83</v>
      </c>
      <c r="K725" s="13"/>
      <c r="L725" s="13" t="s">
        <v>2938</v>
      </c>
      <c r="M725" s="13" t="s">
        <v>2939</v>
      </c>
    </row>
    <row r="726" customFormat="false" ht="191.75" hidden="false" customHeight="false" outlineLevel="0" collapsed="false">
      <c r="A726" s="13" t="s">
        <v>3</v>
      </c>
      <c r="B726" s="13" t="s">
        <v>2150</v>
      </c>
      <c r="C726" s="13" t="n">
        <v>178</v>
      </c>
      <c r="D726" s="13" t="s">
        <v>2935</v>
      </c>
      <c r="E726" s="13" t="s">
        <v>3008</v>
      </c>
      <c r="F726" s="13" t="s">
        <v>3007</v>
      </c>
      <c r="G726" s="13" t="s">
        <v>1759</v>
      </c>
      <c r="H726" s="13" t="s">
        <v>3009</v>
      </c>
      <c r="I726" s="13" t="s">
        <v>82</v>
      </c>
      <c r="J726" s="13" t="s">
        <v>83</v>
      </c>
      <c r="K726" s="13"/>
      <c r="L726" s="13" t="s">
        <v>2938</v>
      </c>
      <c r="M726" s="13" t="s">
        <v>2939</v>
      </c>
    </row>
    <row r="727" customFormat="false" ht="191.75" hidden="false" customHeight="false" outlineLevel="0" collapsed="false">
      <c r="A727" s="13" t="s">
        <v>3</v>
      </c>
      <c r="B727" s="13" t="s">
        <v>2150</v>
      </c>
      <c r="C727" s="13" t="n">
        <v>178</v>
      </c>
      <c r="D727" s="13" t="s">
        <v>2935</v>
      </c>
      <c r="E727" s="13" t="s">
        <v>3010</v>
      </c>
      <c r="F727" s="13" t="s">
        <v>806</v>
      </c>
      <c r="G727" s="13" t="s">
        <v>2826</v>
      </c>
      <c r="H727" s="13" t="s">
        <v>3011</v>
      </c>
      <c r="I727" s="13" t="s">
        <v>82</v>
      </c>
      <c r="J727" s="13" t="s">
        <v>83</v>
      </c>
      <c r="K727" s="13"/>
      <c r="L727" s="13" t="s">
        <v>2938</v>
      </c>
      <c r="M727" s="13" t="s">
        <v>2939</v>
      </c>
    </row>
    <row r="728" customFormat="false" ht="191.75" hidden="false" customHeight="false" outlineLevel="0" collapsed="false">
      <c r="A728" s="13" t="s">
        <v>3</v>
      </c>
      <c r="B728" s="13" t="s">
        <v>2150</v>
      </c>
      <c r="C728" s="13" t="n">
        <v>178</v>
      </c>
      <c r="D728" s="13" t="s">
        <v>2935</v>
      </c>
      <c r="E728" s="13" t="s">
        <v>3012</v>
      </c>
      <c r="F728" s="13" t="s">
        <v>3011</v>
      </c>
      <c r="G728" s="13" t="s">
        <v>1759</v>
      </c>
      <c r="H728" s="13" t="s">
        <v>3013</v>
      </c>
      <c r="I728" s="13" t="s">
        <v>82</v>
      </c>
      <c r="J728" s="13" t="s">
        <v>83</v>
      </c>
      <c r="K728" s="13"/>
      <c r="L728" s="13" t="s">
        <v>2938</v>
      </c>
      <c r="M728" s="13" t="s">
        <v>2939</v>
      </c>
    </row>
    <row r="729" customFormat="false" ht="191.75" hidden="false" customHeight="false" outlineLevel="0" collapsed="false">
      <c r="A729" s="13" t="s">
        <v>3</v>
      </c>
      <c r="B729" s="13" t="s">
        <v>2150</v>
      </c>
      <c r="C729" s="13" t="n">
        <v>178</v>
      </c>
      <c r="D729" s="13" t="s">
        <v>2935</v>
      </c>
      <c r="E729" s="13" t="s">
        <v>3014</v>
      </c>
      <c r="F729" s="13" t="s">
        <v>806</v>
      </c>
      <c r="G729" s="13" t="s">
        <v>2826</v>
      </c>
      <c r="H729" s="13" t="s">
        <v>3015</v>
      </c>
      <c r="I729" s="13" t="s">
        <v>82</v>
      </c>
      <c r="J729" s="13" t="s">
        <v>83</v>
      </c>
      <c r="K729" s="13"/>
      <c r="L729" s="13" t="s">
        <v>2938</v>
      </c>
      <c r="M729" s="13" t="s">
        <v>2939</v>
      </c>
    </row>
    <row r="730" customFormat="false" ht="191.75" hidden="false" customHeight="false" outlineLevel="0" collapsed="false">
      <c r="A730" s="13" t="s">
        <v>3</v>
      </c>
      <c r="B730" s="13" t="s">
        <v>2150</v>
      </c>
      <c r="C730" s="13" t="n">
        <v>178</v>
      </c>
      <c r="D730" s="13" t="s">
        <v>2935</v>
      </c>
      <c r="E730" s="13" t="s">
        <v>3016</v>
      </c>
      <c r="F730" s="13" t="s">
        <v>3015</v>
      </c>
      <c r="G730" s="13" t="s">
        <v>1759</v>
      </c>
      <c r="H730" s="13" t="s">
        <v>3017</v>
      </c>
      <c r="I730" s="13" t="s">
        <v>82</v>
      </c>
      <c r="J730" s="13" t="s">
        <v>83</v>
      </c>
      <c r="K730" s="13"/>
      <c r="L730" s="13" t="s">
        <v>2938</v>
      </c>
      <c r="M730" s="13" t="s">
        <v>2939</v>
      </c>
    </row>
    <row r="731" customFormat="false" ht="191.75" hidden="false" customHeight="false" outlineLevel="0" collapsed="false">
      <c r="A731" s="13" t="s">
        <v>3</v>
      </c>
      <c r="B731" s="13" t="s">
        <v>2150</v>
      </c>
      <c r="C731" s="13" t="n">
        <v>178</v>
      </c>
      <c r="D731" s="13" t="s">
        <v>2935</v>
      </c>
      <c r="E731" s="13" t="s">
        <v>3018</v>
      </c>
      <c r="F731" s="13" t="s">
        <v>806</v>
      </c>
      <c r="G731" s="13" t="s">
        <v>2826</v>
      </c>
      <c r="H731" s="13" t="s">
        <v>3019</v>
      </c>
      <c r="I731" s="13" t="s">
        <v>82</v>
      </c>
      <c r="J731" s="13" t="s">
        <v>83</v>
      </c>
      <c r="K731" s="13"/>
      <c r="L731" s="13" t="s">
        <v>2938</v>
      </c>
      <c r="M731" s="13" t="s">
        <v>2939</v>
      </c>
    </row>
    <row r="732" customFormat="false" ht="191.75" hidden="false" customHeight="false" outlineLevel="0" collapsed="false">
      <c r="A732" s="13" t="s">
        <v>3</v>
      </c>
      <c r="B732" s="13" t="s">
        <v>2150</v>
      </c>
      <c r="C732" s="13" t="n">
        <v>178</v>
      </c>
      <c r="D732" s="13" t="s">
        <v>2935</v>
      </c>
      <c r="E732" s="13" t="s">
        <v>3020</v>
      </c>
      <c r="F732" s="13" t="s">
        <v>3019</v>
      </c>
      <c r="G732" s="13" t="s">
        <v>1759</v>
      </c>
      <c r="H732" s="13" t="s">
        <v>3021</v>
      </c>
      <c r="I732" s="13" t="s">
        <v>82</v>
      </c>
      <c r="J732" s="13" t="s">
        <v>83</v>
      </c>
      <c r="K732" s="13"/>
      <c r="L732" s="13" t="s">
        <v>2938</v>
      </c>
      <c r="M732" s="13" t="s">
        <v>2939</v>
      </c>
    </row>
    <row r="733" customFormat="false" ht="191.75" hidden="false" customHeight="false" outlineLevel="0" collapsed="false">
      <c r="A733" s="13" t="s">
        <v>3</v>
      </c>
      <c r="B733" s="13" t="s">
        <v>2150</v>
      </c>
      <c r="C733" s="13" t="n">
        <v>178</v>
      </c>
      <c r="D733" s="13" t="s">
        <v>2935</v>
      </c>
      <c r="E733" s="13" t="s">
        <v>3022</v>
      </c>
      <c r="F733" s="13" t="s">
        <v>806</v>
      </c>
      <c r="G733" s="13" t="s">
        <v>2826</v>
      </c>
      <c r="H733" s="13" t="s">
        <v>3023</v>
      </c>
      <c r="I733" s="13" t="s">
        <v>82</v>
      </c>
      <c r="J733" s="13" t="s">
        <v>83</v>
      </c>
      <c r="K733" s="13"/>
      <c r="L733" s="13" t="s">
        <v>2938</v>
      </c>
      <c r="M733" s="13" t="s">
        <v>2939</v>
      </c>
    </row>
    <row r="734" customFormat="false" ht="191.75" hidden="false" customHeight="false" outlineLevel="0" collapsed="false">
      <c r="A734" s="13" t="s">
        <v>3</v>
      </c>
      <c r="B734" s="13" t="s">
        <v>2150</v>
      </c>
      <c r="C734" s="13" t="n">
        <v>178</v>
      </c>
      <c r="D734" s="13" t="s">
        <v>2935</v>
      </c>
      <c r="E734" s="13" t="s">
        <v>3024</v>
      </c>
      <c r="F734" s="13" t="s">
        <v>3023</v>
      </c>
      <c r="G734" s="13" t="s">
        <v>1759</v>
      </c>
      <c r="H734" s="13" t="s">
        <v>3025</v>
      </c>
      <c r="I734" s="13" t="s">
        <v>82</v>
      </c>
      <c r="J734" s="13" t="s">
        <v>83</v>
      </c>
      <c r="K734" s="13"/>
      <c r="L734" s="13" t="s">
        <v>2938</v>
      </c>
      <c r="M734" s="13" t="s">
        <v>2939</v>
      </c>
    </row>
    <row r="735" customFormat="false" ht="191.75" hidden="false" customHeight="false" outlineLevel="0" collapsed="false">
      <c r="A735" s="13" t="s">
        <v>3</v>
      </c>
      <c r="B735" s="13" t="s">
        <v>2150</v>
      </c>
      <c r="C735" s="13" t="n">
        <v>178</v>
      </c>
      <c r="D735" s="13" t="s">
        <v>2935</v>
      </c>
      <c r="E735" s="13" t="s">
        <v>3026</v>
      </c>
      <c r="F735" s="13" t="s">
        <v>806</v>
      </c>
      <c r="G735" s="13" t="s">
        <v>2826</v>
      </c>
      <c r="H735" s="13" t="s">
        <v>3027</v>
      </c>
      <c r="I735" s="13" t="s">
        <v>82</v>
      </c>
      <c r="J735" s="13" t="s">
        <v>83</v>
      </c>
      <c r="K735" s="13"/>
      <c r="L735" s="13" t="s">
        <v>2938</v>
      </c>
      <c r="M735" s="13" t="s">
        <v>2939</v>
      </c>
    </row>
    <row r="736" customFormat="false" ht="191.75" hidden="false" customHeight="false" outlineLevel="0" collapsed="false">
      <c r="A736" s="13" t="s">
        <v>3</v>
      </c>
      <c r="B736" s="13" t="s">
        <v>2150</v>
      </c>
      <c r="C736" s="13" t="n">
        <v>178</v>
      </c>
      <c r="D736" s="13" t="s">
        <v>2935</v>
      </c>
      <c r="E736" s="13" t="s">
        <v>3028</v>
      </c>
      <c r="F736" s="13" t="s">
        <v>3027</v>
      </c>
      <c r="G736" s="13" t="s">
        <v>1759</v>
      </c>
      <c r="H736" s="13" t="s">
        <v>3029</v>
      </c>
      <c r="I736" s="13" t="s">
        <v>82</v>
      </c>
      <c r="J736" s="13" t="s">
        <v>83</v>
      </c>
      <c r="K736" s="13"/>
      <c r="L736" s="13" t="s">
        <v>2938</v>
      </c>
      <c r="M736" s="13" t="s">
        <v>2939</v>
      </c>
    </row>
    <row r="737" customFormat="false" ht="35.05" hidden="false" customHeight="false" outlineLevel="0" collapsed="false">
      <c r="A737" s="13" t="s">
        <v>3</v>
      </c>
      <c r="B737" s="13" t="s">
        <v>2150</v>
      </c>
      <c r="C737" s="13" t="n">
        <v>178</v>
      </c>
      <c r="D737" s="13" t="s">
        <v>3030</v>
      </c>
      <c r="E737" s="13" t="s">
        <v>3031</v>
      </c>
      <c r="F737" s="13" t="s">
        <v>806</v>
      </c>
      <c r="G737" s="13" t="s">
        <v>3032</v>
      </c>
      <c r="H737" s="13" t="s">
        <v>3033</v>
      </c>
      <c r="I737" s="13" t="s">
        <v>82</v>
      </c>
      <c r="J737" s="13" t="s">
        <v>83</v>
      </c>
      <c r="K737" s="13"/>
      <c r="L737" s="13" t="s">
        <v>3034</v>
      </c>
      <c r="M737" s="13" t="s">
        <v>3035</v>
      </c>
    </row>
    <row r="738" customFormat="false" ht="35.05" hidden="false" customHeight="false" outlineLevel="0" collapsed="false">
      <c r="A738" s="13" t="s">
        <v>3</v>
      </c>
      <c r="B738" s="13" t="s">
        <v>2150</v>
      </c>
      <c r="C738" s="13" t="n">
        <v>178</v>
      </c>
      <c r="D738" s="13" t="s">
        <v>3030</v>
      </c>
      <c r="E738" s="13" t="s">
        <v>3036</v>
      </c>
      <c r="F738" s="13" t="s">
        <v>3033</v>
      </c>
      <c r="G738" s="13" t="s">
        <v>3037</v>
      </c>
      <c r="H738" s="13" t="s">
        <v>806</v>
      </c>
      <c r="I738" s="13" t="s">
        <v>82</v>
      </c>
      <c r="J738" s="13" t="s">
        <v>83</v>
      </c>
      <c r="K738" s="13"/>
      <c r="L738" s="13" t="s">
        <v>3034</v>
      </c>
      <c r="M738" s="13" t="s">
        <v>3035</v>
      </c>
    </row>
    <row r="739" customFormat="false" ht="23.85" hidden="false" customHeight="false" outlineLevel="0" collapsed="false">
      <c r="A739" s="13" t="s">
        <v>3</v>
      </c>
      <c r="B739" s="13" t="s">
        <v>2150</v>
      </c>
      <c r="C739" s="13" t="n">
        <v>182</v>
      </c>
      <c r="D739" s="13" t="s">
        <v>3038</v>
      </c>
      <c r="E739" s="13" t="s">
        <v>3039</v>
      </c>
      <c r="F739" s="13" t="s">
        <v>3040</v>
      </c>
      <c r="G739" s="13" t="s">
        <v>958</v>
      </c>
      <c r="H739" s="13" t="s">
        <v>3041</v>
      </c>
      <c r="I739" s="13" t="s">
        <v>82</v>
      </c>
      <c r="J739" s="13" t="s">
        <v>83</v>
      </c>
      <c r="K739" s="13"/>
      <c r="L739" s="13" t="s">
        <v>3042</v>
      </c>
      <c r="M739" s="13" t="s">
        <v>3043</v>
      </c>
    </row>
    <row r="740" customFormat="false" ht="23.85" hidden="false" customHeight="false" outlineLevel="0" collapsed="false">
      <c r="A740" s="13" t="s">
        <v>3</v>
      </c>
      <c r="B740" s="13" t="s">
        <v>2150</v>
      </c>
      <c r="C740" s="13" t="n">
        <v>182</v>
      </c>
      <c r="D740" s="13" t="s">
        <v>3044</v>
      </c>
      <c r="E740" s="13" t="s">
        <v>3045</v>
      </c>
      <c r="F740" s="13" t="s">
        <v>3046</v>
      </c>
      <c r="G740" s="13" t="s">
        <v>3047</v>
      </c>
      <c r="H740" s="13" t="s">
        <v>3048</v>
      </c>
      <c r="I740" s="13" t="s">
        <v>82</v>
      </c>
      <c r="J740" s="13" t="s">
        <v>83</v>
      </c>
      <c r="K740" s="13"/>
      <c r="L740" s="13" t="s">
        <v>3049</v>
      </c>
      <c r="M740" s="13" t="s">
        <v>3050</v>
      </c>
    </row>
    <row r="741" customFormat="false" ht="23.85" hidden="false" customHeight="false" outlineLevel="0" collapsed="false">
      <c r="A741" s="13" t="s">
        <v>3</v>
      </c>
      <c r="B741" s="13" t="s">
        <v>2150</v>
      </c>
      <c r="C741" s="13" t="n">
        <v>182</v>
      </c>
      <c r="D741" s="13" t="s">
        <v>3051</v>
      </c>
      <c r="E741" s="13" t="s">
        <v>3052</v>
      </c>
      <c r="F741" s="13" t="s">
        <v>1439</v>
      </c>
      <c r="G741" s="13" t="s">
        <v>3053</v>
      </c>
      <c r="H741" s="13" t="s">
        <v>3054</v>
      </c>
      <c r="I741" s="13" t="s">
        <v>82</v>
      </c>
      <c r="J741" s="13" t="s">
        <v>83</v>
      </c>
      <c r="K741" s="13"/>
      <c r="L741" s="13" t="s">
        <v>3055</v>
      </c>
      <c r="M741" s="13" t="s">
        <v>3056</v>
      </c>
    </row>
    <row r="742" customFormat="false" ht="23.85" hidden="false" customHeight="false" outlineLevel="0" collapsed="false">
      <c r="A742" s="13" t="s">
        <v>3</v>
      </c>
      <c r="B742" s="13" t="s">
        <v>2150</v>
      </c>
      <c r="C742" s="13" t="n">
        <v>182</v>
      </c>
      <c r="D742" s="13" t="s">
        <v>3057</v>
      </c>
      <c r="E742" s="13" t="s">
        <v>3058</v>
      </c>
      <c r="F742" s="13" t="s">
        <v>3059</v>
      </c>
      <c r="G742" s="13" t="s">
        <v>958</v>
      </c>
      <c r="H742" s="13" t="s">
        <v>3060</v>
      </c>
      <c r="I742" s="13" t="s">
        <v>82</v>
      </c>
      <c r="J742" s="13" t="s">
        <v>83</v>
      </c>
      <c r="K742" s="13"/>
      <c r="L742" s="13" t="s">
        <v>3061</v>
      </c>
      <c r="M742" s="13" t="s">
        <v>3062</v>
      </c>
    </row>
    <row r="743" customFormat="false" ht="46.25" hidden="false" customHeight="false" outlineLevel="0" collapsed="false">
      <c r="A743" s="13" t="s">
        <v>3</v>
      </c>
      <c r="B743" s="13" t="s">
        <v>2150</v>
      </c>
      <c r="C743" s="13" t="n">
        <v>182</v>
      </c>
      <c r="D743" s="13" t="s">
        <v>3063</v>
      </c>
      <c r="E743" s="13" t="s">
        <v>3064</v>
      </c>
      <c r="F743" s="13" t="s">
        <v>3065</v>
      </c>
      <c r="G743" s="13" t="s">
        <v>958</v>
      </c>
      <c r="H743" s="13" t="s">
        <v>3066</v>
      </c>
      <c r="I743" s="13" t="s">
        <v>82</v>
      </c>
      <c r="J743" s="13" t="s">
        <v>83</v>
      </c>
      <c r="K743" s="13"/>
      <c r="L743" s="13" t="s">
        <v>3067</v>
      </c>
      <c r="M743" s="13" t="s">
        <v>3068</v>
      </c>
    </row>
    <row r="744" customFormat="false" ht="46.25" hidden="false" customHeight="false" outlineLevel="0" collapsed="false">
      <c r="A744" s="13" t="s">
        <v>3</v>
      </c>
      <c r="B744" s="13" t="s">
        <v>2150</v>
      </c>
      <c r="C744" s="13" t="n">
        <v>182</v>
      </c>
      <c r="D744" s="13" t="s">
        <v>3063</v>
      </c>
      <c r="E744" s="13" t="s">
        <v>3069</v>
      </c>
      <c r="F744" s="13" t="s">
        <v>3070</v>
      </c>
      <c r="G744" s="13" t="s">
        <v>958</v>
      </c>
      <c r="H744" s="13" t="s">
        <v>3071</v>
      </c>
      <c r="I744" s="13" t="s">
        <v>82</v>
      </c>
      <c r="J744" s="13" t="s">
        <v>83</v>
      </c>
      <c r="K744" s="13"/>
      <c r="L744" s="13" t="s">
        <v>3067</v>
      </c>
      <c r="M744" s="13" t="s">
        <v>3068</v>
      </c>
    </row>
    <row r="745" customFormat="false" ht="23.85" hidden="false" customHeight="false" outlineLevel="0" collapsed="false">
      <c r="A745" s="13" t="s">
        <v>3</v>
      </c>
      <c r="B745" s="13" t="s">
        <v>2150</v>
      </c>
      <c r="C745" s="13" t="n">
        <v>182</v>
      </c>
      <c r="D745" s="13" t="s">
        <v>3072</v>
      </c>
      <c r="E745" s="13" t="s">
        <v>3073</v>
      </c>
      <c r="F745" s="13" t="s">
        <v>3074</v>
      </c>
      <c r="G745" s="13" t="s">
        <v>958</v>
      </c>
      <c r="H745" s="13" t="s">
        <v>3075</v>
      </c>
      <c r="I745" s="13" t="s">
        <v>82</v>
      </c>
      <c r="J745" s="13" t="s">
        <v>83</v>
      </c>
      <c r="K745" s="13"/>
      <c r="L745" s="13" t="s">
        <v>3076</v>
      </c>
      <c r="M745" s="13" t="s">
        <v>3077</v>
      </c>
    </row>
    <row r="746" customFormat="false" ht="23.85" hidden="false" customHeight="false" outlineLevel="0" collapsed="false">
      <c r="A746" s="13" t="s">
        <v>3</v>
      </c>
      <c r="B746" s="13" t="s">
        <v>2150</v>
      </c>
      <c r="C746" s="13" t="n">
        <v>182</v>
      </c>
      <c r="D746" s="13" t="s">
        <v>3078</v>
      </c>
      <c r="E746" s="13" t="s">
        <v>3079</v>
      </c>
      <c r="F746" s="13" t="s">
        <v>3080</v>
      </c>
      <c r="G746" s="13" t="s">
        <v>958</v>
      </c>
      <c r="H746" s="13" t="s">
        <v>3081</v>
      </c>
      <c r="I746" s="13" t="s">
        <v>82</v>
      </c>
      <c r="J746" s="13" t="s">
        <v>83</v>
      </c>
      <c r="K746" s="13"/>
      <c r="L746" s="13" t="s">
        <v>3082</v>
      </c>
      <c r="M746" s="13" t="s">
        <v>3083</v>
      </c>
    </row>
    <row r="747" customFormat="false" ht="46.25" hidden="false" customHeight="false" outlineLevel="0" collapsed="false">
      <c r="A747" s="13" t="s">
        <v>3</v>
      </c>
      <c r="B747" s="13" t="s">
        <v>2150</v>
      </c>
      <c r="C747" s="13" t="n">
        <v>182</v>
      </c>
      <c r="D747" s="13" t="s">
        <v>3084</v>
      </c>
      <c r="E747" s="13" t="s">
        <v>3085</v>
      </c>
      <c r="F747" s="13" t="s">
        <v>3086</v>
      </c>
      <c r="G747" s="13" t="s">
        <v>958</v>
      </c>
      <c r="H747" s="13" t="s">
        <v>3087</v>
      </c>
      <c r="I747" s="13" t="s">
        <v>82</v>
      </c>
      <c r="J747" s="13" t="s">
        <v>83</v>
      </c>
      <c r="K747" s="13"/>
      <c r="L747" s="13" t="s">
        <v>3088</v>
      </c>
      <c r="M747" s="13" t="s">
        <v>3089</v>
      </c>
    </row>
    <row r="748" customFormat="false" ht="46.25" hidden="false" customHeight="false" outlineLevel="0" collapsed="false">
      <c r="A748" s="13" t="s">
        <v>3</v>
      </c>
      <c r="B748" s="13" t="s">
        <v>2150</v>
      </c>
      <c r="C748" s="13" t="n">
        <v>182</v>
      </c>
      <c r="D748" s="13" t="s">
        <v>3084</v>
      </c>
      <c r="E748" s="13" t="s">
        <v>3090</v>
      </c>
      <c r="F748" s="13" t="s">
        <v>3091</v>
      </c>
      <c r="G748" s="13" t="s">
        <v>958</v>
      </c>
      <c r="H748" s="13" t="s">
        <v>3092</v>
      </c>
      <c r="I748" s="13" t="s">
        <v>82</v>
      </c>
      <c r="J748" s="13" t="s">
        <v>83</v>
      </c>
      <c r="K748" s="13"/>
      <c r="L748" s="13" t="s">
        <v>3088</v>
      </c>
      <c r="M748" s="13" t="s">
        <v>3089</v>
      </c>
    </row>
    <row r="749" customFormat="false" ht="23.85" hidden="false" customHeight="false" outlineLevel="0" collapsed="false">
      <c r="A749" s="13" t="s">
        <v>3</v>
      </c>
      <c r="B749" s="13" t="s">
        <v>2150</v>
      </c>
      <c r="C749" s="13" t="n">
        <v>182</v>
      </c>
      <c r="D749" s="13" t="s">
        <v>3093</v>
      </c>
      <c r="E749" s="13" t="s">
        <v>3094</v>
      </c>
      <c r="F749" s="13" t="s">
        <v>3095</v>
      </c>
      <c r="G749" s="13" t="s">
        <v>958</v>
      </c>
      <c r="H749" s="13" t="s">
        <v>3096</v>
      </c>
      <c r="I749" s="13" t="s">
        <v>82</v>
      </c>
      <c r="J749" s="13" t="s">
        <v>83</v>
      </c>
      <c r="K749" s="13"/>
      <c r="L749" s="13" t="s">
        <v>3097</v>
      </c>
      <c r="M749" s="13" t="s">
        <v>3098</v>
      </c>
    </row>
    <row r="750" customFormat="false" ht="23.85" hidden="false" customHeight="false" outlineLevel="0" collapsed="false">
      <c r="A750" s="13" t="s">
        <v>3</v>
      </c>
      <c r="B750" s="13" t="s">
        <v>2150</v>
      </c>
      <c r="C750" s="13" t="n">
        <v>182</v>
      </c>
      <c r="D750" s="13" t="s">
        <v>3099</v>
      </c>
      <c r="E750" s="13" t="s">
        <v>3100</v>
      </c>
      <c r="F750" s="13" t="s">
        <v>3101</v>
      </c>
      <c r="G750" s="13" t="s">
        <v>958</v>
      </c>
      <c r="H750" s="13" t="s">
        <v>3102</v>
      </c>
      <c r="I750" s="13" t="s">
        <v>82</v>
      </c>
      <c r="J750" s="13" t="s">
        <v>83</v>
      </c>
      <c r="K750" s="13"/>
      <c r="L750" s="13" t="s">
        <v>3103</v>
      </c>
      <c r="M750" s="13" t="s">
        <v>3104</v>
      </c>
    </row>
    <row r="751" customFormat="false" ht="23.85" hidden="false" customHeight="false" outlineLevel="0" collapsed="false">
      <c r="A751" s="13" t="s">
        <v>3</v>
      </c>
      <c r="B751" s="13" t="s">
        <v>2150</v>
      </c>
      <c r="C751" s="13" t="n">
        <v>182</v>
      </c>
      <c r="D751" s="13" t="s">
        <v>3105</v>
      </c>
      <c r="E751" s="13" t="s">
        <v>3106</v>
      </c>
      <c r="F751" s="13" t="s">
        <v>3107</v>
      </c>
      <c r="G751" s="13" t="s">
        <v>958</v>
      </c>
      <c r="H751" s="13" t="s">
        <v>3108</v>
      </c>
      <c r="I751" s="13" t="s">
        <v>82</v>
      </c>
      <c r="J751" s="13" t="s">
        <v>83</v>
      </c>
      <c r="K751" s="13"/>
      <c r="L751" s="13" t="s">
        <v>3109</v>
      </c>
      <c r="M751" s="13" t="s">
        <v>3110</v>
      </c>
    </row>
    <row r="752" customFormat="false" ht="23.85" hidden="false" customHeight="false" outlineLevel="0" collapsed="false">
      <c r="A752" s="13" t="s">
        <v>3</v>
      </c>
      <c r="B752" s="13" t="s">
        <v>2150</v>
      </c>
      <c r="C752" s="13" t="n">
        <v>182</v>
      </c>
      <c r="D752" s="13" t="s">
        <v>3111</v>
      </c>
      <c r="E752" s="13" t="s">
        <v>3112</v>
      </c>
      <c r="F752" s="13" t="s">
        <v>3113</v>
      </c>
      <c r="G752" s="13" t="s">
        <v>958</v>
      </c>
      <c r="H752" s="13" t="s">
        <v>3114</v>
      </c>
      <c r="I752" s="13" t="s">
        <v>82</v>
      </c>
      <c r="J752" s="13" t="s">
        <v>83</v>
      </c>
      <c r="K752" s="13"/>
      <c r="L752" s="13" t="s">
        <v>3115</v>
      </c>
      <c r="M752" s="13" t="s">
        <v>3116</v>
      </c>
    </row>
    <row r="753" customFormat="false" ht="23.85" hidden="false" customHeight="false" outlineLevel="0" collapsed="false">
      <c r="A753" s="13" t="s">
        <v>3</v>
      </c>
      <c r="B753" s="13" t="s">
        <v>2150</v>
      </c>
      <c r="C753" s="13" t="n">
        <v>182</v>
      </c>
      <c r="D753" s="13" t="s">
        <v>3117</v>
      </c>
      <c r="E753" s="13" t="s">
        <v>3118</v>
      </c>
      <c r="F753" s="13" t="s">
        <v>3119</v>
      </c>
      <c r="G753" s="13" t="s">
        <v>958</v>
      </c>
      <c r="H753" s="13" t="s">
        <v>3120</v>
      </c>
      <c r="I753" s="13" t="s">
        <v>82</v>
      </c>
      <c r="J753" s="13" t="s">
        <v>83</v>
      </c>
      <c r="K753" s="13"/>
      <c r="L753" s="13" t="s">
        <v>3121</v>
      </c>
      <c r="M753" s="13" t="s">
        <v>3122</v>
      </c>
    </row>
    <row r="754" customFormat="false" ht="23.85" hidden="false" customHeight="false" outlineLevel="0" collapsed="false">
      <c r="A754" s="13" t="s">
        <v>3</v>
      </c>
      <c r="B754" s="13" t="s">
        <v>2150</v>
      </c>
      <c r="C754" s="13" t="n">
        <v>182</v>
      </c>
      <c r="D754" s="13" t="s">
        <v>3123</v>
      </c>
      <c r="E754" s="13" t="s">
        <v>3124</v>
      </c>
      <c r="F754" s="13" t="s">
        <v>3125</v>
      </c>
      <c r="G754" s="13" t="s">
        <v>958</v>
      </c>
      <c r="H754" s="13" t="s">
        <v>3126</v>
      </c>
      <c r="I754" s="13" t="s">
        <v>82</v>
      </c>
      <c r="J754" s="13" t="s">
        <v>83</v>
      </c>
      <c r="K754" s="13"/>
      <c r="L754" s="13" t="s">
        <v>3127</v>
      </c>
      <c r="M754" s="13" t="s">
        <v>3128</v>
      </c>
    </row>
    <row r="755" customFormat="false" ht="23.85" hidden="false" customHeight="false" outlineLevel="0" collapsed="false">
      <c r="A755" s="13" t="s">
        <v>3</v>
      </c>
      <c r="B755" s="13" t="s">
        <v>2150</v>
      </c>
      <c r="C755" s="13" t="n">
        <v>182</v>
      </c>
      <c r="D755" s="13" t="s">
        <v>3129</v>
      </c>
      <c r="E755" s="13" t="s">
        <v>3130</v>
      </c>
      <c r="F755" s="13" t="s">
        <v>3131</v>
      </c>
      <c r="G755" s="13" t="s">
        <v>958</v>
      </c>
      <c r="H755" s="13" t="s">
        <v>3132</v>
      </c>
      <c r="I755" s="13" t="s">
        <v>82</v>
      </c>
      <c r="J755" s="13" t="s">
        <v>83</v>
      </c>
      <c r="K755" s="13"/>
      <c r="L755" s="13" t="s">
        <v>3133</v>
      </c>
      <c r="M755" s="13" t="s">
        <v>3134</v>
      </c>
    </row>
    <row r="756" customFormat="false" ht="23.85" hidden="false" customHeight="false" outlineLevel="0" collapsed="false">
      <c r="A756" s="13" t="s">
        <v>3</v>
      </c>
      <c r="B756" s="13" t="s">
        <v>2150</v>
      </c>
      <c r="C756" s="13" t="n">
        <v>182</v>
      </c>
      <c r="D756" s="13" t="s">
        <v>3135</v>
      </c>
      <c r="E756" s="13" t="s">
        <v>3136</v>
      </c>
      <c r="F756" s="13" t="s">
        <v>3137</v>
      </c>
      <c r="G756" s="13" t="s">
        <v>958</v>
      </c>
      <c r="H756" s="13" t="s">
        <v>3138</v>
      </c>
      <c r="I756" s="13" t="s">
        <v>82</v>
      </c>
      <c r="J756" s="13" t="s">
        <v>83</v>
      </c>
      <c r="K756" s="13"/>
      <c r="L756" s="13" t="s">
        <v>3139</v>
      </c>
      <c r="M756" s="13" t="s">
        <v>3140</v>
      </c>
    </row>
    <row r="757" customFormat="false" ht="23.85" hidden="false" customHeight="false" outlineLevel="0" collapsed="false">
      <c r="A757" s="13" t="s">
        <v>3</v>
      </c>
      <c r="B757" s="13" t="s">
        <v>2150</v>
      </c>
      <c r="C757" s="13" t="n">
        <v>182</v>
      </c>
      <c r="D757" s="13" t="s">
        <v>3141</v>
      </c>
      <c r="E757" s="13" t="s">
        <v>3142</v>
      </c>
      <c r="F757" s="13" t="s">
        <v>3143</v>
      </c>
      <c r="G757" s="13" t="s">
        <v>958</v>
      </c>
      <c r="H757" s="13" t="s">
        <v>3144</v>
      </c>
      <c r="I757" s="13" t="s">
        <v>82</v>
      </c>
      <c r="J757" s="13" t="s">
        <v>83</v>
      </c>
      <c r="K757" s="13"/>
      <c r="L757" s="13" t="s">
        <v>3145</v>
      </c>
      <c r="M757" s="13" t="s">
        <v>3146</v>
      </c>
    </row>
    <row r="758" customFormat="false" ht="23.85" hidden="false" customHeight="false" outlineLevel="0" collapsed="false">
      <c r="A758" s="13" t="s">
        <v>3</v>
      </c>
      <c r="B758" s="13" t="s">
        <v>2150</v>
      </c>
      <c r="C758" s="13" t="n">
        <v>182</v>
      </c>
      <c r="D758" s="13" t="s">
        <v>3147</v>
      </c>
      <c r="E758" s="13" t="s">
        <v>3148</v>
      </c>
      <c r="F758" s="13" t="s">
        <v>3149</v>
      </c>
      <c r="G758" s="13" t="s">
        <v>958</v>
      </c>
      <c r="H758" s="13" t="s">
        <v>3150</v>
      </c>
      <c r="I758" s="13" t="s">
        <v>82</v>
      </c>
      <c r="J758" s="13" t="s">
        <v>83</v>
      </c>
      <c r="K758" s="13"/>
      <c r="L758" s="13" t="s">
        <v>3151</v>
      </c>
      <c r="M758" s="13" t="s">
        <v>3152</v>
      </c>
    </row>
    <row r="759" customFormat="false" ht="23.85" hidden="false" customHeight="false" outlineLevel="0" collapsed="false">
      <c r="A759" s="13" t="s">
        <v>3</v>
      </c>
      <c r="B759" s="13" t="s">
        <v>2150</v>
      </c>
      <c r="C759" s="13" t="n">
        <v>182</v>
      </c>
      <c r="D759" s="13" t="s">
        <v>3153</v>
      </c>
      <c r="E759" s="13" t="s">
        <v>3154</v>
      </c>
      <c r="F759" s="13" t="s">
        <v>3155</v>
      </c>
      <c r="G759" s="13" t="s">
        <v>958</v>
      </c>
      <c r="H759" s="13" t="s">
        <v>3156</v>
      </c>
      <c r="I759" s="13" t="s">
        <v>82</v>
      </c>
      <c r="J759" s="13" t="s">
        <v>83</v>
      </c>
      <c r="K759" s="13"/>
      <c r="L759" s="13" t="s">
        <v>3157</v>
      </c>
      <c r="M759" s="13" t="s">
        <v>3158</v>
      </c>
    </row>
    <row r="760" customFormat="false" ht="23.85" hidden="false" customHeight="false" outlineLevel="0" collapsed="false">
      <c r="A760" s="13" t="s">
        <v>3</v>
      </c>
      <c r="B760" s="13" t="s">
        <v>2150</v>
      </c>
      <c r="C760" s="13" t="n">
        <v>182</v>
      </c>
      <c r="D760" s="13" t="s">
        <v>3159</v>
      </c>
      <c r="E760" s="13" t="s">
        <v>3160</v>
      </c>
      <c r="F760" s="13" t="s">
        <v>3161</v>
      </c>
      <c r="G760" s="13" t="s">
        <v>958</v>
      </c>
      <c r="H760" s="13" t="s">
        <v>3162</v>
      </c>
      <c r="I760" s="13" t="s">
        <v>82</v>
      </c>
      <c r="J760" s="13" t="s">
        <v>83</v>
      </c>
      <c r="K760" s="13"/>
      <c r="L760" s="13" t="s">
        <v>3163</v>
      </c>
      <c r="M760" s="13" t="s">
        <v>3164</v>
      </c>
    </row>
    <row r="761" customFormat="false" ht="23.85" hidden="false" customHeight="false" outlineLevel="0" collapsed="false">
      <c r="A761" s="13" t="s">
        <v>3</v>
      </c>
      <c r="B761" s="13" t="s">
        <v>2150</v>
      </c>
      <c r="C761" s="13" t="n">
        <v>182</v>
      </c>
      <c r="D761" s="13" t="s">
        <v>3165</v>
      </c>
      <c r="E761" s="13" t="s">
        <v>3166</v>
      </c>
      <c r="F761" s="13" t="s">
        <v>3167</v>
      </c>
      <c r="G761" s="13" t="s">
        <v>958</v>
      </c>
      <c r="H761" s="13" t="s">
        <v>3168</v>
      </c>
      <c r="I761" s="13" t="s">
        <v>82</v>
      </c>
      <c r="J761" s="13" t="s">
        <v>83</v>
      </c>
      <c r="K761" s="13"/>
      <c r="L761" s="13" t="s">
        <v>3169</v>
      </c>
      <c r="M761" s="13" t="s">
        <v>3170</v>
      </c>
    </row>
    <row r="762" customFormat="false" ht="23.85" hidden="false" customHeight="false" outlineLevel="0" collapsed="false">
      <c r="A762" s="13" t="s">
        <v>3</v>
      </c>
      <c r="B762" s="13" t="s">
        <v>2150</v>
      </c>
      <c r="C762" s="13" t="n">
        <v>182</v>
      </c>
      <c r="D762" s="13" t="s">
        <v>3171</v>
      </c>
      <c r="E762" s="13" t="s">
        <v>3172</v>
      </c>
      <c r="F762" s="13" t="s">
        <v>3173</v>
      </c>
      <c r="G762" s="13" t="s">
        <v>958</v>
      </c>
      <c r="H762" s="13" t="s">
        <v>3174</v>
      </c>
      <c r="I762" s="13" t="s">
        <v>82</v>
      </c>
      <c r="J762" s="13" t="s">
        <v>83</v>
      </c>
      <c r="K762" s="13"/>
      <c r="L762" s="13" t="s">
        <v>3175</v>
      </c>
      <c r="M762" s="13" t="s">
        <v>3176</v>
      </c>
    </row>
    <row r="763" customFormat="false" ht="23.85" hidden="false" customHeight="false" outlineLevel="0" collapsed="false">
      <c r="A763" s="13" t="s">
        <v>3</v>
      </c>
      <c r="B763" s="13" t="s">
        <v>2150</v>
      </c>
      <c r="C763" s="13" t="n">
        <v>182</v>
      </c>
      <c r="D763" s="13" t="s">
        <v>3177</v>
      </c>
      <c r="E763" s="13" t="s">
        <v>3178</v>
      </c>
      <c r="F763" s="13" t="s">
        <v>3179</v>
      </c>
      <c r="G763" s="13" t="s">
        <v>958</v>
      </c>
      <c r="H763" s="13" t="s">
        <v>3180</v>
      </c>
      <c r="I763" s="13" t="s">
        <v>82</v>
      </c>
      <c r="J763" s="13" t="s">
        <v>83</v>
      </c>
      <c r="K763" s="13"/>
      <c r="L763" s="13" t="s">
        <v>3181</v>
      </c>
      <c r="M763" s="13" t="s">
        <v>3182</v>
      </c>
    </row>
    <row r="764" customFormat="false" ht="23.85" hidden="false" customHeight="false" outlineLevel="0" collapsed="false">
      <c r="A764" s="13" t="s">
        <v>3</v>
      </c>
      <c r="B764" s="13" t="s">
        <v>2150</v>
      </c>
      <c r="C764" s="13" t="n">
        <v>182</v>
      </c>
      <c r="D764" s="13" t="s">
        <v>3183</v>
      </c>
      <c r="E764" s="13" t="s">
        <v>3184</v>
      </c>
      <c r="F764" s="13" t="s">
        <v>3185</v>
      </c>
      <c r="G764" s="13" t="s">
        <v>958</v>
      </c>
      <c r="H764" s="13" t="s">
        <v>3186</v>
      </c>
      <c r="I764" s="13" t="s">
        <v>82</v>
      </c>
      <c r="J764" s="13" t="s">
        <v>83</v>
      </c>
      <c r="K764" s="13"/>
      <c r="L764" s="13" t="s">
        <v>3187</v>
      </c>
      <c r="M764" s="13" t="s">
        <v>3188</v>
      </c>
    </row>
    <row r="765" customFormat="false" ht="23.85" hidden="false" customHeight="false" outlineLevel="0" collapsed="false">
      <c r="A765" s="13" t="s">
        <v>3</v>
      </c>
      <c r="B765" s="13" t="s">
        <v>2150</v>
      </c>
      <c r="C765" s="13" t="n">
        <v>182</v>
      </c>
      <c r="D765" s="13" t="s">
        <v>3189</v>
      </c>
      <c r="E765" s="13" t="s">
        <v>3190</v>
      </c>
      <c r="F765" s="13" t="s">
        <v>3191</v>
      </c>
      <c r="G765" s="13" t="s">
        <v>958</v>
      </c>
      <c r="H765" s="13" t="s">
        <v>3192</v>
      </c>
      <c r="I765" s="13" t="s">
        <v>82</v>
      </c>
      <c r="J765" s="13" t="s">
        <v>83</v>
      </c>
      <c r="K765" s="13"/>
      <c r="L765" s="13" t="s">
        <v>3193</v>
      </c>
      <c r="M765" s="13" t="s">
        <v>3194</v>
      </c>
    </row>
    <row r="766" customFormat="false" ht="23.85" hidden="false" customHeight="false" outlineLevel="0" collapsed="false">
      <c r="A766" s="13" t="s">
        <v>3</v>
      </c>
      <c r="B766" s="13" t="s">
        <v>2150</v>
      </c>
      <c r="C766" s="13" t="n">
        <v>182</v>
      </c>
      <c r="D766" s="13" t="s">
        <v>3195</v>
      </c>
      <c r="E766" s="13" t="s">
        <v>3196</v>
      </c>
      <c r="F766" s="13" t="s">
        <v>3197</v>
      </c>
      <c r="G766" s="13" t="s">
        <v>958</v>
      </c>
      <c r="H766" s="13" t="s">
        <v>3198</v>
      </c>
      <c r="I766" s="13" t="s">
        <v>82</v>
      </c>
      <c r="J766" s="13" t="s">
        <v>83</v>
      </c>
      <c r="K766" s="13"/>
      <c r="L766" s="13" t="s">
        <v>3199</v>
      </c>
      <c r="M766" s="13" t="s">
        <v>3200</v>
      </c>
    </row>
    <row r="767" customFormat="false" ht="23.85" hidden="false" customHeight="false" outlineLevel="0" collapsed="false">
      <c r="A767" s="13" t="s">
        <v>3</v>
      </c>
      <c r="B767" s="13" t="s">
        <v>2150</v>
      </c>
      <c r="C767" s="13" t="n">
        <v>182</v>
      </c>
      <c r="D767" s="13" t="s">
        <v>3201</v>
      </c>
      <c r="E767" s="13" t="s">
        <v>3202</v>
      </c>
      <c r="F767" s="13" t="s">
        <v>3203</v>
      </c>
      <c r="G767" s="13" t="s">
        <v>958</v>
      </c>
      <c r="H767" s="13" t="s">
        <v>3204</v>
      </c>
      <c r="I767" s="13" t="s">
        <v>82</v>
      </c>
      <c r="J767" s="13" t="s">
        <v>83</v>
      </c>
      <c r="K767" s="13"/>
      <c r="L767" s="13" t="s">
        <v>3205</v>
      </c>
      <c r="M767" s="13" t="s">
        <v>3206</v>
      </c>
    </row>
    <row r="768" customFormat="false" ht="102.2" hidden="false" customHeight="false" outlineLevel="0" collapsed="false">
      <c r="A768" s="13" t="s">
        <v>3</v>
      </c>
      <c r="B768" s="13" t="s">
        <v>2150</v>
      </c>
      <c r="C768" s="13" t="n">
        <v>226</v>
      </c>
      <c r="D768" s="13" t="s">
        <v>3207</v>
      </c>
      <c r="E768" s="13" t="s">
        <v>3208</v>
      </c>
      <c r="F768" s="13" t="s">
        <v>806</v>
      </c>
      <c r="G768" s="13" t="s">
        <v>3209</v>
      </c>
      <c r="H768" s="13" t="s">
        <v>3210</v>
      </c>
      <c r="I768" s="13" t="s">
        <v>82</v>
      </c>
      <c r="J768" s="13" t="s">
        <v>83</v>
      </c>
      <c r="K768" s="13"/>
      <c r="L768" s="13" t="s">
        <v>3211</v>
      </c>
      <c r="M768" s="13" t="s">
        <v>3212</v>
      </c>
    </row>
    <row r="769" customFormat="false" ht="102.2" hidden="false" customHeight="false" outlineLevel="0" collapsed="false">
      <c r="A769" s="13" t="s">
        <v>3</v>
      </c>
      <c r="B769" s="13" t="s">
        <v>2150</v>
      </c>
      <c r="C769" s="13" t="n">
        <v>226</v>
      </c>
      <c r="D769" s="13" t="s">
        <v>3207</v>
      </c>
      <c r="E769" s="13" t="s">
        <v>3213</v>
      </c>
      <c r="F769" s="13" t="s">
        <v>806</v>
      </c>
      <c r="G769" s="13" t="s">
        <v>3214</v>
      </c>
      <c r="H769" s="13" t="s">
        <v>3215</v>
      </c>
      <c r="I769" s="13" t="s">
        <v>82</v>
      </c>
      <c r="J769" s="13" t="s">
        <v>83</v>
      </c>
      <c r="K769" s="13"/>
      <c r="L769" s="13" t="s">
        <v>3211</v>
      </c>
      <c r="M769" s="13" t="s">
        <v>3212</v>
      </c>
    </row>
    <row r="770" customFormat="false" ht="102.2" hidden="false" customHeight="false" outlineLevel="0" collapsed="false">
      <c r="A770" s="13" t="s">
        <v>3</v>
      </c>
      <c r="B770" s="13" t="s">
        <v>2150</v>
      </c>
      <c r="C770" s="13" t="n">
        <v>226</v>
      </c>
      <c r="D770" s="13" t="s">
        <v>3207</v>
      </c>
      <c r="E770" s="13" t="s">
        <v>3216</v>
      </c>
      <c r="F770" s="13" t="s">
        <v>806</v>
      </c>
      <c r="G770" s="13" t="s">
        <v>3217</v>
      </c>
      <c r="H770" s="13" t="s">
        <v>3218</v>
      </c>
      <c r="I770" s="13" t="s">
        <v>82</v>
      </c>
      <c r="J770" s="13" t="s">
        <v>83</v>
      </c>
      <c r="K770" s="13"/>
      <c r="L770" s="13" t="s">
        <v>3211</v>
      </c>
      <c r="M770" s="13" t="s">
        <v>3212</v>
      </c>
    </row>
    <row r="771" customFormat="false" ht="57.45" hidden="false" customHeight="false" outlineLevel="0" collapsed="false">
      <c r="A771" s="13" t="s">
        <v>3</v>
      </c>
      <c r="B771" s="13" t="s">
        <v>2150</v>
      </c>
      <c r="C771" s="13" t="n">
        <v>226</v>
      </c>
      <c r="D771" s="13" t="s">
        <v>3219</v>
      </c>
      <c r="E771" s="13" t="s">
        <v>3220</v>
      </c>
      <c r="F771" s="13" t="s">
        <v>806</v>
      </c>
      <c r="G771" s="13" t="s">
        <v>3221</v>
      </c>
      <c r="H771" s="13" t="s">
        <v>3222</v>
      </c>
      <c r="I771" s="13" t="s">
        <v>82</v>
      </c>
      <c r="J771" s="13" t="s">
        <v>83</v>
      </c>
      <c r="K771" s="13"/>
      <c r="L771" s="13" t="s">
        <v>3223</v>
      </c>
      <c r="M771" s="13" t="s">
        <v>3224</v>
      </c>
    </row>
    <row r="772" customFormat="false" ht="68.65" hidden="false" customHeight="false" outlineLevel="0" collapsed="false">
      <c r="A772" s="13" t="s">
        <v>3</v>
      </c>
      <c r="B772" s="13" t="s">
        <v>2150</v>
      </c>
      <c r="C772" s="13" t="n">
        <v>226</v>
      </c>
      <c r="D772" s="13" t="s">
        <v>3225</v>
      </c>
      <c r="E772" s="13" t="s">
        <v>3226</v>
      </c>
      <c r="F772" s="13" t="s">
        <v>3227</v>
      </c>
      <c r="G772" s="13" t="s">
        <v>3228</v>
      </c>
      <c r="H772" s="13" t="s">
        <v>3229</v>
      </c>
      <c r="I772" s="13" t="s">
        <v>82</v>
      </c>
      <c r="J772" s="13" t="s">
        <v>83</v>
      </c>
      <c r="K772" s="13"/>
      <c r="L772" s="13" t="s">
        <v>3230</v>
      </c>
      <c r="M772" s="13" t="s">
        <v>3231</v>
      </c>
    </row>
    <row r="773" customFormat="false" ht="68.65" hidden="false" customHeight="false" outlineLevel="0" collapsed="false">
      <c r="A773" s="13" t="s">
        <v>3</v>
      </c>
      <c r="B773" s="13" t="s">
        <v>2150</v>
      </c>
      <c r="C773" s="13" t="n">
        <v>226</v>
      </c>
      <c r="D773" s="13" t="s">
        <v>3225</v>
      </c>
      <c r="E773" s="13" t="s">
        <v>3232</v>
      </c>
      <c r="F773" s="13" t="s">
        <v>3227</v>
      </c>
      <c r="G773" s="13" t="s">
        <v>3233</v>
      </c>
      <c r="H773" s="13" t="s">
        <v>3234</v>
      </c>
      <c r="I773" s="13" t="s">
        <v>82</v>
      </c>
      <c r="J773" s="13" t="s">
        <v>83</v>
      </c>
      <c r="K773" s="13"/>
      <c r="L773" s="13" t="s">
        <v>3230</v>
      </c>
      <c r="M773" s="13" t="s">
        <v>3231</v>
      </c>
    </row>
    <row r="774" customFormat="false" ht="68.65" hidden="false" customHeight="false" outlineLevel="0" collapsed="false">
      <c r="A774" s="13" t="s">
        <v>3</v>
      </c>
      <c r="B774" s="13" t="s">
        <v>2150</v>
      </c>
      <c r="C774" s="13" t="n">
        <v>226</v>
      </c>
      <c r="D774" s="13" t="s">
        <v>3225</v>
      </c>
      <c r="E774" s="13" t="s">
        <v>3235</v>
      </c>
      <c r="F774" s="13" t="s">
        <v>3227</v>
      </c>
      <c r="G774" s="13" t="s">
        <v>3236</v>
      </c>
      <c r="H774" s="13" t="s">
        <v>3237</v>
      </c>
      <c r="I774" s="13" t="s">
        <v>82</v>
      </c>
      <c r="J774" s="13" t="s">
        <v>83</v>
      </c>
      <c r="K774" s="13"/>
      <c r="L774" s="13" t="s">
        <v>3230</v>
      </c>
      <c r="M774" s="13" t="s">
        <v>3231</v>
      </c>
    </row>
    <row r="775" customFormat="false" ht="236.55" hidden="false" customHeight="false" outlineLevel="0" collapsed="false">
      <c r="A775" s="13" t="s">
        <v>3</v>
      </c>
      <c r="B775" s="13" t="s">
        <v>2150</v>
      </c>
      <c r="C775" s="13" t="n">
        <v>226</v>
      </c>
      <c r="D775" s="13" t="s">
        <v>3238</v>
      </c>
      <c r="E775" s="13" t="s">
        <v>3239</v>
      </c>
      <c r="F775" s="13" t="s">
        <v>806</v>
      </c>
      <c r="G775" s="13" t="s">
        <v>3240</v>
      </c>
      <c r="H775" s="13" t="s">
        <v>3241</v>
      </c>
      <c r="I775" s="13" t="s">
        <v>82</v>
      </c>
      <c r="J775" s="13" t="s">
        <v>83</v>
      </c>
      <c r="K775" s="13"/>
      <c r="L775" s="13" t="s">
        <v>3242</v>
      </c>
      <c r="M775" s="13" t="s">
        <v>3243</v>
      </c>
    </row>
    <row r="776" customFormat="false" ht="236.55" hidden="false" customHeight="false" outlineLevel="0" collapsed="false">
      <c r="A776" s="13" t="s">
        <v>3</v>
      </c>
      <c r="B776" s="13" t="s">
        <v>2150</v>
      </c>
      <c r="C776" s="13" t="n">
        <v>226</v>
      </c>
      <c r="D776" s="13" t="s">
        <v>3238</v>
      </c>
      <c r="E776" s="13" t="s">
        <v>3244</v>
      </c>
      <c r="F776" s="13" t="s">
        <v>806</v>
      </c>
      <c r="G776" s="13" t="s">
        <v>3245</v>
      </c>
      <c r="H776" s="13" t="s">
        <v>3246</v>
      </c>
      <c r="I776" s="13" t="s">
        <v>82</v>
      </c>
      <c r="J776" s="13" t="s">
        <v>83</v>
      </c>
      <c r="K776" s="13"/>
      <c r="L776" s="13" t="s">
        <v>3242</v>
      </c>
      <c r="M776" s="13" t="s">
        <v>3243</v>
      </c>
    </row>
    <row r="777" customFormat="false" ht="236.55" hidden="false" customHeight="false" outlineLevel="0" collapsed="false">
      <c r="A777" s="13" t="s">
        <v>3</v>
      </c>
      <c r="B777" s="13" t="s">
        <v>2150</v>
      </c>
      <c r="C777" s="13" t="n">
        <v>226</v>
      </c>
      <c r="D777" s="13" t="s">
        <v>3238</v>
      </c>
      <c r="E777" s="13" t="s">
        <v>3247</v>
      </c>
      <c r="F777" s="13" t="s">
        <v>806</v>
      </c>
      <c r="G777" s="13" t="s">
        <v>3248</v>
      </c>
      <c r="H777" s="13" t="s">
        <v>3249</v>
      </c>
      <c r="I777" s="13" t="s">
        <v>82</v>
      </c>
      <c r="J777" s="13" t="s">
        <v>83</v>
      </c>
      <c r="K777" s="13"/>
      <c r="L777" s="13" t="s">
        <v>3242</v>
      </c>
      <c r="M777" s="13" t="s">
        <v>3243</v>
      </c>
    </row>
    <row r="778" customFormat="false" ht="236.55" hidden="false" customHeight="false" outlineLevel="0" collapsed="false">
      <c r="A778" s="13" t="s">
        <v>3</v>
      </c>
      <c r="B778" s="13" t="s">
        <v>2150</v>
      </c>
      <c r="C778" s="13" t="n">
        <v>226</v>
      </c>
      <c r="D778" s="13" t="s">
        <v>3238</v>
      </c>
      <c r="E778" s="13" t="s">
        <v>3250</v>
      </c>
      <c r="F778" s="13" t="s">
        <v>806</v>
      </c>
      <c r="G778" s="13" t="s">
        <v>3251</v>
      </c>
      <c r="H778" s="13" t="s">
        <v>3229</v>
      </c>
      <c r="I778" s="13" t="s">
        <v>82</v>
      </c>
      <c r="J778" s="13" t="s">
        <v>83</v>
      </c>
      <c r="K778" s="13"/>
      <c r="L778" s="13" t="s">
        <v>3242</v>
      </c>
      <c r="M778" s="13" t="s">
        <v>3243</v>
      </c>
    </row>
    <row r="779" customFormat="false" ht="23.85" hidden="false" customHeight="false" outlineLevel="0" collapsed="false">
      <c r="A779" s="13" t="s">
        <v>3</v>
      </c>
      <c r="B779" s="13" t="s">
        <v>2150</v>
      </c>
      <c r="C779" s="13" t="n">
        <v>226</v>
      </c>
      <c r="D779" s="13" t="s">
        <v>3252</v>
      </c>
      <c r="E779" s="13" t="s">
        <v>3253</v>
      </c>
      <c r="F779" s="13" t="s">
        <v>3254</v>
      </c>
      <c r="G779" s="13" t="s">
        <v>3255</v>
      </c>
      <c r="H779" s="13" t="s">
        <v>3256</v>
      </c>
      <c r="I779" s="13" t="s">
        <v>82</v>
      </c>
      <c r="J779" s="13" t="s">
        <v>83</v>
      </c>
      <c r="K779" s="13"/>
      <c r="L779" s="13" t="s">
        <v>3257</v>
      </c>
      <c r="M779" s="13" t="s">
        <v>3258</v>
      </c>
    </row>
    <row r="780" customFormat="false" ht="35.05" hidden="false" customHeight="false" outlineLevel="0" collapsed="false">
      <c r="A780" s="13" t="s">
        <v>3</v>
      </c>
      <c r="B780" s="13" t="s">
        <v>2150</v>
      </c>
      <c r="C780" s="13" t="n">
        <v>235</v>
      </c>
      <c r="D780" s="13" t="s">
        <v>3259</v>
      </c>
      <c r="E780" s="13" t="s">
        <v>3260</v>
      </c>
      <c r="F780" s="13" t="s">
        <v>3261</v>
      </c>
      <c r="G780" s="13" t="s">
        <v>3262</v>
      </c>
      <c r="H780" s="13" t="s">
        <v>3263</v>
      </c>
      <c r="I780" s="13" t="s">
        <v>82</v>
      </c>
      <c r="J780" s="13" t="s">
        <v>83</v>
      </c>
      <c r="K780" s="13"/>
      <c r="L780" s="13" t="s">
        <v>3264</v>
      </c>
      <c r="M780" s="13" t="s">
        <v>3265</v>
      </c>
    </row>
    <row r="781" customFormat="false" ht="35.05" hidden="false" customHeight="false" outlineLevel="0" collapsed="false">
      <c r="A781" s="13" t="s">
        <v>3</v>
      </c>
      <c r="B781" s="13" t="s">
        <v>2150</v>
      </c>
      <c r="C781" s="13" t="n">
        <v>235</v>
      </c>
      <c r="D781" s="13" t="s">
        <v>3266</v>
      </c>
      <c r="E781" s="13" t="s">
        <v>3267</v>
      </c>
      <c r="F781" s="13" t="s">
        <v>3263</v>
      </c>
      <c r="G781" s="13" t="s">
        <v>3268</v>
      </c>
      <c r="H781" s="13" t="s">
        <v>3269</v>
      </c>
      <c r="I781" s="13" t="s">
        <v>82</v>
      </c>
      <c r="J781" s="13" t="s">
        <v>83</v>
      </c>
      <c r="K781" s="13"/>
      <c r="L781" s="13" t="s">
        <v>3270</v>
      </c>
      <c r="M781" s="13" t="s">
        <v>3271</v>
      </c>
    </row>
    <row r="782" customFormat="false" ht="35.05" hidden="false" customHeight="false" outlineLevel="0" collapsed="false">
      <c r="A782" s="13" t="s">
        <v>3</v>
      </c>
      <c r="B782" s="13" t="s">
        <v>2150</v>
      </c>
      <c r="C782" s="13" t="n">
        <v>235</v>
      </c>
      <c r="D782" s="13" t="s">
        <v>3272</v>
      </c>
      <c r="E782" s="13" t="s">
        <v>3273</v>
      </c>
      <c r="F782" s="13" t="s">
        <v>3263</v>
      </c>
      <c r="G782" s="13" t="s">
        <v>3274</v>
      </c>
      <c r="H782" s="13" t="s">
        <v>3275</v>
      </c>
      <c r="I782" s="13" t="s">
        <v>82</v>
      </c>
      <c r="J782" s="13" t="s">
        <v>83</v>
      </c>
      <c r="K782" s="13"/>
      <c r="L782" s="13" t="s">
        <v>3276</v>
      </c>
      <c r="M782" s="13" t="s">
        <v>3277</v>
      </c>
    </row>
    <row r="783" customFormat="false" ht="35.05" hidden="false" customHeight="false" outlineLevel="0" collapsed="false">
      <c r="A783" s="13" t="s">
        <v>3</v>
      </c>
      <c r="B783" s="13" t="s">
        <v>2150</v>
      </c>
      <c r="C783" s="13" t="n">
        <v>235</v>
      </c>
      <c r="D783" s="13" t="s">
        <v>3272</v>
      </c>
      <c r="E783" s="13" t="s">
        <v>3278</v>
      </c>
      <c r="F783" s="13" t="s">
        <v>3263</v>
      </c>
      <c r="G783" s="13" t="s">
        <v>3274</v>
      </c>
      <c r="H783" s="13" t="s">
        <v>3279</v>
      </c>
      <c r="I783" s="13" t="s">
        <v>82</v>
      </c>
      <c r="J783" s="13" t="s">
        <v>83</v>
      </c>
      <c r="K783" s="13"/>
      <c r="L783" s="13" t="s">
        <v>3276</v>
      </c>
      <c r="M783" s="13" t="s">
        <v>3277</v>
      </c>
    </row>
    <row r="784" customFormat="false" ht="35.05" hidden="false" customHeight="false" outlineLevel="0" collapsed="false">
      <c r="A784" s="13" t="s">
        <v>3</v>
      </c>
      <c r="B784" s="13" t="s">
        <v>2150</v>
      </c>
      <c r="C784" s="13" t="n">
        <v>235</v>
      </c>
      <c r="D784" s="13" t="s">
        <v>3280</v>
      </c>
      <c r="E784" s="13" t="s">
        <v>3281</v>
      </c>
      <c r="F784" s="13" t="s">
        <v>3263</v>
      </c>
      <c r="G784" s="13" t="s">
        <v>3274</v>
      </c>
      <c r="H784" s="13" t="s">
        <v>3282</v>
      </c>
      <c r="I784" s="13" t="s">
        <v>82</v>
      </c>
      <c r="J784" s="13" t="s">
        <v>83</v>
      </c>
      <c r="K784" s="13"/>
      <c r="L784" s="13" t="s">
        <v>3283</v>
      </c>
      <c r="M784" s="13" t="s">
        <v>3284</v>
      </c>
    </row>
    <row r="785" customFormat="false" ht="23.85" hidden="false" customHeight="false" outlineLevel="0" collapsed="false">
      <c r="A785" s="13" t="s">
        <v>3</v>
      </c>
      <c r="B785" s="13" t="s">
        <v>2150</v>
      </c>
      <c r="C785" s="13" t="n">
        <v>235</v>
      </c>
      <c r="D785" s="13" t="s">
        <v>3285</v>
      </c>
      <c r="E785" s="13" t="s">
        <v>3286</v>
      </c>
      <c r="F785" s="13" t="s">
        <v>3263</v>
      </c>
      <c r="G785" s="13" t="s">
        <v>3274</v>
      </c>
      <c r="H785" s="13" t="s">
        <v>3287</v>
      </c>
      <c r="I785" s="13" t="s">
        <v>82</v>
      </c>
      <c r="J785" s="13" t="s">
        <v>83</v>
      </c>
      <c r="K785" s="13"/>
      <c r="L785" s="13" t="s">
        <v>3288</v>
      </c>
      <c r="M785" s="13" t="s">
        <v>3289</v>
      </c>
    </row>
    <row r="786" customFormat="false" ht="57.45" hidden="false" customHeight="false" outlineLevel="0" collapsed="false">
      <c r="A786" s="13" t="s">
        <v>3</v>
      </c>
      <c r="B786" s="13" t="s">
        <v>2150</v>
      </c>
      <c r="C786" s="13" t="n">
        <v>235</v>
      </c>
      <c r="D786" s="13" t="s">
        <v>3290</v>
      </c>
      <c r="E786" s="13" t="s">
        <v>3291</v>
      </c>
      <c r="F786" s="13" t="s">
        <v>3263</v>
      </c>
      <c r="G786" s="13" t="s">
        <v>3292</v>
      </c>
      <c r="H786" s="13" t="s">
        <v>3293</v>
      </c>
      <c r="I786" s="13" t="s">
        <v>82</v>
      </c>
      <c r="J786" s="13" t="s">
        <v>83</v>
      </c>
      <c r="K786" s="13"/>
      <c r="L786" s="13" t="s">
        <v>3294</v>
      </c>
      <c r="M786" s="13" t="s">
        <v>3295</v>
      </c>
    </row>
    <row r="787" customFormat="false" ht="57.45" hidden="false" customHeight="false" outlineLevel="0" collapsed="false">
      <c r="A787" s="13" t="s">
        <v>3</v>
      </c>
      <c r="B787" s="13" t="s">
        <v>2150</v>
      </c>
      <c r="C787" s="13" t="n">
        <v>235</v>
      </c>
      <c r="D787" s="13" t="s">
        <v>3290</v>
      </c>
      <c r="E787" s="13" t="s">
        <v>3296</v>
      </c>
      <c r="F787" s="13" t="s">
        <v>3263</v>
      </c>
      <c r="G787" s="13" t="s">
        <v>3297</v>
      </c>
      <c r="H787" s="13" t="s">
        <v>3298</v>
      </c>
      <c r="I787" s="13" t="s">
        <v>82</v>
      </c>
      <c r="J787" s="13" t="s">
        <v>83</v>
      </c>
      <c r="K787" s="13"/>
      <c r="L787" s="13" t="s">
        <v>3294</v>
      </c>
      <c r="M787" s="13" t="s">
        <v>3295</v>
      </c>
    </row>
    <row r="788" customFormat="false" ht="23.85" hidden="false" customHeight="false" outlineLevel="0" collapsed="false">
      <c r="A788" s="13" t="s">
        <v>3</v>
      </c>
      <c r="B788" s="13" t="s">
        <v>2150</v>
      </c>
      <c r="C788" s="13" t="n">
        <v>235</v>
      </c>
      <c r="D788" s="13" t="s">
        <v>3299</v>
      </c>
      <c r="E788" s="13" t="s">
        <v>3300</v>
      </c>
      <c r="F788" s="13" t="s">
        <v>3301</v>
      </c>
      <c r="G788" s="13" t="s">
        <v>3302</v>
      </c>
      <c r="H788" s="13" t="s">
        <v>3303</v>
      </c>
      <c r="I788" s="13" t="s">
        <v>82</v>
      </c>
      <c r="J788" s="13" t="s">
        <v>83</v>
      </c>
      <c r="K788" s="13"/>
      <c r="L788" s="13" t="s">
        <v>3304</v>
      </c>
      <c r="M788" s="13" t="s">
        <v>3305</v>
      </c>
    </row>
    <row r="789" customFormat="false" ht="102.2" hidden="false" customHeight="false" outlineLevel="0" collapsed="false">
      <c r="A789" s="13" t="s">
        <v>3</v>
      </c>
      <c r="B789" s="13" t="s">
        <v>2150</v>
      </c>
      <c r="C789" s="13" t="n">
        <v>235</v>
      </c>
      <c r="D789" s="13" t="s">
        <v>3306</v>
      </c>
      <c r="E789" s="13" t="s">
        <v>3307</v>
      </c>
      <c r="F789" s="13" t="s">
        <v>3263</v>
      </c>
      <c r="G789" s="13" t="s">
        <v>3308</v>
      </c>
      <c r="H789" s="13" t="s">
        <v>3309</v>
      </c>
      <c r="I789" s="13" t="s">
        <v>82</v>
      </c>
      <c r="J789" s="13" t="s">
        <v>83</v>
      </c>
      <c r="K789" s="13"/>
      <c r="L789" s="13" t="s">
        <v>3310</v>
      </c>
      <c r="M789" s="13" t="s">
        <v>3311</v>
      </c>
    </row>
    <row r="790" customFormat="false" ht="102.2" hidden="false" customHeight="false" outlineLevel="0" collapsed="false">
      <c r="A790" s="13" t="s">
        <v>3</v>
      </c>
      <c r="B790" s="13" t="s">
        <v>2150</v>
      </c>
      <c r="C790" s="13" t="n">
        <v>235</v>
      </c>
      <c r="D790" s="13" t="s">
        <v>3306</v>
      </c>
      <c r="E790" s="13" t="s">
        <v>3312</v>
      </c>
      <c r="F790" s="13" t="s">
        <v>3263</v>
      </c>
      <c r="G790" s="13" t="s">
        <v>3308</v>
      </c>
      <c r="H790" s="13" t="s">
        <v>3313</v>
      </c>
      <c r="I790" s="13" t="s">
        <v>82</v>
      </c>
      <c r="J790" s="13" t="s">
        <v>83</v>
      </c>
      <c r="K790" s="13"/>
      <c r="L790" s="13" t="s">
        <v>3310</v>
      </c>
      <c r="M790" s="13" t="s">
        <v>3311</v>
      </c>
    </row>
    <row r="791" customFormat="false" ht="102.2" hidden="false" customHeight="false" outlineLevel="0" collapsed="false">
      <c r="A791" s="13" t="s">
        <v>3</v>
      </c>
      <c r="B791" s="13" t="s">
        <v>2150</v>
      </c>
      <c r="C791" s="13" t="n">
        <v>235</v>
      </c>
      <c r="D791" s="13" t="s">
        <v>3306</v>
      </c>
      <c r="E791" s="13" t="s">
        <v>3314</v>
      </c>
      <c r="F791" s="13" t="s">
        <v>3263</v>
      </c>
      <c r="G791" s="13" t="s">
        <v>3315</v>
      </c>
      <c r="H791" s="13" t="s">
        <v>3316</v>
      </c>
      <c r="I791" s="13" t="s">
        <v>82</v>
      </c>
      <c r="J791" s="13" t="s">
        <v>83</v>
      </c>
      <c r="K791" s="13"/>
      <c r="L791" s="13" t="s">
        <v>3310</v>
      </c>
      <c r="M791" s="13" t="s">
        <v>3311</v>
      </c>
    </row>
    <row r="792" customFormat="false" ht="102.2" hidden="false" customHeight="false" outlineLevel="0" collapsed="false">
      <c r="A792" s="13" t="s">
        <v>3</v>
      </c>
      <c r="B792" s="13" t="s">
        <v>2150</v>
      </c>
      <c r="C792" s="13" t="n">
        <v>235</v>
      </c>
      <c r="D792" s="13" t="s">
        <v>3317</v>
      </c>
      <c r="E792" s="13" t="s">
        <v>3318</v>
      </c>
      <c r="F792" s="13" t="s">
        <v>3263</v>
      </c>
      <c r="G792" s="13" t="s">
        <v>3319</v>
      </c>
      <c r="H792" s="13" t="s">
        <v>3320</v>
      </c>
      <c r="I792" s="13" t="s">
        <v>82</v>
      </c>
      <c r="J792" s="13" t="s">
        <v>83</v>
      </c>
      <c r="K792" s="13"/>
      <c r="L792" s="13" t="s">
        <v>3321</v>
      </c>
      <c r="M792" s="13" t="s">
        <v>3322</v>
      </c>
    </row>
    <row r="793" customFormat="false" ht="102.2" hidden="false" customHeight="false" outlineLevel="0" collapsed="false">
      <c r="A793" s="13" t="s">
        <v>3</v>
      </c>
      <c r="B793" s="13" t="s">
        <v>2150</v>
      </c>
      <c r="C793" s="13" t="n">
        <v>235</v>
      </c>
      <c r="D793" s="13" t="s">
        <v>3317</v>
      </c>
      <c r="E793" s="13" t="s">
        <v>3323</v>
      </c>
      <c r="F793" s="13" t="s">
        <v>3320</v>
      </c>
      <c r="G793" s="13" t="s">
        <v>3324</v>
      </c>
      <c r="H793" s="13" t="s">
        <v>3325</v>
      </c>
      <c r="I793" s="13" t="s">
        <v>82</v>
      </c>
      <c r="J793" s="13" t="s">
        <v>83</v>
      </c>
      <c r="K793" s="13"/>
      <c r="L793" s="13" t="s">
        <v>3321</v>
      </c>
      <c r="M793" s="13" t="s">
        <v>3322</v>
      </c>
    </row>
    <row r="794" customFormat="false" ht="102.2" hidden="false" customHeight="false" outlineLevel="0" collapsed="false">
      <c r="A794" s="13" t="s">
        <v>3</v>
      </c>
      <c r="B794" s="13" t="s">
        <v>2150</v>
      </c>
      <c r="C794" s="13" t="n">
        <v>235</v>
      </c>
      <c r="D794" s="13" t="s">
        <v>3317</v>
      </c>
      <c r="E794" s="13" t="s">
        <v>3326</v>
      </c>
      <c r="F794" s="13" t="s">
        <v>3263</v>
      </c>
      <c r="G794" s="13" t="s">
        <v>3308</v>
      </c>
      <c r="H794" s="13" t="s">
        <v>3327</v>
      </c>
      <c r="I794" s="13" t="s">
        <v>82</v>
      </c>
      <c r="J794" s="13" t="s">
        <v>83</v>
      </c>
      <c r="K794" s="13"/>
      <c r="L794" s="13" t="s">
        <v>3321</v>
      </c>
      <c r="M794" s="13" t="s">
        <v>3322</v>
      </c>
    </row>
    <row r="795" customFormat="false" ht="102.2" hidden="false" customHeight="false" outlineLevel="0" collapsed="false">
      <c r="A795" s="13" t="s">
        <v>3</v>
      </c>
      <c r="B795" s="13" t="s">
        <v>2150</v>
      </c>
      <c r="C795" s="13" t="n">
        <v>235</v>
      </c>
      <c r="D795" s="13" t="s">
        <v>3317</v>
      </c>
      <c r="E795" s="13" t="s">
        <v>3328</v>
      </c>
      <c r="F795" s="13" t="s">
        <v>3263</v>
      </c>
      <c r="G795" s="13" t="s">
        <v>3308</v>
      </c>
      <c r="H795" s="13" t="s">
        <v>3329</v>
      </c>
      <c r="I795" s="13" t="s">
        <v>82</v>
      </c>
      <c r="J795" s="13" t="s">
        <v>83</v>
      </c>
      <c r="K795" s="13"/>
      <c r="L795" s="13" t="s">
        <v>3321</v>
      </c>
      <c r="M795" s="13" t="s">
        <v>3322</v>
      </c>
    </row>
    <row r="796" customFormat="false" ht="102.2" hidden="false" customHeight="false" outlineLevel="0" collapsed="false">
      <c r="A796" s="13" t="s">
        <v>3</v>
      </c>
      <c r="B796" s="13" t="s">
        <v>2150</v>
      </c>
      <c r="C796" s="13" t="n">
        <v>235</v>
      </c>
      <c r="D796" s="13" t="s">
        <v>3317</v>
      </c>
      <c r="E796" s="13" t="s">
        <v>3330</v>
      </c>
      <c r="F796" s="13" t="s">
        <v>3263</v>
      </c>
      <c r="G796" s="13" t="s">
        <v>3308</v>
      </c>
      <c r="H796" s="13" t="s">
        <v>3331</v>
      </c>
      <c r="I796" s="13" t="s">
        <v>82</v>
      </c>
      <c r="J796" s="13" t="s">
        <v>83</v>
      </c>
      <c r="K796" s="13"/>
      <c r="L796" s="13" t="s">
        <v>3321</v>
      </c>
      <c r="M796" s="13" t="s">
        <v>3322</v>
      </c>
    </row>
    <row r="797" customFormat="false" ht="102.2" hidden="false" customHeight="false" outlineLevel="0" collapsed="false">
      <c r="A797" s="13" t="s">
        <v>3</v>
      </c>
      <c r="B797" s="13" t="s">
        <v>2150</v>
      </c>
      <c r="C797" s="13" t="n">
        <v>235</v>
      </c>
      <c r="D797" s="13" t="s">
        <v>3317</v>
      </c>
      <c r="E797" s="13" t="s">
        <v>3332</v>
      </c>
      <c r="F797" s="13" t="s">
        <v>3263</v>
      </c>
      <c r="G797" s="13" t="s">
        <v>3308</v>
      </c>
      <c r="H797" s="13" t="s">
        <v>3333</v>
      </c>
      <c r="I797" s="13" t="s">
        <v>82</v>
      </c>
      <c r="J797" s="13" t="s">
        <v>83</v>
      </c>
      <c r="K797" s="13"/>
      <c r="L797" s="13" t="s">
        <v>3321</v>
      </c>
      <c r="M797" s="13" t="s">
        <v>3322</v>
      </c>
    </row>
    <row r="798" customFormat="false" ht="102.2" hidden="false" customHeight="false" outlineLevel="0" collapsed="false">
      <c r="A798" s="13" t="s">
        <v>3</v>
      </c>
      <c r="B798" s="13" t="s">
        <v>2150</v>
      </c>
      <c r="C798" s="13" t="n">
        <v>235</v>
      </c>
      <c r="D798" s="13" t="s">
        <v>3317</v>
      </c>
      <c r="E798" s="13" t="s">
        <v>3334</v>
      </c>
      <c r="F798" s="13" t="s">
        <v>3263</v>
      </c>
      <c r="G798" s="13" t="s">
        <v>3308</v>
      </c>
      <c r="H798" s="13" t="s">
        <v>3335</v>
      </c>
      <c r="I798" s="13" t="s">
        <v>82</v>
      </c>
      <c r="J798" s="13" t="s">
        <v>83</v>
      </c>
      <c r="K798" s="13"/>
      <c r="L798" s="13" t="s">
        <v>3321</v>
      </c>
      <c r="M798" s="13" t="s">
        <v>3322</v>
      </c>
    </row>
    <row r="799" customFormat="false" ht="303.7" hidden="false" customHeight="false" outlineLevel="0" collapsed="false">
      <c r="A799" s="13" t="s">
        <v>3</v>
      </c>
      <c r="B799" s="13" t="s">
        <v>2150</v>
      </c>
      <c r="C799" s="13" t="n">
        <v>266</v>
      </c>
      <c r="D799" s="13" t="s">
        <v>3336</v>
      </c>
      <c r="E799" s="13" t="s">
        <v>3337</v>
      </c>
      <c r="F799" s="13" t="s">
        <v>806</v>
      </c>
      <c r="G799" s="13" t="s">
        <v>3338</v>
      </c>
      <c r="H799" s="13" t="s">
        <v>3339</v>
      </c>
      <c r="I799" s="13" t="s">
        <v>82</v>
      </c>
      <c r="J799" s="13" t="s">
        <v>83</v>
      </c>
      <c r="K799" s="13"/>
      <c r="L799" s="13" t="s">
        <v>3340</v>
      </c>
      <c r="M799" s="13" t="s">
        <v>3341</v>
      </c>
    </row>
    <row r="800" customFormat="false" ht="303.7" hidden="false" customHeight="false" outlineLevel="0" collapsed="false">
      <c r="A800" s="13" t="s">
        <v>3</v>
      </c>
      <c r="B800" s="13" t="s">
        <v>2150</v>
      </c>
      <c r="C800" s="13" t="n">
        <v>266</v>
      </c>
      <c r="D800" s="13" t="s">
        <v>3336</v>
      </c>
      <c r="E800" s="13" t="s">
        <v>3342</v>
      </c>
      <c r="F800" s="13" t="s">
        <v>806</v>
      </c>
      <c r="G800" s="13" t="s">
        <v>3343</v>
      </c>
      <c r="H800" s="13" t="s">
        <v>3344</v>
      </c>
      <c r="I800" s="13" t="s">
        <v>82</v>
      </c>
      <c r="J800" s="13" t="s">
        <v>83</v>
      </c>
      <c r="K800" s="13"/>
      <c r="L800" s="13" t="s">
        <v>3340</v>
      </c>
      <c r="M800" s="13" t="s">
        <v>3341</v>
      </c>
    </row>
    <row r="801" customFormat="false" ht="303.7" hidden="false" customHeight="false" outlineLevel="0" collapsed="false">
      <c r="A801" s="13" t="s">
        <v>3</v>
      </c>
      <c r="B801" s="13" t="s">
        <v>2150</v>
      </c>
      <c r="C801" s="13" t="n">
        <v>266</v>
      </c>
      <c r="D801" s="13" t="s">
        <v>3336</v>
      </c>
      <c r="E801" s="13" t="s">
        <v>3345</v>
      </c>
      <c r="F801" s="13" t="s">
        <v>806</v>
      </c>
      <c r="G801" s="13" t="s">
        <v>3346</v>
      </c>
      <c r="H801" s="13" t="s">
        <v>3347</v>
      </c>
      <c r="I801" s="13" t="s">
        <v>82</v>
      </c>
      <c r="J801" s="13" t="s">
        <v>83</v>
      </c>
      <c r="K801" s="13"/>
      <c r="L801" s="13" t="s">
        <v>3340</v>
      </c>
      <c r="M801" s="13" t="s">
        <v>3341</v>
      </c>
    </row>
    <row r="802" customFormat="false" ht="303.7" hidden="false" customHeight="false" outlineLevel="0" collapsed="false">
      <c r="A802" s="13" t="s">
        <v>3</v>
      </c>
      <c r="B802" s="13" t="s">
        <v>2150</v>
      </c>
      <c r="C802" s="13" t="n">
        <v>266</v>
      </c>
      <c r="D802" s="13" t="s">
        <v>3336</v>
      </c>
      <c r="E802" s="13" t="s">
        <v>3348</v>
      </c>
      <c r="F802" s="13" t="s">
        <v>3349</v>
      </c>
      <c r="G802" s="13" t="s">
        <v>3350</v>
      </c>
      <c r="H802" s="13" t="s">
        <v>3351</v>
      </c>
      <c r="I802" s="13" t="s">
        <v>82</v>
      </c>
      <c r="J802" s="13" t="s">
        <v>83</v>
      </c>
      <c r="K802" s="13"/>
      <c r="L802" s="13" t="s">
        <v>3340</v>
      </c>
      <c r="M802" s="13" t="s">
        <v>3341</v>
      </c>
    </row>
    <row r="803" customFormat="false" ht="303.7" hidden="false" customHeight="false" outlineLevel="0" collapsed="false">
      <c r="A803" s="13" t="s">
        <v>3</v>
      </c>
      <c r="B803" s="13" t="s">
        <v>2150</v>
      </c>
      <c r="C803" s="13" t="n">
        <v>266</v>
      </c>
      <c r="D803" s="13" t="s">
        <v>3336</v>
      </c>
      <c r="E803" s="13" t="s">
        <v>3352</v>
      </c>
      <c r="F803" s="13" t="s">
        <v>3353</v>
      </c>
      <c r="G803" s="13" t="s">
        <v>257</v>
      </c>
      <c r="H803" s="13" t="s">
        <v>574</v>
      </c>
      <c r="I803" s="13" t="s">
        <v>82</v>
      </c>
      <c r="J803" s="13" t="s">
        <v>83</v>
      </c>
      <c r="K803" s="13"/>
      <c r="L803" s="13" t="s">
        <v>3340</v>
      </c>
      <c r="M803" s="13" t="s">
        <v>3341</v>
      </c>
    </row>
    <row r="804" customFormat="false" ht="303.7" hidden="false" customHeight="false" outlineLevel="0" collapsed="false">
      <c r="A804" s="13" t="s">
        <v>3</v>
      </c>
      <c r="B804" s="13" t="s">
        <v>2150</v>
      </c>
      <c r="C804" s="13" t="n">
        <v>266</v>
      </c>
      <c r="D804" s="13" t="s">
        <v>3336</v>
      </c>
      <c r="E804" s="13" t="s">
        <v>3354</v>
      </c>
      <c r="F804" s="13" t="s">
        <v>3355</v>
      </c>
      <c r="G804" s="13" t="s">
        <v>3356</v>
      </c>
      <c r="H804" s="13" t="s">
        <v>574</v>
      </c>
      <c r="I804" s="13" t="s">
        <v>82</v>
      </c>
      <c r="J804" s="13" t="s">
        <v>83</v>
      </c>
      <c r="K804" s="13"/>
      <c r="L804" s="13" t="s">
        <v>3340</v>
      </c>
      <c r="M804" s="13" t="s">
        <v>3341</v>
      </c>
    </row>
    <row r="805" customFormat="false" ht="303.7" hidden="false" customHeight="false" outlineLevel="0" collapsed="false">
      <c r="A805" s="13" t="s">
        <v>3</v>
      </c>
      <c r="B805" s="13" t="s">
        <v>2150</v>
      </c>
      <c r="C805" s="13" t="n">
        <v>266</v>
      </c>
      <c r="D805" s="13" t="s">
        <v>3336</v>
      </c>
      <c r="E805" s="13" t="s">
        <v>3357</v>
      </c>
      <c r="F805" s="13" t="s">
        <v>3353</v>
      </c>
      <c r="G805" s="13" t="s">
        <v>1054</v>
      </c>
      <c r="H805" s="13" t="s">
        <v>3358</v>
      </c>
      <c r="I805" s="13" t="s">
        <v>82</v>
      </c>
      <c r="J805" s="13" t="s">
        <v>83</v>
      </c>
      <c r="K805" s="13"/>
      <c r="L805" s="13" t="s">
        <v>3340</v>
      </c>
      <c r="M805" s="13" t="s">
        <v>3341</v>
      </c>
    </row>
    <row r="806" customFormat="false" ht="191.75" hidden="false" customHeight="false" outlineLevel="0" collapsed="false">
      <c r="A806" s="13" t="s">
        <v>3</v>
      </c>
      <c r="B806" s="13" t="s">
        <v>2150</v>
      </c>
      <c r="C806" s="13" t="n">
        <v>266</v>
      </c>
      <c r="D806" s="13" t="s">
        <v>3359</v>
      </c>
      <c r="E806" s="13" t="s">
        <v>3360</v>
      </c>
      <c r="F806" s="13" t="s">
        <v>3361</v>
      </c>
      <c r="G806" s="13" t="s">
        <v>3362</v>
      </c>
      <c r="H806" s="13" t="s">
        <v>3363</v>
      </c>
      <c r="I806" s="13" t="s">
        <v>82</v>
      </c>
      <c r="J806" s="13" t="s">
        <v>83</v>
      </c>
      <c r="K806" s="13"/>
      <c r="L806" s="13" t="s">
        <v>3364</v>
      </c>
      <c r="M806" s="13" t="s">
        <v>3365</v>
      </c>
    </row>
    <row r="807" customFormat="false" ht="191.75" hidden="false" customHeight="false" outlineLevel="0" collapsed="false">
      <c r="A807" s="13" t="s">
        <v>3</v>
      </c>
      <c r="B807" s="13" t="s">
        <v>2150</v>
      </c>
      <c r="C807" s="13" t="n">
        <v>266</v>
      </c>
      <c r="D807" s="13" t="s">
        <v>3359</v>
      </c>
      <c r="E807" s="13" t="s">
        <v>3366</v>
      </c>
      <c r="F807" s="13" t="s">
        <v>3361</v>
      </c>
      <c r="G807" s="13" t="s">
        <v>3362</v>
      </c>
      <c r="H807" s="13" t="s">
        <v>3367</v>
      </c>
      <c r="I807" s="13" t="s">
        <v>82</v>
      </c>
      <c r="J807" s="13" t="s">
        <v>83</v>
      </c>
      <c r="K807" s="13"/>
      <c r="L807" s="13" t="s">
        <v>3364</v>
      </c>
      <c r="M807" s="13" t="s">
        <v>3365</v>
      </c>
    </row>
    <row r="808" customFormat="false" ht="191.75" hidden="false" customHeight="false" outlineLevel="0" collapsed="false">
      <c r="A808" s="13" t="s">
        <v>3</v>
      </c>
      <c r="B808" s="13" t="s">
        <v>2150</v>
      </c>
      <c r="C808" s="13" t="n">
        <v>266</v>
      </c>
      <c r="D808" s="13" t="s">
        <v>3359</v>
      </c>
      <c r="E808" s="13" t="s">
        <v>3368</v>
      </c>
      <c r="F808" s="13" t="s">
        <v>3369</v>
      </c>
      <c r="G808" s="13" t="s">
        <v>3370</v>
      </c>
      <c r="H808" s="13" t="s">
        <v>3361</v>
      </c>
      <c r="I808" s="13" t="s">
        <v>82</v>
      </c>
      <c r="J808" s="13" t="s">
        <v>83</v>
      </c>
      <c r="K808" s="13"/>
      <c r="L808" s="13" t="s">
        <v>3364</v>
      </c>
      <c r="M808" s="13" t="s">
        <v>3365</v>
      </c>
    </row>
    <row r="809" customFormat="false" ht="191.75" hidden="false" customHeight="false" outlineLevel="0" collapsed="false">
      <c r="A809" s="13" t="s">
        <v>3</v>
      </c>
      <c r="B809" s="13" t="s">
        <v>2150</v>
      </c>
      <c r="C809" s="13" t="n">
        <v>266</v>
      </c>
      <c r="D809" s="13" t="s">
        <v>3359</v>
      </c>
      <c r="E809" s="13" t="s">
        <v>3371</v>
      </c>
      <c r="F809" s="13" t="s">
        <v>3369</v>
      </c>
      <c r="G809" s="13" t="s">
        <v>3372</v>
      </c>
      <c r="H809" s="13" t="s">
        <v>3373</v>
      </c>
      <c r="I809" s="13" t="s">
        <v>82</v>
      </c>
      <c r="J809" s="13" t="s">
        <v>83</v>
      </c>
      <c r="K809" s="13"/>
      <c r="L809" s="13" t="s">
        <v>3364</v>
      </c>
      <c r="M809" s="13" t="s">
        <v>3365</v>
      </c>
    </row>
    <row r="810" customFormat="false" ht="191.75" hidden="false" customHeight="false" outlineLevel="0" collapsed="false">
      <c r="A810" s="13" t="s">
        <v>3</v>
      </c>
      <c r="B810" s="13" t="s">
        <v>2150</v>
      </c>
      <c r="C810" s="13" t="n">
        <v>266</v>
      </c>
      <c r="D810" s="13" t="s">
        <v>3359</v>
      </c>
      <c r="E810" s="13" t="s">
        <v>3374</v>
      </c>
      <c r="F810" s="13" t="s">
        <v>3375</v>
      </c>
      <c r="G810" s="13" t="s">
        <v>1740</v>
      </c>
      <c r="H810" s="13" t="s">
        <v>3376</v>
      </c>
      <c r="I810" s="13" t="s">
        <v>82</v>
      </c>
      <c r="J810" s="13" t="s">
        <v>83</v>
      </c>
      <c r="K810" s="13"/>
      <c r="L810" s="13" t="s">
        <v>3364</v>
      </c>
      <c r="M810" s="13" t="s">
        <v>3365</v>
      </c>
    </row>
    <row r="811" customFormat="false" ht="191.75" hidden="false" customHeight="false" outlineLevel="0" collapsed="false">
      <c r="A811" s="13" t="s">
        <v>3</v>
      </c>
      <c r="B811" s="13" t="s">
        <v>2150</v>
      </c>
      <c r="C811" s="13" t="n">
        <v>266</v>
      </c>
      <c r="D811" s="13" t="s">
        <v>3359</v>
      </c>
      <c r="E811" s="13" t="s">
        <v>3377</v>
      </c>
      <c r="F811" s="13" t="s">
        <v>3378</v>
      </c>
      <c r="G811" s="13" t="s">
        <v>257</v>
      </c>
      <c r="H811" s="13" t="s">
        <v>3379</v>
      </c>
      <c r="I811" s="13" t="s">
        <v>82</v>
      </c>
      <c r="J811" s="13" t="s">
        <v>83</v>
      </c>
      <c r="K811" s="13"/>
      <c r="L811" s="13" t="s">
        <v>3364</v>
      </c>
      <c r="M811" s="13" t="s">
        <v>3365</v>
      </c>
    </row>
    <row r="812" customFormat="false" ht="191.75" hidden="false" customHeight="false" outlineLevel="0" collapsed="false">
      <c r="A812" s="13" t="s">
        <v>3</v>
      </c>
      <c r="B812" s="13" t="s">
        <v>2150</v>
      </c>
      <c r="C812" s="13" t="n">
        <v>266</v>
      </c>
      <c r="D812" s="13" t="s">
        <v>3359</v>
      </c>
      <c r="E812" s="13" t="s">
        <v>3380</v>
      </c>
      <c r="F812" s="13" t="s">
        <v>3381</v>
      </c>
      <c r="G812" s="13" t="s">
        <v>3382</v>
      </c>
      <c r="H812" s="13" t="s">
        <v>3379</v>
      </c>
      <c r="I812" s="13" t="s">
        <v>82</v>
      </c>
      <c r="J812" s="13" t="s">
        <v>83</v>
      </c>
      <c r="K812" s="13"/>
      <c r="L812" s="13" t="s">
        <v>3364</v>
      </c>
      <c r="M812" s="13" t="s">
        <v>3365</v>
      </c>
    </row>
    <row r="813" customFormat="false" ht="91" hidden="false" customHeight="false" outlineLevel="0" collapsed="false">
      <c r="A813" s="13" t="s">
        <v>3</v>
      </c>
      <c r="B813" s="13" t="s">
        <v>2150</v>
      </c>
      <c r="C813" s="13" t="n">
        <v>273</v>
      </c>
      <c r="D813" s="13" t="s">
        <v>3383</v>
      </c>
      <c r="E813" s="13" t="s">
        <v>3384</v>
      </c>
      <c r="F813" s="13" t="s">
        <v>806</v>
      </c>
      <c r="G813" s="13" t="s">
        <v>3385</v>
      </c>
      <c r="H813" s="13" t="s">
        <v>3386</v>
      </c>
      <c r="I813" s="13" t="s">
        <v>82</v>
      </c>
      <c r="J813" s="13" t="s">
        <v>83</v>
      </c>
      <c r="K813" s="13"/>
      <c r="L813" s="13" t="s">
        <v>3387</v>
      </c>
      <c r="M813" s="13" t="s">
        <v>3388</v>
      </c>
    </row>
    <row r="814" customFormat="false" ht="91" hidden="false" customHeight="false" outlineLevel="0" collapsed="false">
      <c r="A814" s="13" t="s">
        <v>3</v>
      </c>
      <c r="B814" s="13" t="s">
        <v>2150</v>
      </c>
      <c r="C814" s="13" t="n">
        <v>273</v>
      </c>
      <c r="D814" s="13" t="s">
        <v>3383</v>
      </c>
      <c r="E814" s="13" t="s">
        <v>3389</v>
      </c>
      <c r="F814" s="13" t="s">
        <v>806</v>
      </c>
      <c r="G814" s="13" t="s">
        <v>3390</v>
      </c>
      <c r="H814" s="13" t="s">
        <v>3391</v>
      </c>
      <c r="I814" s="13" t="s">
        <v>82</v>
      </c>
      <c r="J814" s="13" t="s">
        <v>83</v>
      </c>
      <c r="K814" s="13"/>
      <c r="L814" s="13" t="s">
        <v>3387</v>
      </c>
      <c r="M814" s="13" t="s">
        <v>3388</v>
      </c>
    </row>
    <row r="815" customFormat="false" ht="91" hidden="false" customHeight="false" outlineLevel="0" collapsed="false">
      <c r="A815" s="13" t="s">
        <v>3</v>
      </c>
      <c r="B815" s="13" t="s">
        <v>2150</v>
      </c>
      <c r="C815" s="13" t="n">
        <v>273</v>
      </c>
      <c r="D815" s="13" t="s">
        <v>3383</v>
      </c>
      <c r="E815" s="13" t="s">
        <v>3392</v>
      </c>
      <c r="F815" s="13" t="s">
        <v>806</v>
      </c>
      <c r="G815" s="13" t="s">
        <v>3390</v>
      </c>
      <c r="H815" s="13" t="s">
        <v>3393</v>
      </c>
      <c r="I815" s="13" t="s">
        <v>82</v>
      </c>
      <c r="J815" s="13" t="s">
        <v>83</v>
      </c>
      <c r="K815" s="13"/>
      <c r="L815" s="13" t="s">
        <v>3387</v>
      </c>
      <c r="M815" s="13" t="s">
        <v>3388</v>
      </c>
    </row>
    <row r="816" customFormat="false" ht="91" hidden="false" customHeight="false" outlineLevel="0" collapsed="false">
      <c r="A816" s="13" t="s">
        <v>3</v>
      </c>
      <c r="B816" s="13" t="s">
        <v>2150</v>
      </c>
      <c r="C816" s="13" t="n">
        <v>273</v>
      </c>
      <c r="D816" s="13" t="s">
        <v>3383</v>
      </c>
      <c r="E816" s="13" t="s">
        <v>3394</v>
      </c>
      <c r="F816" s="13" t="s">
        <v>806</v>
      </c>
      <c r="G816" s="13" t="s">
        <v>3395</v>
      </c>
      <c r="H816" s="13" t="s">
        <v>3396</v>
      </c>
      <c r="I816" s="13" t="s">
        <v>82</v>
      </c>
      <c r="J816" s="13" t="s">
        <v>83</v>
      </c>
      <c r="K816" s="13"/>
      <c r="L816" s="13" t="s">
        <v>3387</v>
      </c>
      <c r="M816" s="13" t="s">
        <v>3388</v>
      </c>
    </row>
    <row r="817" customFormat="false" ht="91" hidden="false" customHeight="false" outlineLevel="0" collapsed="false">
      <c r="A817" s="13" t="s">
        <v>3</v>
      </c>
      <c r="B817" s="13" t="s">
        <v>2150</v>
      </c>
      <c r="C817" s="13" t="n">
        <v>273</v>
      </c>
      <c r="D817" s="13" t="s">
        <v>3383</v>
      </c>
      <c r="E817" s="13" t="s">
        <v>3397</v>
      </c>
      <c r="F817" s="13" t="s">
        <v>806</v>
      </c>
      <c r="G817" s="13" t="s">
        <v>3395</v>
      </c>
      <c r="H817" s="13" t="s">
        <v>3398</v>
      </c>
      <c r="I817" s="13" t="s">
        <v>82</v>
      </c>
      <c r="J817" s="13" t="s">
        <v>83</v>
      </c>
      <c r="K817" s="13"/>
      <c r="L817" s="13" t="s">
        <v>3387</v>
      </c>
      <c r="M817" s="13" t="s">
        <v>3388</v>
      </c>
    </row>
    <row r="818" customFormat="false" ht="91" hidden="false" customHeight="false" outlineLevel="0" collapsed="false">
      <c r="A818" s="13" t="s">
        <v>3</v>
      </c>
      <c r="B818" s="13" t="s">
        <v>2150</v>
      </c>
      <c r="C818" s="13" t="n">
        <v>273</v>
      </c>
      <c r="D818" s="13" t="s">
        <v>3383</v>
      </c>
      <c r="E818" s="13" t="s">
        <v>3399</v>
      </c>
      <c r="F818" s="13" t="s">
        <v>806</v>
      </c>
      <c r="G818" s="13" t="s">
        <v>3400</v>
      </c>
      <c r="H818" s="13" t="s">
        <v>3401</v>
      </c>
      <c r="I818" s="13" t="s">
        <v>82</v>
      </c>
      <c r="J818" s="13" t="s">
        <v>83</v>
      </c>
      <c r="K818" s="13"/>
      <c r="L818" s="13" t="s">
        <v>3387</v>
      </c>
      <c r="M818" s="13" t="s">
        <v>3388</v>
      </c>
    </row>
    <row r="819" customFormat="false" ht="91" hidden="false" customHeight="false" outlineLevel="0" collapsed="false">
      <c r="A819" s="13" t="s">
        <v>3</v>
      </c>
      <c r="B819" s="13" t="s">
        <v>2150</v>
      </c>
      <c r="C819" s="13" t="n">
        <v>273</v>
      </c>
      <c r="D819" s="13" t="s">
        <v>3383</v>
      </c>
      <c r="E819" s="13" t="s">
        <v>3402</v>
      </c>
      <c r="F819" s="13" t="s">
        <v>806</v>
      </c>
      <c r="G819" s="13" t="s">
        <v>3400</v>
      </c>
      <c r="H819" s="13" t="s">
        <v>3403</v>
      </c>
      <c r="I819" s="13" t="s">
        <v>82</v>
      </c>
      <c r="J819" s="13" t="s">
        <v>83</v>
      </c>
      <c r="K819" s="13"/>
      <c r="L819" s="13" t="s">
        <v>3387</v>
      </c>
      <c r="M819" s="13" t="s">
        <v>3388</v>
      </c>
    </row>
    <row r="820" customFormat="false" ht="91" hidden="false" customHeight="false" outlineLevel="0" collapsed="false">
      <c r="A820" s="13" t="s">
        <v>3</v>
      </c>
      <c r="B820" s="13" t="s">
        <v>2150</v>
      </c>
      <c r="C820" s="13" t="n">
        <v>273</v>
      </c>
      <c r="D820" s="13" t="s">
        <v>3383</v>
      </c>
      <c r="E820" s="13" t="s">
        <v>3404</v>
      </c>
      <c r="F820" s="13" t="s">
        <v>806</v>
      </c>
      <c r="G820" s="13" t="s">
        <v>3405</v>
      </c>
      <c r="H820" s="13" t="s">
        <v>3406</v>
      </c>
      <c r="I820" s="13" t="s">
        <v>82</v>
      </c>
      <c r="J820" s="13" t="s">
        <v>83</v>
      </c>
      <c r="K820" s="13"/>
      <c r="L820" s="13" t="s">
        <v>3387</v>
      </c>
      <c r="M820" s="13" t="s">
        <v>3388</v>
      </c>
    </row>
    <row r="821" customFormat="false" ht="91" hidden="false" customHeight="false" outlineLevel="0" collapsed="false">
      <c r="A821" s="13" t="s">
        <v>3</v>
      </c>
      <c r="B821" s="13" t="s">
        <v>2150</v>
      </c>
      <c r="C821" s="13" t="n">
        <v>273</v>
      </c>
      <c r="D821" s="13" t="s">
        <v>3383</v>
      </c>
      <c r="E821" s="13" t="s">
        <v>3407</v>
      </c>
      <c r="F821" s="13" t="s">
        <v>3406</v>
      </c>
      <c r="G821" s="13" t="s">
        <v>3408</v>
      </c>
      <c r="H821" s="13" t="s">
        <v>3409</v>
      </c>
      <c r="I821" s="13" t="s">
        <v>82</v>
      </c>
      <c r="J821" s="13" t="s">
        <v>83</v>
      </c>
      <c r="K821" s="13"/>
      <c r="L821" s="13" t="s">
        <v>3387</v>
      </c>
      <c r="M821" s="13" t="s">
        <v>3388</v>
      </c>
    </row>
    <row r="822" customFormat="false" ht="35.05" hidden="false" customHeight="false" outlineLevel="0" collapsed="false">
      <c r="A822" s="13" t="s">
        <v>3</v>
      </c>
      <c r="B822" s="13" t="s">
        <v>2150</v>
      </c>
      <c r="C822" s="13" t="n">
        <v>273</v>
      </c>
      <c r="D822" s="13" t="s">
        <v>3410</v>
      </c>
      <c r="E822" s="13" t="s">
        <v>3411</v>
      </c>
      <c r="F822" s="13" t="s">
        <v>3412</v>
      </c>
      <c r="G822" s="13" t="s">
        <v>3413</v>
      </c>
      <c r="H822" s="13" t="s">
        <v>3414</v>
      </c>
      <c r="I822" s="13" t="s">
        <v>82</v>
      </c>
      <c r="J822" s="13" t="s">
        <v>83</v>
      </c>
      <c r="K822" s="13"/>
      <c r="L822" s="13" t="s">
        <v>3415</v>
      </c>
      <c r="M822" s="13" t="s">
        <v>3416</v>
      </c>
    </row>
    <row r="823" customFormat="false" ht="23.85" hidden="false" customHeight="false" outlineLevel="0" collapsed="false">
      <c r="A823" s="13" t="s">
        <v>3</v>
      </c>
      <c r="B823" s="13" t="s">
        <v>2150</v>
      </c>
      <c r="C823" s="13" t="n">
        <v>273</v>
      </c>
      <c r="D823" s="13" t="s">
        <v>3410</v>
      </c>
      <c r="E823" s="13" t="s">
        <v>3417</v>
      </c>
      <c r="F823" s="13" t="s">
        <v>3414</v>
      </c>
      <c r="G823" s="13" t="s">
        <v>3408</v>
      </c>
      <c r="H823" s="13" t="s">
        <v>3418</v>
      </c>
      <c r="I823" s="13" t="s">
        <v>82</v>
      </c>
      <c r="J823" s="13" t="s">
        <v>83</v>
      </c>
      <c r="K823" s="13"/>
      <c r="L823" s="13" t="s">
        <v>3415</v>
      </c>
      <c r="M823" s="13" t="s">
        <v>3416</v>
      </c>
    </row>
    <row r="824" customFormat="false" ht="35.05" hidden="false" customHeight="false" outlineLevel="0" collapsed="false">
      <c r="A824" s="13" t="s">
        <v>3</v>
      </c>
      <c r="B824" s="13" t="s">
        <v>2150</v>
      </c>
      <c r="C824" s="13" t="n">
        <v>273</v>
      </c>
      <c r="D824" s="13" t="s">
        <v>3419</v>
      </c>
      <c r="E824" s="13" t="s">
        <v>3420</v>
      </c>
      <c r="F824" s="13" t="s">
        <v>806</v>
      </c>
      <c r="G824" s="13" t="s">
        <v>3413</v>
      </c>
      <c r="H824" s="13" t="s">
        <v>3421</v>
      </c>
      <c r="I824" s="13" t="s">
        <v>74</v>
      </c>
      <c r="J824" s="13" t="s">
        <v>3422</v>
      </c>
      <c r="K824" s="13" t="s">
        <v>3423</v>
      </c>
      <c r="L824" s="13" t="s">
        <v>3424</v>
      </c>
      <c r="M824" s="13" t="s">
        <v>3425</v>
      </c>
    </row>
    <row r="825" customFormat="false" ht="23.85" hidden="false" customHeight="false" outlineLevel="0" collapsed="false">
      <c r="A825" s="13" t="s">
        <v>3</v>
      </c>
      <c r="B825" s="13" t="s">
        <v>2150</v>
      </c>
      <c r="C825" s="13" t="n">
        <v>273</v>
      </c>
      <c r="D825" s="13" t="s">
        <v>3419</v>
      </c>
      <c r="E825" s="13" t="s">
        <v>3426</v>
      </c>
      <c r="F825" s="13" t="s">
        <v>3421</v>
      </c>
      <c r="G825" s="13" t="s">
        <v>3408</v>
      </c>
      <c r="H825" s="13" t="s">
        <v>3427</v>
      </c>
      <c r="I825" s="13" t="s">
        <v>82</v>
      </c>
      <c r="J825" s="13" t="s">
        <v>83</v>
      </c>
      <c r="K825" s="13"/>
      <c r="L825" s="13" t="s">
        <v>3424</v>
      </c>
      <c r="M825" s="13" t="s">
        <v>3425</v>
      </c>
    </row>
    <row r="826" customFormat="false" ht="79.85" hidden="false" customHeight="false" outlineLevel="0" collapsed="false">
      <c r="A826" s="13" t="s">
        <v>3</v>
      </c>
      <c r="B826" s="13" t="s">
        <v>2150</v>
      </c>
      <c r="C826" s="13" t="n">
        <v>273</v>
      </c>
      <c r="D826" s="13" t="s">
        <v>3428</v>
      </c>
      <c r="E826" s="13" t="s">
        <v>3429</v>
      </c>
      <c r="F826" s="13" t="s">
        <v>806</v>
      </c>
      <c r="G826" s="13" t="s">
        <v>3405</v>
      </c>
      <c r="H826" s="13" t="s">
        <v>3430</v>
      </c>
      <c r="I826" s="13" t="s">
        <v>74</v>
      </c>
      <c r="J826" s="13" t="s">
        <v>3431</v>
      </c>
      <c r="K826" s="13" t="s">
        <v>3432</v>
      </c>
      <c r="L826" s="13" t="s">
        <v>3433</v>
      </c>
      <c r="M826" s="13" t="s">
        <v>3434</v>
      </c>
    </row>
    <row r="827" customFormat="false" ht="79.85" hidden="false" customHeight="false" outlineLevel="0" collapsed="false">
      <c r="A827" s="13" t="s">
        <v>3</v>
      </c>
      <c r="B827" s="13" t="s">
        <v>2150</v>
      </c>
      <c r="C827" s="13" t="n">
        <v>273</v>
      </c>
      <c r="D827" s="13" t="s">
        <v>3428</v>
      </c>
      <c r="E827" s="13" t="s">
        <v>3435</v>
      </c>
      <c r="F827" s="13" t="s">
        <v>3430</v>
      </c>
      <c r="G827" s="13" t="s">
        <v>3436</v>
      </c>
      <c r="H827" s="13" t="s">
        <v>3437</v>
      </c>
      <c r="I827" s="13" t="s">
        <v>82</v>
      </c>
      <c r="J827" s="13" t="s">
        <v>83</v>
      </c>
      <c r="K827" s="13"/>
      <c r="L827" s="13" t="s">
        <v>3433</v>
      </c>
      <c r="M827" s="13" t="s">
        <v>3434</v>
      </c>
    </row>
    <row r="828" customFormat="false" ht="79.85" hidden="false" customHeight="false" outlineLevel="0" collapsed="false">
      <c r="A828" s="13" t="s">
        <v>3</v>
      </c>
      <c r="B828" s="13" t="s">
        <v>2150</v>
      </c>
      <c r="C828" s="13" t="n">
        <v>273</v>
      </c>
      <c r="D828" s="13" t="s">
        <v>3428</v>
      </c>
      <c r="E828" s="13" t="s">
        <v>3438</v>
      </c>
      <c r="F828" s="13" t="s">
        <v>3430</v>
      </c>
      <c r="G828" s="13" t="s">
        <v>3439</v>
      </c>
      <c r="H828" s="13" t="s">
        <v>3440</v>
      </c>
      <c r="I828" s="13" t="s">
        <v>82</v>
      </c>
      <c r="J828" s="13" t="s">
        <v>83</v>
      </c>
      <c r="K828" s="13"/>
      <c r="L828" s="13" t="s">
        <v>3433</v>
      </c>
      <c r="M828" s="13" t="s">
        <v>3434</v>
      </c>
    </row>
    <row r="829" customFormat="false" ht="79.85" hidden="false" customHeight="false" outlineLevel="0" collapsed="false">
      <c r="A829" s="13" t="s">
        <v>3</v>
      </c>
      <c r="B829" s="13" t="s">
        <v>2150</v>
      </c>
      <c r="C829" s="13" t="n">
        <v>273</v>
      </c>
      <c r="D829" s="13" t="s">
        <v>3428</v>
      </c>
      <c r="E829" s="13" t="s">
        <v>3441</v>
      </c>
      <c r="F829" s="13" t="s">
        <v>3430</v>
      </c>
      <c r="G829" s="13" t="s">
        <v>3442</v>
      </c>
      <c r="H829" s="13" t="s">
        <v>3443</v>
      </c>
      <c r="I829" s="13" t="s">
        <v>82</v>
      </c>
      <c r="J829" s="13" t="s">
        <v>83</v>
      </c>
      <c r="K829" s="13"/>
      <c r="L829" s="13" t="s">
        <v>3433</v>
      </c>
      <c r="M829" s="13" t="s">
        <v>3434</v>
      </c>
    </row>
    <row r="830" customFormat="false" ht="23.85" hidden="false" customHeight="false" outlineLevel="0" collapsed="false">
      <c r="A830" s="13" t="s">
        <v>3</v>
      </c>
      <c r="B830" s="13" t="s">
        <v>2150</v>
      </c>
      <c r="C830" s="13" t="n">
        <v>273</v>
      </c>
      <c r="D830" s="13" t="s">
        <v>3444</v>
      </c>
      <c r="E830" s="13" t="s">
        <v>3445</v>
      </c>
      <c r="F830" s="13" t="s">
        <v>806</v>
      </c>
      <c r="G830" s="13" t="s">
        <v>3413</v>
      </c>
      <c r="H830" s="13" t="s">
        <v>3446</v>
      </c>
      <c r="I830" s="13" t="s">
        <v>74</v>
      </c>
      <c r="J830" s="13" t="s">
        <v>3447</v>
      </c>
      <c r="K830" s="13" t="s">
        <v>3448</v>
      </c>
      <c r="L830" s="13" t="s">
        <v>3449</v>
      </c>
      <c r="M830" s="13" t="s">
        <v>3450</v>
      </c>
    </row>
    <row r="831" customFormat="false" ht="23.85" hidden="false" customHeight="false" outlineLevel="0" collapsed="false">
      <c r="A831" s="13" t="s">
        <v>3</v>
      </c>
      <c r="B831" s="13" t="s">
        <v>2150</v>
      </c>
      <c r="C831" s="13" t="n">
        <v>273</v>
      </c>
      <c r="D831" s="13" t="s">
        <v>3444</v>
      </c>
      <c r="E831" s="13" t="s">
        <v>3451</v>
      </c>
      <c r="F831" s="13" t="s">
        <v>3446</v>
      </c>
      <c r="G831" s="13" t="s">
        <v>3408</v>
      </c>
      <c r="H831" s="13" t="s">
        <v>3452</v>
      </c>
      <c r="I831" s="13" t="s">
        <v>82</v>
      </c>
      <c r="J831" s="13" t="s">
        <v>83</v>
      </c>
      <c r="K831" s="13"/>
      <c r="L831" s="13" t="s">
        <v>3449</v>
      </c>
      <c r="M831" s="13" t="s">
        <v>3450</v>
      </c>
    </row>
    <row r="832" customFormat="false" ht="57.45" hidden="false" customHeight="false" outlineLevel="0" collapsed="false">
      <c r="A832" s="13" t="s">
        <v>3</v>
      </c>
      <c r="B832" s="13" t="s">
        <v>2150</v>
      </c>
      <c r="C832" s="13" t="n">
        <v>273</v>
      </c>
      <c r="D832" s="13" t="s">
        <v>3453</v>
      </c>
      <c r="E832" s="13" t="s">
        <v>3454</v>
      </c>
      <c r="F832" s="13" t="s">
        <v>806</v>
      </c>
      <c r="G832" s="13" t="s">
        <v>3413</v>
      </c>
      <c r="H832" s="13" t="s">
        <v>3455</v>
      </c>
      <c r="I832" s="13" t="s">
        <v>74</v>
      </c>
      <c r="J832" s="13" t="s">
        <v>3456</v>
      </c>
      <c r="K832" s="13" t="s">
        <v>3457</v>
      </c>
      <c r="L832" s="13" t="s">
        <v>3458</v>
      </c>
      <c r="M832" s="13" t="s">
        <v>3459</v>
      </c>
    </row>
    <row r="833" customFormat="false" ht="57.45" hidden="false" customHeight="false" outlineLevel="0" collapsed="false">
      <c r="A833" s="13" t="s">
        <v>3</v>
      </c>
      <c r="B833" s="13" t="s">
        <v>2150</v>
      </c>
      <c r="C833" s="13" t="n">
        <v>273</v>
      </c>
      <c r="D833" s="13" t="s">
        <v>3453</v>
      </c>
      <c r="E833" s="13" t="s">
        <v>3460</v>
      </c>
      <c r="F833" s="13" t="s">
        <v>806</v>
      </c>
      <c r="G833" s="13" t="s">
        <v>3413</v>
      </c>
      <c r="H833" s="13" t="s">
        <v>3461</v>
      </c>
      <c r="I833" s="13" t="s">
        <v>74</v>
      </c>
      <c r="J833" s="13" t="s">
        <v>3456</v>
      </c>
      <c r="K833" s="13" t="s">
        <v>3457</v>
      </c>
      <c r="L833" s="13" t="s">
        <v>3458</v>
      </c>
      <c r="M833" s="13" t="s">
        <v>3459</v>
      </c>
    </row>
    <row r="834" customFormat="false" ht="57.45" hidden="false" customHeight="false" outlineLevel="0" collapsed="false">
      <c r="A834" s="13" t="s">
        <v>3</v>
      </c>
      <c r="B834" s="13" t="s">
        <v>2150</v>
      </c>
      <c r="C834" s="13" t="n">
        <v>273</v>
      </c>
      <c r="D834" s="13" t="s">
        <v>3453</v>
      </c>
      <c r="E834" s="13" t="s">
        <v>3462</v>
      </c>
      <c r="F834" s="13" t="s">
        <v>806</v>
      </c>
      <c r="G834" s="13" t="s">
        <v>3413</v>
      </c>
      <c r="H834" s="13" t="s">
        <v>3463</v>
      </c>
      <c r="I834" s="13" t="s">
        <v>74</v>
      </c>
      <c r="J834" s="13" t="s">
        <v>3456</v>
      </c>
      <c r="K834" s="13" t="s">
        <v>3457</v>
      </c>
      <c r="L834" s="13" t="s">
        <v>3458</v>
      </c>
      <c r="M834" s="13" t="s">
        <v>3459</v>
      </c>
    </row>
    <row r="835" customFormat="false" ht="57.45" hidden="false" customHeight="false" outlineLevel="0" collapsed="false">
      <c r="A835" s="13" t="s">
        <v>3</v>
      </c>
      <c r="B835" s="13" t="s">
        <v>2150</v>
      </c>
      <c r="C835" s="13" t="n">
        <v>273</v>
      </c>
      <c r="D835" s="13" t="s">
        <v>3453</v>
      </c>
      <c r="E835" s="13" t="s">
        <v>3464</v>
      </c>
      <c r="F835" s="13" t="s">
        <v>806</v>
      </c>
      <c r="G835" s="13" t="s">
        <v>3465</v>
      </c>
      <c r="H835" s="13" t="s">
        <v>3466</v>
      </c>
      <c r="I835" s="13" t="s">
        <v>82</v>
      </c>
      <c r="J835" s="13" t="s">
        <v>83</v>
      </c>
      <c r="K835" s="13"/>
      <c r="L835" s="13" t="s">
        <v>3458</v>
      </c>
      <c r="M835" s="13" t="s">
        <v>3459</v>
      </c>
    </row>
    <row r="836" customFormat="false" ht="57.45" hidden="false" customHeight="false" outlineLevel="0" collapsed="false">
      <c r="A836" s="13" t="s">
        <v>3</v>
      </c>
      <c r="B836" s="13" t="s">
        <v>2150</v>
      </c>
      <c r="C836" s="13" t="n">
        <v>273</v>
      </c>
      <c r="D836" s="13" t="s">
        <v>3453</v>
      </c>
      <c r="E836" s="13" t="s">
        <v>3467</v>
      </c>
      <c r="F836" s="13" t="s">
        <v>3468</v>
      </c>
      <c r="G836" s="13" t="s">
        <v>3408</v>
      </c>
      <c r="H836" s="13" t="s">
        <v>3469</v>
      </c>
      <c r="I836" s="13" t="s">
        <v>82</v>
      </c>
      <c r="J836" s="13" t="s">
        <v>83</v>
      </c>
      <c r="K836" s="13"/>
      <c r="L836" s="13" t="s">
        <v>3458</v>
      </c>
      <c r="M836" s="13" t="s">
        <v>3459</v>
      </c>
    </row>
    <row r="837" customFormat="false" ht="23.85" hidden="false" customHeight="false" outlineLevel="0" collapsed="false">
      <c r="A837" s="13" t="s">
        <v>3</v>
      </c>
      <c r="B837" s="13" t="s">
        <v>2150</v>
      </c>
      <c r="C837" s="13" t="n">
        <v>273</v>
      </c>
      <c r="D837" s="13" t="s">
        <v>3470</v>
      </c>
      <c r="E837" s="13" t="s">
        <v>3471</v>
      </c>
      <c r="F837" s="13" t="s">
        <v>806</v>
      </c>
      <c r="G837" s="13" t="s">
        <v>3413</v>
      </c>
      <c r="H837" s="13" t="s">
        <v>3406</v>
      </c>
      <c r="I837" s="13" t="s">
        <v>82</v>
      </c>
      <c r="J837" s="13" t="s">
        <v>83</v>
      </c>
      <c r="K837" s="13"/>
      <c r="L837" s="13" t="s">
        <v>3472</v>
      </c>
      <c r="M837" s="13" t="s">
        <v>3473</v>
      </c>
    </row>
    <row r="838" customFormat="false" ht="23.85" hidden="false" customHeight="false" outlineLevel="0" collapsed="false">
      <c r="A838" s="13" t="s">
        <v>3</v>
      </c>
      <c r="B838" s="13" t="s">
        <v>2150</v>
      </c>
      <c r="C838" s="13" t="n">
        <v>273</v>
      </c>
      <c r="D838" s="13" t="s">
        <v>3470</v>
      </c>
      <c r="E838" s="13" t="s">
        <v>3474</v>
      </c>
      <c r="F838" s="13" t="s">
        <v>3406</v>
      </c>
      <c r="G838" s="13" t="s">
        <v>3408</v>
      </c>
      <c r="H838" s="13" t="s">
        <v>3409</v>
      </c>
      <c r="I838" s="13" t="s">
        <v>82</v>
      </c>
      <c r="J838" s="13" t="s">
        <v>83</v>
      </c>
      <c r="K838" s="13"/>
      <c r="L838" s="13" t="s">
        <v>3472</v>
      </c>
      <c r="M838" s="13" t="s">
        <v>3473</v>
      </c>
    </row>
    <row r="839" customFormat="false" ht="57.45" hidden="false" customHeight="false" outlineLevel="0" collapsed="false">
      <c r="A839" s="13" t="s">
        <v>3</v>
      </c>
      <c r="B839" s="13" t="s">
        <v>2150</v>
      </c>
      <c r="C839" s="13" t="n">
        <v>273</v>
      </c>
      <c r="D839" s="13" t="s">
        <v>3475</v>
      </c>
      <c r="E839" s="13" t="s">
        <v>3476</v>
      </c>
      <c r="F839" s="13" t="s">
        <v>806</v>
      </c>
      <c r="G839" s="13" t="s">
        <v>3477</v>
      </c>
      <c r="H839" s="13" t="s">
        <v>3478</v>
      </c>
      <c r="I839" s="13" t="s">
        <v>114</v>
      </c>
      <c r="J839" s="13" t="s">
        <v>3479</v>
      </c>
      <c r="K839" s="13" t="s">
        <v>3480</v>
      </c>
      <c r="L839" s="13" t="s">
        <v>3481</v>
      </c>
      <c r="M839" s="13" t="s">
        <v>3482</v>
      </c>
    </row>
    <row r="840" customFormat="false" ht="57.45" hidden="false" customHeight="false" outlineLevel="0" collapsed="false">
      <c r="A840" s="13" t="s">
        <v>3</v>
      </c>
      <c r="B840" s="13" t="s">
        <v>2150</v>
      </c>
      <c r="C840" s="13" t="n">
        <v>273</v>
      </c>
      <c r="D840" s="13" t="s">
        <v>3475</v>
      </c>
      <c r="E840" s="13" t="s">
        <v>3483</v>
      </c>
      <c r="F840" s="13" t="s">
        <v>806</v>
      </c>
      <c r="G840" s="13" t="s">
        <v>3477</v>
      </c>
      <c r="H840" s="13" t="s">
        <v>3484</v>
      </c>
      <c r="I840" s="13" t="s">
        <v>114</v>
      </c>
      <c r="J840" s="13" t="s">
        <v>3479</v>
      </c>
      <c r="K840" s="13" t="s">
        <v>3480</v>
      </c>
      <c r="L840" s="13" t="s">
        <v>3481</v>
      </c>
      <c r="M840" s="13" t="s">
        <v>3482</v>
      </c>
    </row>
    <row r="841" customFormat="false" ht="35.05" hidden="false" customHeight="false" outlineLevel="0" collapsed="false">
      <c r="A841" s="13" t="s">
        <v>3</v>
      </c>
      <c r="B841" s="13" t="s">
        <v>2150</v>
      </c>
      <c r="C841" s="13" t="n">
        <v>273</v>
      </c>
      <c r="D841" s="13" t="s">
        <v>3475</v>
      </c>
      <c r="E841" s="13" t="s">
        <v>3485</v>
      </c>
      <c r="F841" s="13" t="s">
        <v>3486</v>
      </c>
      <c r="G841" s="13" t="s">
        <v>3487</v>
      </c>
      <c r="H841" s="13" t="s">
        <v>3488</v>
      </c>
      <c r="I841" s="13" t="s">
        <v>82</v>
      </c>
      <c r="J841" s="13" t="s">
        <v>83</v>
      </c>
      <c r="K841" s="13"/>
      <c r="L841" s="13" t="s">
        <v>3481</v>
      </c>
      <c r="M841" s="13" t="s">
        <v>3482</v>
      </c>
    </row>
    <row r="842" customFormat="false" ht="57.45" hidden="false" customHeight="false" outlineLevel="0" collapsed="false">
      <c r="A842" s="13" t="s">
        <v>3</v>
      </c>
      <c r="B842" s="13" t="s">
        <v>2150</v>
      </c>
      <c r="C842" s="13" t="n">
        <v>273</v>
      </c>
      <c r="D842" s="13" t="s">
        <v>3489</v>
      </c>
      <c r="E842" s="13" t="s">
        <v>3490</v>
      </c>
      <c r="F842" s="13" t="s">
        <v>3355</v>
      </c>
      <c r="G842" s="13" t="s">
        <v>3491</v>
      </c>
      <c r="H842" s="13" t="s">
        <v>3492</v>
      </c>
      <c r="I842" s="13" t="s">
        <v>82</v>
      </c>
      <c r="J842" s="13" t="s">
        <v>83</v>
      </c>
      <c r="K842" s="13"/>
      <c r="L842" s="13" t="s">
        <v>3493</v>
      </c>
      <c r="M842" s="13" t="s">
        <v>3494</v>
      </c>
    </row>
    <row r="843" customFormat="false" ht="57.45" hidden="false" customHeight="false" outlineLevel="0" collapsed="false">
      <c r="A843" s="13" t="s">
        <v>3</v>
      </c>
      <c r="B843" s="13" t="s">
        <v>2150</v>
      </c>
      <c r="C843" s="13" t="n">
        <v>273</v>
      </c>
      <c r="D843" s="13" t="s">
        <v>3489</v>
      </c>
      <c r="E843" s="13" t="s">
        <v>3495</v>
      </c>
      <c r="F843" s="13" t="s">
        <v>3496</v>
      </c>
      <c r="G843" s="13" t="s">
        <v>3497</v>
      </c>
      <c r="H843" s="13" t="s">
        <v>3355</v>
      </c>
      <c r="I843" s="13" t="s">
        <v>82</v>
      </c>
      <c r="J843" s="13" t="s">
        <v>83</v>
      </c>
      <c r="K843" s="13"/>
      <c r="L843" s="13" t="s">
        <v>3493</v>
      </c>
      <c r="M843" s="13" t="s">
        <v>3494</v>
      </c>
    </row>
    <row r="844" customFormat="false" ht="57.45" hidden="false" customHeight="false" outlineLevel="0" collapsed="false">
      <c r="A844" s="13" t="s">
        <v>3</v>
      </c>
      <c r="B844" s="13" t="s">
        <v>2150</v>
      </c>
      <c r="C844" s="13" t="n">
        <v>273</v>
      </c>
      <c r="D844" s="13" t="s">
        <v>3489</v>
      </c>
      <c r="E844" s="13" t="s">
        <v>3498</v>
      </c>
      <c r="F844" s="13" t="s">
        <v>3355</v>
      </c>
      <c r="G844" s="13" t="s">
        <v>3499</v>
      </c>
      <c r="H844" s="13" t="s">
        <v>3500</v>
      </c>
      <c r="I844" s="13" t="s">
        <v>82</v>
      </c>
      <c r="J844" s="13" t="s">
        <v>83</v>
      </c>
      <c r="K844" s="13"/>
      <c r="L844" s="13" t="s">
        <v>3493</v>
      </c>
      <c r="M844" s="13" t="s">
        <v>3494</v>
      </c>
    </row>
    <row r="845" customFormat="false" ht="23.85" hidden="false" customHeight="false" outlineLevel="0" collapsed="false">
      <c r="A845" s="13" t="s">
        <v>3</v>
      </c>
      <c r="B845" s="13" t="s">
        <v>2150</v>
      </c>
      <c r="C845" s="13" t="n">
        <v>273</v>
      </c>
      <c r="D845" s="13" t="s">
        <v>3501</v>
      </c>
      <c r="E845" s="13" t="s">
        <v>3502</v>
      </c>
      <c r="F845" s="13" t="s">
        <v>3503</v>
      </c>
      <c r="G845" s="13" t="s">
        <v>3499</v>
      </c>
      <c r="H845" s="13" t="s">
        <v>3504</v>
      </c>
      <c r="I845" s="13" t="s">
        <v>82</v>
      </c>
      <c r="J845" s="13" t="s">
        <v>83</v>
      </c>
      <c r="K845" s="13"/>
      <c r="L845" s="13" t="s">
        <v>3505</v>
      </c>
      <c r="M845" s="13" t="s">
        <v>3506</v>
      </c>
    </row>
    <row r="846" customFormat="false" ht="35.05" hidden="false" customHeight="false" outlineLevel="0" collapsed="false">
      <c r="A846" s="13" t="s">
        <v>3</v>
      </c>
      <c r="B846" s="13" t="s">
        <v>2150</v>
      </c>
      <c r="C846" s="13" t="n">
        <v>273</v>
      </c>
      <c r="D846" s="13" t="s">
        <v>3507</v>
      </c>
      <c r="E846" s="13" t="s">
        <v>3508</v>
      </c>
      <c r="F846" s="13" t="s">
        <v>3355</v>
      </c>
      <c r="G846" s="13" t="s">
        <v>3509</v>
      </c>
      <c r="H846" s="13" t="s">
        <v>3510</v>
      </c>
      <c r="I846" s="13" t="s">
        <v>82</v>
      </c>
      <c r="J846" s="13" t="s">
        <v>83</v>
      </c>
      <c r="K846" s="13"/>
      <c r="L846" s="13" t="s">
        <v>3511</v>
      </c>
      <c r="M846" s="13" t="s">
        <v>3512</v>
      </c>
    </row>
    <row r="847" customFormat="false" ht="35.05" hidden="false" customHeight="false" outlineLevel="0" collapsed="false">
      <c r="A847" s="13" t="s">
        <v>3</v>
      </c>
      <c r="B847" s="13" t="s">
        <v>2150</v>
      </c>
      <c r="C847" s="13" t="n">
        <v>273</v>
      </c>
      <c r="D847" s="13" t="s">
        <v>3507</v>
      </c>
      <c r="E847" s="13" t="s">
        <v>3513</v>
      </c>
      <c r="F847" s="13" t="s">
        <v>3514</v>
      </c>
      <c r="G847" s="13" t="s">
        <v>1412</v>
      </c>
      <c r="H847" s="13" t="s">
        <v>3515</v>
      </c>
      <c r="I847" s="13" t="s">
        <v>82</v>
      </c>
      <c r="J847" s="13" t="s">
        <v>83</v>
      </c>
      <c r="K847" s="13"/>
      <c r="L847" s="13" t="s">
        <v>3511</v>
      </c>
      <c r="M847" s="13" t="s">
        <v>3512</v>
      </c>
    </row>
    <row r="848" customFormat="false" ht="35.05" hidden="false" customHeight="false" outlineLevel="0" collapsed="false">
      <c r="A848" s="13" t="s">
        <v>3</v>
      </c>
      <c r="B848" s="13" t="s">
        <v>2150</v>
      </c>
      <c r="C848" s="13" t="n">
        <v>273</v>
      </c>
      <c r="D848" s="13" t="s">
        <v>3516</v>
      </c>
      <c r="E848" s="13" t="s">
        <v>3517</v>
      </c>
      <c r="F848" s="13" t="s">
        <v>806</v>
      </c>
      <c r="G848" s="13" t="s">
        <v>3518</v>
      </c>
      <c r="H848" s="13" t="s">
        <v>3519</v>
      </c>
      <c r="I848" s="13" t="s">
        <v>82</v>
      </c>
      <c r="J848" s="13" t="s">
        <v>83</v>
      </c>
      <c r="K848" s="13"/>
      <c r="L848" s="13" t="s">
        <v>3520</v>
      </c>
      <c r="M848" s="13" t="s">
        <v>3521</v>
      </c>
    </row>
    <row r="849" customFormat="false" ht="35.05" hidden="false" customHeight="false" outlineLevel="0" collapsed="false">
      <c r="A849" s="13" t="s">
        <v>3</v>
      </c>
      <c r="B849" s="13" t="s">
        <v>2150</v>
      </c>
      <c r="C849" s="13" t="n">
        <v>273</v>
      </c>
      <c r="D849" s="13" t="s">
        <v>3516</v>
      </c>
      <c r="E849" s="13" t="s">
        <v>3522</v>
      </c>
      <c r="F849" s="13" t="s">
        <v>3519</v>
      </c>
      <c r="G849" s="13" t="s">
        <v>3523</v>
      </c>
      <c r="H849" s="13" t="s">
        <v>3524</v>
      </c>
      <c r="I849" s="13" t="s">
        <v>82</v>
      </c>
      <c r="J849" s="13" t="s">
        <v>83</v>
      </c>
      <c r="K849" s="13"/>
      <c r="L849" s="13" t="s">
        <v>3520</v>
      </c>
      <c r="M849" s="13" t="s">
        <v>3521</v>
      </c>
    </row>
    <row r="850" customFormat="false" ht="135.8" hidden="false" customHeight="false" outlineLevel="0" collapsed="false">
      <c r="A850" s="13" t="s">
        <v>3</v>
      </c>
      <c r="B850" s="13" t="s">
        <v>2150</v>
      </c>
      <c r="C850" s="13" t="n">
        <v>273</v>
      </c>
      <c r="D850" s="13" t="s">
        <v>3525</v>
      </c>
      <c r="E850" s="13" t="s">
        <v>3526</v>
      </c>
      <c r="F850" s="13" t="s">
        <v>806</v>
      </c>
      <c r="G850" s="13" t="s">
        <v>3413</v>
      </c>
      <c r="H850" s="13" t="s">
        <v>3527</v>
      </c>
      <c r="I850" s="13" t="s">
        <v>82</v>
      </c>
      <c r="J850" s="13" t="s">
        <v>83</v>
      </c>
      <c r="K850" s="13"/>
      <c r="L850" s="13" t="s">
        <v>3528</v>
      </c>
      <c r="M850" s="13" t="s">
        <v>3529</v>
      </c>
    </row>
    <row r="851" customFormat="false" ht="135.8" hidden="false" customHeight="false" outlineLevel="0" collapsed="false">
      <c r="A851" s="13" t="s">
        <v>3</v>
      </c>
      <c r="B851" s="13" t="s">
        <v>2150</v>
      </c>
      <c r="C851" s="13" t="n">
        <v>273</v>
      </c>
      <c r="D851" s="13" t="s">
        <v>3525</v>
      </c>
      <c r="E851" s="13" t="s">
        <v>3530</v>
      </c>
      <c r="F851" s="13" t="s">
        <v>806</v>
      </c>
      <c r="G851" s="13" t="s">
        <v>3531</v>
      </c>
      <c r="H851" s="13" t="s">
        <v>3532</v>
      </c>
      <c r="I851" s="13" t="s">
        <v>82</v>
      </c>
      <c r="J851" s="13" t="s">
        <v>83</v>
      </c>
      <c r="K851" s="13"/>
      <c r="L851" s="13" t="s">
        <v>3528</v>
      </c>
      <c r="M851" s="13" t="s">
        <v>3529</v>
      </c>
    </row>
    <row r="852" customFormat="false" ht="135.8" hidden="false" customHeight="false" outlineLevel="0" collapsed="false">
      <c r="A852" s="13" t="s">
        <v>3</v>
      </c>
      <c r="B852" s="13" t="s">
        <v>2150</v>
      </c>
      <c r="C852" s="13" t="n">
        <v>273</v>
      </c>
      <c r="D852" s="13" t="s">
        <v>3525</v>
      </c>
      <c r="E852" s="13" t="s">
        <v>3533</v>
      </c>
      <c r="F852" s="13" t="s">
        <v>806</v>
      </c>
      <c r="G852" s="13" t="s">
        <v>3534</v>
      </c>
      <c r="H852" s="13" t="s">
        <v>3535</v>
      </c>
      <c r="I852" s="13" t="s">
        <v>82</v>
      </c>
      <c r="J852" s="13" t="s">
        <v>83</v>
      </c>
      <c r="K852" s="13"/>
      <c r="L852" s="13" t="s">
        <v>3528</v>
      </c>
      <c r="M852" s="13" t="s">
        <v>3529</v>
      </c>
    </row>
    <row r="853" customFormat="false" ht="135.8" hidden="false" customHeight="false" outlineLevel="0" collapsed="false">
      <c r="A853" s="13" t="s">
        <v>3</v>
      </c>
      <c r="B853" s="13" t="s">
        <v>2150</v>
      </c>
      <c r="C853" s="13" t="n">
        <v>273</v>
      </c>
      <c r="D853" s="13" t="s">
        <v>3525</v>
      </c>
      <c r="E853" s="13" t="s">
        <v>3536</v>
      </c>
      <c r="F853" s="13" t="s">
        <v>806</v>
      </c>
      <c r="G853" s="13" t="s">
        <v>3537</v>
      </c>
      <c r="H853" s="13" t="s">
        <v>3538</v>
      </c>
      <c r="I853" s="13" t="s">
        <v>82</v>
      </c>
      <c r="J853" s="13" t="s">
        <v>83</v>
      </c>
      <c r="K853" s="13"/>
      <c r="L853" s="13" t="s">
        <v>3528</v>
      </c>
      <c r="M853" s="13" t="s">
        <v>3529</v>
      </c>
    </row>
    <row r="854" customFormat="false" ht="225.35" hidden="false" customHeight="false" outlineLevel="0" collapsed="false">
      <c r="A854" s="13" t="s">
        <v>3</v>
      </c>
      <c r="B854" s="13" t="s">
        <v>2150</v>
      </c>
      <c r="C854" s="13" t="n">
        <v>289</v>
      </c>
      <c r="D854" s="13" t="s">
        <v>3539</v>
      </c>
      <c r="E854" s="13" t="s">
        <v>3540</v>
      </c>
      <c r="F854" s="13" t="s">
        <v>3541</v>
      </c>
      <c r="G854" s="13" t="s">
        <v>3542</v>
      </c>
      <c r="H854" s="13" t="s">
        <v>3543</v>
      </c>
      <c r="I854" s="13" t="s">
        <v>82</v>
      </c>
      <c r="J854" s="13" t="s">
        <v>83</v>
      </c>
      <c r="K854" s="13"/>
      <c r="L854" s="13" t="s">
        <v>3544</v>
      </c>
      <c r="M854" s="13" t="s">
        <v>3545</v>
      </c>
    </row>
    <row r="855" customFormat="false" ht="225.35" hidden="false" customHeight="false" outlineLevel="0" collapsed="false">
      <c r="A855" s="13" t="s">
        <v>3</v>
      </c>
      <c r="B855" s="13" t="s">
        <v>2150</v>
      </c>
      <c r="C855" s="13" t="n">
        <v>289</v>
      </c>
      <c r="D855" s="13" t="s">
        <v>3539</v>
      </c>
      <c r="E855" s="13" t="s">
        <v>3546</v>
      </c>
      <c r="F855" s="13" t="s">
        <v>3541</v>
      </c>
      <c r="G855" s="13" t="s">
        <v>3547</v>
      </c>
      <c r="H855" s="13" t="s">
        <v>3548</v>
      </c>
      <c r="I855" s="13" t="s">
        <v>82</v>
      </c>
      <c r="J855" s="13" t="s">
        <v>83</v>
      </c>
      <c r="K855" s="13"/>
      <c r="L855" s="13" t="s">
        <v>3544</v>
      </c>
      <c r="M855" s="13" t="s">
        <v>3545</v>
      </c>
    </row>
    <row r="856" customFormat="false" ht="225.35" hidden="false" customHeight="false" outlineLevel="0" collapsed="false">
      <c r="A856" s="13" t="s">
        <v>3</v>
      </c>
      <c r="B856" s="13" t="s">
        <v>2150</v>
      </c>
      <c r="C856" s="13" t="n">
        <v>289</v>
      </c>
      <c r="D856" s="13" t="s">
        <v>3539</v>
      </c>
      <c r="E856" s="13" t="s">
        <v>3549</v>
      </c>
      <c r="F856" s="13" t="s">
        <v>3550</v>
      </c>
      <c r="G856" s="13" t="s">
        <v>3551</v>
      </c>
      <c r="H856" s="13" t="s">
        <v>3552</v>
      </c>
      <c r="I856" s="13" t="s">
        <v>82</v>
      </c>
      <c r="J856" s="13" t="s">
        <v>83</v>
      </c>
      <c r="K856" s="13"/>
      <c r="L856" s="13" t="s">
        <v>3544</v>
      </c>
      <c r="M856" s="13" t="s">
        <v>3545</v>
      </c>
    </row>
    <row r="857" customFormat="false" ht="225.35" hidden="false" customHeight="false" outlineLevel="0" collapsed="false">
      <c r="A857" s="13" t="s">
        <v>3</v>
      </c>
      <c r="B857" s="13" t="s">
        <v>2150</v>
      </c>
      <c r="C857" s="13" t="n">
        <v>289</v>
      </c>
      <c r="D857" s="13" t="s">
        <v>3539</v>
      </c>
      <c r="E857" s="13" t="s">
        <v>3553</v>
      </c>
      <c r="F857" s="13" t="s">
        <v>3550</v>
      </c>
      <c r="G857" s="13" t="s">
        <v>3554</v>
      </c>
      <c r="H857" s="13" t="s">
        <v>3555</v>
      </c>
      <c r="I857" s="13" t="s">
        <v>82</v>
      </c>
      <c r="J857" s="13" t="s">
        <v>83</v>
      </c>
      <c r="K857" s="13"/>
      <c r="L857" s="13" t="s">
        <v>3544</v>
      </c>
      <c r="M857" s="13" t="s">
        <v>3545</v>
      </c>
    </row>
    <row r="858" customFormat="false" ht="225.35" hidden="false" customHeight="false" outlineLevel="0" collapsed="false">
      <c r="A858" s="13" t="s">
        <v>3</v>
      </c>
      <c r="B858" s="13" t="s">
        <v>2150</v>
      </c>
      <c r="C858" s="13" t="n">
        <v>289</v>
      </c>
      <c r="D858" s="13" t="s">
        <v>3539</v>
      </c>
      <c r="E858" s="13" t="s">
        <v>3556</v>
      </c>
      <c r="F858" s="13" t="s">
        <v>3541</v>
      </c>
      <c r="G858" s="13" t="s">
        <v>3554</v>
      </c>
      <c r="H858" s="13" t="s">
        <v>3557</v>
      </c>
      <c r="I858" s="13" t="s">
        <v>82</v>
      </c>
      <c r="J858" s="13" t="s">
        <v>83</v>
      </c>
      <c r="K858" s="13"/>
      <c r="L858" s="13" t="s">
        <v>3544</v>
      </c>
      <c r="M858" s="13" t="s">
        <v>3545</v>
      </c>
    </row>
    <row r="859" customFormat="false" ht="225.35" hidden="false" customHeight="false" outlineLevel="0" collapsed="false">
      <c r="A859" s="13" t="s">
        <v>3</v>
      </c>
      <c r="B859" s="13" t="s">
        <v>2150</v>
      </c>
      <c r="C859" s="13" t="n">
        <v>289</v>
      </c>
      <c r="D859" s="13" t="s">
        <v>3539</v>
      </c>
      <c r="E859" s="13" t="s">
        <v>3558</v>
      </c>
      <c r="F859" s="13" t="s">
        <v>3541</v>
      </c>
      <c r="G859" s="13" t="s">
        <v>3559</v>
      </c>
      <c r="H859" s="13" t="s">
        <v>3560</v>
      </c>
      <c r="I859" s="13" t="s">
        <v>82</v>
      </c>
      <c r="J859" s="13" t="s">
        <v>83</v>
      </c>
      <c r="K859" s="13"/>
      <c r="L859" s="13" t="s">
        <v>3544</v>
      </c>
      <c r="M859" s="13" t="s">
        <v>3545</v>
      </c>
    </row>
    <row r="860" customFormat="false" ht="225.35" hidden="false" customHeight="false" outlineLevel="0" collapsed="false">
      <c r="A860" s="13" t="s">
        <v>3</v>
      </c>
      <c r="B860" s="13" t="s">
        <v>2150</v>
      </c>
      <c r="C860" s="13" t="n">
        <v>289</v>
      </c>
      <c r="D860" s="13" t="s">
        <v>3539</v>
      </c>
      <c r="E860" s="13" t="s">
        <v>3561</v>
      </c>
      <c r="F860" s="13" t="s">
        <v>3541</v>
      </c>
      <c r="G860" s="13" t="s">
        <v>3562</v>
      </c>
      <c r="H860" s="13" t="s">
        <v>3560</v>
      </c>
      <c r="I860" s="13" t="s">
        <v>82</v>
      </c>
      <c r="J860" s="13" t="s">
        <v>83</v>
      </c>
      <c r="K860" s="13"/>
      <c r="L860" s="13" t="s">
        <v>3544</v>
      </c>
      <c r="M860" s="13" t="s">
        <v>3545</v>
      </c>
    </row>
    <row r="861" customFormat="false" ht="169.4" hidden="false" customHeight="false" outlineLevel="0" collapsed="false">
      <c r="A861" s="13" t="s">
        <v>3</v>
      </c>
      <c r="B861" s="13" t="s">
        <v>2150</v>
      </c>
      <c r="C861" s="13" t="n">
        <v>289</v>
      </c>
      <c r="D861" s="13" t="s">
        <v>3563</v>
      </c>
      <c r="E861" s="13" t="s">
        <v>3564</v>
      </c>
      <c r="F861" s="13" t="s">
        <v>3541</v>
      </c>
      <c r="G861" s="13" t="s">
        <v>3565</v>
      </c>
      <c r="H861" s="13" t="s">
        <v>3566</v>
      </c>
      <c r="I861" s="13" t="s">
        <v>82</v>
      </c>
      <c r="J861" s="13" t="s">
        <v>83</v>
      </c>
      <c r="K861" s="13"/>
      <c r="L861" s="13" t="s">
        <v>3567</v>
      </c>
      <c r="M861" s="13" t="s">
        <v>3568</v>
      </c>
    </row>
    <row r="862" customFormat="false" ht="169.4" hidden="false" customHeight="false" outlineLevel="0" collapsed="false">
      <c r="A862" s="13" t="s">
        <v>3</v>
      </c>
      <c r="B862" s="13" t="s">
        <v>2150</v>
      </c>
      <c r="C862" s="13" t="n">
        <v>289</v>
      </c>
      <c r="D862" s="13" t="s">
        <v>3563</v>
      </c>
      <c r="E862" s="13" t="s">
        <v>3569</v>
      </c>
      <c r="F862" s="13" t="s">
        <v>3570</v>
      </c>
      <c r="G862" s="13" t="s">
        <v>3571</v>
      </c>
      <c r="H862" s="13" t="s">
        <v>3572</v>
      </c>
      <c r="I862" s="13" t="s">
        <v>82</v>
      </c>
      <c r="J862" s="13" t="s">
        <v>83</v>
      </c>
      <c r="K862" s="13"/>
      <c r="L862" s="13" t="s">
        <v>3567</v>
      </c>
      <c r="M862" s="13" t="s">
        <v>3568</v>
      </c>
    </row>
    <row r="863" customFormat="false" ht="169.4" hidden="false" customHeight="false" outlineLevel="0" collapsed="false">
      <c r="A863" s="13" t="s">
        <v>3</v>
      </c>
      <c r="B863" s="13" t="s">
        <v>2150</v>
      </c>
      <c r="C863" s="13" t="n">
        <v>289</v>
      </c>
      <c r="D863" s="13" t="s">
        <v>3563</v>
      </c>
      <c r="E863" s="13" t="s">
        <v>3573</v>
      </c>
      <c r="F863" s="13" t="s">
        <v>3574</v>
      </c>
      <c r="G863" s="13" t="s">
        <v>3575</v>
      </c>
      <c r="H863" s="13" t="s">
        <v>3576</v>
      </c>
      <c r="I863" s="13" t="s">
        <v>82</v>
      </c>
      <c r="J863" s="13" t="s">
        <v>83</v>
      </c>
      <c r="K863" s="13"/>
      <c r="L863" s="13" t="s">
        <v>3567</v>
      </c>
      <c r="M863" s="13" t="s">
        <v>3568</v>
      </c>
    </row>
    <row r="864" customFormat="false" ht="169.4" hidden="false" customHeight="false" outlineLevel="0" collapsed="false">
      <c r="A864" s="13" t="s">
        <v>3</v>
      </c>
      <c r="B864" s="13" t="s">
        <v>2150</v>
      </c>
      <c r="C864" s="13" t="n">
        <v>289</v>
      </c>
      <c r="D864" s="13" t="s">
        <v>3563</v>
      </c>
      <c r="E864" s="13" t="s">
        <v>3577</v>
      </c>
      <c r="F864" s="13" t="s">
        <v>3574</v>
      </c>
      <c r="G864" s="13" t="s">
        <v>3578</v>
      </c>
      <c r="H864" s="13" t="s">
        <v>3579</v>
      </c>
      <c r="I864" s="13" t="s">
        <v>82</v>
      </c>
      <c r="J864" s="13" t="s">
        <v>83</v>
      </c>
      <c r="K864" s="13"/>
      <c r="L864" s="13" t="s">
        <v>3567</v>
      </c>
      <c r="M864" s="13" t="s">
        <v>3568</v>
      </c>
    </row>
    <row r="865" customFormat="false" ht="169.4" hidden="false" customHeight="false" outlineLevel="0" collapsed="false">
      <c r="A865" s="13" t="s">
        <v>3</v>
      </c>
      <c r="B865" s="13" t="s">
        <v>2150</v>
      </c>
      <c r="C865" s="13" t="n">
        <v>289</v>
      </c>
      <c r="D865" s="13" t="s">
        <v>3563</v>
      </c>
      <c r="E865" s="13" t="s">
        <v>3580</v>
      </c>
      <c r="F865" s="13" t="s">
        <v>3574</v>
      </c>
      <c r="G865" s="13" t="s">
        <v>3581</v>
      </c>
      <c r="H865" s="13" t="s">
        <v>3582</v>
      </c>
      <c r="I865" s="13" t="s">
        <v>82</v>
      </c>
      <c r="J865" s="13" t="s">
        <v>83</v>
      </c>
      <c r="K865" s="13"/>
      <c r="L865" s="13" t="s">
        <v>3567</v>
      </c>
      <c r="M865" s="13" t="s">
        <v>3568</v>
      </c>
    </row>
    <row r="866" customFormat="false" ht="35.05" hidden="false" customHeight="false" outlineLevel="0" collapsed="false">
      <c r="A866" s="13" t="s">
        <v>3</v>
      </c>
      <c r="B866" s="13" t="s">
        <v>2150</v>
      </c>
      <c r="C866" s="13" t="n">
        <v>289</v>
      </c>
      <c r="D866" s="13" t="s">
        <v>3583</v>
      </c>
      <c r="E866" s="13" t="s">
        <v>3584</v>
      </c>
      <c r="F866" s="13" t="s">
        <v>3585</v>
      </c>
      <c r="G866" s="13" t="s">
        <v>3586</v>
      </c>
      <c r="H866" s="13" t="s">
        <v>3587</v>
      </c>
      <c r="I866" s="13" t="s">
        <v>82</v>
      </c>
      <c r="J866" s="13" t="s">
        <v>83</v>
      </c>
      <c r="K866" s="13"/>
      <c r="L866" s="13" t="s">
        <v>3588</v>
      </c>
      <c r="M866" s="13" t="s">
        <v>3589</v>
      </c>
    </row>
    <row r="867" customFormat="false" ht="35.05" hidden="false" customHeight="false" outlineLevel="0" collapsed="false">
      <c r="A867" s="13" t="s">
        <v>3</v>
      </c>
      <c r="B867" s="13" t="s">
        <v>2150</v>
      </c>
      <c r="C867" s="13" t="n">
        <v>289</v>
      </c>
      <c r="D867" s="13" t="s">
        <v>3583</v>
      </c>
      <c r="E867" s="13" t="s">
        <v>3590</v>
      </c>
      <c r="F867" s="13" t="s">
        <v>3587</v>
      </c>
      <c r="G867" s="13" t="s">
        <v>3591</v>
      </c>
      <c r="H867" s="13" t="s">
        <v>3592</v>
      </c>
      <c r="I867" s="13" t="s">
        <v>82</v>
      </c>
      <c r="J867" s="13" t="s">
        <v>83</v>
      </c>
      <c r="K867" s="13"/>
      <c r="L867" s="13" t="s">
        <v>3588</v>
      </c>
      <c r="M867" s="13" t="s">
        <v>3589</v>
      </c>
    </row>
    <row r="868" customFormat="false" ht="35.05" hidden="false" customHeight="false" outlineLevel="0" collapsed="false">
      <c r="A868" s="13" t="s">
        <v>3</v>
      </c>
      <c r="B868" s="13" t="s">
        <v>2150</v>
      </c>
      <c r="C868" s="13" t="n">
        <v>289</v>
      </c>
      <c r="D868" s="13" t="s">
        <v>3583</v>
      </c>
      <c r="E868" s="13" t="s">
        <v>3593</v>
      </c>
      <c r="F868" s="13" t="s">
        <v>3587</v>
      </c>
      <c r="G868" s="13" t="s">
        <v>3594</v>
      </c>
      <c r="H868" s="13" t="s">
        <v>3595</v>
      </c>
      <c r="I868" s="13" t="s">
        <v>82</v>
      </c>
      <c r="J868" s="13" t="s">
        <v>83</v>
      </c>
      <c r="K868" s="13"/>
      <c r="L868" s="13" t="s">
        <v>3588</v>
      </c>
      <c r="M868" s="13" t="s">
        <v>3589</v>
      </c>
    </row>
    <row r="869" customFormat="false" ht="79.85" hidden="false" customHeight="false" outlineLevel="0" collapsed="false">
      <c r="A869" s="13" t="s">
        <v>3</v>
      </c>
      <c r="B869" s="13" t="s">
        <v>2150</v>
      </c>
      <c r="C869" s="13" t="n">
        <v>289</v>
      </c>
      <c r="D869" s="13" t="s">
        <v>3596</v>
      </c>
      <c r="E869" s="13" t="s">
        <v>3597</v>
      </c>
      <c r="F869" s="13" t="s">
        <v>3585</v>
      </c>
      <c r="G869" s="13" t="s">
        <v>3598</v>
      </c>
      <c r="H869" s="13" t="s">
        <v>3599</v>
      </c>
      <c r="I869" s="13" t="s">
        <v>82</v>
      </c>
      <c r="J869" s="13" t="s">
        <v>83</v>
      </c>
      <c r="K869" s="13"/>
      <c r="L869" s="13" t="s">
        <v>3600</v>
      </c>
      <c r="M869" s="13" t="s">
        <v>3601</v>
      </c>
    </row>
    <row r="870" customFormat="false" ht="79.85" hidden="false" customHeight="false" outlineLevel="0" collapsed="false">
      <c r="A870" s="13" t="s">
        <v>3</v>
      </c>
      <c r="B870" s="13" t="s">
        <v>2150</v>
      </c>
      <c r="C870" s="13" t="n">
        <v>289</v>
      </c>
      <c r="D870" s="13" t="s">
        <v>3596</v>
      </c>
      <c r="E870" s="13" t="s">
        <v>3602</v>
      </c>
      <c r="F870" s="13" t="s">
        <v>3585</v>
      </c>
      <c r="G870" s="13" t="s">
        <v>3603</v>
      </c>
      <c r="H870" s="13" t="s">
        <v>3604</v>
      </c>
      <c r="I870" s="13" t="s">
        <v>82</v>
      </c>
      <c r="J870" s="13" t="s">
        <v>83</v>
      </c>
      <c r="K870" s="13"/>
      <c r="L870" s="13" t="s">
        <v>3600</v>
      </c>
      <c r="M870" s="13" t="s">
        <v>3601</v>
      </c>
    </row>
    <row r="871" customFormat="false" ht="79.85" hidden="false" customHeight="false" outlineLevel="0" collapsed="false">
      <c r="A871" s="13" t="s">
        <v>3</v>
      </c>
      <c r="B871" s="13" t="s">
        <v>2150</v>
      </c>
      <c r="C871" s="13" t="n">
        <v>289</v>
      </c>
      <c r="D871" s="13" t="s">
        <v>3596</v>
      </c>
      <c r="E871" s="13" t="s">
        <v>3605</v>
      </c>
      <c r="F871" s="13" t="s">
        <v>3585</v>
      </c>
      <c r="G871" s="13" t="s">
        <v>3606</v>
      </c>
      <c r="H871" s="13" t="s">
        <v>3607</v>
      </c>
      <c r="I871" s="13" t="s">
        <v>82</v>
      </c>
      <c r="J871" s="13" t="s">
        <v>83</v>
      </c>
      <c r="K871" s="13"/>
      <c r="L871" s="13" t="s">
        <v>3600</v>
      </c>
      <c r="M871" s="13" t="s">
        <v>3601</v>
      </c>
    </row>
    <row r="872" customFormat="false" ht="79.85" hidden="false" customHeight="false" outlineLevel="0" collapsed="false">
      <c r="A872" s="13" t="s">
        <v>3</v>
      </c>
      <c r="B872" s="13" t="s">
        <v>2150</v>
      </c>
      <c r="C872" s="13" t="n">
        <v>289</v>
      </c>
      <c r="D872" s="13" t="s">
        <v>3596</v>
      </c>
      <c r="E872" s="13" t="s">
        <v>3608</v>
      </c>
      <c r="F872" s="13" t="s">
        <v>3585</v>
      </c>
      <c r="G872" s="13" t="s">
        <v>3609</v>
      </c>
      <c r="H872" s="13" t="s">
        <v>3610</v>
      </c>
      <c r="I872" s="13" t="s">
        <v>82</v>
      </c>
      <c r="J872" s="13" t="s">
        <v>83</v>
      </c>
      <c r="K872" s="13"/>
      <c r="L872" s="13" t="s">
        <v>3600</v>
      </c>
      <c r="M872" s="13" t="s">
        <v>3601</v>
      </c>
    </row>
    <row r="873" customFormat="false" ht="79.85" hidden="false" customHeight="false" outlineLevel="0" collapsed="false">
      <c r="A873" s="13" t="s">
        <v>3</v>
      </c>
      <c r="B873" s="13" t="s">
        <v>2150</v>
      </c>
      <c r="C873" s="13" t="n">
        <v>289</v>
      </c>
      <c r="D873" s="13" t="s">
        <v>3596</v>
      </c>
      <c r="E873" s="13" t="s">
        <v>3611</v>
      </c>
      <c r="F873" s="13" t="s">
        <v>3585</v>
      </c>
      <c r="G873" s="13" t="s">
        <v>3612</v>
      </c>
      <c r="H873" s="13" t="s">
        <v>3599</v>
      </c>
      <c r="I873" s="13" t="s">
        <v>82</v>
      </c>
      <c r="J873" s="13" t="s">
        <v>83</v>
      </c>
      <c r="K873" s="13"/>
      <c r="L873" s="13" t="s">
        <v>3600</v>
      </c>
      <c r="M873" s="13" t="s">
        <v>3601</v>
      </c>
    </row>
    <row r="874" customFormat="false" ht="79.85" hidden="false" customHeight="false" outlineLevel="0" collapsed="false">
      <c r="A874" s="13" t="s">
        <v>3</v>
      </c>
      <c r="B874" s="13" t="s">
        <v>2150</v>
      </c>
      <c r="C874" s="13" t="n">
        <v>289</v>
      </c>
      <c r="D874" s="13" t="s">
        <v>3596</v>
      </c>
      <c r="E874" s="13" t="s">
        <v>3613</v>
      </c>
      <c r="F874" s="13" t="s">
        <v>3599</v>
      </c>
      <c r="G874" s="13" t="s">
        <v>3408</v>
      </c>
      <c r="H874" s="13" t="s">
        <v>3614</v>
      </c>
      <c r="I874" s="13" t="s">
        <v>82</v>
      </c>
      <c r="J874" s="13" t="s">
        <v>83</v>
      </c>
      <c r="K874" s="13"/>
      <c r="L874" s="13" t="s">
        <v>3600</v>
      </c>
      <c r="M874" s="13" t="s">
        <v>3601</v>
      </c>
    </row>
    <row r="875" customFormat="false" ht="147" hidden="false" customHeight="false" outlineLevel="0" collapsed="false">
      <c r="A875" s="13" t="s">
        <v>3</v>
      </c>
      <c r="B875" s="13" t="s">
        <v>2150</v>
      </c>
      <c r="C875" s="13" t="n">
        <v>290</v>
      </c>
      <c r="D875" s="13" t="s">
        <v>3615</v>
      </c>
      <c r="E875" s="13" t="s">
        <v>3616</v>
      </c>
      <c r="F875" s="13" t="s">
        <v>3617</v>
      </c>
      <c r="G875" s="13" t="s">
        <v>3618</v>
      </c>
      <c r="H875" s="13" t="s">
        <v>3619</v>
      </c>
      <c r="I875" s="13" t="s">
        <v>82</v>
      </c>
      <c r="J875" s="13" t="s">
        <v>83</v>
      </c>
      <c r="K875" s="13"/>
      <c r="L875" s="13" t="s">
        <v>3620</v>
      </c>
      <c r="M875" s="13" t="s">
        <v>3621</v>
      </c>
    </row>
    <row r="876" customFormat="false" ht="147" hidden="false" customHeight="false" outlineLevel="0" collapsed="false">
      <c r="A876" s="13" t="s">
        <v>3</v>
      </c>
      <c r="B876" s="13" t="s">
        <v>2150</v>
      </c>
      <c r="C876" s="13" t="n">
        <v>290</v>
      </c>
      <c r="D876" s="13" t="s">
        <v>3615</v>
      </c>
      <c r="E876" s="13" t="s">
        <v>3622</v>
      </c>
      <c r="F876" s="13" t="s">
        <v>3574</v>
      </c>
      <c r="G876" s="13" t="s">
        <v>736</v>
      </c>
      <c r="H876" s="13" t="s">
        <v>3623</v>
      </c>
      <c r="I876" s="13" t="s">
        <v>82</v>
      </c>
      <c r="J876" s="13" t="s">
        <v>83</v>
      </c>
      <c r="K876" s="13"/>
      <c r="L876" s="13" t="s">
        <v>3620</v>
      </c>
      <c r="M876" s="13" t="s">
        <v>3621</v>
      </c>
    </row>
    <row r="877" customFormat="false" ht="147" hidden="false" customHeight="false" outlineLevel="0" collapsed="false">
      <c r="A877" s="13" t="s">
        <v>3</v>
      </c>
      <c r="B877" s="13" t="s">
        <v>2150</v>
      </c>
      <c r="C877" s="13" t="n">
        <v>290</v>
      </c>
      <c r="D877" s="13" t="s">
        <v>3615</v>
      </c>
      <c r="E877" s="13" t="s">
        <v>3624</v>
      </c>
      <c r="F877" s="13" t="s">
        <v>3625</v>
      </c>
      <c r="G877" s="13" t="s">
        <v>736</v>
      </c>
      <c r="H877" s="13" t="s">
        <v>3626</v>
      </c>
      <c r="I877" s="13" t="s">
        <v>82</v>
      </c>
      <c r="J877" s="13" t="s">
        <v>83</v>
      </c>
      <c r="K877" s="13"/>
      <c r="L877" s="13" t="s">
        <v>3620</v>
      </c>
      <c r="M877" s="13" t="s">
        <v>3621</v>
      </c>
    </row>
    <row r="878" customFormat="false" ht="147" hidden="false" customHeight="false" outlineLevel="0" collapsed="false">
      <c r="A878" s="13" t="s">
        <v>3</v>
      </c>
      <c r="B878" s="13" t="s">
        <v>2150</v>
      </c>
      <c r="C878" s="13" t="n">
        <v>290</v>
      </c>
      <c r="D878" s="13" t="s">
        <v>3615</v>
      </c>
      <c r="E878" s="13" t="s">
        <v>3627</v>
      </c>
      <c r="F878" s="13" t="s">
        <v>3574</v>
      </c>
      <c r="G878" s="13" t="s">
        <v>3628</v>
      </c>
      <c r="H878" s="13" t="s">
        <v>3629</v>
      </c>
      <c r="I878" s="13" t="s">
        <v>82</v>
      </c>
      <c r="J878" s="13" t="s">
        <v>83</v>
      </c>
      <c r="K878" s="13"/>
      <c r="L878" s="13" t="s">
        <v>3620</v>
      </c>
      <c r="M878" s="13" t="s">
        <v>3621</v>
      </c>
    </row>
    <row r="879" customFormat="false" ht="147" hidden="false" customHeight="false" outlineLevel="0" collapsed="false">
      <c r="A879" s="13" t="s">
        <v>3</v>
      </c>
      <c r="B879" s="13" t="s">
        <v>2150</v>
      </c>
      <c r="C879" s="13" t="n">
        <v>290</v>
      </c>
      <c r="D879" s="13" t="s">
        <v>3615</v>
      </c>
      <c r="E879" s="13" t="s">
        <v>3630</v>
      </c>
      <c r="F879" s="13" t="s">
        <v>3631</v>
      </c>
      <c r="G879" s="13" t="s">
        <v>3628</v>
      </c>
      <c r="H879" s="13" t="s">
        <v>3632</v>
      </c>
      <c r="I879" s="13" t="s">
        <v>82</v>
      </c>
      <c r="J879" s="13" t="s">
        <v>83</v>
      </c>
      <c r="K879" s="13"/>
      <c r="L879" s="13" t="s">
        <v>3620</v>
      </c>
      <c r="M879" s="13" t="s">
        <v>3621</v>
      </c>
    </row>
    <row r="880" customFormat="false" ht="23.85" hidden="false" customHeight="false" outlineLevel="0" collapsed="false">
      <c r="A880" s="13" t="s">
        <v>3</v>
      </c>
      <c r="B880" s="13" t="s">
        <v>2150</v>
      </c>
      <c r="C880" s="13" t="n">
        <v>290</v>
      </c>
      <c r="D880" s="13" t="s">
        <v>3633</v>
      </c>
      <c r="E880" s="13" t="s">
        <v>3634</v>
      </c>
      <c r="F880" s="13" t="s">
        <v>3635</v>
      </c>
      <c r="G880" s="13" t="s">
        <v>669</v>
      </c>
      <c r="H880" s="13" t="s">
        <v>3636</v>
      </c>
      <c r="I880" s="13" t="s">
        <v>82</v>
      </c>
      <c r="J880" s="13" t="s">
        <v>83</v>
      </c>
      <c r="K880" s="13"/>
      <c r="L880" s="13" t="s">
        <v>3637</v>
      </c>
      <c r="M880" s="13" t="s">
        <v>3638</v>
      </c>
    </row>
    <row r="881" customFormat="false" ht="113.4" hidden="false" customHeight="false" outlineLevel="0" collapsed="false">
      <c r="A881" s="13" t="s">
        <v>3</v>
      </c>
      <c r="B881" s="13" t="s">
        <v>2150</v>
      </c>
      <c r="C881" s="13" t="n">
        <v>290</v>
      </c>
      <c r="D881" s="13" t="s">
        <v>3639</v>
      </c>
      <c r="E881" s="13" t="s">
        <v>3640</v>
      </c>
      <c r="F881" s="13" t="s">
        <v>3641</v>
      </c>
      <c r="G881" s="13" t="s">
        <v>3642</v>
      </c>
      <c r="H881" s="13" t="s">
        <v>3574</v>
      </c>
      <c r="I881" s="13" t="s">
        <v>82</v>
      </c>
      <c r="J881" s="13" t="s">
        <v>83</v>
      </c>
      <c r="K881" s="13"/>
      <c r="L881" s="13" t="s">
        <v>3643</v>
      </c>
      <c r="M881" s="13" t="s">
        <v>3644</v>
      </c>
    </row>
    <row r="882" customFormat="false" ht="113.4" hidden="false" customHeight="false" outlineLevel="0" collapsed="false">
      <c r="A882" s="13" t="s">
        <v>3</v>
      </c>
      <c r="B882" s="13" t="s">
        <v>2150</v>
      </c>
      <c r="C882" s="13" t="n">
        <v>290</v>
      </c>
      <c r="D882" s="13" t="s">
        <v>3639</v>
      </c>
      <c r="E882" s="13" t="s">
        <v>3645</v>
      </c>
      <c r="F882" s="13" t="s">
        <v>3355</v>
      </c>
      <c r="G882" s="13" t="s">
        <v>257</v>
      </c>
      <c r="H882" s="13" t="s">
        <v>3646</v>
      </c>
      <c r="I882" s="13" t="s">
        <v>82</v>
      </c>
      <c r="J882" s="13" t="s">
        <v>83</v>
      </c>
      <c r="K882" s="13"/>
      <c r="L882" s="13" t="s">
        <v>3643</v>
      </c>
      <c r="M882" s="13" t="s">
        <v>3644</v>
      </c>
    </row>
    <row r="883" customFormat="false" ht="113.4" hidden="false" customHeight="false" outlineLevel="0" collapsed="false">
      <c r="A883" s="13" t="s">
        <v>3</v>
      </c>
      <c r="B883" s="13" t="s">
        <v>2150</v>
      </c>
      <c r="C883" s="13" t="n">
        <v>290</v>
      </c>
      <c r="D883" s="13" t="s">
        <v>3639</v>
      </c>
      <c r="E883" s="13" t="s">
        <v>3647</v>
      </c>
      <c r="F883" s="13" t="s">
        <v>3648</v>
      </c>
      <c r="G883" s="13" t="s">
        <v>3649</v>
      </c>
      <c r="H883" s="13" t="s">
        <v>3636</v>
      </c>
      <c r="I883" s="13" t="s">
        <v>82</v>
      </c>
      <c r="J883" s="13" t="s">
        <v>83</v>
      </c>
      <c r="K883" s="13"/>
      <c r="L883" s="13" t="s">
        <v>3643</v>
      </c>
      <c r="M883" s="13" t="s">
        <v>3644</v>
      </c>
    </row>
    <row r="884" customFormat="false" ht="113.4" hidden="false" customHeight="false" outlineLevel="0" collapsed="false">
      <c r="A884" s="13" t="s">
        <v>3</v>
      </c>
      <c r="B884" s="13" t="s">
        <v>2150</v>
      </c>
      <c r="C884" s="13" t="n">
        <v>290</v>
      </c>
      <c r="D884" s="13" t="s">
        <v>3639</v>
      </c>
      <c r="E884" s="13" t="s">
        <v>3650</v>
      </c>
      <c r="F884" s="13" t="s">
        <v>3651</v>
      </c>
      <c r="G884" s="13" t="s">
        <v>327</v>
      </c>
      <c r="H884" s="13" t="s">
        <v>3652</v>
      </c>
      <c r="I884" s="13" t="s">
        <v>82</v>
      </c>
      <c r="J884" s="13" t="s">
        <v>83</v>
      </c>
      <c r="K884" s="13"/>
      <c r="L884" s="13" t="s">
        <v>3643</v>
      </c>
      <c r="M884" s="13" t="s">
        <v>3644</v>
      </c>
    </row>
    <row r="885" customFormat="false" ht="23.85" hidden="false" customHeight="false" outlineLevel="0" collapsed="false">
      <c r="A885" s="13" t="s">
        <v>3</v>
      </c>
      <c r="B885" s="13" t="s">
        <v>2150</v>
      </c>
      <c r="C885" s="13" t="n">
        <v>290</v>
      </c>
      <c r="D885" s="13" t="s">
        <v>3653</v>
      </c>
      <c r="E885" s="13" t="s">
        <v>3654</v>
      </c>
      <c r="F885" s="13" t="s">
        <v>3355</v>
      </c>
      <c r="G885" s="13" t="s">
        <v>1054</v>
      </c>
      <c r="H885" s="13" t="s">
        <v>3655</v>
      </c>
      <c r="I885" s="13" t="s">
        <v>82</v>
      </c>
      <c r="J885" s="13" t="s">
        <v>83</v>
      </c>
      <c r="K885" s="13"/>
      <c r="L885" s="13" t="s">
        <v>3656</v>
      </c>
      <c r="M885" s="13" t="s">
        <v>3657</v>
      </c>
    </row>
    <row r="886" customFormat="false" ht="35.05" hidden="false" customHeight="false" outlineLevel="0" collapsed="false">
      <c r="A886" s="13" t="s">
        <v>3</v>
      </c>
      <c r="B886" s="13" t="s">
        <v>2150</v>
      </c>
      <c r="C886" s="13" t="n">
        <v>290</v>
      </c>
      <c r="D886" s="13" t="s">
        <v>3658</v>
      </c>
      <c r="E886" s="13" t="s">
        <v>3659</v>
      </c>
      <c r="F886" s="13" t="s">
        <v>1425</v>
      </c>
      <c r="G886" s="13" t="s">
        <v>3660</v>
      </c>
      <c r="H886" s="13" t="s">
        <v>3617</v>
      </c>
      <c r="I886" s="13" t="s">
        <v>82</v>
      </c>
      <c r="J886" s="13" t="s">
        <v>83</v>
      </c>
      <c r="K886" s="13"/>
      <c r="L886" s="13" t="s">
        <v>3661</v>
      </c>
      <c r="M886" s="13" t="s">
        <v>3662</v>
      </c>
    </row>
    <row r="887" customFormat="false" ht="35.05" hidden="false" customHeight="false" outlineLevel="0" collapsed="false">
      <c r="A887" s="13" t="s">
        <v>3</v>
      </c>
      <c r="B887" s="13" t="s">
        <v>2150</v>
      </c>
      <c r="C887" s="13" t="n">
        <v>290</v>
      </c>
      <c r="D887" s="13" t="s">
        <v>3658</v>
      </c>
      <c r="E887" s="13" t="s">
        <v>3663</v>
      </c>
      <c r="F887" s="13" t="s">
        <v>3664</v>
      </c>
      <c r="G887" s="13" t="s">
        <v>2430</v>
      </c>
      <c r="H887" s="13" t="s">
        <v>3665</v>
      </c>
      <c r="I887" s="13" t="s">
        <v>82</v>
      </c>
      <c r="J887" s="13" t="s">
        <v>83</v>
      </c>
      <c r="K887" s="13"/>
      <c r="L887" s="13" t="s">
        <v>3661</v>
      </c>
      <c r="M887" s="13" t="s">
        <v>3662</v>
      </c>
    </row>
    <row r="888" customFormat="false" ht="113.4" hidden="false" customHeight="false" outlineLevel="0" collapsed="false">
      <c r="A888" s="13" t="s">
        <v>3</v>
      </c>
      <c r="B888" s="13" t="s">
        <v>2150</v>
      </c>
      <c r="C888" s="13" t="n">
        <v>290</v>
      </c>
      <c r="D888" s="13" t="s">
        <v>3666</v>
      </c>
      <c r="E888" s="13" t="s">
        <v>3667</v>
      </c>
      <c r="F888" s="13" t="s">
        <v>3668</v>
      </c>
      <c r="G888" s="13" t="s">
        <v>3669</v>
      </c>
      <c r="H888" s="13" t="s">
        <v>3670</v>
      </c>
      <c r="I888" s="13" t="s">
        <v>82</v>
      </c>
      <c r="J888" s="13" t="s">
        <v>83</v>
      </c>
      <c r="K888" s="13"/>
      <c r="L888" s="13" t="s">
        <v>3671</v>
      </c>
      <c r="M888" s="13" t="s">
        <v>3672</v>
      </c>
    </row>
    <row r="889" customFormat="false" ht="113.4" hidden="false" customHeight="false" outlineLevel="0" collapsed="false">
      <c r="A889" s="13" t="s">
        <v>3</v>
      </c>
      <c r="B889" s="13" t="s">
        <v>2150</v>
      </c>
      <c r="C889" s="13" t="n">
        <v>290</v>
      </c>
      <c r="D889" s="13" t="s">
        <v>3666</v>
      </c>
      <c r="E889" s="13" t="s">
        <v>3673</v>
      </c>
      <c r="F889" s="13" t="s">
        <v>3670</v>
      </c>
      <c r="G889" s="13" t="s">
        <v>3674</v>
      </c>
      <c r="H889" s="13" t="s">
        <v>3675</v>
      </c>
      <c r="I889" s="13" t="s">
        <v>82</v>
      </c>
      <c r="J889" s="13" t="s">
        <v>83</v>
      </c>
      <c r="K889" s="13"/>
      <c r="L889" s="13" t="s">
        <v>3671</v>
      </c>
      <c r="M889" s="13" t="s">
        <v>3672</v>
      </c>
    </row>
    <row r="890" customFormat="false" ht="113.4" hidden="false" customHeight="false" outlineLevel="0" collapsed="false">
      <c r="A890" s="13" t="s">
        <v>3</v>
      </c>
      <c r="B890" s="13" t="s">
        <v>2150</v>
      </c>
      <c r="C890" s="13" t="n">
        <v>290</v>
      </c>
      <c r="D890" s="13" t="s">
        <v>3666</v>
      </c>
      <c r="E890" s="13" t="s">
        <v>3676</v>
      </c>
      <c r="F890" s="13" t="s">
        <v>3355</v>
      </c>
      <c r="G890" s="13" t="s">
        <v>3677</v>
      </c>
      <c r="H890" s="13" t="s">
        <v>3678</v>
      </c>
      <c r="I890" s="13" t="s">
        <v>82</v>
      </c>
      <c r="J890" s="13" t="s">
        <v>83</v>
      </c>
      <c r="K890" s="13"/>
      <c r="L890" s="13" t="s">
        <v>3671</v>
      </c>
      <c r="M890" s="13" t="s">
        <v>3672</v>
      </c>
    </row>
    <row r="891" customFormat="false" ht="113.4" hidden="false" customHeight="false" outlineLevel="0" collapsed="false">
      <c r="A891" s="13" t="s">
        <v>3</v>
      </c>
      <c r="B891" s="13" t="s">
        <v>2150</v>
      </c>
      <c r="C891" s="13" t="n">
        <v>290</v>
      </c>
      <c r="D891" s="13" t="s">
        <v>3666</v>
      </c>
      <c r="E891" s="13" t="s">
        <v>3679</v>
      </c>
      <c r="F891" s="13" t="s">
        <v>3680</v>
      </c>
      <c r="G891" s="13" t="s">
        <v>3681</v>
      </c>
      <c r="H891" s="13" t="s">
        <v>3355</v>
      </c>
      <c r="I891" s="13" t="s">
        <v>74</v>
      </c>
      <c r="J891" s="13" t="s">
        <v>3682</v>
      </c>
      <c r="K891" s="13" t="s">
        <v>3683</v>
      </c>
      <c r="L891" s="13" t="s">
        <v>3671</v>
      </c>
      <c r="M891" s="13" t="s">
        <v>3672</v>
      </c>
    </row>
    <row r="892" customFormat="false" ht="23.85" hidden="false" customHeight="false" outlineLevel="0" collapsed="false">
      <c r="A892" s="13" t="s">
        <v>3</v>
      </c>
      <c r="B892" s="13" t="s">
        <v>2150</v>
      </c>
      <c r="C892" s="13" t="n">
        <v>290</v>
      </c>
      <c r="D892" s="13" t="s">
        <v>3684</v>
      </c>
      <c r="E892" s="13" t="s">
        <v>3685</v>
      </c>
      <c r="F892" s="13" t="s">
        <v>3686</v>
      </c>
      <c r="G892" s="13" t="s">
        <v>154</v>
      </c>
      <c r="H892" s="13" t="s">
        <v>3687</v>
      </c>
      <c r="I892" s="13" t="s">
        <v>82</v>
      </c>
      <c r="J892" s="13" t="s">
        <v>83</v>
      </c>
      <c r="K892" s="13"/>
      <c r="L892" s="13" t="s">
        <v>3688</v>
      </c>
      <c r="M892" s="13" t="s">
        <v>3689</v>
      </c>
    </row>
    <row r="893" customFormat="false" ht="91" hidden="false" customHeight="false" outlineLevel="0" collapsed="false">
      <c r="A893" s="13" t="s">
        <v>3</v>
      </c>
      <c r="B893" s="13" t="s">
        <v>2150</v>
      </c>
      <c r="C893" s="13" t="n">
        <v>290</v>
      </c>
      <c r="D893" s="13" t="s">
        <v>3690</v>
      </c>
      <c r="E893" s="13" t="s">
        <v>3691</v>
      </c>
      <c r="F893" s="13" t="s">
        <v>3692</v>
      </c>
      <c r="G893" s="13" t="s">
        <v>257</v>
      </c>
      <c r="H893" s="13" t="s">
        <v>3693</v>
      </c>
      <c r="I893" s="13" t="s">
        <v>82</v>
      </c>
      <c r="J893" s="13" t="s">
        <v>83</v>
      </c>
      <c r="K893" s="13"/>
      <c r="L893" s="13" t="s">
        <v>3694</v>
      </c>
      <c r="M893" s="13" t="s">
        <v>3695</v>
      </c>
    </row>
    <row r="894" customFormat="false" ht="91" hidden="false" customHeight="false" outlineLevel="0" collapsed="false">
      <c r="A894" s="13" t="s">
        <v>3</v>
      </c>
      <c r="B894" s="13" t="s">
        <v>2150</v>
      </c>
      <c r="C894" s="13" t="n">
        <v>290</v>
      </c>
      <c r="D894" s="13" t="s">
        <v>3690</v>
      </c>
      <c r="E894" s="13" t="s">
        <v>3696</v>
      </c>
      <c r="F894" s="13" t="s">
        <v>3692</v>
      </c>
      <c r="G894" s="13" t="s">
        <v>257</v>
      </c>
      <c r="H894" s="13" t="s">
        <v>3697</v>
      </c>
      <c r="I894" s="13" t="s">
        <v>82</v>
      </c>
      <c r="J894" s="13" t="s">
        <v>83</v>
      </c>
      <c r="K894" s="13"/>
      <c r="L894" s="13" t="s">
        <v>3694</v>
      </c>
      <c r="M894" s="13" t="s">
        <v>3695</v>
      </c>
    </row>
    <row r="895" customFormat="false" ht="91" hidden="false" customHeight="false" outlineLevel="0" collapsed="false">
      <c r="A895" s="13" t="s">
        <v>3</v>
      </c>
      <c r="B895" s="13" t="s">
        <v>2150</v>
      </c>
      <c r="C895" s="13" t="n">
        <v>290</v>
      </c>
      <c r="D895" s="13" t="s">
        <v>3690</v>
      </c>
      <c r="E895" s="13" t="s">
        <v>3698</v>
      </c>
      <c r="F895" s="13" t="s">
        <v>3574</v>
      </c>
      <c r="G895" s="13" t="s">
        <v>579</v>
      </c>
      <c r="H895" s="13" t="s">
        <v>3692</v>
      </c>
      <c r="I895" s="13" t="s">
        <v>82</v>
      </c>
      <c r="J895" s="13" t="s">
        <v>83</v>
      </c>
      <c r="K895" s="13"/>
      <c r="L895" s="13" t="s">
        <v>3694</v>
      </c>
      <c r="M895" s="13" t="s">
        <v>3695</v>
      </c>
    </row>
    <row r="896" customFormat="false" ht="91" hidden="false" customHeight="false" outlineLevel="0" collapsed="false">
      <c r="A896" s="13" t="s">
        <v>3</v>
      </c>
      <c r="B896" s="13" t="s">
        <v>2150</v>
      </c>
      <c r="C896" s="13" t="n">
        <v>290</v>
      </c>
      <c r="D896" s="13" t="s">
        <v>3690</v>
      </c>
      <c r="E896" s="13" t="s">
        <v>3699</v>
      </c>
      <c r="F896" s="13" t="s">
        <v>3692</v>
      </c>
      <c r="G896" s="13" t="s">
        <v>1303</v>
      </c>
      <c r="H896" s="13" t="s">
        <v>3700</v>
      </c>
      <c r="I896" s="13" t="s">
        <v>74</v>
      </c>
      <c r="J896" s="13" t="s">
        <v>3701</v>
      </c>
      <c r="K896" s="13" t="s">
        <v>3702</v>
      </c>
      <c r="L896" s="13" t="s">
        <v>3694</v>
      </c>
      <c r="M896" s="13" t="s">
        <v>3695</v>
      </c>
    </row>
    <row r="897" customFormat="false" ht="23.85" hidden="false" customHeight="false" outlineLevel="0" collapsed="false">
      <c r="A897" s="13" t="s">
        <v>3</v>
      </c>
      <c r="B897" s="13" t="s">
        <v>2150</v>
      </c>
      <c r="C897" s="13" t="n">
        <v>301</v>
      </c>
      <c r="D897" s="13" t="s">
        <v>3703</v>
      </c>
      <c r="E897" s="13" t="s">
        <v>3704</v>
      </c>
      <c r="F897" s="13" t="s">
        <v>3355</v>
      </c>
      <c r="G897" s="13" t="s">
        <v>1303</v>
      </c>
      <c r="H897" s="13" t="s">
        <v>3705</v>
      </c>
      <c r="I897" s="13" t="s">
        <v>82</v>
      </c>
      <c r="J897" s="13" t="s">
        <v>83</v>
      </c>
      <c r="K897" s="13"/>
      <c r="L897" s="13" t="s">
        <v>3706</v>
      </c>
      <c r="M897" s="13" t="s">
        <v>3707</v>
      </c>
    </row>
    <row r="898" customFormat="false" ht="113.4" hidden="false" customHeight="false" outlineLevel="0" collapsed="false">
      <c r="A898" s="13" t="s">
        <v>3</v>
      </c>
      <c r="B898" s="13" t="s">
        <v>2150</v>
      </c>
      <c r="C898" s="13" t="n">
        <v>301</v>
      </c>
      <c r="D898" s="13" t="s">
        <v>3708</v>
      </c>
      <c r="E898" s="13" t="s">
        <v>3709</v>
      </c>
      <c r="F898" s="13" t="s">
        <v>3668</v>
      </c>
      <c r="G898" s="13" t="s">
        <v>3710</v>
      </c>
      <c r="H898" s="13" t="s">
        <v>3711</v>
      </c>
      <c r="I898" s="13" t="s">
        <v>74</v>
      </c>
      <c r="J898" s="13" t="s">
        <v>3712</v>
      </c>
      <c r="K898" s="13" t="s">
        <v>3713</v>
      </c>
      <c r="L898" s="13" t="s">
        <v>3714</v>
      </c>
      <c r="M898" s="13" t="s">
        <v>3715</v>
      </c>
    </row>
    <row r="899" customFormat="false" ht="113.4" hidden="false" customHeight="false" outlineLevel="0" collapsed="false">
      <c r="A899" s="13" t="s">
        <v>3</v>
      </c>
      <c r="B899" s="13" t="s">
        <v>2150</v>
      </c>
      <c r="C899" s="13" t="n">
        <v>301</v>
      </c>
      <c r="D899" s="13" t="s">
        <v>3708</v>
      </c>
      <c r="E899" s="13" t="s">
        <v>3716</v>
      </c>
      <c r="F899" s="13" t="s">
        <v>591</v>
      </c>
      <c r="G899" s="13" t="s">
        <v>3717</v>
      </c>
      <c r="H899" s="13" t="s">
        <v>3718</v>
      </c>
      <c r="I899" s="13" t="s">
        <v>82</v>
      </c>
      <c r="J899" s="13" t="s">
        <v>83</v>
      </c>
      <c r="K899" s="13"/>
      <c r="L899" s="13" t="s">
        <v>3714</v>
      </c>
      <c r="M899" s="13" t="s">
        <v>3715</v>
      </c>
    </row>
    <row r="900" customFormat="false" ht="113.4" hidden="false" customHeight="false" outlineLevel="0" collapsed="false">
      <c r="A900" s="13" t="s">
        <v>3</v>
      </c>
      <c r="B900" s="13" t="s">
        <v>2150</v>
      </c>
      <c r="C900" s="13" t="n">
        <v>301</v>
      </c>
      <c r="D900" s="13" t="s">
        <v>3708</v>
      </c>
      <c r="E900" s="13" t="s">
        <v>3719</v>
      </c>
      <c r="F900" s="13" t="s">
        <v>3720</v>
      </c>
      <c r="G900" s="13" t="s">
        <v>1054</v>
      </c>
      <c r="H900" s="13" t="s">
        <v>3721</v>
      </c>
      <c r="I900" s="13" t="s">
        <v>82</v>
      </c>
      <c r="J900" s="13" t="s">
        <v>83</v>
      </c>
      <c r="K900" s="13"/>
      <c r="L900" s="13" t="s">
        <v>3714</v>
      </c>
      <c r="M900" s="13" t="s">
        <v>3715</v>
      </c>
    </row>
    <row r="901" customFormat="false" ht="113.4" hidden="false" customHeight="false" outlineLevel="0" collapsed="false">
      <c r="A901" s="13" t="s">
        <v>3</v>
      </c>
      <c r="B901" s="13" t="s">
        <v>2150</v>
      </c>
      <c r="C901" s="13" t="n">
        <v>301</v>
      </c>
      <c r="D901" s="13" t="s">
        <v>3708</v>
      </c>
      <c r="E901" s="13" t="s">
        <v>3722</v>
      </c>
      <c r="F901" s="13" t="s">
        <v>3723</v>
      </c>
      <c r="G901" s="13" t="s">
        <v>1054</v>
      </c>
      <c r="H901" s="13" t="s">
        <v>3721</v>
      </c>
      <c r="I901" s="13" t="s">
        <v>82</v>
      </c>
      <c r="J901" s="13" t="s">
        <v>83</v>
      </c>
      <c r="K901" s="13"/>
      <c r="L901" s="13" t="s">
        <v>3714</v>
      </c>
      <c r="M901" s="13" t="s">
        <v>3715</v>
      </c>
    </row>
    <row r="902" customFormat="false" ht="113.4" hidden="false" customHeight="false" outlineLevel="0" collapsed="false">
      <c r="A902" s="13" t="s">
        <v>3</v>
      </c>
      <c r="B902" s="13" t="s">
        <v>2150</v>
      </c>
      <c r="C902" s="13" t="n">
        <v>301</v>
      </c>
      <c r="D902" s="13" t="s">
        <v>3708</v>
      </c>
      <c r="E902" s="13" t="s">
        <v>3724</v>
      </c>
      <c r="F902" s="13" t="s">
        <v>3725</v>
      </c>
      <c r="G902" s="13" t="s">
        <v>1054</v>
      </c>
      <c r="H902" s="13" t="s">
        <v>3721</v>
      </c>
      <c r="I902" s="13" t="s">
        <v>82</v>
      </c>
      <c r="J902" s="13" t="s">
        <v>83</v>
      </c>
      <c r="K902" s="13"/>
      <c r="L902" s="13" t="s">
        <v>3714</v>
      </c>
      <c r="M902" s="13" t="s">
        <v>3715</v>
      </c>
    </row>
    <row r="903" customFormat="false" ht="449.25" hidden="false" customHeight="false" outlineLevel="0" collapsed="false">
      <c r="A903" s="13" t="s">
        <v>3</v>
      </c>
      <c r="B903" s="13" t="s">
        <v>2150</v>
      </c>
      <c r="C903" s="13" t="n">
        <v>301</v>
      </c>
      <c r="D903" s="13" t="s">
        <v>3726</v>
      </c>
      <c r="E903" s="13" t="s">
        <v>3727</v>
      </c>
      <c r="F903" s="13" t="s">
        <v>3728</v>
      </c>
      <c r="G903" s="13" t="s">
        <v>3729</v>
      </c>
      <c r="H903" s="13" t="s">
        <v>3730</v>
      </c>
      <c r="I903" s="13" t="s">
        <v>82</v>
      </c>
      <c r="J903" s="13" t="s">
        <v>83</v>
      </c>
      <c r="K903" s="13"/>
      <c r="L903" s="13" t="s">
        <v>3731</v>
      </c>
      <c r="M903" s="13" t="s">
        <v>3732</v>
      </c>
    </row>
    <row r="904" customFormat="false" ht="449.25" hidden="false" customHeight="false" outlineLevel="0" collapsed="false">
      <c r="A904" s="13" t="s">
        <v>3</v>
      </c>
      <c r="B904" s="13" t="s">
        <v>2150</v>
      </c>
      <c r="C904" s="13" t="n">
        <v>301</v>
      </c>
      <c r="D904" s="13" t="s">
        <v>3726</v>
      </c>
      <c r="E904" s="13" t="s">
        <v>3733</v>
      </c>
      <c r="F904" s="13" t="s">
        <v>3728</v>
      </c>
      <c r="G904" s="13" t="s">
        <v>3734</v>
      </c>
      <c r="H904" s="13" t="s">
        <v>3735</v>
      </c>
      <c r="I904" s="13" t="s">
        <v>82</v>
      </c>
      <c r="J904" s="13" t="s">
        <v>83</v>
      </c>
      <c r="K904" s="13"/>
      <c r="L904" s="13" t="s">
        <v>3731</v>
      </c>
      <c r="M904" s="13" t="s">
        <v>3732</v>
      </c>
    </row>
    <row r="905" customFormat="false" ht="449.25" hidden="false" customHeight="false" outlineLevel="0" collapsed="false">
      <c r="A905" s="13" t="s">
        <v>3</v>
      </c>
      <c r="B905" s="13" t="s">
        <v>2150</v>
      </c>
      <c r="C905" s="13" t="n">
        <v>301</v>
      </c>
      <c r="D905" s="13" t="s">
        <v>3726</v>
      </c>
      <c r="E905" s="13" t="s">
        <v>3736</v>
      </c>
      <c r="F905" s="13" t="s">
        <v>3728</v>
      </c>
      <c r="G905" s="13" t="s">
        <v>3737</v>
      </c>
      <c r="H905" s="13" t="s">
        <v>3738</v>
      </c>
      <c r="I905" s="13" t="s">
        <v>82</v>
      </c>
      <c r="J905" s="13" t="s">
        <v>83</v>
      </c>
      <c r="K905" s="13"/>
      <c r="L905" s="13" t="s">
        <v>3731</v>
      </c>
      <c r="M905" s="13" t="s">
        <v>3732</v>
      </c>
    </row>
    <row r="906" customFormat="false" ht="449.25" hidden="false" customHeight="false" outlineLevel="0" collapsed="false">
      <c r="A906" s="13" t="s">
        <v>3</v>
      </c>
      <c r="B906" s="13" t="s">
        <v>2150</v>
      </c>
      <c r="C906" s="13" t="n">
        <v>301</v>
      </c>
      <c r="D906" s="13" t="s">
        <v>3726</v>
      </c>
      <c r="E906" s="13" t="s">
        <v>3739</v>
      </c>
      <c r="F906" s="13" t="s">
        <v>3728</v>
      </c>
      <c r="G906" s="13" t="s">
        <v>3740</v>
      </c>
      <c r="H906" s="13" t="s">
        <v>3741</v>
      </c>
      <c r="I906" s="13" t="s">
        <v>82</v>
      </c>
      <c r="J906" s="13" t="s">
        <v>83</v>
      </c>
      <c r="K906" s="13"/>
      <c r="L906" s="13" t="s">
        <v>3731</v>
      </c>
      <c r="M906" s="13" t="s">
        <v>3732</v>
      </c>
    </row>
    <row r="907" customFormat="false" ht="449.25" hidden="false" customHeight="false" outlineLevel="0" collapsed="false">
      <c r="A907" s="13" t="s">
        <v>3</v>
      </c>
      <c r="B907" s="13" t="s">
        <v>2150</v>
      </c>
      <c r="C907" s="13" t="n">
        <v>301</v>
      </c>
      <c r="D907" s="13" t="s">
        <v>3726</v>
      </c>
      <c r="E907" s="13" t="s">
        <v>3742</v>
      </c>
      <c r="F907" s="13" t="s">
        <v>3741</v>
      </c>
      <c r="G907" s="13" t="s">
        <v>3743</v>
      </c>
      <c r="H907" s="13" t="s">
        <v>3744</v>
      </c>
      <c r="I907" s="13" t="s">
        <v>82</v>
      </c>
      <c r="J907" s="13" t="s">
        <v>83</v>
      </c>
      <c r="K907" s="13"/>
      <c r="L907" s="13" t="s">
        <v>3731</v>
      </c>
      <c r="M907" s="13" t="s">
        <v>3732</v>
      </c>
    </row>
    <row r="908" customFormat="false" ht="449.25" hidden="false" customHeight="false" outlineLevel="0" collapsed="false">
      <c r="A908" s="13" t="s">
        <v>3</v>
      </c>
      <c r="B908" s="13" t="s">
        <v>2150</v>
      </c>
      <c r="C908" s="13" t="n">
        <v>301</v>
      </c>
      <c r="D908" s="13" t="s">
        <v>3726</v>
      </c>
      <c r="E908" s="13" t="s">
        <v>3745</v>
      </c>
      <c r="F908" s="13" t="s">
        <v>3744</v>
      </c>
      <c r="G908" s="13" t="s">
        <v>3746</v>
      </c>
      <c r="H908" s="13" t="s">
        <v>806</v>
      </c>
      <c r="I908" s="13" t="s">
        <v>82</v>
      </c>
      <c r="J908" s="13" t="s">
        <v>83</v>
      </c>
      <c r="K908" s="13"/>
      <c r="L908" s="13" t="s">
        <v>3731</v>
      </c>
      <c r="M908" s="13" t="s">
        <v>3732</v>
      </c>
    </row>
    <row r="909" customFormat="false" ht="449.25" hidden="false" customHeight="false" outlineLevel="0" collapsed="false">
      <c r="A909" s="13" t="s">
        <v>3</v>
      </c>
      <c r="B909" s="13" t="s">
        <v>2150</v>
      </c>
      <c r="C909" s="13" t="n">
        <v>301</v>
      </c>
      <c r="D909" s="13" t="s">
        <v>3726</v>
      </c>
      <c r="E909" s="13" t="s">
        <v>3747</v>
      </c>
      <c r="F909" s="13" t="s">
        <v>806</v>
      </c>
      <c r="G909" s="13" t="s">
        <v>3748</v>
      </c>
      <c r="H909" s="13" t="s">
        <v>3749</v>
      </c>
      <c r="I909" s="13" t="s">
        <v>82</v>
      </c>
      <c r="J909" s="13" t="s">
        <v>83</v>
      </c>
      <c r="K909" s="13"/>
      <c r="L909" s="13" t="s">
        <v>3731</v>
      </c>
      <c r="M909" s="13" t="s">
        <v>3732</v>
      </c>
    </row>
    <row r="910" customFormat="false" ht="449.25" hidden="false" customHeight="false" outlineLevel="0" collapsed="false">
      <c r="A910" s="13" t="s">
        <v>3</v>
      </c>
      <c r="B910" s="13" t="s">
        <v>2150</v>
      </c>
      <c r="C910" s="13" t="n">
        <v>301</v>
      </c>
      <c r="D910" s="13" t="s">
        <v>3726</v>
      </c>
      <c r="E910" s="13" t="s">
        <v>3750</v>
      </c>
      <c r="F910" s="13" t="s">
        <v>1601</v>
      </c>
      <c r="G910" s="13" t="s">
        <v>3751</v>
      </c>
      <c r="H910" s="13" t="s">
        <v>3752</v>
      </c>
      <c r="I910" s="13" t="s">
        <v>82</v>
      </c>
      <c r="J910" s="13" t="s">
        <v>83</v>
      </c>
      <c r="K910" s="13"/>
      <c r="L910" s="13" t="s">
        <v>3731</v>
      </c>
      <c r="M910" s="13" t="s">
        <v>3732</v>
      </c>
    </row>
    <row r="911" customFormat="false" ht="449.25" hidden="false" customHeight="false" outlineLevel="0" collapsed="false">
      <c r="A911" s="13" t="s">
        <v>3</v>
      </c>
      <c r="B911" s="13" t="s">
        <v>2150</v>
      </c>
      <c r="C911" s="13" t="n">
        <v>301</v>
      </c>
      <c r="D911" s="13" t="s">
        <v>3726</v>
      </c>
      <c r="E911" s="13" t="s">
        <v>3753</v>
      </c>
      <c r="F911" s="13" t="s">
        <v>1601</v>
      </c>
      <c r="G911" s="13" t="s">
        <v>3754</v>
      </c>
      <c r="H911" s="13" t="s">
        <v>3755</v>
      </c>
      <c r="I911" s="13" t="s">
        <v>82</v>
      </c>
      <c r="J911" s="13" t="s">
        <v>83</v>
      </c>
      <c r="K911" s="13"/>
      <c r="L911" s="13" t="s">
        <v>3731</v>
      </c>
      <c r="M911" s="13" t="s">
        <v>3732</v>
      </c>
    </row>
    <row r="912" customFormat="false" ht="449.25" hidden="false" customHeight="false" outlineLevel="0" collapsed="false">
      <c r="A912" s="13" t="s">
        <v>3</v>
      </c>
      <c r="B912" s="13" t="s">
        <v>2150</v>
      </c>
      <c r="C912" s="13" t="n">
        <v>301</v>
      </c>
      <c r="D912" s="13" t="s">
        <v>3726</v>
      </c>
      <c r="E912" s="13" t="s">
        <v>3756</v>
      </c>
      <c r="F912" s="13" t="s">
        <v>806</v>
      </c>
      <c r="G912" s="13" t="s">
        <v>3757</v>
      </c>
      <c r="H912" s="13" t="s">
        <v>3758</v>
      </c>
      <c r="I912" s="13" t="s">
        <v>82</v>
      </c>
      <c r="J912" s="13" t="s">
        <v>83</v>
      </c>
      <c r="K912" s="13"/>
      <c r="L912" s="13" t="s">
        <v>3731</v>
      </c>
      <c r="M912" s="13" t="s">
        <v>3732</v>
      </c>
    </row>
    <row r="913" customFormat="false" ht="46.25" hidden="false" customHeight="false" outlineLevel="0" collapsed="false">
      <c r="A913" s="13" t="s">
        <v>3</v>
      </c>
      <c r="B913" s="13" t="s">
        <v>2150</v>
      </c>
      <c r="C913" s="13" t="n">
        <v>313</v>
      </c>
      <c r="D913" s="13" t="s">
        <v>3759</v>
      </c>
      <c r="E913" s="13" t="s">
        <v>3760</v>
      </c>
      <c r="F913" s="13" t="s">
        <v>3761</v>
      </c>
      <c r="G913" s="13" t="s">
        <v>736</v>
      </c>
      <c r="H913" s="13" t="s">
        <v>3762</v>
      </c>
      <c r="I913" s="13" t="s">
        <v>82</v>
      </c>
      <c r="J913" s="13" t="s">
        <v>83</v>
      </c>
      <c r="K913" s="13"/>
      <c r="L913" s="13" t="s">
        <v>3763</v>
      </c>
      <c r="M913" s="13" t="s">
        <v>3764</v>
      </c>
    </row>
    <row r="914" customFormat="false" ht="46.25" hidden="false" customHeight="false" outlineLevel="0" collapsed="false">
      <c r="A914" s="13" t="s">
        <v>3</v>
      </c>
      <c r="B914" s="13" t="s">
        <v>2150</v>
      </c>
      <c r="C914" s="13" t="n">
        <v>313</v>
      </c>
      <c r="D914" s="13" t="s">
        <v>3765</v>
      </c>
      <c r="E914" s="13" t="s">
        <v>3766</v>
      </c>
      <c r="F914" s="13" t="s">
        <v>3767</v>
      </c>
      <c r="G914" s="13" t="s">
        <v>736</v>
      </c>
      <c r="H914" s="13" t="s">
        <v>3768</v>
      </c>
      <c r="I914" s="13" t="s">
        <v>82</v>
      </c>
      <c r="J914" s="13" t="s">
        <v>83</v>
      </c>
      <c r="K914" s="13"/>
      <c r="L914" s="13" t="s">
        <v>3769</v>
      </c>
      <c r="M914" s="13" t="s">
        <v>3770</v>
      </c>
    </row>
    <row r="915" customFormat="false" ht="57.45" hidden="false" customHeight="false" outlineLevel="0" collapsed="false">
      <c r="A915" s="13" t="s">
        <v>3</v>
      </c>
      <c r="B915" s="13" t="s">
        <v>2150</v>
      </c>
      <c r="C915" s="13" t="n">
        <v>313</v>
      </c>
      <c r="D915" s="13" t="s">
        <v>3771</v>
      </c>
      <c r="E915" s="13" t="s">
        <v>3772</v>
      </c>
      <c r="F915" s="13" t="s">
        <v>3773</v>
      </c>
      <c r="G915" s="13" t="s">
        <v>736</v>
      </c>
      <c r="H915" s="13" t="s">
        <v>3774</v>
      </c>
      <c r="I915" s="13" t="s">
        <v>82</v>
      </c>
      <c r="J915" s="13" t="s">
        <v>83</v>
      </c>
      <c r="K915" s="13"/>
      <c r="L915" s="13" t="s">
        <v>3775</v>
      </c>
      <c r="M915" s="13" t="s">
        <v>3776</v>
      </c>
    </row>
    <row r="916" customFormat="false" ht="91" hidden="false" customHeight="false" outlineLevel="0" collapsed="false">
      <c r="A916" s="13" t="s">
        <v>3</v>
      </c>
      <c r="B916" s="13" t="s">
        <v>2150</v>
      </c>
      <c r="C916" s="13" t="n">
        <v>313</v>
      </c>
      <c r="D916" s="13" t="s">
        <v>3777</v>
      </c>
      <c r="E916" s="13" t="s">
        <v>3778</v>
      </c>
      <c r="F916" s="13" t="s">
        <v>3779</v>
      </c>
      <c r="G916" s="13" t="s">
        <v>736</v>
      </c>
      <c r="H916" s="13" t="s">
        <v>3774</v>
      </c>
      <c r="I916" s="13" t="s">
        <v>82</v>
      </c>
      <c r="J916" s="13" t="s">
        <v>83</v>
      </c>
      <c r="K916" s="13"/>
      <c r="L916" s="13" t="s">
        <v>3780</v>
      </c>
      <c r="M916" s="13" t="s">
        <v>3781</v>
      </c>
    </row>
    <row r="917" customFormat="false" ht="91" hidden="false" customHeight="false" outlineLevel="0" collapsed="false">
      <c r="A917" s="13" t="s">
        <v>3</v>
      </c>
      <c r="B917" s="13" t="s">
        <v>2150</v>
      </c>
      <c r="C917" s="13" t="n">
        <v>313</v>
      </c>
      <c r="D917" s="13" t="s">
        <v>3777</v>
      </c>
      <c r="E917" s="13" t="s">
        <v>3782</v>
      </c>
      <c r="F917" s="13" t="s">
        <v>806</v>
      </c>
      <c r="G917" s="13" t="s">
        <v>3783</v>
      </c>
      <c r="H917" s="13" t="s">
        <v>3784</v>
      </c>
      <c r="I917" s="13" t="s">
        <v>82</v>
      </c>
      <c r="J917" s="13" t="s">
        <v>83</v>
      </c>
      <c r="K917" s="13"/>
      <c r="L917" s="13" t="s">
        <v>3780</v>
      </c>
      <c r="M917" s="13" t="s">
        <v>3781</v>
      </c>
    </row>
    <row r="918" customFormat="false" ht="91" hidden="false" customHeight="false" outlineLevel="0" collapsed="false">
      <c r="A918" s="13" t="s">
        <v>3</v>
      </c>
      <c r="B918" s="13" t="s">
        <v>2150</v>
      </c>
      <c r="C918" s="13" t="n">
        <v>313</v>
      </c>
      <c r="D918" s="13" t="s">
        <v>3777</v>
      </c>
      <c r="E918" s="13" t="s">
        <v>3785</v>
      </c>
      <c r="F918" s="13" t="s">
        <v>3784</v>
      </c>
      <c r="G918" s="13" t="s">
        <v>736</v>
      </c>
      <c r="H918" s="13" t="s">
        <v>3786</v>
      </c>
      <c r="I918" s="13" t="s">
        <v>82</v>
      </c>
      <c r="J918" s="13" t="s">
        <v>83</v>
      </c>
      <c r="K918" s="13"/>
      <c r="L918" s="13" t="s">
        <v>3780</v>
      </c>
      <c r="M918" s="13" t="s">
        <v>3781</v>
      </c>
    </row>
    <row r="919" customFormat="false" ht="79.85" hidden="false" customHeight="false" outlineLevel="0" collapsed="false">
      <c r="A919" s="13" t="s">
        <v>3</v>
      </c>
      <c r="B919" s="13" t="s">
        <v>2150</v>
      </c>
      <c r="C919" s="13" t="n">
        <v>313</v>
      </c>
      <c r="D919" s="13" t="s">
        <v>3787</v>
      </c>
      <c r="E919" s="13" t="s">
        <v>3788</v>
      </c>
      <c r="F919" s="13" t="s">
        <v>3789</v>
      </c>
      <c r="G919" s="13" t="s">
        <v>3790</v>
      </c>
      <c r="H919" s="13" t="s">
        <v>3791</v>
      </c>
      <c r="I919" s="13" t="s">
        <v>82</v>
      </c>
      <c r="J919" s="13" t="s">
        <v>83</v>
      </c>
      <c r="K919" s="13"/>
      <c r="L919" s="13" t="s">
        <v>3792</v>
      </c>
      <c r="M919" s="13" t="s">
        <v>3793</v>
      </c>
    </row>
    <row r="920" customFormat="false" ht="79.85" hidden="false" customHeight="false" outlineLevel="0" collapsed="false">
      <c r="A920" s="13" t="s">
        <v>3</v>
      </c>
      <c r="B920" s="13" t="s">
        <v>2150</v>
      </c>
      <c r="C920" s="13" t="n">
        <v>313</v>
      </c>
      <c r="D920" s="13" t="s">
        <v>3787</v>
      </c>
      <c r="E920" s="13" t="s">
        <v>3794</v>
      </c>
      <c r="F920" s="13" t="s">
        <v>3789</v>
      </c>
      <c r="G920" s="13" t="s">
        <v>3795</v>
      </c>
      <c r="H920" s="13" t="s">
        <v>3796</v>
      </c>
      <c r="I920" s="13" t="s">
        <v>82</v>
      </c>
      <c r="J920" s="13" t="s">
        <v>83</v>
      </c>
      <c r="K920" s="13"/>
      <c r="L920" s="13" t="s">
        <v>3792</v>
      </c>
      <c r="M920" s="13" t="s">
        <v>3793</v>
      </c>
    </row>
    <row r="921" customFormat="false" ht="79.85" hidden="false" customHeight="false" outlineLevel="0" collapsed="false">
      <c r="A921" s="13" t="s">
        <v>3</v>
      </c>
      <c r="B921" s="13" t="s">
        <v>2150</v>
      </c>
      <c r="C921" s="13" t="n">
        <v>313</v>
      </c>
      <c r="D921" s="13" t="s">
        <v>3787</v>
      </c>
      <c r="E921" s="13" t="s">
        <v>3797</v>
      </c>
      <c r="F921" s="13" t="s">
        <v>3789</v>
      </c>
      <c r="G921" s="13" t="s">
        <v>3798</v>
      </c>
      <c r="H921" s="13" t="s">
        <v>3799</v>
      </c>
      <c r="I921" s="13" t="s">
        <v>82</v>
      </c>
      <c r="J921" s="13" t="s">
        <v>83</v>
      </c>
      <c r="K921" s="13"/>
      <c r="L921" s="13" t="s">
        <v>3792</v>
      </c>
      <c r="M921" s="13" t="s">
        <v>3793</v>
      </c>
    </row>
    <row r="922" customFormat="false" ht="46.25" hidden="false" customHeight="false" outlineLevel="0" collapsed="false">
      <c r="A922" s="13" t="s">
        <v>3</v>
      </c>
      <c r="B922" s="13" t="s">
        <v>2150</v>
      </c>
      <c r="C922" s="13" t="n">
        <v>313</v>
      </c>
      <c r="D922" s="13" t="s">
        <v>3800</v>
      </c>
      <c r="E922" s="13" t="s">
        <v>3801</v>
      </c>
      <c r="F922" s="13" t="s">
        <v>3802</v>
      </c>
      <c r="G922" s="13" t="s">
        <v>3803</v>
      </c>
      <c r="H922" s="13" t="s">
        <v>3804</v>
      </c>
      <c r="I922" s="13" t="s">
        <v>82</v>
      </c>
      <c r="J922" s="13" t="s">
        <v>83</v>
      </c>
      <c r="K922" s="13"/>
      <c r="L922" s="13" t="s">
        <v>3805</v>
      </c>
      <c r="M922" s="13" t="s">
        <v>3806</v>
      </c>
    </row>
    <row r="923" customFormat="false" ht="46.25" hidden="false" customHeight="false" outlineLevel="0" collapsed="false">
      <c r="A923" s="13" t="s">
        <v>3</v>
      </c>
      <c r="B923" s="13" t="s">
        <v>2150</v>
      </c>
      <c r="C923" s="13" t="n">
        <v>313</v>
      </c>
      <c r="D923" s="13" t="s">
        <v>3800</v>
      </c>
      <c r="E923" s="13" t="s">
        <v>3807</v>
      </c>
      <c r="F923" s="13" t="s">
        <v>3804</v>
      </c>
      <c r="G923" s="13" t="s">
        <v>736</v>
      </c>
      <c r="H923" s="13" t="s">
        <v>3808</v>
      </c>
      <c r="I923" s="13" t="s">
        <v>82</v>
      </c>
      <c r="J923" s="13" t="s">
        <v>83</v>
      </c>
      <c r="K923" s="13"/>
      <c r="L923" s="13" t="s">
        <v>3805</v>
      </c>
      <c r="M923" s="13" t="s">
        <v>3806</v>
      </c>
    </row>
    <row r="924" customFormat="false" ht="46.25" hidden="false" customHeight="false" outlineLevel="0" collapsed="false">
      <c r="A924" s="13" t="s">
        <v>3</v>
      </c>
      <c r="B924" s="13" t="s">
        <v>2150</v>
      </c>
      <c r="C924" s="13" t="n">
        <v>313</v>
      </c>
      <c r="D924" s="13" t="s">
        <v>3800</v>
      </c>
      <c r="E924" s="13" t="s">
        <v>3809</v>
      </c>
      <c r="F924" s="13" t="s">
        <v>3789</v>
      </c>
      <c r="G924" s="13" t="s">
        <v>3810</v>
      </c>
      <c r="H924" s="13" t="s">
        <v>3811</v>
      </c>
      <c r="I924" s="13" t="s">
        <v>82</v>
      </c>
      <c r="J924" s="13" t="s">
        <v>83</v>
      </c>
      <c r="K924" s="13"/>
      <c r="L924" s="13" t="s">
        <v>3805</v>
      </c>
      <c r="M924" s="13" t="s">
        <v>3806</v>
      </c>
    </row>
    <row r="925" customFormat="false" ht="393.25" hidden="false" customHeight="false" outlineLevel="0" collapsed="false">
      <c r="A925" s="13" t="s">
        <v>3</v>
      </c>
      <c r="B925" s="13" t="s">
        <v>2150</v>
      </c>
      <c r="C925" s="13" t="n">
        <v>313</v>
      </c>
      <c r="D925" s="13" t="s">
        <v>3812</v>
      </c>
      <c r="E925" s="13" t="s">
        <v>3813</v>
      </c>
      <c r="F925" s="13" t="s">
        <v>3814</v>
      </c>
      <c r="G925" s="13" t="s">
        <v>3815</v>
      </c>
      <c r="H925" s="13" t="s">
        <v>3816</v>
      </c>
      <c r="I925" s="13" t="s">
        <v>82</v>
      </c>
      <c r="J925" s="13" t="s">
        <v>83</v>
      </c>
      <c r="K925" s="13"/>
      <c r="L925" s="13" t="s">
        <v>3817</v>
      </c>
      <c r="M925" s="13" t="s">
        <v>3818</v>
      </c>
    </row>
    <row r="926" customFormat="false" ht="393.25" hidden="false" customHeight="false" outlineLevel="0" collapsed="false">
      <c r="A926" s="13" t="s">
        <v>3</v>
      </c>
      <c r="B926" s="13" t="s">
        <v>2150</v>
      </c>
      <c r="C926" s="13" t="n">
        <v>313</v>
      </c>
      <c r="D926" s="13" t="s">
        <v>3812</v>
      </c>
      <c r="E926" s="13" t="s">
        <v>3819</v>
      </c>
      <c r="F926" s="13" t="s">
        <v>3814</v>
      </c>
      <c r="G926" s="13" t="s">
        <v>3815</v>
      </c>
      <c r="H926" s="13" t="s">
        <v>3820</v>
      </c>
      <c r="I926" s="13" t="s">
        <v>82</v>
      </c>
      <c r="J926" s="13" t="s">
        <v>83</v>
      </c>
      <c r="K926" s="13"/>
      <c r="L926" s="13" t="s">
        <v>3817</v>
      </c>
      <c r="M926" s="13" t="s">
        <v>3818</v>
      </c>
    </row>
    <row r="927" customFormat="false" ht="393.25" hidden="false" customHeight="false" outlineLevel="0" collapsed="false">
      <c r="A927" s="13" t="s">
        <v>3</v>
      </c>
      <c r="B927" s="13" t="s">
        <v>2150</v>
      </c>
      <c r="C927" s="13" t="n">
        <v>313</v>
      </c>
      <c r="D927" s="13" t="s">
        <v>3812</v>
      </c>
      <c r="E927" s="13" t="s">
        <v>3821</v>
      </c>
      <c r="F927" s="13" t="s">
        <v>3814</v>
      </c>
      <c r="G927" s="13" t="s">
        <v>3822</v>
      </c>
      <c r="H927" s="13" t="s">
        <v>3823</v>
      </c>
      <c r="I927" s="13" t="s">
        <v>82</v>
      </c>
      <c r="J927" s="13" t="s">
        <v>83</v>
      </c>
      <c r="K927" s="13"/>
      <c r="L927" s="13" t="s">
        <v>3817</v>
      </c>
      <c r="M927" s="13" t="s">
        <v>3818</v>
      </c>
    </row>
    <row r="928" customFormat="false" ht="393.25" hidden="false" customHeight="false" outlineLevel="0" collapsed="false">
      <c r="A928" s="13" t="s">
        <v>3</v>
      </c>
      <c r="B928" s="13" t="s">
        <v>2150</v>
      </c>
      <c r="C928" s="13" t="n">
        <v>313</v>
      </c>
      <c r="D928" s="13" t="s">
        <v>3812</v>
      </c>
      <c r="E928" s="13" t="s">
        <v>3824</v>
      </c>
      <c r="F928" s="13" t="s">
        <v>3825</v>
      </c>
      <c r="G928" s="13" t="s">
        <v>3826</v>
      </c>
      <c r="H928" s="13" t="s">
        <v>3823</v>
      </c>
      <c r="I928" s="13" t="s">
        <v>82</v>
      </c>
      <c r="J928" s="13" t="s">
        <v>83</v>
      </c>
      <c r="K928" s="13"/>
      <c r="L928" s="13" t="s">
        <v>3817</v>
      </c>
      <c r="M928" s="13" t="s">
        <v>3818</v>
      </c>
    </row>
    <row r="929" customFormat="false" ht="393.25" hidden="false" customHeight="false" outlineLevel="0" collapsed="false">
      <c r="A929" s="13" t="s">
        <v>3</v>
      </c>
      <c r="B929" s="13" t="s">
        <v>2150</v>
      </c>
      <c r="C929" s="13" t="n">
        <v>313</v>
      </c>
      <c r="D929" s="13" t="s">
        <v>3812</v>
      </c>
      <c r="E929" s="13" t="s">
        <v>3827</v>
      </c>
      <c r="F929" s="13" t="s">
        <v>3825</v>
      </c>
      <c r="G929" s="13" t="s">
        <v>3828</v>
      </c>
      <c r="H929" s="13" t="s">
        <v>3829</v>
      </c>
      <c r="I929" s="13" t="s">
        <v>1145</v>
      </c>
      <c r="J929" s="13" t="s">
        <v>3830</v>
      </c>
      <c r="K929" s="13" t="s">
        <v>3831</v>
      </c>
      <c r="L929" s="13" t="s">
        <v>3817</v>
      </c>
      <c r="M929" s="13" t="s">
        <v>3818</v>
      </c>
    </row>
    <row r="930" customFormat="false" ht="393.25" hidden="false" customHeight="false" outlineLevel="0" collapsed="false">
      <c r="A930" s="13" t="s">
        <v>3</v>
      </c>
      <c r="B930" s="13" t="s">
        <v>2150</v>
      </c>
      <c r="C930" s="13" t="n">
        <v>313</v>
      </c>
      <c r="D930" s="13" t="s">
        <v>3812</v>
      </c>
      <c r="E930" s="13" t="s">
        <v>3832</v>
      </c>
      <c r="F930" s="13" t="s">
        <v>3825</v>
      </c>
      <c r="G930" s="13" t="s">
        <v>3833</v>
      </c>
      <c r="H930" s="13" t="s">
        <v>3834</v>
      </c>
      <c r="I930" s="13" t="s">
        <v>82</v>
      </c>
      <c r="J930" s="13" t="s">
        <v>83</v>
      </c>
      <c r="K930" s="13"/>
      <c r="L930" s="13" t="s">
        <v>3817</v>
      </c>
      <c r="M930" s="13" t="s">
        <v>3818</v>
      </c>
    </row>
    <row r="931" customFormat="false" ht="393.25" hidden="false" customHeight="false" outlineLevel="0" collapsed="false">
      <c r="A931" s="13" t="s">
        <v>3</v>
      </c>
      <c r="B931" s="13" t="s">
        <v>2150</v>
      </c>
      <c r="C931" s="13" t="n">
        <v>313</v>
      </c>
      <c r="D931" s="13" t="s">
        <v>3812</v>
      </c>
      <c r="E931" s="13" t="s">
        <v>3835</v>
      </c>
      <c r="F931" s="13" t="s">
        <v>3825</v>
      </c>
      <c r="G931" s="13" t="s">
        <v>3833</v>
      </c>
      <c r="H931" s="13" t="s">
        <v>3836</v>
      </c>
      <c r="I931" s="13" t="s">
        <v>82</v>
      </c>
      <c r="J931" s="13" t="s">
        <v>83</v>
      </c>
      <c r="K931" s="13"/>
      <c r="L931" s="13" t="s">
        <v>3817</v>
      </c>
      <c r="M931" s="13" t="s">
        <v>3818</v>
      </c>
    </row>
    <row r="932" customFormat="false" ht="393.25" hidden="false" customHeight="false" outlineLevel="0" collapsed="false">
      <c r="A932" s="13" t="s">
        <v>3</v>
      </c>
      <c r="B932" s="13" t="s">
        <v>2150</v>
      </c>
      <c r="C932" s="13" t="n">
        <v>313</v>
      </c>
      <c r="D932" s="13" t="s">
        <v>3812</v>
      </c>
      <c r="E932" s="13" t="s">
        <v>3837</v>
      </c>
      <c r="F932" s="13" t="s">
        <v>3825</v>
      </c>
      <c r="G932" s="13" t="s">
        <v>3833</v>
      </c>
      <c r="H932" s="13" t="s">
        <v>3838</v>
      </c>
      <c r="I932" s="13" t="s">
        <v>82</v>
      </c>
      <c r="J932" s="13" t="s">
        <v>83</v>
      </c>
      <c r="K932" s="13"/>
      <c r="L932" s="13" t="s">
        <v>3817</v>
      </c>
      <c r="M932" s="13" t="s">
        <v>3818</v>
      </c>
    </row>
    <row r="933" customFormat="false" ht="393.25" hidden="false" customHeight="false" outlineLevel="0" collapsed="false">
      <c r="A933" s="13" t="s">
        <v>3</v>
      </c>
      <c r="B933" s="13" t="s">
        <v>2150</v>
      </c>
      <c r="C933" s="13" t="n">
        <v>313</v>
      </c>
      <c r="D933" s="13" t="s">
        <v>3812</v>
      </c>
      <c r="E933" s="13" t="s">
        <v>3839</v>
      </c>
      <c r="F933" s="13" t="s">
        <v>3814</v>
      </c>
      <c r="G933" s="13" t="s">
        <v>3840</v>
      </c>
      <c r="H933" s="13" t="s">
        <v>3823</v>
      </c>
      <c r="I933" s="13" t="s">
        <v>82</v>
      </c>
      <c r="J933" s="13" t="s">
        <v>83</v>
      </c>
      <c r="K933" s="13"/>
      <c r="L933" s="13" t="s">
        <v>3817</v>
      </c>
      <c r="M933" s="13" t="s">
        <v>3818</v>
      </c>
    </row>
    <row r="934" customFormat="false" ht="23.85" hidden="false" customHeight="false" outlineLevel="0" collapsed="false">
      <c r="A934" s="13" t="s">
        <v>3</v>
      </c>
      <c r="B934" s="13" t="s">
        <v>2150</v>
      </c>
      <c r="C934" s="13" t="n">
        <v>322</v>
      </c>
      <c r="D934" s="13" t="s">
        <v>3841</v>
      </c>
      <c r="E934" s="13" t="s">
        <v>3842</v>
      </c>
      <c r="F934" s="13" t="s">
        <v>3843</v>
      </c>
      <c r="G934" s="13" t="s">
        <v>3844</v>
      </c>
      <c r="H934" s="13" t="s">
        <v>3845</v>
      </c>
      <c r="I934" s="13" t="s">
        <v>82</v>
      </c>
      <c r="J934" s="13" t="s">
        <v>83</v>
      </c>
      <c r="K934" s="13"/>
      <c r="L934" s="13" t="s">
        <v>3846</v>
      </c>
      <c r="M934" s="13" t="s">
        <v>3847</v>
      </c>
    </row>
    <row r="935" customFormat="false" ht="23.85" hidden="false" customHeight="false" outlineLevel="0" collapsed="false">
      <c r="A935" s="13" t="s">
        <v>3</v>
      </c>
      <c r="B935" s="13" t="s">
        <v>2150</v>
      </c>
      <c r="C935" s="13" t="n">
        <v>322</v>
      </c>
      <c r="D935" s="13" t="s">
        <v>3841</v>
      </c>
      <c r="E935" s="13" t="s">
        <v>3848</v>
      </c>
      <c r="F935" s="13" t="s">
        <v>3849</v>
      </c>
      <c r="G935" s="13" t="s">
        <v>3844</v>
      </c>
      <c r="H935" s="13" t="s">
        <v>3845</v>
      </c>
      <c r="I935" s="13" t="s">
        <v>82</v>
      </c>
      <c r="J935" s="13" t="s">
        <v>83</v>
      </c>
      <c r="K935" s="13"/>
      <c r="L935" s="13" t="s">
        <v>3846</v>
      </c>
      <c r="M935" s="13" t="s">
        <v>3847</v>
      </c>
    </row>
    <row r="936" customFormat="false" ht="23.85" hidden="false" customHeight="false" outlineLevel="0" collapsed="false">
      <c r="A936" s="13" t="s">
        <v>3</v>
      </c>
      <c r="B936" s="13" t="s">
        <v>2150</v>
      </c>
      <c r="C936" s="13" t="n">
        <v>322</v>
      </c>
      <c r="D936" s="13" t="s">
        <v>3841</v>
      </c>
      <c r="E936" s="13" t="s">
        <v>3850</v>
      </c>
      <c r="F936" s="13" t="s">
        <v>3851</v>
      </c>
      <c r="G936" s="13" t="s">
        <v>3844</v>
      </c>
      <c r="H936" s="13" t="s">
        <v>3845</v>
      </c>
      <c r="I936" s="13" t="s">
        <v>82</v>
      </c>
      <c r="J936" s="13" t="s">
        <v>83</v>
      </c>
      <c r="K936" s="13"/>
      <c r="L936" s="13" t="s">
        <v>3846</v>
      </c>
      <c r="M936" s="13" t="s">
        <v>3847</v>
      </c>
    </row>
    <row r="937" customFormat="false" ht="23.85" hidden="false" customHeight="false" outlineLevel="0" collapsed="false">
      <c r="A937" s="13" t="s">
        <v>3</v>
      </c>
      <c r="B937" s="13" t="s">
        <v>2150</v>
      </c>
      <c r="C937" s="13" t="n">
        <v>322</v>
      </c>
      <c r="D937" s="13" t="s">
        <v>3841</v>
      </c>
      <c r="E937" s="13" t="s">
        <v>3852</v>
      </c>
      <c r="F937" s="13" t="s">
        <v>3853</v>
      </c>
      <c r="G937" s="13" t="s">
        <v>3844</v>
      </c>
      <c r="H937" s="13" t="s">
        <v>3845</v>
      </c>
      <c r="I937" s="13" t="s">
        <v>82</v>
      </c>
      <c r="J937" s="13" t="s">
        <v>83</v>
      </c>
      <c r="K937" s="13"/>
      <c r="L937" s="13" t="s">
        <v>3846</v>
      </c>
      <c r="M937" s="13" t="s">
        <v>3847</v>
      </c>
    </row>
    <row r="938" customFormat="false" ht="35.05" hidden="false" customHeight="false" outlineLevel="0" collapsed="false">
      <c r="A938" s="13" t="s">
        <v>3</v>
      </c>
      <c r="B938" s="13" t="s">
        <v>2150</v>
      </c>
      <c r="C938" s="13" t="n">
        <v>322</v>
      </c>
      <c r="D938" s="13" t="s">
        <v>3854</v>
      </c>
      <c r="E938" s="13" t="s">
        <v>3855</v>
      </c>
      <c r="F938" s="13" t="s">
        <v>591</v>
      </c>
      <c r="G938" s="13" t="s">
        <v>3856</v>
      </c>
      <c r="H938" s="13" t="s">
        <v>3857</v>
      </c>
      <c r="I938" s="13" t="s">
        <v>82</v>
      </c>
      <c r="J938" s="13" t="s">
        <v>83</v>
      </c>
      <c r="K938" s="13"/>
      <c r="L938" s="13" t="s">
        <v>3858</v>
      </c>
      <c r="M938" s="13" t="s">
        <v>3859</v>
      </c>
    </row>
    <row r="939" customFormat="false" ht="35.05" hidden="false" customHeight="false" outlineLevel="0" collapsed="false">
      <c r="A939" s="13" t="s">
        <v>3</v>
      </c>
      <c r="B939" s="13" t="s">
        <v>2150</v>
      </c>
      <c r="C939" s="13" t="n">
        <v>322</v>
      </c>
      <c r="D939" s="13" t="s">
        <v>3854</v>
      </c>
      <c r="E939" s="13" t="s">
        <v>3860</v>
      </c>
      <c r="F939" s="13" t="s">
        <v>3861</v>
      </c>
      <c r="G939" s="13" t="s">
        <v>168</v>
      </c>
      <c r="H939" s="13" t="s">
        <v>3862</v>
      </c>
      <c r="I939" s="13" t="s">
        <v>82</v>
      </c>
      <c r="J939" s="13" t="s">
        <v>83</v>
      </c>
      <c r="K939" s="13"/>
      <c r="L939" s="13" t="s">
        <v>3858</v>
      </c>
      <c r="M939" s="13" t="s">
        <v>3859</v>
      </c>
    </row>
    <row r="940" customFormat="false" ht="68.65" hidden="false" customHeight="false" outlineLevel="0" collapsed="false">
      <c r="A940" s="13" t="s">
        <v>3</v>
      </c>
      <c r="B940" s="13" t="s">
        <v>2150</v>
      </c>
      <c r="C940" s="13" t="n">
        <v>322</v>
      </c>
      <c r="D940" s="13" t="s">
        <v>3863</v>
      </c>
      <c r="E940" s="13" t="s">
        <v>3864</v>
      </c>
      <c r="F940" s="13" t="s">
        <v>3865</v>
      </c>
      <c r="G940" s="13" t="s">
        <v>3866</v>
      </c>
      <c r="H940" s="13" t="s">
        <v>3867</v>
      </c>
      <c r="I940" s="13" t="s">
        <v>82</v>
      </c>
      <c r="J940" s="13" t="s">
        <v>83</v>
      </c>
      <c r="K940" s="13"/>
      <c r="L940" s="13" t="s">
        <v>3868</v>
      </c>
      <c r="M940" s="13" t="s">
        <v>3869</v>
      </c>
    </row>
    <row r="941" customFormat="false" ht="68.65" hidden="false" customHeight="false" outlineLevel="0" collapsed="false">
      <c r="A941" s="13" t="s">
        <v>3</v>
      </c>
      <c r="B941" s="13" t="s">
        <v>2150</v>
      </c>
      <c r="C941" s="13" t="n">
        <v>322</v>
      </c>
      <c r="D941" s="13" t="s">
        <v>3863</v>
      </c>
      <c r="E941" s="13" t="s">
        <v>3870</v>
      </c>
      <c r="F941" s="13" t="s">
        <v>3865</v>
      </c>
      <c r="G941" s="13" t="s">
        <v>3866</v>
      </c>
      <c r="H941" s="13" t="s">
        <v>3871</v>
      </c>
      <c r="I941" s="13" t="s">
        <v>82</v>
      </c>
      <c r="J941" s="13" t="s">
        <v>83</v>
      </c>
      <c r="K941" s="13"/>
      <c r="L941" s="13" t="s">
        <v>3868</v>
      </c>
      <c r="M941" s="13" t="s">
        <v>3869</v>
      </c>
    </row>
    <row r="942" customFormat="false" ht="68.65" hidden="false" customHeight="false" outlineLevel="0" collapsed="false">
      <c r="A942" s="13" t="s">
        <v>3</v>
      </c>
      <c r="B942" s="13" t="s">
        <v>2150</v>
      </c>
      <c r="C942" s="13" t="n">
        <v>322</v>
      </c>
      <c r="D942" s="13" t="s">
        <v>3863</v>
      </c>
      <c r="E942" s="13" t="s">
        <v>3872</v>
      </c>
      <c r="F942" s="13" t="s">
        <v>3865</v>
      </c>
      <c r="G942" s="13" t="s">
        <v>3866</v>
      </c>
      <c r="H942" s="13" t="s">
        <v>3873</v>
      </c>
      <c r="I942" s="13" t="s">
        <v>82</v>
      </c>
      <c r="J942" s="13" t="s">
        <v>83</v>
      </c>
      <c r="K942" s="13"/>
      <c r="L942" s="13" t="s">
        <v>3868</v>
      </c>
      <c r="M942" s="13" t="s">
        <v>3869</v>
      </c>
    </row>
    <row r="943" customFormat="false" ht="68.65" hidden="false" customHeight="false" outlineLevel="0" collapsed="false">
      <c r="A943" s="13" t="s">
        <v>3</v>
      </c>
      <c r="B943" s="13" t="s">
        <v>2150</v>
      </c>
      <c r="C943" s="13" t="n">
        <v>322</v>
      </c>
      <c r="D943" s="13" t="s">
        <v>3863</v>
      </c>
      <c r="E943" s="13" t="s">
        <v>3874</v>
      </c>
      <c r="F943" s="13" t="s">
        <v>3875</v>
      </c>
      <c r="G943" s="13" t="s">
        <v>3876</v>
      </c>
      <c r="H943" s="13" t="s">
        <v>3865</v>
      </c>
      <c r="I943" s="13" t="s">
        <v>82</v>
      </c>
      <c r="J943" s="13" t="s">
        <v>83</v>
      </c>
      <c r="K943" s="13"/>
      <c r="L943" s="13" t="s">
        <v>3868</v>
      </c>
      <c r="M943" s="13" t="s">
        <v>3869</v>
      </c>
    </row>
    <row r="944" customFormat="false" ht="68.65" hidden="false" customHeight="false" outlineLevel="0" collapsed="false">
      <c r="A944" s="13" t="s">
        <v>3</v>
      </c>
      <c r="B944" s="13" t="s">
        <v>2150</v>
      </c>
      <c r="C944" s="13" t="n">
        <v>322</v>
      </c>
      <c r="D944" s="13" t="s">
        <v>3863</v>
      </c>
      <c r="E944" s="13" t="s">
        <v>3877</v>
      </c>
      <c r="F944" s="13" t="s">
        <v>3865</v>
      </c>
      <c r="G944" s="13" t="s">
        <v>3878</v>
      </c>
      <c r="H944" s="13" t="s">
        <v>3879</v>
      </c>
      <c r="I944" s="13" t="s">
        <v>82</v>
      </c>
      <c r="J944" s="13" t="s">
        <v>83</v>
      </c>
      <c r="K944" s="13"/>
      <c r="L944" s="13" t="s">
        <v>3868</v>
      </c>
      <c r="M944" s="13" t="s">
        <v>3869</v>
      </c>
    </row>
    <row r="945" customFormat="false" ht="68.65" hidden="false" customHeight="false" outlineLevel="0" collapsed="false">
      <c r="A945" s="13" t="s">
        <v>3</v>
      </c>
      <c r="B945" s="13" t="s">
        <v>2150</v>
      </c>
      <c r="C945" s="13" t="n">
        <v>322</v>
      </c>
      <c r="D945" s="13" t="s">
        <v>3863</v>
      </c>
      <c r="E945" s="13" t="s">
        <v>3880</v>
      </c>
      <c r="F945" s="13" t="s">
        <v>3881</v>
      </c>
      <c r="G945" s="13" t="s">
        <v>3882</v>
      </c>
      <c r="H945" s="13" t="s">
        <v>3879</v>
      </c>
      <c r="I945" s="13" t="s">
        <v>82</v>
      </c>
      <c r="J945" s="13" t="s">
        <v>83</v>
      </c>
      <c r="K945" s="13"/>
      <c r="L945" s="13" t="s">
        <v>3868</v>
      </c>
      <c r="M945" s="13" t="s">
        <v>3869</v>
      </c>
    </row>
    <row r="946" customFormat="false" ht="35.05" hidden="false" customHeight="false" outlineLevel="0" collapsed="false">
      <c r="A946" s="13" t="s">
        <v>3</v>
      </c>
      <c r="B946" s="13" t="s">
        <v>2150</v>
      </c>
      <c r="C946" s="13" t="n">
        <v>322</v>
      </c>
      <c r="D946" s="13" t="s">
        <v>3883</v>
      </c>
      <c r="E946" s="13" t="s">
        <v>3884</v>
      </c>
      <c r="F946" s="13" t="s">
        <v>3865</v>
      </c>
      <c r="G946" s="13" t="s">
        <v>3885</v>
      </c>
      <c r="H946" s="13" t="s">
        <v>3886</v>
      </c>
      <c r="I946" s="13" t="s">
        <v>82</v>
      </c>
      <c r="J946" s="13" t="s">
        <v>83</v>
      </c>
      <c r="K946" s="13"/>
      <c r="L946" s="13" t="s">
        <v>3887</v>
      </c>
      <c r="M946" s="13" t="s">
        <v>3888</v>
      </c>
    </row>
    <row r="947" customFormat="false" ht="35.05" hidden="false" customHeight="false" outlineLevel="0" collapsed="false">
      <c r="A947" s="13" t="s">
        <v>3</v>
      </c>
      <c r="B947" s="13" t="s">
        <v>2150</v>
      </c>
      <c r="C947" s="13" t="n">
        <v>322</v>
      </c>
      <c r="D947" s="13" t="s">
        <v>3883</v>
      </c>
      <c r="E947" s="13" t="s">
        <v>3889</v>
      </c>
      <c r="F947" s="13" t="s">
        <v>3886</v>
      </c>
      <c r="G947" s="13" t="s">
        <v>3890</v>
      </c>
      <c r="H947" s="13" t="s">
        <v>3891</v>
      </c>
      <c r="I947" s="13" t="s">
        <v>82</v>
      </c>
      <c r="J947" s="13" t="s">
        <v>83</v>
      </c>
      <c r="K947" s="13"/>
      <c r="L947" s="13" t="s">
        <v>3887</v>
      </c>
      <c r="M947" s="13" t="s">
        <v>3888</v>
      </c>
    </row>
    <row r="948" customFormat="false" ht="35.05" hidden="false" customHeight="false" outlineLevel="0" collapsed="false">
      <c r="A948" s="13" t="s">
        <v>3</v>
      </c>
      <c r="B948" s="13" t="s">
        <v>2150</v>
      </c>
      <c r="C948" s="13" t="n">
        <v>322</v>
      </c>
      <c r="D948" s="13" t="s">
        <v>3883</v>
      </c>
      <c r="E948" s="13" t="s">
        <v>3892</v>
      </c>
      <c r="F948" s="13" t="s">
        <v>3886</v>
      </c>
      <c r="G948" s="13" t="s">
        <v>3890</v>
      </c>
      <c r="H948" s="13" t="s">
        <v>3871</v>
      </c>
      <c r="I948" s="13" t="s">
        <v>82</v>
      </c>
      <c r="J948" s="13" t="s">
        <v>83</v>
      </c>
      <c r="K948" s="13"/>
      <c r="L948" s="13" t="s">
        <v>3887</v>
      </c>
      <c r="M948" s="13" t="s">
        <v>3888</v>
      </c>
    </row>
    <row r="949" customFormat="false" ht="35.05" hidden="false" customHeight="false" outlineLevel="0" collapsed="false">
      <c r="A949" s="13" t="s">
        <v>3</v>
      </c>
      <c r="B949" s="13" t="s">
        <v>2150</v>
      </c>
      <c r="C949" s="13" t="n">
        <v>322</v>
      </c>
      <c r="D949" s="13" t="s">
        <v>3883</v>
      </c>
      <c r="E949" s="13" t="s">
        <v>3893</v>
      </c>
      <c r="F949" s="13" t="s">
        <v>3886</v>
      </c>
      <c r="G949" s="13" t="s">
        <v>3890</v>
      </c>
      <c r="H949" s="13" t="s">
        <v>3867</v>
      </c>
      <c r="I949" s="13" t="s">
        <v>82</v>
      </c>
      <c r="J949" s="13" t="s">
        <v>83</v>
      </c>
      <c r="K949" s="13"/>
      <c r="L949" s="13" t="s">
        <v>3887</v>
      </c>
      <c r="M949" s="13" t="s">
        <v>3888</v>
      </c>
    </row>
    <row r="950" customFormat="false" ht="68.65" hidden="false" customHeight="false" outlineLevel="0" collapsed="false">
      <c r="A950" s="13" t="s">
        <v>3</v>
      </c>
      <c r="B950" s="13" t="s">
        <v>2150</v>
      </c>
      <c r="C950" s="13" t="n">
        <v>322</v>
      </c>
      <c r="D950" s="13" t="s">
        <v>3894</v>
      </c>
      <c r="E950" s="13" t="s">
        <v>3895</v>
      </c>
      <c r="F950" s="13" t="s">
        <v>3865</v>
      </c>
      <c r="G950" s="13" t="s">
        <v>3896</v>
      </c>
      <c r="H950" s="13" t="s">
        <v>3897</v>
      </c>
      <c r="I950" s="13" t="s">
        <v>82</v>
      </c>
      <c r="J950" s="13" t="s">
        <v>83</v>
      </c>
      <c r="K950" s="13"/>
      <c r="L950" s="13" t="s">
        <v>3898</v>
      </c>
      <c r="M950" s="13" t="s">
        <v>3899</v>
      </c>
    </row>
    <row r="951" customFormat="false" ht="68.65" hidden="false" customHeight="false" outlineLevel="0" collapsed="false">
      <c r="A951" s="13" t="s">
        <v>3</v>
      </c>
      <c r="B951" s="13" t="s">
        <v>2150</v>
      </c>
      <c r="C951" s="13" t="n">
        <v>322</v>
      </c>
      <c r="D951" s="13" t="s">
        <v>3894</v>
      </c>
      <c r="E951" s="13" t="s">
        <v>3900</v>
      </c>
      <c r="F951" s="13" t="s">
        <v>3897</v>
      </c>
      <c r="G951" s="13" t="s">
        <v>3901</v>
      </c>
      <c r="H951" s="13" t="s">
        <v>3902</v>
      </c>
      <c r="I951" s="13" t="s">
        <v>82</v>
      </c>
      <c r="J951" s="13" t="s">
        <v>83</v>
      </c>
      <c r="K951" s="13"/>
      <c r="L951" s="13" t="s">
        <v>3898</v>
      </c>
      <c r="M951" s="13" t="s">
        <v>3899</v>
      </c>
    </row>
    <row r="952" customFormat="false" ht="68.65" hidden="false" customHeight="false" outlineLevel="0" collapsed="false">
      <c r="A952" s="13" t="s">
        <v>3</v>
      </c>
      <c r="B952" s="13" t="s">
        <v>2150</v>
      </c>
      <c r="C952" s="13" t="n">
        <v>322</v>
      </c>
      <c r="D952" s="13" t="s">
        <v>3894</v>
      </c>
      <c r="E952" s="13" t="s">
        <v>3903</v>
      </c>
      <c r="F952" s="13" t="s">
        <v>3897</v>
      </c>
      <c r="G952" s="13" t="s">
        <v>3901</v>
      </c>
      <c r="H952" s="13" t="s">
        <v>1029</v>
      </c>
      <c r="I952" s="13" t="s">
        <v>82</v>
      </c>
      <c r="J952" s="13" t="s">
        <v>83</v>
      </c>
      <c r="K952" s="13"/>
      <c r="L952" s="13" t="s">
        <v>3898</v>
      </c>
      <c r="M952" s="13" t="s">
        <v>3899</v>
      </c>
    </row>
    <row r="953" customFormat="false" ht="68.65" hidden="false" customHeight="false" outlineLevel="0" collapsed="false">
      <c r="A953" s="13" t="s">
        <v>3</v>
      </c>
      <c r="B953" s="13" t="s">
        <v>2150</v>
      </c>
      <c r="C953" s="13" t="n">
        <v>322</v>
      </c>
      <c r="D953" s="13" t="s">
        <v>3894</v>
      </c>
      <c r="E953" s="13" t="s">
        <v>3904</v>
      </c>
      <c r="F953" s="13" t="s">
        <v>3897</v>
      </c>
      <c r="G953" s="13" t="s">
        <v>3901</v>
      </c>
      <c r="H953" s="13" t="s">
        <v>3905</v>
      </c>
      <c r="I953" s="13" t="s">
        <v>82</v>
      </c>
      <c r="J953" s="13" t="s">
        <v>83</v>
      </c>
      <c r="K953" s="13"/>
      <c r="L953" s="13" t="s">
        <v>3898</v>
      </c>
      <c r="M953" s="13" t="s">
        <v>3899</v>
      </c>
    </row>
    <row r="954" customFormat="false" ht="68.65" hidden="false" customHeight="false" outlineLevel="0" collapsed="false">
      <c r="A954" s="13" t="s">
        <v>3</v>
      </c>
      <c r="B954" s="13" t="s">
        <v>2150</v>
      </c>
      <c r="C954" s="13" t="n">
        <v>322</v>
      </c>
      <c r="D954" s="13" t="s">
        <v>3894</v>
      </c>
      <c r="E954" s="13" t="s">
        <v>3906</v>
      </c>
      <c r="F954" s="13" t="s">
        <v>3897</v>
      </c>
      <c r="G954" s="13" t="s">
        <v>3901</v>
      </c>
      <c r="H954" s="13" t="s">
        <v>3907</v>
      </c>
      <c r="I954" s="13" t="s">
        <v>82</v>
      </c>
      <c r="J954" s="13" t="s">
        <v>83</v>
      </c>
      <c r="K954" s="13"/>
      <c r="L954" s="13" t="s">
        <v>3898</v>
      </c>
      <c r="M954" s="13" t="s">
        <v>3899</v>
      </c>
    </row>
    <row r="955" customFormat="false" ht="68.65" hidden="false" customHeight="false" outlineLevel="0" collapsed="false">
      <c r="A955" s="13" t="s">
        <v>3</v>
      </c>
      <c r="B955" s="13" t="s">
        <v>2150</v>
      </c>
      <c r="C955" s="13" t="n">
        <v>322</v>
      </c>
      <c r="D955" s="13" t="s">
        <v>3894</v>
      </c>
      <c r="E955" s="13" t="s">
        <v>3908</v>
      </c>
      <c r="F955" s="13" t="s">
        <v>3897</v>
      </c>
      <c r="G955" s="13" t="s">
        <v>3901</v>
      </c>
      <c r="H955" s="13" t="s">
        <v>3909</v>
      </c>
      <c r="I955" s="13" t="s">
        <v>82</v>
      </c>
      <c r="J955" s="13" t="s">
        <v>83</v>
      </c>
      <c r="K955" s="13"/>
      <c r="L955" s="13" t="s">
        <v>3898</v>
      </c>
      <c r="M955" s="13" t="s">
        <v>3899</v>
      </c>
    </row>
    <row r="956" customFormat="false" ht="68.65" hidden="false" customHeight="false" outlineLevel="0" collapsed="false">
      <c r="A956" s="13" t="s">
        <v>3</v>
      </c>
      <c r="B956" s="13" t="s">
        <v>2150</v>
      </c>
      <c r="C956" s="13" t="n">
        <v>322</v>
      </c>
      <c r="D956" s="13" t="s">
        <v>3894</v>
      </c>
      <c r="E956" s="13" t="s">
        <v>3910</v>
      </c>
      <c r="F956" s="13" t="s">
        <v>3897</v>
      </c>
      <c r="G956" s="13" t="s">
        <v>3911</v>
      </c>
      <c r="H956" s="13" t="s">
        <v>3912</v>
      </c>
      <c r="I956" s="13" t="s">
        <v>82</v>
      </c>
      <c r="J956" s="13" t="s">
        <v>83</v>
      </c>
      <c r="K956" s="13"/>
      <c r="L956" s="13" t="s">
        <v>3898</v>
      </c>
      <c r="M956" s="13" t="s">
        <v>3899</v>
      </c>
    </row>
    <row r="957" customFormat="false" ht="46.25" hidden="false" customHeight="false" outlineLevel="0" collapsed="false">
      <c r="A957" s="13" t="s">
        <v>3</v>
      </c>
      <c r="B957" s="13" t="s">
        <v>2150</v>
      </c>
      <c r="C957" s="13" t="n">
        <v>322</v>
      </c>
      <c r="D957" s="13" t="s">
        <v>3913</v>
      </c>
      <c r="E957" s="13" t="s">
        <v>3914</v>
      </c>
      <c r="F957" s="13" t="s">
        <v>3865</v>
      </c>
      <c r="G957" s="13" t="s">
        <v>3896</v>
      </c>
      <c r="H957" s="13" t="s">
        <v>3915</v>
      </c>
      <c r="I957" s="13" t="s">
        <v>82</v>
      </c>
      <c r="J957" s="13" t="s">
        <v>83</v>
      </c>
      <c r="K957" s="13"/>
      <c r="L957" s="13" t="s">
        <v>3916</v>
      </c>
      <c r="M957" s="13" t="s">
        <v>3917</v>
      </c>
    </row>
    <row r="958" customFormat="false" ht="46.25" hidden="false" customHeight="false" outlineLevel="0" collapsed="false">
      <c r="A958" s="13" t="s">
        <v>3</v>
      </c>
      <c r="B958" s="13" t="s">
        <v>2150</v>
      </c>
      <c r="C958" s="13" t="n">
        <v>322</v>
      </c>
      <c r="D958" s="13" t="s">
        <v>3913</v>
      </c>
      <c r="E958" s="13" t="s">
        <v>3918</v>
      </c>
      <c r="F958" s="13" t="s">
        <v>3915</v>
      </c>
      <c r="G958" s="13" t="s">
        <v>3919</v>
      </c>
      <c r="H958" s="13" t="s">
        <v>182</v>
      </c>
      <c r="I958" s="13" t="s">
        <v>82</v>
      </c>
      <c r="J958" s="13" t="s">
        <v>83</v>
      </c>
      <c r="K958" s="13"/>
      <c r="L958" s="13" t="s">
        <v>3916</v>
      </c>
      <c r="M958" s="13" t="s">
        <v>3917</v>
      </c>
    </row>
    <row r="959" customFormat="false" ht="46.25" hidden="false" customHeight="false" outlineLevel="0" collapsed="false">
      <c r="A959" s="13" t="s">
        <v>3</v>
      </c>
      <c r="B959" s="13" t="s">
        <v>2150</v>
      </c>
      <c r="C959" s="13" t="n">
        <v>322</v>
      </c>
      <c r="D959" s="13" t="s">
        <v>3913</v>
      </c>
      <c r="E959" s="13" t="s">
        <v>3920</v>
      </c>
      <c r="F959" s="13" t="s">
        <v>3865</v>
      </c>
      <c r="G959" s="13" t="s">
        <v>3921</v>
      </c>
      <c r="H959" s="13" t="s">
        <v>3922</v>
      </c>
      <c r="I959" s="13" t="s">
        <v>82</v>
      </c>
      <c r="J959" s="13" t="s">
        <v>83</v>
      </c>
      <c r="K959" s="13"/>
      <c r="L959" s="13" t="s">
        <v>3916</v>
      </c>
      <c r="M959" s="13" t="s">
        <v>3917</v>
      </c>
    </row>
    <row r="960" customFormat="false" ht="57.45" hidden="false" customHeight="false" outlineLevel="0" collapsed="false">
      <c r="A960" s="13" t="s">
        <v>3</v>
      </c>
      <c r="B960" s="13" t="s">
        <v>2150</v>
      </c>
      <c r="C960" s="13" t="n">
        <v>322</v>
      </c>
      <c r="D960" s="13" t="s">
        <v>3923</v>
      </c>
      <c r="E960" s="13" t="s">
        <v>3924</v>
      </c>
      <c r="F960" s="13" t="s">
        <v>3865</v>
      </c>
      <c r="G960" s="13" t="s">
        <v>3925</v>
      </c>
      <c r="H960" s="13" t="s">
        <v>3926</v>
      </c>
      <c r="I960" s="13" t="s">
        <v>82</v>
      </c>
      <c r="J960" s="13" t="s">
        <v>83</v>
      </c>
      <c r="K960" s="13"/>
      <c r="L960" s="13" t="s">
        <v>3927</v>
      </c>
      <c r="M960" s="13" t="s">
        <v>3928</v>
      </c>
    </row>
    <row r="961" customFormat="false" ht="57.45" hidden="false" customHeight="false" outlineLevel="0" collapsed="false">
      <c r="A961" s="13" t="s">
        <v>3</v>
      </c>
      <c r="B961" s="13" t="s">
        <v>2150</v>
      </c>
      <c r="C961" s="13" t="n">
        <v>322</v>
      </c>
      <c r="D961" s="13" t="s">
        <v>3923</v>
      </c>
      <c r="E961" s="13" t="s">
        <v>3929</v>
      </c>
      <c r="F961" s="13" t="s">
        <v>3930</v>
      </c>
      <c r="G961" s="13" t="s">
        <v>3901</v>
      </c>
      <c r="H961" s="13" t="s">
        <v>3931</v>
      </c>
      <c r="I961" s="13" t="s">
        <v>82</v>
      </c>
      <c r="J961" s="13" t="s">
        <v>83</v>
      </c>
      <c r="K961" s="13"/>
      <c r="L961" s="13" t="s">
        <v>3927</v>
      </c>
      <c r="M961" s="13" t="s">
        <v>3928</v>
      </c>
    </row>
    <row r="962" customFormat="false" ht="57.45" hidden="false" customHeight="false" outlineLevel="0" collapsed="false">
      <c r="A962" s="13" t="s">
        <v>3</v>
      </c>
      <c r="B962" s="13" t="s">
        <v>2150</v>
      </c>
      <c r="C962" s="13" t="n">
        <v>322</v>
      </c>
      <c r="D962" s="13" t="s">
        <v>3923</v>
      </c>
      <c r="E962" s="13" t="s">
        <v>3932</v>
      </c>
      <c r="F962" s="13" t="s">
        <v>3930</v>
      </c>
      <c r="G962" s="13" t="s">
        <v>3901</v>
      </c>
      <c r="H962" s="13" t="s">
        <v>3933</v>
      </c>
      <c r="I962" s="13" t="s">
        <v>82</v>
      </c>
      <c r="J962" s="13" t="s">
        <v>83</v>
      </c>
      <c r="K962" s="13"/>
      <c r="L962" s="13" t="s">
        <v>3927</v>
      </c>
      <c r="M962" s="13" t="s">
        <v>3928</v>
      </c>
    </row>
    <row r="963" customFormat="false" ht="57.45" hidden="false" customHeight="false" outlineLevel="0" collapsed="false">
      <c r="A963" s="13" t="s">
        <v>3</v>
      </c>
      <c r="B963" s="13" t="s">
        <v>2150</v>
      </c>
      <c r="C963" s="13" t="n">
        <v>322</v>
      </c>
      <c r="D963" s="13" t="s">
        <v>3923</v>
      </c>
      <c r="E963" s="13" t="s">
        <v>3934</v>
      </c>
      <c r="F963" s="13" t="s">
        <v>3930</v>
      </c>
      <c r="G963" s="13" t="s">
        <v>3901</v>
      </c>
      <c r="H963" s="13" t="s">
        <v>3935</v>
      </c>
      <c r="I963" s="13" t="s">
        <v>82</v>
      </c>
      <c r="J963" s="13" t="s">
        <v>83</v>
      </c>
      <c r="K963" s="13"/>
      <c r="L963" s="13" t="s">
        <v>3927</v>
      </c>
      <c r="M963" s="13" t="s">
        <v>3928</v>
      </c>
    </row>
    <row r="964" customFormat="false" ht="57.45" hidden="false" customHeight="false" outlineLevel="0" collapsed="false">
      <c r="A964" s="13" t="s">
        <v>3</v>
      </c>
      <c r="B964" s="13" t="s">
        <v>2150</v>
      </c>
      <c r="C964" s="13" t="n">
        <v>322</v>
      </c>
      <c r="D964" s="13" t="s">
        <v>3923</v>
      </c>
      <c r="E964" s="13" t="s">
        <v>3936</v>
      </c>
      <c r="F964" s="13" t="s">
        <v>3930</v>
      </c>
      <c r="G964" s="13" t="s">
        <v>3901</v>
      </c>
      <c r="H964" s="13" t="s">
        <v>3937</v>
      </c>
      <c r="I964" s="13" t="s">
        <v>82</v>
      </c>
      <c r="J964" s="13" t="s">
        <v>83</v>
      </c>
      <c r="K964" s="13"/>
      <c r="L964" s="13" t="s">
        <v>3927</v>
      </c>
      <c r="M964" s="13" t="s">
        <v>3928</v>
      </c>
    </row>
    <row r="965" customFormat="false" ht="57.45" hidden="false" customHeight="false" outlineLevel="0" collapsed="false">
      <c r="A965" s="13" t="s">
        <v>3</v>
      </c>
      <c r="B965" s="13" t="s">
        <v>2150</v>
      </c>
      <c r="C965" s="13" t="n">
        <v>322</v>
      </c>
      <c r="D965" s="13" t="s">
        <v>3923</v>
      </c>
      <c r="E965" s="13" t="s">
        <v>3938</v>
      </c>
      <c r="F965" s="13" t="s">
        <v>3930</v>
      </c>
      <c r="G965" s="13" t="s">
        <v>3901</v>
      </c>
      <c r="H965" s="13" t="s">
        <v>445</v>
      </c>
      <c r="I965" s="13" t="s">
        <v>82</v>
      </c>
      <c r="J965" s="13" t="s">
        <v>83</v>
      </c>
      <c r="K965" s="13"/>
      <c r="L965" s="13" t="s">
        <v>3927</v>
      </c>
      <c r="M965" s="13" t="s">
        <v>3928</v>
      </c>
    </row>
    <row r="966" customFormat="false" ht="57.45" hidden="false" customHeight="false" outlineLevel="0" collapsed="false">
      <c r="A966" s="13" t="s">
        <v>3</v>
      </c>
      <c r="B966" s="13" t="s">
        <v>2150</v>
      </c>
      <c r="C966" s="13" t="n">
        <v>322</v>
      </c>
      <c r="D966" s="13" t="s">
        <v>3923</v>
      </c>
      <c r="E966" s="13" t="s">
        <v>3939</v>
      </c>
      <c r="F966" s="13" t="s">
        <v>3930</v>
      </c>
      <c r="G966" s="13" t="s">
        <v>3901</v>
      </c>
      <c r="H966" s="13" t="s">
        <v>3940</v>
      </c>
      <c r="I966" s="13" t="s">
        <v>82</v>
      </c>
      <c r="J966" s="13" t="s">
        <v>83</v>
      </c>
      <c r="K966" s="13"/>
      <c r="L966" s="13" t="s">
        <v>3927</v>
      </c>
      <c r="M966" s="13" t="s">
        <v>3928</v>
      </c>
    </row>
    <row r="967" customFormat="false" ht="57.45" hidden="false" customHeight="false" outlineLevel="0" collapsed="false">
      <c r="A967" s="13" t="s">
        <v>3</v>
      </c>
      <c r="B967" s="13" t="s">
        <v>2150</v>
      </c>
      <c r="C967" s="13" t="n">
        <v>322</v>
      </c>
      <c r="D967" s="13" t="s">
        <v>3923</v>
      </c>
      <c r="E967" s="13" t="s">
        <v>3941</v>
      </c>
      <c r="F967" s="13" t="s">
        <v>3930</v>
      </c>
      <c r="G967" s="13" t="s">
        <v>3942</v>
      </c>
      <c r="H967" s="13" t="s">
        <v>182</v>
      </c>
      <c r="I967" s="13" t="s">
        <v>82</v>
      </c>
      <c r="J967" s="13" t="s">
        <v>83</v>
      </c>
      <c r="K967" s="13"/>
      <c r="L967" s="13" t="s">
        <v>3927</v>
      </c>
      <c r="M967" s="13" t="s">
        <v>3928</v>
      </c>
    </row>
    <row r="968" customFormat="false" ht="348.5" hidden="false" customHeight="false" outlineLevel="0" collapsed="false">
      <c r="A968" s="13" t="s">
        <v>3</v>
      </c>
      <c r="B968" s="13" t="s">
        <v>2150</v>
      </c>
      <c r="C968" s="13" t="n">
        <v>322</v>
      </c>
      <c r="D968" s="13" t="s">
        <v>3943</v>
      </c>
      <c r="E968" s="13" t="s">
        <v>3944</v>
      </c>
      <c r="F968" s="13" t="s">
        <v>3945</v>
      </c>
      <c r="G968" s="13" t="s">
        <v>3946</v>
      </c>
      <c r="H968" s="13" t="s">
        <v>3947</v>
      </c>
      <c r="I968" s="13" t="s">
        <v>82</v>
      </c>
      <c r="J968" s="13" t="s">
        <v>83</v>
      </c>
      <c r="K968" s="13"/>
      <c r="L968" s="13" t="s">
        <v>3948</v>
      </c>
      <c r="M968" s="13" t="s">
        <v>3949</v>
      </c>
    </row>
    <row r="969" customFormat="false" ht="348.5" hidden="false" customHeight="false" outlineLevel="0" collapsed="false">
      <c r="A969" s="13" t="s">
        <v>3</v>
      </c>
      <c r="B969" s="13" t="s">
        <v>2150</v>
      </c>
      <c r="C969" s="13" t="n">
        <v>322</v>
      </c>
      <c r="D969" s="13" t="s">
        <v>3943</v>
      </c>
      <c r="E969" s="13" t="s">
        <v>3950</v>
      </c>
      <c r="F969" s="13" t="s">
        <v>3947</v>
      </c>
      <c r="G969" s="13" t="s">
        <v>3951</v>
      </c>
      <c r="H969" s="13" t="s">
        <v>3945</v>
      </c>
      <c r="I969" s="13" t="s">
        <v>82</v>
      </c>
      <c r="J969" s="13" t="s">
        <v>83</v>
      </c>
      <c r="K969" s="13"/>
      <c r="L969" s="13" t="s">
        <v>3948</v>
      </c>
      <c r="M969" s="13" t="s">
        <v>3949</v>
      </c>
    </row>
    <row r="970" customFormat="false" ht="348.5" hidden="false" customHeight="false" outlineLevel="0" collapsed="false">
      <c r="A970" s="13" t="s">
        <v>3</v>
      </c>
      <c r="B970" s="13" t="s">
        <v>2150</v>
      </c>
      <c r="C970" s="13" t="n">
        <v>322</v>
      </c>
      <c r="D970" s="13" t="s">
        <v>3943</v>
      </c>
      <c r="E970" s="13" t="s">
        <v>3952</v>
      </c>
      <c r="F970" s="13" t="s">
        <v>3947</v>
      </c>
      <c r="G970" s="13" t="s">
        <v>3953</v>
      </c>
      <c r="H970" s="13" t="s">
        <v>3954</v>
      </c>
      <c r="I970" s="13" t="s">
        <v>82</v>
      </c>
      <c r="J970" s="13" t="s">
        <v>83</v>
      </c>
      <c r="K970" s="13"/>
      <c r="L970" s="13" t="s">
        <v>3948</v>
      </c>
      <c r="M970" s="13" t="s">
        <v>3949</v>
      </c>
    </row>
    <row r="971" customFormat="false" ht="348.5" hidden="false" customHeight="false" outlineLevel="0" collapsed="false">
      <c r="A971" s="13" t="s">
        <v>3</v>
      </c>
      <c r="B971" s="13" t="s">
        <v>2150</v>
      </c>
      <c r="C971" s="13" t="n">
        <v>322</v>
      </c>
      <c r="D971" s="13" t="s">
        <v>3943</v>
      </c>
      <c r="E971" s="13" t="s">
        <v>3955</v>
      </c>
      <c r="F971" s="13" t="s">
        <v>3956</v>
      </c>
      <c r="G971" s="13" t="s">
        <v>3953</v>
      </c>
      <c r="H971" s="13" t="s">
        <v>3957</v>
      </c>
      <c r="I971" s="13" t="s">
        <v>82</v>
      </c>
      <c r="J971" s="13" t="s">
        <v>83</v>
      </c>
      <c r="K971" s="13"/>
      <c r="L971" s="13" t="s">
        <v>3948</v>
      </c>
      <c r="M971" s="13" t="s">
        <v>3949</v>
      </c>
    </row>
    <row r="972" customFormat="false" ht="348.5" hidden="false" customHeight="false" outlineLevel="0" collapsed="false">
      <c r="A972" s="13" t="s">
        <v>3</v>
      </c>
      <c r="B972" s="13" t="s">
        <v>2150</v>
      </c>
      <c r="C972" s="13" t="n">
        <v>322</v>
      </c>
      <c r="D972" s="13" t="s">
        <v>3943</v>
      </c>
      <c r="E972" s="13" t="s">
        <v>3958</v>
      </c>
      <c r="F972" s="13" t="s">
        <v>3959</v>
      </c>
      <c r="G972" s="13" t="s">
        <v>3960</v>
      </c>
      <c r="H972" s="13" t="s">
        <v>3961</v>
      </c>
      <c r="I972" s="13" t="s">
        <v>82</v>
      </c>
      <c r="J972" s="13" t="s">
        <v>83</v>
      </c>
      <c r="K972" s="13"/>
      <c r="L972" s="13" t="s">
        <v>3948</v>
      </c>
      <c r="M972" s="13" t="s">
        <v>3949</v>
      </c>
    </row>
    <row r="973" customFormat="false" ht="348.5" hidden="false" customHeight="false" outlineLevel="0" collapsed="false">
      <c r="A973" s="13" t="s">
        <v>3</v>
      </c>
      <c r="B973" s="13" t="s">
        <v>2150</v>
      </c>
      <c r="C973" s="13" t="n">
        <v>322</v>
      </c>
      <c r="D973" s="13" t="s">
        <v>3943</v>
      </c>
      <c r="E973" s="13" t="s">
        <v>3962</v>
      </c>
      <c r="F973" s="13" t="s">
        <v>3963</v>
      </c>
      <c r="G973" s="13" t="s">
        <v>3960</v>
      </c>
      <c r="H973" s="13" t="s">
        <v>3964</v>
      </c>
      <c r="I973" s="13" t="s">
        <v>114</v>
      </c>
      <c r="J973" s="13" t="s">
        <v>3965</v>
      </c>
      <c r="K973" s="13" t="s">
        <v>3966</v>
      </c>
      <c r="L973" s="13" t="s">
        <v>3948</v>
      </c>
      <c r="M973" s="13" t="s">
        <v>3949</v>
      </c>
    </row>
    <row r="974" customFormat="false" ht="348.5" hidden="false" customHeight="false" outlineLevel="0" collapsed="false">
      <c r="A974" s="13" t="s">
        <v>3</v>
      </c>
      <c r="B974" s="13" t="s">
        <v>2150</v>
      </c>
      <c r="C974" s="13" t="n">
        <v>322</v>
      </c>
      <c r="D974" s="13" t="s">
        <v>3943</v>
      </c>
      <c r="E974" s="13" t="s">
        <v>3967</v>
      </c>
      <c r="F974" s="13" t="s">
        <v>3968</v>
      </c>
      <c r="G974" s="13" t="s">
        <v>3960</v>
      </c>
      <c r="H974" s="13" t="s">
        <v>3964</v>
      </c>
      <c r="I974" s="13" t="s">
        <v>82</v>
      </c>
      <c r="J974" s="13" t="s">
        <v>83</v>
      </c>
      <c r="K974" s="13"/>
      <c r="L974" s="13" t="s">
        <v>3948</v>
      </c>
      <c r="M974" s="13" t="s">
        <v>3949</v>
      </c>
    </row>
    <row r="975" customFormat="false" ht="348.5" hidden="false" customHeight="false" outlineLevel="0" collapsed="false">
      <c r="A975" s="13" t="s">
        <v>3</v>
      </c>
      <c r="B975" s="13" t="s">
        <v>2150</v>
      </c>
      <c r="C975" s="13" t="n">
        <v>322</v>
      </c>
      <c r="D975" s="13" t="s">
        <v>3943</v>
      </c>
      <c r="E975" s="13" t="s">
        <v>3969</v>
      </c>
      <c r="F975" s="13" t="s">
        <v>3970</v>
      </c>
      <c r="G975" s="13" t="s">
        <v>3960</v>
      </c>
      <c r="H975" s="13" t="s">
        <v>3964</v>
      </c>
      <c r="I975" s="13" t="s">
        <v>114</v>
      </c>
      <c r="J975" s="13" t="s">
        <v>3971</v>
      </c>
      <c r="K975" s="13" t="s">
        <v>3972</v>
      </c>
      <c r="L975" s="13" t="s">
        <v>3948</v>
      </c>
      <c r="M975" s="13" t="s">
        <v>3949</v>
      </c>
    </row>
    <row r="976" customFormat="false" ht="348.5" hidden="false" customHeight="false" outlineLevel="0" collapsed="false">
      <c r="A976" s="13" t="s">
        <v>3</v>
      </c>
      <c r="B976" s="13" t="s">
        <v>2150</v>
      </c>
      <c r="C976" s="13" t="n">
        <v>322</v>
      </c>
      <c r="D976" s="13" t="s">
        <v>3943</v>
      </c>
      <c r="E976" s="13" t="s">
        <v>3973</v>
      </c>
      <c r="F976" s="13" t="s">
        <v>3974</v>
      </c>
      <c r="G976" s="13" t="s">
        <v>3960</v>
      </c>
      <c r="H976" s="13" t="s">
        <v>3975</v>
      </c>
      <c r="I976" s="13" t="s">
        <v>82</v>
      </c>
      <c r="J976" s="13" t="s">
        <v>83</v>
      </c>
      <c r="K976" s="13"/>
      <c r="L976" s="13" t="s">
        <v>3948</v>
      </c>
      <c r="M976" s="13" t="s">
        <v>3949</v>
      </c>
    </row>
    <row r="977" customFormat="false" ht="35.05" hidden="false" customHeight="false" outlineLevel="0" collapsed="false">
      <c r="A977" s="13" t="s">
        <v>3</v>
      </c>
      <c r="B977" s="13" t="s">
        <v>2150</v>
      </c>
      <c r="C977" s="13" t="n">
        <v>361</v>
      </c>
      <c r="D977" s="13" t="s">
        <v>3976</v>
      </c>
      <c r="E977" s="13" t="s">
        <v>3977</v>
      </c>
      <c r="F977" s="13" t="s">
        <v>3978</v>
      </c>
      <c r="G977" s="13" t="s">
        <v>3979</v>
      </c>
      <c r="H977" s="13" t="s">
        <v>3980</v>
      </c>
      <c r="I977" s="13" t="s">
        <v>82</v>
      </c>
      <c r="J977" s="13" t="s">
        <v>83</v>
      </c>
      <c r="K977" s="13"/>
      <c r="L977" s="13" t="s">
        <v>3981</v>
      </c>
      <c r="M977" s="13" t="s">
        <v>3982</v>
      </c>
    </row>
    <row r="978" customFormat="false" ht="113.4" hidden="false" customHeight="false" outlineLevel="0" collapsed="false">
      <c r="A978" s="13" t="s">
        <v>3</v>
      </c>
      <c r="B978" s="13" t="s">
        <v>2150</v>
      </c>
      <c r="C978" s="13" t="n">
        <v>361</v>
      </c>
      <c r="D978" s="13" t="s">
        <v>3983</v>
      </c>
      <c r="E978" s="13" t="s">
        <v>3984</v>
      </c>
      <c r="F978" s="13" t="s">
        <v>3978</v>
      </c>
      <c r="G978" s="13" t="s">
        <v>3985</v>
      </c>
      <c r="H978" s="13" t="s">
        <v>3986</v>
      </c>
      <c r="I978" s="13" t="s">
        <v>82</v>
      </c>
      <c r="J978" s="13" t="s">
        <v>83</v>
      </c>
      <c r="K978" s="13"/>
      <c r="L978" s="13" t="s">
        <v>3987</v>
      </c>
      <c r="M978" s="13" t="s">
        <v>3988</v>
      </c>
    </row>
    <row r="979" customFormat="false" ht="113.4" hidden="false" customHeight="false" outlineLevel="0" collapsed="false">
      <c r="A979" s="13" t="s">
        <v>3</v>
      </c>
      <c r="B979" s="13" t="s">
        <v>2150</v>
      </c>
      <c r="C979" s="13" t="n">
        <v>361</v>
      </c>
      <c r="D979" s="13" t="s">
        <v>3983</v>
      </c>
      <c r="E979" s="13" t="s">
        <v>3989</v>
      </c>
      <c r="F979" s="13" t="s">
        <v>3978</v>
      </c>
      <c r="G979" s="13" t="s">
        <v>3990</v>
      </c>
      <c r="H979" s="13" t="s">
        <v>3991</v>
      </c>
      <c r="I979" s="13" t="s">
        <v>82</v>
      </c>
      <c r="J979" s="13" t="s">
        <v>83</v>
      </c>
      <c r="K979" s="13"/>
      <c r="L979" s="13" t="s">
        <v>3987</v>
      </c>
      <c r="M979" s="13" t="s">
        <v>3988</v>
      </c>
    </row>
    <row r="980" customFormat="false" ht="113.4" hidden="false" customHeight="false" outlineLevel="0" collapsed="false">
      <c r="A980" s="13" t="s">
        <v>3</v>
      </c>
      <c r="B980" s="13" t="s">
        <v>2150</v>
      </c>
      <c r="C980" s="13" t="n">
        <v>361</v>
      </c>
      <c r="D980" s="13" t="s">
        <v>3983</v>
      </c>
      <c r="E980" s="13" t="s">
        <v>3992</v>
      </c>
      <c r="F980" s="13" t="s">
        <v>3978</v>
      </c>
      <c r="G980" s="13" t="s">
        <v>3993</v>
      </c>
      <c r="H980" s="13" t="s">
        <v>3991</v>
      </c>
      <c r="I980" s="13" t="s">
        <v>82</v>
      </c>
      <c r="J980" s="13" t="s">
        <v>83</v>
      </c>
      <c r="K980" s="13"/>
      <c r="L980" s="13" t="s">
        <v>3987</v>
      </c>
      <c r="M980" s="13" t="s">
        <v>3988</v>
      </c>
    </row>
    <row r="981" customFormat="false" ht="113.4" hidden="false" customHeight="false" outlineLevel="0" collapsed="false">
      <c r="A981" s="13" t="s">
        <v>3</v>
      </c>
      <c r="B981" s="13" t="s">
        <v>2150</v>
      </c>
      <c r="C981" s="13" t="n">
        <v>361</v>
      </c>
      <c r="D981" s="13" t="s">
        <v>3983</v>
      </c>
      <c r="E981" s="13" t="s">
        <v>3994</v>
      </c>
      <c r="F981" s="13" t="s">
        <v>3991</v>
      </c>
      <c r="G981" s="13" t="s">
        <v>3995</v>
      </c>
      <c r="H981" s="13" t="s">
        <v>3996</v>
      </c>
      <c r="I981" s="13" t="s">
        <v>82</v>
      </c>
      <c r="J981" s="13" t="s">
        <v>83</v>
      </c>
      <c r="K981" s="13"/>
      <c r="L981" s="13" t="s">
        <v>3987</v>
      </c>
      <c r="M981" s="13" t="s">
        <v>3988</v>
      </c>
    </row>
    <row r="982" customFormat="false" ht="124.6" hidden="false" customHeight="false" outlineLevel="0" collapsed="false">
      <c r="A982" s="13" t="s">
        <v>3</v>
      </c>
      <c r="B982" s="13" t="s">
        <v>2150</v>
      </c>
      <c r="C982" s="13" t="n">
        <v>361</v>
      </c>
      <c r="D982" s="13" t="s">
        <v>3997</v>
      </c>
      <c r="E982" s="13" t="s">
        <v>3998</v>
      </c>
      <c r="F982" s="13" t="s">
        <v>3978</v>
      </c>
      <c r="G982" s="13" t="s">
        <v>3748</v>
      </c>
      <c r="H982" s="13" t="s">
        <v>2172</v>
      </c>
      <c r="I982" s="13" t="s">
        <v>82</v>
      </c>
      <c r="J982" s="13" t="s">
        <v>83</v>
      </c>
      <c r="K982" s="13"/>
      <c r="L982" s="13" t="s">
        <v>3999</v>
      </c>
      <c r="M982" s="13" t="s">
        <v>4000</v>
      </c>
    </row>
    <row r="983" customFormat="false" ht="124.6" hidden="false" customHeight="false" outlineLevel="0" collapsed="false">
      <c r="A983" s="13" t="s">
        <v>3</v>
      </c>
      <c r="B983" s="13" t="s">
        <v>2150</v>
      </c>
      <c r="C983" s="13" t="n">
        <v>361</v>
      </c>
      <c r="D983" s="13" t="s">
        <v>3997</v>
      </c>
      <c r="E983" s="13" t="s">
        <v>4001</v>
      </c>
      <c r="F983" s="13" t="s">
        <v>4002</v>
      </c>
      <c r="G983" s="13" t="s">
        <v>4003</v>
      </c>
      <c r="H983" s="13" t="s">
        <v>4004</v>
      </c>
      <c r="I983" s="13" t="s">
        <v>82</v>
      </c>
      <c r="J983" s="13" t="s">
        <v>83</v>
      </c>
      <c r="K983" s="13"/>
      <c r="L983" s="13" t="s">
        <v>3999</v>
      </c>
      <c r="M983" s="13" t="s">
        <v>4000</v>
      </c>
    </row>
    <row r="984" customFormat="false" ht="124.6" hidden="false" customHeight="false" outlineLevel="0" collapsed="false">
      <c r="A984" s="13" t="s">
        <v>3</v>
      </c>
      <c r="B984" s="13" t="s">
        <v>2150</v>
      </c>
      <c r="C984" s="13" t="n">
        <v>361</v>
      </c>
      <c r="D984" s="13" t="s">
        <v>3997</v>
      </c>
      <c r="E984" s="13" t="s">
        <v>4005</v>
      </c>
      <c r="F984" s="13" t="s">
        <v>3978</v>
      </c>
      <c r="G984" s="13" t="s">
        <v>4006</v>
      </c>
      <c r="H984" s="13" t="s">
        <v>4007</v>
      </c>
      <c r="I984" s="13" t="s">
        <v>82</v>
      </c>
      <c r="J984" s="13" t="s">
        <v>83</v>
      </c>
      <c r="K984" s="13"/>
      <c r="L984" s="13" t="s">
        <v>3999</v>
      </c>
      <c r="M984" s="13" t="s">
        <v>4000</v>
      </c>
    </row>
    <row r="985" customFormat="false" ht="124.6" hidden="false" customHeight="false" outlineLevel="0" collapsed="false">
      <c r="A985" s="13" t="s">
        <v>3</v>
      </c>
      <c r="B985" s="13" t="s">
        <v>2150</v>
      </c>
      <c r="C985" s="13" t="n">
        <v>361</v>
      </c>
      <c r="D985" s="13" t="s">
        <v>3997</v>
      </c>
      <c r="E985" s="13" t="s">
        <v>4008</v>
      </c>
      <c r="F985" s="13" t="s">
        <v>4007</v>
      </c>
      <c r="G985" s="13" t="s">
        <v>4009</v>
      </c>
      <c r="H985" s="13" t="s">
        <v>4010</v>
      </c>
      <c r="I985" s="13" t="s">
        <v>82</v>
      </c>
      <c r="J985" s="13" t="s">
        <v>83</v>
      </c>
      <c r="K985" s="13"/>
      <c r="L985" s="13" t="s">
        <v>3999</v>
      </c>
      <c r="M985" s="13" t="s">
        <v>4000</v>
      </c>
    </row>
    <row r="986" customFormat="false" ht="124.6" hidden="false" customHeight="false" outlineLevel="0" collapsed="false">
      <c r="A986" s="13" t="s">
        <v>3</v>
      </c>
      <c r="B986" s="13" t="s">
        <v>2150</v>
      </c>
      <c r="C986" s="13" t="n">
        <v>361</v>
      </c>
      <c r="D986" s="13" t="s">
        <v>4011</v>
      </c>
      <c r="E986" s="13" t="s">
        <v>4012</v>
      </c>
      <c r="F986" s="13" t="s">
        <v>4013</v>
      </c>
      <c r="G986" s="13" t="s">
        <v>4014</v>
      </c>
      <c r="H986" s="13" t="s">
        <v>4015</v>
      </c>
      <c r="I986" s="13" t="s">
        <v>82</v>
      </c>
      <c r="J986" s="13" t="s">
        <v>83</v>
      </c>
      <c r="K986" s="13"/>
      <c r="L986" s="13" t="s">
        <v>4016</v>
      </c>
      <c r="M986" s="13" t="s">
        <v>4017</v>
      </c>
    </row>
    <row r="987" customFormat="false" ht="124.6" hidden="false" customHeight="false" outlineLevel="0" collapsed="false">
      <c r="A987" s="13" t="s">
        <v>3</v>
      </c>
      <c r="B987" s="13" t="s">
        <v>2150</v>
      </c>
      <c r="C987" s="13" t="n">
        <v>361</v>
      </c>
      <c r="D987" s="13" t="s">
        <v>4011</v>
      </c>
      <c r="E987" s="13" t="s">
        <v>4018</v>
      </c>
      <c r="F987" s="13" t="s">
        <v>4013</v>
      </c>
      <c r="G987" s="13" t="s">
        <v>4019</v>
      </c>
      <c r="H987" s="13" t="s">
        <v>4020</v>
      </c>
      <c r="I987" s="13" t="s">
        <v>82</v>
      </c>
      <c r="J987" s="13" t="s">
        <v>83</v>
      </c>
      <c r="K987" s="13"/>
      <c r="L987" s="13" t="s">
        <v>4016</v>
      </c>
      <c r="M987" s="13" t="s">
        <v>4017</v>
      </c>
    </row>
    <row r="988" customFormat="false" ht="124.6" hidden="false" customHeight="false" outlineLevel="0" collapsed="false">
      <c r="A988" s="13" t="s">
        <v>3</v>
      </c>
      <c r="B988" s="13" t="s">
        <v>2150</v>
      </c>
      <c r="C988" s="13" t="n">
        <v>361</v>
      </c>
      <c r="D988" s="13" t="s">
        <v>4011</v>
      </c>
      <c r="E988" s="13" t="s">
        <v>4021</v>
      </c>
      <c r="F988" s="13" t="s">
        <v>4007</v>
      </c>
      <c r="G988" s="13" t="s">
        <v>899</v>
      </c>
      <c r="H988" s="13" t="s">
        <v>4004</v>
      </c>
      <c r="I988" s="13" t="s">
        <v>82</v>
      </c>
      <c r="J988" s="13" t="s">
        <v>83</v>
      </c>
      <c r="K988" s="13"/>
      <c r="L988" s="13" t="s">
        <v>4016</v>
      </c>
      <c r="M988" s="13" t="s">
        <v>4017</v>
      </c>
    </row>
    <row r="989" customFormat="false" ht="124.6" hidden="false" customHeight="false" outlineLevel="0" collapsed="false">
      <c r="A989" s="13" t="s">
        <v>3</v>
      </c>
      <c r="B989" s="13" t="s">
        <v>2150</v>
      </c>
      <c r="C989" s="13" t="n">
        <v>361</v>
      </c>
      <c r="D989" s="13" t="s">
        <v>4011</v>
      </c>
      <c r="E989" s="13" t="s">
        <v>4022</v>
      </c>
      <c r="F989" s="13" t="s">
        <v>4023</v>
      </c>
      <c r="G989" s="13" t="s">
        <v>4024</v>
      </c>
      <c r="H989" s="13" t="s">
        <v>4025</v>
      </c>
      <c r="I989" s="13" t="s">
        <v>82</v>
      </c>
      <c r="J989" s="13" t="s">
        <v>83</v>
      </c>
      <c r="K989" s="13"/>
      <c r="L989" s="13" t="s">
        <v>4016</v>
      </c>
      <c r="M989" s="13" t="s">
        <v>4017</v>
      </c>
    </row>
    <row r="990" customFormat="false" ht="124.6" hidden="false" customHeight="false" outlineLevel="0" collapsed="false">
      <c r="A990" s="13" t="s">
        <v>3</v>
      </c>
      <c r="B990" s="13" t="s">
        <v>2150</v>
      </c>
      <c r="C990" s="13" t="n">
        <v>361</v>
      </c>
      <c r="D990" s="13" t="s">
        <v>4011</v>
      </c>
      <c r="E990" s="13" t="s">
        <v>4026</v>
      </c>
      <c r="F990" s="13" t="s">
        <v>4027</v>
      </c>
      <c r="G990" s="13" t="s">
        <v>4028</v>
      </c>
      <c r="H990" s="13" t="s">
        <v>4029</v>
      </c>
      <c r="I990" s="13" t="s">
        <v>114</v>
      </c>
      <c r="J990" s="13" t="s">
        <v>4030</v>
      </c>
      <c r="K990" s="13" t="s">
        <v>4031</v>
      </c>
      <c r="L990" s="13" t="s">
        <v>4016</v>
      </c>
      <c r="M990" s="13" t="s">
        <v>4017</v>
      </c>
    </row>
    <row r="991" customFormat="false" ht="113.4" hidden="false" customHeight="false" outlineLevel="0" collapsed="false">
      <c r="A991" s="13" t="s">
        <v>3</v>
      </c>
      <c r="B991" s="13" t="s">
        <v>2150</v>
      </c>
      <c r="C991" s="13" t="n">
        <v>362</v>
      </c>
      <c r="D991" s="13" t="s">
        <v>4032</v>
      </c>
      <c r="E991" s="13" t="s">
        <v>4033</v>
      </c>
      <c r="F991" s="13" t="s">
        <v>806</v>
      </c>
      <c r="G991" s="13" t="s">
        <v>4034</v>
      </c>
      <c r="H991" s="13" t="s">
        <v>4035</v>
      </c>
      <c r="I991" s="13" t="s">
        <v>82</v>
      </c>
      <c r="J991" s="13" t="s">
        <v>83</v>
      </c>
      <c r="K991" s="13"/>
      <c r="L991" s="13" t="s">
        <v>4036</v>
      </c>
      <c r="M991" s="13" t="s">
        <v>4037</v>
      </c>
    </row>
    <row r="992" customFormat="false" ht="113.4" hidden="false" customHeight="false" outlineLevel="0" collapsed="false">
      <c r="A992" s="13" t="s">
        <v>3</v>
      </c>
      <c r="B992" s="13" t="s">
        <v>2150</v>
      </c>
      <c r="C992" s="13" t="n">
        <v>362</v>
      </c>
      <c r="D992" s="13" t="s">
        <v>4032</v>
      </c>
      <c r="E992" s="13" t="s">
        <v>4038</v>
      </c>
      <c r="F992" s="13" t="s">
        <v>1477</v>
      </c>
      <c r="G992" s="13" t="s">
        <v>4039</v>
      </c>
      <c r="H992" s="13" t="s">
        <v>806</v>
      </c>
      <c r="I992" s="13" t="s">
        <v>82</v>
      </c>
      <c r="J992" s="13" t="s">
        <v>83</v>
      </c>
      <c r="K992" s="13"/>
      <c r="L992" s="13" t="s">
        <v>4036</v>
      </c>
      <c r="M992" s="13" t="s">
        <v>4037</v>
      </c>
    </row>
    <row r="993" customFormat="false" ht="113.4" hidden="false" customHeight="false" outlineLevel="0" collapsed="false">
      <c r="A993" s="13" t="s">
        <v>3</v>
      </c>
      <c r="B993" s="13" t="s">
        <v>2150</v>
      </c>
      <c r="C993" s="13" t="n">
        <v>362</v>
      </c>
      <c r="D993" s="13" t="s">
        <v>4032</v>
      </c>
      <c r="E993" s="13" t="s">
        <v>4040</v>
      </c>
      <c r="F993" s="13" t="s">
        <v>4041</v>
      </c>
      <c r="G993" s="13" t="s">
        <v>1481</v>
      </c>
      <c r="H993" s="13" t="s">
        <v>4042</v>
      </c>
      <c r="I993" s="13" t="s">
        <v>82</v>
      </c>
      <c r="J993" s="13" t="s">
        <v>83</v>
      </c>
      <c r="K993" s="13"/>
      <c r="L993" s="13" t="s">
        <v>4036</v>
      </c>
      <c r="M993" s="13" t="s">
        <v>4037</v>
      </c>
    </row>
    <row r="994" customFormat="false" ht="113.4" hidden="false" customHeight="false" outlineLevel="0" collapsed="false">
      <c r="A994" s="13" t="s">
        <v>3</v>
      </c>
      <c r="B994" s="13" t="s">
        <v>2150</v>
      </c>
      <c r="C994" s="13" t="n">
        <v>362</v>
      </c>
      <c r="D994" s="13" t="s">
        <v>4032</v>
      </c>
      <c r="E994" s="13" t="s">
        <v>4043</v>
      </c>
      <c r="F994" s="13" t="s">
        <v>4044</v>
      </c>
      <c r="G994" s="13" t="s">
        <v>4045</v>
      </c>
      <c r="H994" s="13" t="s">
        <v>4046</v>
      </c>
      <c r="I994" s="13" t="s">
        <v>82</v>
      </c>
      <c r="J994" s="13" t="s">
        <v>83</v>
      </c>
      <c r="K994" s="13"/>
      <c r="L994" s="13" t="s">
        <v>4036</v>
      </c>
      <c r="M994" s="13" t="s">
        <v>4037</v>
      </c>
    </row>
    <row r="995" customFormat="false" ht="57.45" hidden="false" customHeight="false" outlineLevel="0" collapsed="false">
      <c r="A995" s="13" t="s">
        <v>3</v>
      </c>
      <c r="B995" s="13" t="s">
        <v>2150</v>
      </c>
      <c r="C995" s="13" t="n">
        <v>362</v>
      </c>
      <c r="D995" s="13" t="s">
        <v>4047</v>
      </c>
      <c r="E995" s="13" t="s">
        <v>4048</v>
      </c>
      <c r="F995" s="13" t="s">
        <v>4049</v>
      </c>
      <c r="G995" s="13" t="s">
        <v>4050</v>
      </c>
      <c r="H995" s="13" t="s">
        <v>4051</v>
      </c>
      <c r="I995" s="13" t="s">
        <v>82</v>
      </c>
      <c r="J995" s="13" t="s">
        <v>83</v>
      </c>
      <c r="K995" s="13"/>
      <c r="L995" s="13" t="s">
        <v>4052</v>
      </c>
      <c r="M995" s="13" t="s">
        <v>4053</v>
      </c>
    </row>
    <row r="996" customFormat="false" ht="57.45" hidden="false" customHeight="false" outlineLevel="0" collapsed="false">
      <c r="A996" s="13" t="s">
        <v>3</v>
      </c>
      <c r="B996" s="13" t="s">
        <v>2150</v>
      </c>
      <c r="C996" s="13" t="n">
        <v>362</v>
      </c>
      <c r="D996" s="13" t="s">
        <v>4047</v>
      </c>
      <c r="E996" s="13" t="s">
        <v>4054</v>
      </c>
      <c r="F996" s="13" t="s">
        <v>4049</v>
      </c>
      <c r="G996" s="13" t="s">
        <v>4055</v>
      </c>
      <c r="H996" s="13" t="s">
        <v>4056</v>
      </c>
      <c r="I996" s="13" t="s">
        <v>82</v>
      </c>
      <c r="J996" s="13" t="s">
        <v>83</v>
      </c>
      <c r="K996" s="13"/>
      <c r="L996" s="13" t="s">
        <v>4052</v>
      </c>
      <c r="M996" s="13" t="s">
        <v>4053</v>
      </c>
    </row>
    <row r="997" customFormat="false" ht="57.45" hidden="false" customHeight="false" outlineLevel="0" collapsed="false">
      <c r="A997" s="13" t="s">
        <v>3</v>
      </c>
      <c r="B997" s="13" t="s">
        <v>2150</v>
      </c>
      <c r="C997" s="13" t="n">
        <v>362</v>
      </c>
      <c r="D997" s="13" t="s">
        <v>4047</v>
      </c>
      <c r="E997" s="13" t="s">
        <v>4057</v>
      </c>
      <c r="F997" s="13" t="s">
        <v>4056</v>
      </c>
      <c r="G997" s="13" t="s">
        <v>736</v>
      </c>
      <c r="H997" s="13" t="s">
        <v>4058</v>
      </c>
      <c r="I997" s="13" t="s">
        <v>82</v>
      </c>
      <c r="J997" s="13" t="s">
        <v>83</v>
      </c>
      <c r="K997" s="13"/>
      <c r="L997" s="13" t="s">
        <v>4052</v>
      </c>
      <c r="M997" s="13" t="s">
        <v>4053</v>
      </c>
    </row>
    <row r="998" customFormat="false" ht="57.45" hidden="false" customHeight="false" outlineLevel="0" collapsed="false">
      <c r="A998" s="13" t="s">
        <v>3</v>
      </c>
      <c r="B998" s="13" t="s">
        <v>2150</v>
      </c>
      <c r="C998" s="13" t="n">
        <v>362</v>
      </c>
      <c r="D998" s="13" t="s">
        <v>4047</v>
      </c>
      <c r="E998" s="13" t="s">
        <v>4059</v>
      </c>
      <c r="F998" s="13" t="s">
        <v>4060</v>
      </c>
      <c r="G998" s="13" t="s">
        <v>4061</v>
      </c>
      <c r="H998" s="13" t="s">
        <v>4062</v>
      </c>
      <c r="I998" s="13" t="s">
        <v>82</v>
      </c>
      <c r="J998" s="13" t="s">
        <v>83</v>
      </c>
      <c r="K998" s="13"/>
      <c r="L998" s="13" t="s">
        <v>4052</v>
      </c>
      <c r="M998" s="13" t="s">
        <v>4053</v>
      </c>
    </row>
    <row r="999" customFormat="false" ht="57.45" hidden="false" customHeight="false" outlineLevel="0" collapsed="false">
      <c r="A999" s="13" t="s">
        <v>3</v>
      </c>
      <c r="B999" s="13" t="s">
        <v>2150</v>
      </c>
      <c r="C999" s="13" t="n">
        <v>362</v>
      </c>
      <c r="D999" s="13" t="s">
        <v>4047</v>
      </c>
      <c r="E999" s="13" t="s">
        <v>4063</v>
      </c>
      <c r="F999" s="13" t="s">
        <v>4060</v>
      </c>
      <c r="G999" s="13" t="s">
        <v>4064</v>
      </c>
      <c r="H999" s="13" t="s">
        <v>4065</v>
      </c>
      <c r="I999" s="13" t="s">
        <v>114</v>
      </c>
      <c r="J999" s="13" t="s">
        <v>4066</v>
      </c>
      <c r="K999" s="13" t="s">
        <v>4067</v>
      </c>
      <c r="L999" s="13" t="s">
        <v>4052</v>
      </c>
      <c r="M999" s="13" t="s">
        <v>4053</v>
      </c>
    </row>
    <row r="1000" customFormat="false" ht="158.2" hidden="false" customHeight="false" outlineLevel="0" collapsed="false">
      <c r="A1000" s="13" t="s">
        <v>3</v>
      </c>
      <c r="B1000" s="13" t="s">
        <v>2150</v>
      </c>
      <c r="C1000" s="13" t="n">
        <v>362</v>
      </c>
      <c r="D1000" s="13" t="s">
        <v>4068</v>
      </c>
      <c r="E1000" s="13" t="s">
        <v>4069</v>
      </c>
      <c r="F1000" s="13" t="s">
        <v>4051</v>
      </c>
      <c r="G1000" s="13" t="s">
        <v>220</v>
      </c>
      <c r="H1000" s="13" t="s">
        <v>4070</v>
      </c>
      <c r="I1000" s="13" t="s">
        <v>114</v>
      </c>
      <c r="J1000" s="13" t="s">
        <v>4071</v>
      </c>
      <c r="K1000" s="13" t="s">
        <v>4072</v>
      </c>
      <c r="L1000" s="13" t="s">
        <v>4073</v>
      </c>
      <c r="M1000" s="13" t="s">
        <v>4074</v>
      </c>
    </row>
    <row r="1001" customFormat="false" ht="158.2" hidden="false" customHeight="false" outlineLevel="0" collapsed="false">
      <c r="A1001" s="13" t="s">
        <v>3</v>
      </c>
      <c r="B1001" s="13" t="s">
        <v>2150</v>
      </c>
      <c r="C1001" s="13" t="n">
        <v>362</v>
      </c>
      <c r="D1001" s="13" t="s">
        <v>4068</v>
      </c>
      <c r="E1001" s="13" t="s">
        <v>4075</v>
      </c>
      <c r="F1001" s="13" t="s">
        <v>4013</v>
      </c>
      <c r="G1001" s="13" t="s">
        <v>4076</v>
      </c>
      <c r="H1001" s="13" t="s">
        <v>4051</v>
      </c>
      <c r="I1001" s="13" t="s">
        <v>82</v>
      </c>
      <c r="J1001" s="13" t="s">
        <v>83</v>
      </c>
      <c r="K1001" s="13"/>
      <c r="L1001" s="13" t="s">
        <v>4073</v>
      </c>
      <c r="M1001" s="13" t="s">
        <v>4074</v>
      </c>
    </row>
    <row r="1002" customFormat="false" ht="158.2" hidden="false" customHeight="false" outlineLevel="0" collapsed="false">
      <c r="A1002" s="13" t="s">
        <v>3</v>
      </c>
      <c r="B1002" s="13" t="s">
        <v>2150</v>
      </c>
      <c r="C1002" s="13" t="n">
        <v>362</v>
      </c>
      <c r="D1002" s="13" t="s">
        <v>4068</v>
      </c>
      <c r="E1002" s="13" t="s">
        <v>4077</v>
      </c>
      <c r="F1002" s="13" t="s">
        <v>4027</v>
      </c>
      <c r="G1002" s="13" t="s">
        <v>4078</v>
      </c>
      <c r="H1002" s="13" t="s">
        <v>4029</v>
      </c>
      <c r="I1002" s="13" t="s">
        <v>114</v>
      </c>
      <c r="J1002" s="13" t="s">
        <v>4079</v>
      </c>
      <c r="K1002" s="13" t="s">
        <v>4080</v>
      </c>
      <c r="L1002" s="13" t="s">
        <v>4073</v>
      </c>
      <c r="M1002" s="13" t="s">
        <v>4074</v>
      </c>
    </row>
    <row r="1003" customFormat="false" ht="158.2" hidden="false" customHeight="false" outlineLevel="0" collapsed="false">
      <c r="A1003" s="13" t="s">
        <v>3</v>
      </c>
      <c r="B1003" s="13" t="s">
        <v>2150</v>
      </c>
      <c r="C1003" s="13" t="n">
        <v>362</v>
      </c>
      <c r="D1003" s="13" t="s">
        <v>4068</v>
      </c>
      <c r="E1003" s="13" t="s">
        <v>4081</v>
      </c>
      <c r="F1003" s="13" t="s">
        <v>4049</v>
      </c>
      <c r="G1003" s="13" t="s">
        <v>4050</v>
      </c>
      <c r="H1003" s="13" t="s">
        <v>4051</v>
      </c>
      <c r="I1003" s="13" t="s">
        <v>82</v>
      </c>
      <c r="J1003" s="13" t="s">
        <v>83</v>
      </c>
      <c r="K1003" s="13"/>
      <c r="L1003" s="13" t="s">
        <v>4073</v>
      </c>
      <c r="M1003" s="13" t="s">
        <v>4074</v>
      </c>
    </row>
    <row r="1004" customFormat="false" ht="158.2" hidden="false" customHeight="false" outlineLevel="0" collapsed="false">
      <c r="A1004" s="13" t="s">
        <v>3</v>
      </c>
      <c r="B1004" s="13" t="s">
        <v>2150</v>
      </c>
      <c r="C1004" s="13" t="n">
        <v>362</v>
      </c>
      <c r="D1004" s="13" t="s">
        <v>4068</v>
      </c>
      <c r="E1004" s="13" t="s">
        <v>4082</v>
      </c>
      <c r="F1004" s="13" t="s">
        <v>4051</v>
      </c>
      <c r="G1004" s="13" t="s">
        <v>4083</v>
      </c>
      <c r="H1004" s="13" t="s">
        <v>4004</v>
      </c>
      <c r="I1004" s="13" t="s">
        <v>82</v>
      </c>
      <c r="J1004" s="13" t="s">
        <v>83</v>
      </c>
      <c r="K1004" s="13"/>
      <c r="L1004" s="13" t="s">
        <v>4073</v>
      </c>
      <c r="M1004" s="13" t="s">
        <v>4074</v>
      </c>
    </row>
    <row r="1005" customFormat="false" ht="158.2" hidden="false" customHeight="false" outlineLevel="0" collapsed="false">
      <c r="A1005" s="13" t="s">
        <v>3</v>
      </c>
      <c r="B1005" s="13" t="s">
        <v>2150</v>
      </c>
      <c r="C1005" s="13" t="n">
        <v>362</v>
      </c>
      <c r="D1005" s="13" t="s">
        <v>4068</v>
      </c>
      <c r="E1005" s="13" t="s">
        <v>4084</v>
      </c>
      <c r="F1005" s="13" t="s">
        <v>4085</v>
      </c>
      <c r="G1005" s="13" t="s">
        <v>4086</v>
      </c>
      <c r="H1005" s="13" t="s">
        <v>4051</v>
      </c>
      <c r="I1005" s="13" t="s">
        <v>82</v>
      </c>
      <c r="J1005" s="13" t="s">
        <v>83</v>
      </c>
      <c r="K1005" s="13"/>
      <c r="L1005" s="13" t="s">
        <v>4073</v>
      </c>
      <c r="M1005" s="13" t="s">
        <v>4074</v>
      </c>
    </row>
    <row r="1006" customFormat="false" ht="158.2" hidden="false" customHeight="false" outlineLevel="0" collapsed="false">
      <c r="A1006" s="13" t="s">
        <v>3</v>
      </c>
      <c r="B1006" s="13" t="s">
        <v>2150</v>
      </c>
      <c r="C1006" s="13" t="n">
        <v>362</v>
      </c>
      <c r="D1006" s="13" t="s">
        <v>4068</v>
      </c>
      <c r="E1006" s="13" t="s">
        <v>4087</v>
      </c>
      <c r="F1006" s="13" t="s">
        <v>4051</v>
      </c>
      <c r="G1006" s="13" t="s">
        <v>98</v>
      </c>
      <c r="H1006" s="13" t="s">
        <v>4088</v>
      </c>
      <c r="I1006" s="13" t="s">
        <v>82</v>
      </c>
      <c r="J1006" s="13" t="s">
        <v>83</v>
      </c>
      <c r="K1006" s="13"/>
      <c r="L1006" s="13" t="s">
        <v>4073</v>
      </c>
      <c r="M1006" s="13" t="s">
        <v>4074</v>
      </c>
    </row>
    <row r="1007" customFormat="false" ht="158.2" hidden="false" customHeight="false" outlineLevel="0" collapsed="false">
      <c r="A1007" s="13" t="s">
        <v>3</v>
      </c>
      <c r="B1007" s="13" t="s">
        <v>2150</v>
      </c>
      <c r="C1007" s="13" t="n">
        <v>362</v>
      </c>
      <c r="D1007" s="13" t="s">
        <v>4089</v>
      </c>
      <c r="E1007" s="13" t="s">
        <v>4090</v>
      </c>
      <c r="F1007" s="13" t="s">
        <v>4051</v>
      </c>
      <c r="G1007" s="13" t="s">
        <v>4091</v>
      </c>
      <c r="H1007" s="13" t="s">
        <v>299</v>
      </c>
      <c r="I1007" s="13" t="s">
        <v>82</v>
      </c>
      <c r="J1007" s="13" t="s">
        <v>83</v>
      </c>
      <c r="K1007" s="13"/>
      <c r="L1007" s="13" t="s">
        <v>4092</v>
      </c>
      <c r="M1007" s="13" t="s">
        <v>4093</v>
      </c>
    </row>
    <row r="1008" customFormat="false" ht="158.2" hidden="false" customHeight="false" outlineLevel="0" collapsed="false">
      <c r="A1008" s="13" t="s">
        <v>3</v>
      </c>
      <c r="B1008" s="13" t="s">
        <v>2150</v>
      </c>
      <c r="C1008" s="13" t="n">
        <v>362</v>
      </c>
      <c r="D1008" s="13" t="s">
        <v>4089</v>
      </c>
      <c r="E1008" s="13" t="s">
        <v>4094</v>
      </c>
      <c r="F1008" s="13" t="s">
        <v>4051</v>
      </c>
      <c r="G1008" s="13" t="s">
        <v>4095</v>
      </c>
      <c r="H1008" s="13" t="s">
        <v>4096</v>
      </c>
      <c r="I1008" s="13" t="s">
        <v>82</v>
      </c>
      <c r="J1008" s="13" t="s">
        <v>83</v>
      </c>
      <c r="K1008" s="13"/>
      <c r="L1008" s="13" t="s">
        <v>4092</v>
      </c>
      <c r="M1008" s="13" t="s">
        <v>4093</v>
      </c>
    </row>
    <row r="1009" customFormat="false" ht="158.2" hidden="false" customHeight="false" outlineLevel="0" collapsed="false">
      <c r="A1009" s="13" t="s">
        <v>3</v>
      </c>
      <c r="B1009" s="13" t="s">
        <v>2150</v>
      </c>
      <c r="C1009" s="13" t="n">
        <v>362</v>
      </c>
      <c r="D1009" s="13" t="s">
        <v>4089</v>
      </c>
      <c r="E1009" s="13" t="s">
        <v>4097</v>
      </c>
      <c r="F1009" s="13" t="s">
        <v>4051</v>
      </c>
      <c r="G1009" s="13" t="s">
        <v>4098</v>
      </c>
      <c r="H1009" s="13" t="s">
        <v>4099</v>
      </c>
      <c r="I1009" s="13" t="s">
        <v>114</v>
      </c>
      <c r="J1009" s="13" t="s">
        <v>4100</v>
      </c>
      <c r="K1009" s="13" t="s">
        <v>4101</v>
      </c>
      <c r="L1009" s="13" t="s">
        <v>4092</v>
      </c>
      <c r="M1009" s="13" t="s">
        <v>4093</v>
      </c>
    </row>
    <row r="1010" customFormat="false" ht="158.2" hidden="false" customHeight="false" outlineLevel="0" collapsed="false">
      <c r="A1010" s="13" t="s">
        <v>3</v>
      </c>
      <c r="B1010" s="13" t="s">
        <v>2150</v>
      </c>
      <c r="C1010" s="13" t="n">
        <v>362</v>
      </c>
      <c r="D1010" s="13" t="s">
        <v>4089</v>
      </c>
      <c r="E1010" s="13" t="s">
        <v>4102</v>
      </c>
      <c r="F1010" s="13" t="s">
        <v>4051</v>
      </c>
      <c r="G1010" s="13" t="s">
        <v>4103</v>
      </c>
      <c r="H1010" s="13" t="s">
        <v>4104</v>
      </c>
      <c r="I1010" s="13" t="s">
        <v>82</v>
      </c>
      <c r="J1010" s="13" t="s">
        <v>83</v>
      </c>
      <c r="K1010" s="13"/>
      <c r="L1010" s="13" t="s">
        <v>4092</v>
      </c>
      <c r="M1010" s="13" t="s">
        <v>4093</v>
      </c>
    </row>
    <row r="1011" customFormat="false" ht="158.2" hidden="false" customHeight="false" outlineLevel="0" collapsed="false">
      <c r="A1011" s="13" t="s">
        <v>3</v>
      </c>
      <c r="B1011" s="13" t="s">
        <v>2150</v>
      </c>
      <c r="C1011" s="13" t="n">
        <v>362</v>
      </c>
      <c r="D1011" s="13" t="s">
        <v>4089</v>
      </c>
      <c r="E1011" s="13" t="s">
        <v>4105</v>
      </c>
      <c r="F1011" s="13" t="s">
        <v>4106</v>
      </c>
      <c r="G1011" s="13" t="s">
        <v>4107</v>
      </c>
      <c r="H1011" s="13" t="s">
        <v>4051</v>
      </c>
      <c r="I1011" s="13" t="s">
        <v>82</v>
      </c>
      <c r="J1011" s="13" t="s">
        <v>83</v>
      </c>
      <c r="K1011" s="13"/>
      <c r="L1011" s="13" t="s">
        <v>4092</v>
      </c>
      <c r="M1011" s="13" t="s">
        <v>4093</v>
      </c>
    </row>
    <row r="1012" customFormat="false" ht="113.4" hidden="false" customHeight="false" outlineLevel="0" collapsed="false">
      <c r="A1012" s="13" t="s">
        <v>3</v>
      </c>
      <c r="B1012" s="13" t="s">
        <v>4108</v>
      </c>
      <c r="C1012" s="13" t="n">
        <v>23</v>
      </c>
      <c r="D1012" s="13" t="s">
        <v>4109</v>
      </c>
      <c r="E1012" s="13" t="s">
        <v>4110</v>
      </c>
      <c r="F1012" s="13" t="s">
        <v>4111</v>
      </c>
      <c r="G1012" s="13" t="s">
        <v>4112</v>
      </c>
      <c r="H1012" s="13" t="s">
        <v>4113</v>
      </c>
      <c r="I1012" s="13" t="s">
        <v>82</v>
      </c>
      <c r="J1012" s="13" t="s">
        <v>83</v>
      </c>
      <c r="K1012" s="13"/>
      <c r="L1012" s="13" t="s">
        <v>4114</v>
      </c>
      <c r="M1012" s="13" t="s">
        <v>4115</v>
      </c>
    </row>
    <row r="1013" customFormat="false" ht="113.4" hidden="false" customHeight="false" outlineLevel="0" collapsed="false">
      <c r="A1013" s="13" t="s">
        <v>3</v>
      </c>
      <c r="B1013" s="13" t="s">
        <v>4108</v>
      </c>
      <c r="C1013" s="13" t="n">
        <v>23</v>
      </c>
      <c r="D1013" s="13" t="s">
        <v>4109</v>
      </c>
      <c r="E1013" s="13" t="s">
        <v>4116</v>
      </c>
      <c r="F1013" s="13" t="s">
        <v>4113</v>
      </c>
      <c r="G1013" s="13" t="s">
        <v>4117</v>
      </c>
      <c r="H1013" s="13" t="s">
        <v>4111</v>
      </c>
      <c r="I1013" s="13" t="s">
        <v>82</v>
      </c>
      <c r="J1013" s="13" t="s">
        <v>83</v>
      </c>
      <c r="K1013" s="13"/>
      <c r="L1013" s="13" t="s">
        <v>4114</v>
      </c>
      <c r="M1013" s="13" t="s">
        <v>4115</v>
      </c>
    </row>
    <row r="1014" customFormat="false" ht="113.4" hidden="false" customHeight="false" outlineLevel="0" collapsed="false">
      <c r="A1014" s="13" t="s">
        <v>3</v>
      </c>
      <c r="B1014" s="13" t="s">
        <v>4108</v>
      </c>
      <c r="C1014" s="13" t="n">
        <v>23</v>
      </c>
      <c r="D1014" s="13" t="s">
        <v>4109</v>
      </c>
      <c r="E1014" s="13" t="s">
        <v>4118</v>
      </c>
      <c r="F1014" s="13" t="s">
        <v>4113</v>
      </c>
      <c r="G1014" s="13" t="s">
        <v>4119</v>
      </c>
      <c r="H1014" s="13" t="s">
        <v>4120</v>
      </c>
      <c r="I1014" s="13" t="s">
        <v>82</v>
      </c>
      <c r="J1014" s="13" t="s">
        <v>83</v>
      </c>
      <c r="K1014" s="13"/>
      <c r="L1014" s="13" t="s">
        <v>4114</v>
      </c>
      <c r="M1014" s="13" t="s">
        <v>4115</v>
      </c>
    </row>
    <row r="1015" customFormat="false" ht="23.85" hidden="false" customHeight="false" outlineLevel="0" collapsed="false">
      <c r="A1015" s="13" t="s">
        <v>3</v>
      </c>
      <c r="B1015" s="13" t="s">
        <v>4108</v>
      </c>
      <c r="C1015" s="13" t="n">
        <v>23</v>
      </c>
      <c r="D1015" s="13" t="s">
        <v>4121</v>
      </c>
      <c r="E1015" s="13" t="s">
        <v>4122</v>
      </c>
      <c r="F1015" s="13" t="s">
        <v>4113</v>
      </c>
      <c r="G1015" s="13" t="s">
        <v>4123</v>
      </c>
      <c r="H1015" s="13" t="s">
        <v>4111</v>
      </c>
      <c r="I1015" s="13" t="s">
        <v>82</v>
      </c>
      <c r="J1015" s="13" t="s">
        <v>83</v>
      </c>
      <c r="K1015" s="13"/>
      <c r="L1015" s="13" t="s">
        <v>4124</v>
      </c>
      <c r="M1015" s="13" t="s">
        <v>4125</v>
      </c>
    </row>
    <row r="1016" customFormat="false" ht="35.05" hidden="false" customHeight="false" outlineLevel="0" collapsed="false">
      <c r="A1016" s="13" t="s">
        <v>3</v>
      </c>
      <c r="B1016" s="13" t="s">
        <v>4108</v>
      </c>
      <c r="C1016" s="13" t="n">
        <v>23</v>
      </c>
      <c r="D1016" s="13" t="s">
        <v>4126</v>
      </c>
      <c r="E1016" s="13" t="s">
        <v>4127</v>
      </c>
      <c r="F1016" s="13" t="s">
        <v>4113</v>
      </c>
      <c r="G1016" s="13" t="s">
        <v>4128</v>
      </c>
      <c r="H1016" s="13" t="s">
        <v>4129</v>
      </c>
      <c r="I1016" s="13" t="s">
        <v>74</v>
      </c>
      <c r="J1016" s="13" t="s">
        <v>4130</v>
      </c>
      <c r="K1016" s="13" t="s">
        <v>4131</v>
      </c>
      <c r="L1016" s="13" t="s">
        <v>4132</v>
      </c>
      <c r="M1016" s="13" t="s">
        <v>4133</v>
      </c>
    </row>
    <row r="1017" customFormat="false" ht="23.85" hidden="false" customHeight="false" outlineLevel="0" collapsed="false">
      <c r="A1017" s="13" t="s">
        <v>3</v>
      </c>
      <c r="B1017" s="13" t="s">
        <v>4108</v>
      </c>
      <c r="C1017" s="13" t="n">
        <v>23</v>
      </c>
      <c r="D1017" s="13" t="s">
        <v>4126</v>
      </c>
      <c r="E1017" s="13" t="s">
        <v>4134</v>
      </c>
      <c r="F1017" s="13" t="s">
        <v>4129</v>
      </c>
      <c r="G1017" s="13" t="s">
        <v>4135</v>
      </c>
      <c r="H1017" s="13" t="s">
        <v>4113</v>
      </c>
      <c r="I1017" s="13" t="s">
        <v>82</v>
      </c>
      <c r="J1017" s="13" t="s">
        <v>83</v>
      </c>
      <c r="K1017" s="13"/>
      <c r="L1017" s="13" t="s">
        <v>4132</v>
      </c>
      <c r="M1017" s="13" t="s">
        <v>4133</v>
      </c>
    </row>
    <row r="1018" customFormat="false" ht="102.2" hidden="false" customHeight="false" outlineLevel="0" collapsed="false">
      <c r="A1018" s="13" t="s">
        <v>3</v>
      </c>
      <c r="B1018" s="13" t="s">
        <v>4108</v>
      </c>
      <c r="C1018" s="13" t="n">
        <v>23</v>
      </c>
      <c r="D1018" s="13" t="s">
        <v>4136</v>
      </c>
      <c r="E1018" s="13" t="s">
        <v>4137</v>
      </c>
      <c r="F1018" s="13" t="s">
        <v>4138</v>
      </c>
      <c r="G1018" s="13" t="s">
        <v>4139</v>
      </c>
      <c r="H1018" s="13" t="s">
        <v>4113</v>
      </c>
      <c r="I1018" s="13" t="s">
        <v>82</v>
      </c>
      <c r="J1018" s="13" t="s">
        <v>83</v>
      </c>
      <c r="K1018" s="13"/>
      <c r="L1018" s="13" t="s">
        <v>4140</v>
      </c>
      <c r="M1018" s="13" t="s">
        <v>4141</v>
      </c>
    </row>
    <row r="1019" customFormat="false" ht="102.2" hidden="false" customHeight="false" outlineLevel="0" collapsed="false">
      <c r="A1019" s="13" t="s">
        <v>3</v>
      </c>
      <c r="B1019" s="13" t="s">
        <v>4108</v>
      </c>
      <c r="C1019" s="13" t="n">
        <v>23</v>
      </c>
      <c r="D1019" s="13" t="s">
        <v>4136</v>
      </c>
      <c r="E1019" s="13" t="s">
        <v>4142</v>
      </c>
      <c r="F1019" s="13" t="s">
        <v>4113</v>
      </c>
      <c r="G1019" s="13" t="s">
        <v>4143</v>
      </c>
      <c r="H1019" s="13" t="s">
        <v>4138</v>
      </c>
      <c r="I1019" s="13" t="s">
        <v>82</v>
      </c>
      <c r="J1019" s="13" t="s">
        <v>83</v>
      </c>
      <c r="K1019" s="13"/>
      <c r="L1019" s="13" t="s">
        <v>4140</v>
      </c>
      <c r="M1019" s="13" t="s">
        <v>4141</v>
      </c>
    </row>
    <row r="1020" customFormat="false" ht="102.2" hidden="false" customHeight="false" outlineLevel="0" collapsed="false">
      <c r="A1020" s="13" t="s">
        <v>3</v>
      </c>
      <c r="B1020" s="13" t="s">
        <v>4108</v>
      </c>
      <c r="C1020" s="13" t="n">
        <v>23</v>
      </c>
      <c r="D1020" s="13" t="s">
        <v>4136</v>
      </c>
      <c r="E1020" s="13" t="s">
        <v>4144</v>
      </c>
      <c r="F1020" s="13" t="s">
        <v>4145</v>
      </c>
      <c r="G1020" s="13" t="s">
        <v>4146</v>
      </c>
      <c r="H1020" s="13" t="s">
        <v>4138</v>
      </c>
      <c r="I1020" s="13" t="s">
        <v>82</v>
      </c>
      <c r="J1020" s="13" t="s">
        <v>83</v>
      </c>
      <c r="K1020" s="13"/>
      <c r="L1020" s="13" t="s">
        <v>4140</v>
      </c>
      <c r="M1020" s="13" t="s">
        <v>4141</v>
      </c>
    </row>
    <row r="1021" customFormat="false" ht="102.2" hidden="false" customHeight="false" outlineLevel="0" collapsed="false">
      <c r="A1021" s="13" t="s">
        <v>3</v>
      </c>
      <c r="B1021" s="13" t="s">
        <v>4108</v>
      </c>
      <c r="C1021" s="13" t="n">
        <v>23</v>
      </c>
      <c r="D1021" s="13" t="s">
        <v>4136</v>
      </c>
      <c r="E1021" s="13" t="s">
        <v>4147</v>
      </c>
      <c r="F1021" s="13" t="s">
        <v>4148</v>
      </c>
      <c r="G1021" s="13" t="s">
        <v>4149</v>
      </c>
      <c r="H1021" s="13" t="s">
        <v>4113</v>
      </c>
      <c r="I1021" s="13" t="s">
        <v>82</v>
      </c>
      <c r="J1021" s="13" t="s">
        <v>83</v>
      </c>
      <c r="K1021" s="13"/>
      <c r="L1021" s="13" t="s">
        <v>4140</v>
      </c>
      <c r="M1021" s="13" t="s">
        <v>4141</v>
      </c>
    </row>
    <row r="1022" customFormat="false" ht="23.85" hidden="false" customHeight="false" outlineLevel="0" collapsed="false">
      <c r="A1022" s="13" t="s">
        <v>3</v>
      </c>
      <c r="B1022" s="13" t="s">
        <v>4108</v>
      </c>
      <c r="C1022" s="13" t="n">
        <v>23</v>
      </c>
      <c r="D1022" s="13" t="s">
        <v>4150</v>
      </c>
      <c r="E1022" s="13" t="s">
        <v>4151</v>
      </c>
      <c r="F1022" s="13" t="s">
        <v>4113</v>
      </c>
      <c r="G1022" s="13" t="s">
        <v>4152</v>
      </c>
      <c r="H1022" s="13" t="s">
        <v>4153</v>
      </c>
      <c r="I1022" s="13" t="s">
        <v>82</v>
      </c>
      <c r="J1022" s="13" t="s">
        <v>83</v>
      </c>
      <c r="K1022" s="13"/>
      <c r="L1022" s="13" t="s">
        <v>4154</v>
      </c>
      <c r="M1022" s="13" t="s">
        <v>4155</v>
      </c>
    </row>
    <row r="1023" customFormat="false" ht="23.85" hidden="false" customHeight="false" outlineLevel="0" collapsed="false">
      <c r="A1023" s="13" t="s">
        <v>3</v>
      </c>
      <c r="B1023" s="13" t="s">
        <v>4108</v>
      </c>
      <c r="C1023" s="13" t="n">
        <v>23</v>
      </c>
      <c r="D1023" s="13" t="s">
        <v>4156</v>
      </c>
      <c r="E1023" s="13" t="s">
        <v>4157</v>
      </c>
      <c r="F1023" s="13" t="s">
        <v>4113</v>
      </c>
      <c r="G1023" s="13" t="s">
        <v>1556</v>
      </c>
      <c r="H1023" s="13" t="s">
        <v>4158</v>
      </c>
      <c r="I1023" s="13" t="s">
        <v>82</v>
      </c>
      <c r="J1023" s="13" t="s">
        <v>83</v>
      </c>
      <c r="K1023" s="13"/>
      <c r="L1023" s="13" t="s">
        <v>4159</v>
      </c>
      <c r="M1023" s="13" t="s">
        <v>4160</v>
      </c>
    </row>
    <row r="1024" customFormat="false" ht="23.85" hidden="false" customHeight="false" outlineLevel="0" collapsed="false">
      <c r="A1024" s="13" t="s">
        <v>3</v>
      </c>
      <c r="B1024" s="13" t="s">
        <v>4108</v>
      </c>
      <c r="C1024" s="13" t="n">
        <v>23</v>
      </c>
      <c r="D1024" s="13" t="s">
        <v>4156</v>
      </c>
      <c r="E1024" s="13" t="s">
        <v>4161</v>
      </c>
      <c r="F1024" s="13" t="s">
        <v>4113</v>
      </c>
      <c r="G1024" s="13" t="s">
        <v>4162</v>
      </c>
      <c r="H1024" s="13" t="s">
        <v>4158</v>
      </c>
      <c r="I1024" s="13" t="s">
        <v>82</v>
      </c>
      <c r="J1024" s="13" t="s">
        <v>83</v>
      </c>
      <c r="K1024" s="13"/>
      <c r="L1024" s="13" t="s">
        <v>4159</v>
      </c>
      <c r="M1024" s="13" t="s">
        <v>4160</v>
      </c>
    </row>
    <row r="1025" customFormat="false" ht="23.85" hidden="false" customHeight="false" outlineLevel="0" collapsed="false">
      <c r="A1025" s="13" t="s">
        <v>3</v>
      </c>
      <c r="B1025" s="13" t="s">
        <v>4108</v>
      </c>
      <c r="C1025" s="13" t="n">
        <v>23</v>
      </c>
      <c r="D1025" s="13" t="s">
        <v>4156</v>
      </c>
      <c r="E1025" s="13" t="s">
        <v>4163</v>
      </c>
      <c r="F1025" s="13" t="s">
        <v>4164</v>
      </c>
      <c r="G1025" s="13" t="s">
        <v>4165</v>
      </c>
      <c r="H1025" s="13" t="s">
        <v>4158</v>
      </c>
      <c r="I1025" s="13" t="s">
        <v>82</v>
      </c>
      <c r="J1025" s="13" t="s">
        <v>83</v>
      </c>
      <c r="K1025" s="13"/>
      <c r="L1025" s="13" t="s">
        <v>4159</v>
      </c>
      <c r="M1025" s="13" t="s">
        <v>4160</v>
      </c>
    </row>
    <row r="1026" customFormat="false" ht="46.25" hidden="false" customHeight="false" outlineLevel="0" collapsed="false">
      <c r="A1026" s="13" t="s">
        <v>3</v>
      </c>
      <c r="B1026" s="13" t="s">
        <v>4108</v>
      </c>
      <c r="C1026" s="13" t="n">
        <v>23</v>
      </c>
      <c r="D1026" s="13" t="s">
        <v>4166</v>
      </c>
      <c r="E1026" s="13" t="s">
        <v>4167</v>
      </c>
      <c r="F1026" s="13" t="s">
        <v>4168</v>
      </c>
      <c r="G1026" s="13" t="s">
        <v>4169</v>
      </c>
      <c r="H1026" s="13" t="s">
        <v>4170</v>
      </c>
      <c r="I1026" s="13" t="s">
        <v>82</v>
      </c>
      <c r="J1026" s="13" t="s">
        <v>83</v>
      </c>
      <c r="K1026" s="13"/>
      <c r="L1026" s="13" t="s">
        <v>4171</v>
      </c>
      <c r="M1026" s="13" t="s">
        <v>4172</v>
      </c>
    </row>
    <row r="1027" customFormat="false" ht="46.25" hidden="false" customHeight="false" outlineLevel="0" collapsed="false">
      <c r="A1027" s="13" t="s">
        <v>3</v>
      </c>
      <c r="B1027" s="13" t="s">
        <v>4108</v>
      </c>
      <c r="C1027" s="13" t="n">
        <v>23</v>
      </c>
      <c r="D1027" s="13" t="s">
        <v>4166</v>
      </c>
      <c r="E1027" s="13" t="s">
        <v>4173</v>
      </c>
      <c r="F1027" s="13" t="s">
        <v>4113</v>
      </c>
      <c r="G1027" s="13" t="s">
        <v>4174</v>
      </c>
      <c r="H1027" s="13" t="s">
        <v>4168</v>
      </c>
      <c r="I1027" s="13" t="s">
        <v>82</v>
      </c>
      <c r="J1027" s="13" t="s">
        <v>83</v>
      </c>
      <c r="K1027" s="13"/>
      <c r="L1027" s="13" t="s">
        <v>4171</v>
      </c>
      <c r="M1027" s="13" t="s">
        <v>4172</v>
      </c>
    </row>
    <row r="1028" customFormat="false" ht="57.45" hidden="false" customHeight="false" outlineLevel="0" collapsed="false">
      <c r="A1028" s="13" t="s">
        <v>3</v>
      </c>
      <c r="B1028" s="13" t="s">
        <v>4108</v>
      </c>
      <c r="C1028" s="13" t="n">
        <v>77</v>
      </c>
      <c r="D1028" s="13" t="s">
        <v>4175</v>
      </c>
      <c r="E1028" s="13" t="s">
        <v>4176</v>
      </c>
      <c r="F1028" s="13" t="s">
        <v>4177</v>
      </c>
      <c r="G1028" s="13" t="s">
        <v>4178</v>
      </c>
      <c r="H1028" s="13" t="s">
        <v>4179</v>
      </c>
      <c r="I1028" s="13" t="s">
        <v>82</v>
      </c>
      <c r="J1028" s="13" t="s">
        <v>83</v>
      </c>
      <c r="K1028" s="13"/>
      <c r="L1028" s="13" t="s">
        <v>4180</v>
      </c>
      <c r="M1028" s="13" t="s">
        <v>4181</v>
      </c>
    </row>
    <row r="1029" customFormat="false" ht="57.45" hidden="false" customHeight="false" outlineLevel="0" collapsed="false">
      <c r="A1029" s="13" t="s">
        <v>3</v>
      </c>
      <c r="B1029" s="13" t="s">
        <v>4108</v>
      </c>
      <c r="C1029" s="13" t="n">
        <v>77</v>
      </c>
      <c r="D1029" s="13" t="s">
        <v>4175</v>
      </c>
      <c r="E1029" s="13" t="s">
        <v>4182</v>
      </c>
      <c r="F1029" s="13" t="s">
        <v>4177</v>
      </c>
      <c r="G1029" s="13" t="s">
        <v>421</v>
      </c>
      <c r="H1029" s="13" t="s">
        <v>4183</v>
      </c>
      <c r="I1029" s="13" t="s">
        <v>82</v>
      </c>
      <c r="J1029" s="13" t="s">
        <v>83</v>
      </c>
      <c r="K1029" s="13"/>
      <c r="L1029" s="13" t="s">
        <v>4180</v>
      </c>
      <c r="M1029" s="13" t="s">
        <v>4181</v>
      </c>
    </row>
    <row r="1030" customFormat="false" ht="46.25" hidden="false" customHeight="false" outlineLevel="0" collapsed="false">
      <c r="A1030" s="13" t="s">
        <v>3</v>
      </c>
      <c r="B1030" s="13" t="s">
        <v>4108</v>
      </c>
      <c r="C1030" s="13" t="n">
        <v>77</v>
      </c>
      <c r="D1030" s="13" t="s">
        <v>4184</v>
      </c>
      <c r="E1030" s="13" t="s">
        <v>4185</v>
      </c>
      <c r="F1030" s="13" t="s">
        <v>4177</v>
      </c>
      <c r="G1030" s="13" t="s">
        <v>4186</v>
      </c>
      <c r="H1030" s="13" t="s">
        <v>4187</v>
      </c>
      <c r="I1030" s="13" t="s">
        <v>82</v>
      </c>
      <c r="J1030" s="13" t="s">
        <v>83</v>
      </c>
      <c r="K1030" s="13"/>
      <c r="L1030" s="13" t="s">
        <v>4188</v>
      </c>
      <c r="M1030" s="13" t="s">
        <v>4189</v>
      </c>
    </row>
    <row r="1031" customFormat="false" ht="68.65" hidden="false" customHeight="false" outlineLevel="0" collapsed="false">
      <c r="A1031" s="13" t="s">
        <v>3</v>
      </c>
      <c r="B1031" s="13" t="s">
        <v>4108</v>
      </c>
      <c r="C1031" s="13" t="n">
        <v>77</v>
      </c>
      <c r="D1031" s="13" t="s">
        <v>4190</v>
      </c>
      <c r="E1031" s="13" t="s">
        <v>4191</v>
      </c>
      <c r="F1031" s="13" t="s">
        <v>4177</v>
      </c>
      <c r="G1031" s="13" t="s">
        <v>4192</v>
      </c>
      <c r="H1031" s="13" t="s">
        <v>4193</v>
      </c>
      <c r="I1031" s="13" t="s">
        <v>82</v>
      </c>
      <c r="J1031" s="13" t="s">
        <v>83</v>
      </c>
      <c r="K1031" s="13"/>
      <c r="L1031" s="13" t="s">
        <v>4194</v>
      </c>
      <c r="M1031" s="13" t="s">
        <v>4195</v>
      </c>
    </row>
    <row r="1032" customFormat="false" ht="68.65" hidden="false" customHeight="false" outlineLevel="0" collapsed="false">
      <c r="A1032" s="13" t="s">
        <v>3</v>
      </c>
      <c r="B1032" s="13" t="s">
        <v>4108</v>
      </c>
      <c r="C1032" s="13" t="n">
        <v>77</v>
      </c>
      <c r="D1032" s="13" t="s">
        <v>4190</v>
      </c>
      <c r="E1032" s="13" t="s">
        <v>4196</v>
      </c>
      <c r="F1032" s="13" t="s">
        <v>4177</v>
      </c>
      <c r="G1032" s="13" t="s">
        <v>4197</v>
      </c>
      <c r="H1032" s="13" t="s">
        <v>4198</v>
      </c>
      <c r="I1032" s="13" t="s">
        <v>82</v>
      </c>
      <c r="J1032" s="13" t="s">
        <v>83</v>
      </c>
      <c r="K1032" s="13"/>
      <c r="L1032" s="13" t="s">
        <v>4194</v>
      </c>
      <c r="M1032" s="13" t="s">
        <v>4195</v>
      </c>
    </row>
    <row r="1033" customFormat="false" ht="68.65" hidden="false" customHeight="false" outlineLevel="0" collapsed="false">
      <c r="A1033" s="13" t="s">
        <v>3</v>
      </c>
      <c r="B1033" s="13" t="s">
        <v>4108</v>
      </c>
      <c r="C1033" s="13" t="n">
        <v>77</v>
      </c>
      <c r="D1033" s="13" t="s">
        <v>4199</v>
      </c>
      <c r="E1033" s="13" t="s">
        <v>4200</v>
      </c>
      <c r="F1033" s="13" t="s">
        <v>4201</v>
      </c>
      <c r="G1033" s="13" t="s">
        <v>4202</v>
      </c>
      <c r="H1033" s="13" t="s">
        <v>4203</v>
      </c>
      <c r="I1033" s="13" t="s">
        <v>82</v>
      </c>
      <c r="J1033" s="13" t="s">
        <v>83</v>
      </c>
      <c r="K1033" s="13"/>
      <c r="L1033" s="13" t="s">
        <v>4204</v>
      </c>
      <c r="M1033" s="13" t="s">
        <v>4205</v>
      </c>
    </row>
    <row r="1034" customFormat="false" ht="124.6" hidden="false" customHeight="false" outlineLevel="0" collapsed="false">
      <c r="A1034" s="13" t="s">
        <v>3</v>
      </c>
      <c r="B1034" s="13" t="s">
        <v>4108</v>
      </c>
      <c r="C1034" s="13" t="n">
        <v>77</v>
      </c>
      <c r="D1034" s="13" t="s">
        <v>4206</v>
      </c>
      <c r="E1034" s="13" t="s">
        <v>4207</v>
      </c>
      <c r="F1034" s="13" t="s">
        <v>4208</v>
      </c>
      <c r="G1034" s="13" t="s">
        <v>4209</v>
      </c>
      <c r="H1034" s="13" t="s">
        <v>4210</v>
      </c>
      <c r="I1034" s="13" t="s">
        <v>82</v>
      </c>
      <c r="J1034" s="13" t="s">
        <v>83</v>
      </c>
      <c r="K1034" s="13"/>
      <c r="L1034" s="13" t="s">
        <v>4211</v>
      </c>
      <c r="M1034" s="13" t="s">
        <v>4212</v>
      </c>
    </row>
    <row r="1035" customFormat="false" ht="124.6" hidden="false" customHeight="false" outlineLevel="0" collapsed="false">
      <c r="A1035" s="13" t="s">
        <v>3</v>
      </c>
      <c r="B1035" s="13" t="s">
        <v>4108</v>
      </c>
      <c r="C1035" s="13" t="n">
        <v>77</v>
      </c>
      <c r="D1035" s="13" t="s">
        <v>4206</v>
      </c>
      <c r="E1035" s="13" t="s">
        <v>4213</v>
      </c>
      <c r="F1035" s="13" t="s">
        <v>4208</v>
      </c>
      <c r="G1035" s="13" t="s">
        <v>4214</v>
      </c>
      <c r="H1035" s="13" t="s">
        <v>4215</v>
      </c>
      <c r="I1035" s="13" t="s">
        <v>82</v>
      </c>
      <c r="J1035" s="13" t="s">
        <v>83</v>
      </c>
      <c r="K1035" s="13"/>
      <c r="L1035" s="13" t="s">
        <v>4211</v>
      </c>
      <c r="M1035" s="13" t="s">
        <v>4212</v>
      </c>
    </row>
    <row r="1036" customFormat="false" ht="124.6" hidden="false" customHeight="false" outlineLevel="0" collapsed="false">
      <c r="A1036" s="13" t="s">
        <v>3</v>
      </c>
      <c r="B1036" s="13" t="s">
        <v>4108</v>
      </c>
      <c r="C1036" s="13" t="n">
        <v>77</v>
      </c>
      <c r="D1036" s="13" t="s">
        <v>4206</v>
      </c>
      <c r="E1036" s="13" t="s">
        <v>4216</v>
      </c>
      <c r="F1036" s="13" t="s">
        <v>4177</v>
      </c>
      <c r="G1036" s="13" t="s">
        <v>4217</v>
      </c>
      <c r="H1036" s="13" t="s">
        <v>4208</v>
      </c>
      <c r="I1036" s="13" t="s">
        <v>82</v>
      </c>
      <c r="J1036" s="13" t="s">
        <v>83</v>
      </c>
      <c r="K1036" s="13"/>
      <c r="L1036" s="13" t="s">
        <v>4211</v>
      </c>
      <c r="M1036" s="13" t="s">
        <v>4212</v>
      </c>
    </row>
    <row r="1037" customFormat="false" ht="68.65" hidden="false" customHeight="false" outlineLevel="0" collapsed="false">
      <c r="A1037" s="13" t="s">
        <v>3</v>
      </c>
      <c r="B1037" s="13" t="s">
        <v>4108</v>
      </c>
      <c r="C1037" s="13" t="n">
        <v>77</v>
      </c>
      <c r="D1037" s="13" t="s">
        <v>4218</v>
      </c>
      <c r="E1037" s="13" t="s">
        <v>4219</v>
      </c>
      <c r="F1037" s="13" t="s">
        <v>4220</v>
      </c>
      <c r="G1037" s="13" t="s">
        <v>4221</v>
      </c>
      <c r="H1037" s="13" t="s">
        <v>4222</v>
      </c>
      <c r="I1037" s="13" t="s">
        <v>82</v>
      </c>
      <c r="J1037" s="13" t="s">
        <v>83</v>
      </c>
      <c r="K1037" s="13"/>
      <c r="L1037" s="13" t="s">
        <v>4223</v>
      </c>
      <c r="M1037" s="13" t="s">
        <v>4224</v>
      </c>
    </row>
    <row r="1038" customFormat="false" ht="68.65" hidden="false" customHeight="false" outlineLevel="0" collapsed="false">
      <c r="A1038" s="13" t="s">
        <v>3</v>
      </c>
      <c r="B1038" s="13" t="s">
        <v>4108</v>
      </c>
      <c r="C1038" s="13" t="n">
        <v>77</v>
      </c>
      <c r="D1038" s="13" t="s">
        <v>4218</v>
      </c>
      <c r="E1038" s="13" t="s">
        <v>4225</v>
      </c>
      <c r="F1038" s="13" t="s">
        <v>4226</v>
      </c>
      <c r="G1038" s="13" t="s">
        <v>4227</v>
      </c>
      <c r="H1038" s="13" t="s">
        <v>4228</v>
      </c>
      <c r="I1038" s="13" t="s">
        <v>82</v>
      </c>
      <c r="J1038" s="13" t="s">
        <v>83</v>
      </c>
      <c r="K1038" s="13"/>
      <c r="L1038" s="13" t="s">
        <v>4223</v>
      </c>
      <c r="M1038" s="13" t="s">
        <v>4224</v>
      </c>
    </row>
    <row r="1039" customFormat="false" ht="68.65" hidden="false" customHeight="false" outlineLevel="0" collapsed="false">
      <c r="A1039" s="13" t="s">
        <v>3</v>
      </c>
      <c r="B1039" s="13" t="s">
        <v>4108</v>
      </c>
      <c r="C1039" s="13" t="n">
        <v>77</v>
      </c>
      <c r="D1039" s="13" t="s">
        <v>4218</v>
      </c>
      <c r="E1039" s="13" t="s">
        <v>4229</v>
      </c>
      <c r="F1039" s="13" t="s">
        <v>4177</v>
      </c>
      <c r="G1039" s="13" t="s">
        <v>1824</v>
      </c>
      <c r="H1039" s="13" t="s">
        <v>4228</v>
      </c>
      <c r="I1039" s="13" t="s">
        <v>82</v>
      </c>
      <c r="J1039" s="13" t="s">
        <v>83</v>
      </c>
      <c r="K1039" s="13"/>
      <c r="L1039" s="13" t="s">
        <v>4223</v>
      </c>
      <c r="M1039" s="13" t="s">
        <v>4224</v>
      </c>
    </row>
    <row r="1040" customFormat="false" ht="35.05" hidden="false" customHeight="false" outlineLevel="0" collapsed="false">
      <c r="A1040" s="13" t="s">
        <v>3</v>
      </c>
      <c r="B1040" s="13" t="s">
        <v>4108</v>
      </c>
      <c r="C1040" s="13" t="n">
        <v>103</v>
      </c>
      <c r="D1040" s="13" t="s">
        <v>4230</v>
      </c>
      <c r="E1040" s="13" t="s">
        <v>4231</v>
      </c>
      <c r="F1040" s="13" t="s">
        <v>4232</v>
      </c>
      <c r="G1040" s="13" t="s">
        <v>4233</v>
      </c>
      <c r="H1040" s="13" t="s">
        <v>4234</v>
      </c>
      <c r="I1040" s="13" t="s">
        <v>82</v>
      </c>
      <c r="J1040" s="13" t="s">
        <v>83</v>
      </c>
      <c r="K1040" s="13"/>
      <c r="L1040" s="13" t="s">
        <v>4235</v>
      </c>
      <c r="M1040" s="13" t="s">
        <v>4236</v>
      </c>
    </row>
    <row r="1041" customFormat="false" ht="35.05" hidden="false" customHeight="false" outlineLevel="0" collapsed="false">
      <c r="A1041" s="13" t="s">
        <v>3</v>
      </c>
      <c r="B1041" s="13" t="s">
        <v>4108</v>
      </c>
      <c r="C1041" s="13" t="n">
        <v>103</v>
      </c>
      <c r="D1041" s="13" t="s">
        <v>4237</v>
      </c>
      <c r="E1041" s="13" t="s">
        <v>4238</v>
      </c>
      <c r="F1041" s="13" t="s">
        <v>4239</v>
      </c>
      <c r="G1041" s="13" t="s">
        <v>4240</v>
      </c>
      <c r="H1041" s="13" t="s">
        <v>4241</v>
      </c>
      <c r="I1041" s="13" t="s">
        <v>114</v>
      </c>
      <c r="J1041" s="13" t="s">
        <v>4242</v>
      </c>
      <c r="K1041" s="13" t="s">
        <v>4243</v>
      </c>
      <c r="L1041" s="13" t="s">
        <v>4244</v>
      </c>
      <c r="M1041" s="13" t="s">
        <v>4245</v>
      </c>
    </row>
    <row r="1042" customFormat="false" ht="35.05" hidden="false" customHeight="false" outlineLevel="0" collapsed="false">
      <c r="A1042" s="13" t="s">
        <v>3</v>
      </c>
      <c r="B1042" s="13" t="s">
        <v>4108</v>
      </c>
      <c r="C1042" s="13" t="n">
        <v>103</v>
      </c>
      <c r="D1042" s="13" t="s">
        <v>4237</v>
      </c>
      <c r="E1042" s="13" t="s">
        <v>4246</v>
      </c>
      <c r="F1042" s="13" t="s">
        <v>4247</v>
      </c>
      <c r="G1042" s="13" t="s">
        <v>4248</v>
      </c>
      <c r="H1042" s="13" t="s">
        <v>4249</v>
      </c>
      <c r="I1042" s="13" t="s">
        <v>82</v>
      </c>
      <c r="J1042" s="13" t="s">
        <v>83</v>
      </c>
      <c r="K1042" s="13"/>
      <c r="L1042" s="13" t="s">
        <v>4244</v>
      </c>
      <c r="M1042" s="13" t="s">
        <v>4245</v>
      </c>
    </row>
    <row r="1043" customFormat="false" ht="23.85" hidden="false" customHeight="false" outlineLevel="0" collapsed="false">
      <c r="A1043" s="13" t="s">
        <v>3</v>
      </c>
      <c r="B1043" s="13" t="s">
        <v>4108</v>
      </c>
      <c r="C1043" s="13" t="n">
        <v>103</v>
      </c>
      <c r="D1043" s="13" t="s">
        <v>4250</v>
      </c>
      <c r="E1043" s="13" t="s">
        <v>4251</v>
      </c>
      <c r="F1043" s="13" t="s">
        <v>4252</v>
      </c>
      <c r="G1043" s="13" t="s">
        <v>4253</v>
      </c>
      <c r="H1043" s="13" t="s">
        <v>4254</v>
      </c>
      <c r="I1043" s="13" t="s">
        <v>82</v>
      </c>
      <c r="J1043" s="13" t="s">
        <v>83</v>
      </c>
      <c r="K1043" s="13"/>
      <c r="L1043" s="13" t="s">
        <v>4255</v>
      </c>
      <c r="M1043" s="13" t="s">
        <v>4256</v>
      </c>
    </row>
    <row r="1044" customFormat="false" ht="46.25" hidden="false" customHeight="false" outlineLevel="0" collapsed="false">
      <c r="A1044" s="13" t="s">
        <v>3</v>
      </c>
      <c r="B1044" s="13" t="s">
        <v>4108</v>
      </c>
      <c r="C1044" s="13" t="n">
        <v>103</v>
      </c>
      <c r="D1044" s="13" t="s">
        <v>4257</v>
      </c>
      <c r="E1044" s="13" t="s">
        <v>4258</v>
      </c>
      <c r="F1044" s="13" t="s">
        <v>4259</v>
      </c>
      <c r="G1044" s="13" t="s">
        <v>4260</v>
      </c>
      <c r="H1044" s="13" t="s">
        <v>4247</v>
      </c>
      <c r="I1044" s="13" t="s">
        <v>82</v>
      </c>
      <c r="J1044" s="13" t="s">
        <v>83</v>
      </c>
      <c r="K1044" s="13"/>
      <c r="L1044" s="13" t="s">
        <v>4261</v>
      </c>
      <c r="M1044" s="13" t="s">
        <v>4262</v>
      </c>
    </row>
    <row r="1045" customFormat="false" ht="46.25" hidden="false" customHeight="false" outlineLevel="0" collapsed="false">
      <c r="A1045" s="13" t="s">
        <v>3</v>
      </c>
      <c r="B1045" s="13" t="s">
        <v>4108</v>
      </c>
      <c r="C1045" s="13" t="n">
        <v>103</v>
      </c>
      <c r="D1045" s="13" t="s">
        <v>4257</v>
      </c>
      <c r="E1045" s="13" t="s">
        <v>4263</v>
      </c>
      <c r="F1045" s="13" t="s">
        <v>4264</v>
      </c>
      <c r="G1045" s="13" t="s">
        <v>4260</v>
      </c>
      <c r="H1045" s="13" t="s">
        <v>4247</v>
      </c>
      <c r="I1045" s="13" t="s">
        <v>82</v>
      </c>
      <c r="J1045" s="13" t="s">
        <v>83</v>
      </c>
      <c r="K1045" s="13"/>
      <c r="L1045" s="13" t="s">
        <v>4261</v>
      </c>
      <c r="M1045" s="13" t="s">
        <v>4262</v>
      </c>
    </row>
    <row r="1046" customFormat="false" ht="46.25" hidden="false" customHeight="false" outlineLevel="0" collapsed="false">
      <c r="A1046" s="13" t="s">
        <v>3</v>
      </c>
      <c r="B1046" s="13" t="s">
        <v>4108</v>
      </c>
      <c r="C1046" s="13" t="n">
        <v>103</v>
      </c>
      <c r="D1046" s="13" t="s">
        <v>4257</v>
      </c>
      <c r="E1046" s="13" t="s">
        <v>4265</v>
      </c>
      <c r="F1046" s="13" t="s">
        <v>4266</v>
      </c>
      <c r="G1046" s="13" t="s">
        <v>4267</v>
      </c>
      <c r="H1046" s="13" t="s">
        <v>4247</v>
      </c>
      <c r="I1046" s="13" t="s">
        <v>82</v>
      </c>
      <c r="J1046" s="13" t="s">
        <v>83</v>
      </c>
      <c r="K1046" s="13"/>
      <c r="L1046" s="13" t="s">
        <v>4261</v>
      </c>
      <c r="M1046" s="13" t="s">
        <v>4262</v>
      </c>
    </row>
    <row r="1047" customFormat="false" ht="46.25" hidden="false" customHeight="false" outlineLevel="0" collapsed="false">
      <c r="A1047" s="13" t="s">
        <v>3</v>
      </c>
      <c r="B1047" s="13" t="s">
        <v>4108</v>
      </c>
      <c r="C1047" s="13" t="n">
        <v>103</v>
      </c>
      <c r="D1047" s="13" t="s">
        <v>4257</v>
      </c>
      <c r="E1047" s="13" t="s">
        <v>4268</v>
      </c>
      <c r="F1047" s="13" t="s">
        <v>4269</v>
      </c>
      <c r="G1047" s="13" t="s">
        <v>4267</v>
      </c>
      <c r="H1047" s="13" t="s">
        <v>4247</v>
      </c>
      <c r="I1047" s="13" t="s">
        <v>82</v>
      </c>
      <c r="J1047" s="13" t="s">
        <v>83</v>
      </c>
      <c r="K1047" s="13"/>
      <c r="L1047" s="13" t="s">
        <v>4261</v>
      </c>
      <c r="M1047" s="13" t="s">
        <v>4262</v>
      </c>
    </row>
    <row r="1048" customFormat="false" ht="35.05" hidden="false" customHeight="false" outlineLevel="0" collapsed="false">
      <c r="A1048" s="13" t="s">
        <v>3</v>
      </c>
      <c r="B1048" s="13" t="s">
        <v>4108</v>
      </c>
      <c r="C1048" s="13" t="n">
        <v>103</v>
      </c>
      <c r="D1048" s="13" t="s">
        <v>4270</v>
      </c>
      <c r="E1048" s="13" t="s">
        <v>4271</v>
      </c>
      <c r="F1048" s="13" t="s">
        <v>4272</v>
      </c>
      <c r="G1048" s="13" t="s">
        <v>4273</v>
      </c>
      <c r="H1048" s="13" t="s">
        <v>4274</v>
      </c>
      <c r="I1048" s="13" t="s">
        <v>82</v>
      </c>
      <c r="J1048" s="13" t="s">
        <v>83</v>
      </c>
      <c r="K1048" s="13"/>
      <c r="L1048" s="13" t="s">
        <v>4275</v>
      </c>
      <c r="M1048" s="13" t="s">
        <v>4276</v>
      </c>
    </row>
    <row r="1049" customFormat="false" ht="35.05" hidden="false" customHeight="false" outlineLevel="0" collapsed="false">
      <c r="A1049" s="13" t="s">
        <v>3</v>
      </c>
      <c r="B1049" s="13" t="s">
        <v>4108</v>
      </c>
      <c r="C1049" s="13" t="n">
        <v>103</v>
      </c>
      <c r="D1049" s="13" t="s">
        <v>4270</v>
      </c>
      <c r="E1049" s="13" t="s">
        <v>4277</v>
      </c>
      <c r="F1049" s="13" t="s">
        <v>4254</v>
      </c>
      <c r="G1049" s="13" t="s">
        <v>1308</v>
      </c>
      <c r="H1049" s="13" t="s">
        <v>4278</v>
      </c>
      <c r="I1049" s="13" t="s">
        <v>82</v>
      </c>
      <c r="J1049" s="13" t="s">
        <v>83</v>
      </c>
      <c r="K1049" s="13"/>
      <c r="L1049" s="13" t="s">
        <v>4275</v>
      </c>
      <c r="M1049" s="13" t="s">
        <v>4276</v>
      </c>
    </row>
    <row r="1050" customFormat="false" ht="46.25" hidden="false" customHeight="false" outlineLevel="0" collapsed="false">
      <c r="A1050" s="13" t="s">
        <v>3</v>
      </c>
      <c r="B1050" s="13" t="s">
        <v>4108</v>
      </c>
      <c r="C1050" s="13" t="n">
        <v>103</v>
      </c>
      <c r="D1050" s="13" t="s">
        <v>4279</v>
      </c>
      <c r="E1050" s="13" t="s">
        <v>4280</v>
      </c>
      <c r="F1050" s="13" t="s">
        <v>4281</v>
      </c>
      <c r="G1050" s="13" t="s">
        <v>4282</v>
      </c>
      <c r="H1050" s="13" t="s">
        <v>4283</v>
      </c>
      <c r="I1050" s="13" t="s">
        <v>82</v>
      </c>
      <c r="J1050" s="13" t="s">
        <v>83</v>
      </c>
      <c r="K1050" s="13"/>
      <c r="L1050" s="13" t="s">
        <v>4284</v>
      </c>
      <c r="M1050" s="13" t="s">
        <v>4285</v>
      </c>
    </row>
    <row r="1051" customFormat="false" ht="35.05" hidden="false" customHeight="false" outlineLevel="0" collapsed="false">
      <c r="A1051" s="13" t="s">
        <v>3</v>
      </c>
      <c r="B1051" s="13" t="s">
        <v>4108</v>
      </c>
      <c r="C1051" s="13" t="n">
        <v>103</v>
      </c>
      <c r="D1051" s="13" t="s">
        <v>4286</v>
      </c>
      <c r="E1051" s="13" t="s">
        <v>4287</v>
      </c>
      <c r="F1051" s="13" t="s">
        <v>806</v>
      </c>
      <c r="G1051" s="13" t="s">
        <v>4288</v>
      </c>
      <c r="H1051" s="13" t="s">
        <v>4289</v>
      </c>
      <c r="I1051" s="13" t="s">
        <v>82</v>
      </c>
      <c r="J1051" s="13" t="s">
        <v>83</v>
      </c>
      <c r="K1051" s="13"/>
      <c r="L1051" s="13" t="s">
        <v>4290</v>
      </c>
      <c r="M1051" s="13" t="s">
        <v>4291</v>
      </c>
    </row>
    <row r="1052" customFormat="false" ht="57.45" hidden="false" customHeight="false" outlineLevel="0" collapsed="false">
      <c r="A1052" s="13" t="s">
        <v>3</v>
      </c>
      <c r="B1052" s="13" t="s">
        <v>4108</v>
      </c>
      <c r="C1052" s="13" t="n">
        <v>103</v>
      </c>
      <c r="D1052" s="13" t="s">
        <v>4292</v>
      </c>
      <c r="E1052" s="13" t="s">
        <v>4293</v>
      </c>
      <c r="F1052" s="13" t="s">
        <v>806</v>
      </c>
      <c r="G1052" s="13" t="s">
        <v>1390</v>
      </c>
      <c r="H1052" s="13" t="s">
        <v>4294</v>
      </c>
      <c r="I1052" s="13" t="s">
        <v>82</v>
      </c>
      <c r="J1052" s="13" t="s">
        <v>83</v>
      </c>
      <c r="K1052" s="13"/>
      <c r="L1052" s="13" t="s">
        <v>4295</v>
      </c>
      <c r="M1052" s="13" t="s">
        <v>4296</v>
      </c>
    </row>
    <row r="1053" customFormat="false" ht="57.45" hidden="false" customHeight="false" outlineLevel="0" collapsed="false">
      <c r="A1053" s="13" t="s">
        <v>3</v>
      </c>
      <c r="B1053" s="13" t="s">
        <v>4108</v>
      </c>
      <c r="C1053" s="13" t="n">
        <v>103</v>
      </c>
      <c r="D1053" s="13" t="s">
        <v>4292</v>
      </c>
      <c r="E1053" s="13" t="s">
        <v>4297</v>
      </c>
      <c r="F1053" s="13" t="s">
        <v>806</v>
      </c>
      <c r="G1053" s="13" t="s">
        <v>1390</v>
      </c>
      <c r="H1053" s="13" t="s">
        <v>4298</v>
      </c>
      <c r="I1053" s="13" t="s">
        <v>82</v>
      </c>
      <c r="J1053" s="13" t="s">
        <v>83</v>
      </c>
      <c r="K1053" s="13"/>
      <c r="L1053" s="13" t="s">
        <v>4295</v>
      </c>
      <c r="M1053" s="13" t="s">
        <v>4296</v>
      </c>
    </row>
    <row r="1054" customFormat="false" ht="57.45" hidden="false" customHeight="false" outlineLevel="0" collapsed="false">
      <c r="A1054" s="13" t="s">
        <v>3</v>
      </c>
      <c r="B1054" s="13" t="s">
        <v>4108</v>
      </c>
      <c r="C1054" s="13" t="n">
        <v>103</v>
      </c>
      <c r="D1054" s="13" t="s">
        <v>4292</v>
      </c>
      <c r="E1054" s="13" t="s">
        <v>4299</v>
      </c>
      <c r="F1054" s="13" t="s">
        <v>806</v>
      </c>
      <c r="G1054" s="13" t="s">
        <v>4300</v>
      </c>
      <c r="H1054" s="13" t="s">
        <v>4301</v>
      </c>
      <c r="I1054" s="13" t="s">
        <v>82</v>
      </c>
      <c r="J1054" s="13" t="s">
        <v>83</v>
      </c>
      <c r="K1054" s="13"/>
      <c r="L1054" s="13" t="s">
        <v>4295</v>
      </c>
      <c r="M1054" s="13" t="s">
        <v>4296</v>
      </c>
    </row>
    <row r="1055" customFormat="false" ht="79.85" hidden="false" customHeight="false" outlineLevel="0" collapsed="false">
      <c r="A1055" s="13" t="s">
        <v>3</v>
      </c>
      <c r="B1055" s="13" t="s">
        <v>4108</v>
      </c>
      <c r="C1055" s="13" t="n">
        <v>109</v>
      </c>
      <c r="D1055" s="13" t="s">
        <v>4302</v>
      </c>
      <c r="E1055" s="13" t="s">
        <v>4303</v>
      </c>
      <c r="F1055" s="13" t="s">
        <v>806</v>
      </c>
      <c r="G1055" s="13" t="s">
        <v>554</v>
      </c>
      <c r="H1055" s="13" t="s">
        <v>4304</v>
      </c>
      <c r="I1055" s="13" t="s">
        <v>82</v>
      </c>
      <c r="J1055" s="13" t="s">
        <v>83</v>
      </c>
      <c r="K1055" s="13"/>
      <c r="L1055" s="13" t="s">
        <v>4305</v>
      </c>
      <c r="M1055" s="13" t="s">
        <v>4306</v>
      </c>
    </row>
    <row r="1056" customFormat="false" ht="79.85" hidden="false" customHeight="false" outlineLevel="0" collapsed="false">
      <c r="A1056" s="13" t="s">
        <v>3</v>
      </c>
      <c r="B1056" s="13" t="s">
        <v>4108</v>
      </c>
      <c r="C1056" s="13" t="n">
        <v>109</v>
      </c>
      <c r="D1056" s="13" t="s">
        <v>4302</v>
      </c>
      <c r="E1056" s="13" t="s">
        <v>4307</v>
      </c>
      <c r="F1056" s="13" t="s">
        <v>806</v>
      </c>
      <c r="G1056" s="13" t="s">
        <v>3993</v>
      </c>
      <c r="H1056" s="13" t="s">
        <v>4308</v>
      </c>
      <c r="I1056" s="13" t="s">
        <v>82</v>
      </c>
      <c r="J1056" s="13" t="s">
        <v>83</v>
      </c>
      <c r="K1056" s="13"/>
      <c r="L1056" s="13" t="s">
        <v>4305</v>
      </c>
      <c r="M1056" s="13" t="s">
        <v>4306</v>
      </c>
    </row>
    <row r="1057" customFormat="false" ht="79.85" hidden="false" customHeight="false" outlineLevel="0" collapsed="false">
      <c r="A1057" s="13" t="s">
        <v>3</v>
      </c>
      <c r="B1057" s="13" t="s">
        <v>4108</v>
      </c>
      <c r="C1057" s="13" t="n">
        <v>109</v>
      </c>
      <c r="D1057" s="13" t="s">
        <v>4302</v>
      </c>
      <c r="E1057" s="13" t="s">
        <v>4309</v>
      </c>
      <c r="F1057" s="13" t="s">
        <v>4304</v>
      </c>
      <c r="G1057" s="13" t="s">
        <v>3995</v>
      </c>
      <c r="H1057" s="13" t="s">
        <v>4310</v>
      </c>
      <c r="I1057" s="13" t="s">
        <v>82</v>
      </c>
      <c r="J1057" s="13" t="s">
        <v>83</v>
      </c>
      <c r="K1057" s="13"/>
      <c r="L1057" s="13" t="s">
        <v>4305</v>
      </c>
      <c r="M1057" s="13" t="s">
        <v>4306</v>
      </c>
    </row>
    <row r="1058" customFormat="false" ht="79.85" hidden="false" customHeight="false" outlineLevel="0" collapsed="false">
      <c r="A1058" s="13" t="s">
        <v>3</v>
      </c>
      <c r="B1058" s="13" t="s">
        <v>4108</v>
      </c>
      <c r="C1058" s="13" t="n">
        <v>109</v>
      </c>
      <c r="D1058" s="13" t="s">
        <v>4302</v>
      </c>
      <c r="E1058" s="13" t="s">
        <v>4311</v>
      </c>
      <c r="F1058" s="13" t="s">
        <v>4304</v>
      </c>
      <c r="G1058" s="13" t="s">
        <v>3995</v>
      </c>
      <c r="H1058" s="13" t="s">
        <v>4312</v>
      </c>
      <c r="I1058" s="13" t="s">
        <v>82</v>
      </c>
      <c r="J1058" s="13" t="s">
        <v>83</v>
      </c>
      <c r="K1058" s="13"/>
      <c r="L1058" s="13" t="s">
        <v>4305</v>
      </c>
      <c r="M1058" s="13" t="s">
        <v>4306</v>
      </c>
    </row>
    <row r="1059" customFormat="false" ht="35.05" hidden="false" customHeight="false" outlineLevel="0" collapsed="false">
      <c r="A1059" s="13" t="s">
        <v>3</v>
      </c>
      <c r="B1059" s="13" t="s">
        <v>4108</v>
      </c>
      <c r="C1059" s="13" t="n">
        <v>109</v>
      </c>
      <c r="D1059" s="13" t="s">
        <v>4313</v>
      </c>
      <c r="E1059" s="13" t="s">
        <v>4314</v>
      </c>
      <c r="F1059" s="13" t="s">
        <v>806</v>
      </c>
      <c r="G1059" s="13" t="s">
        <v>4315</v>
      </c>
      <c r="H1059" s="13" t="s">
        <v>4316</v>
      </c>
      <c r="I1059" s="13" t="s">
        <v>82</v>
      </c>
      <c r="J1059" s="13" t="s">
        <v>83</v>
      </c>
      <c r="K1059" s="13"/>
      <c r="L1059" s="13" t="s">
        <v>4317</v>
      </c>
      <c r="M1059" s="13" t="s">
        <v>4318</v>
      </c>
    </row>
    <row r="1060" customFormat="false" ht="35.05" hidden="false" customHeight="false" outlineLevel="0" collapsed="false">
      <c r="A1060" s="13" t="s">
        <v>3</v>
      </c>
      <c r="B1060" s="13" t="s">
        <v>4108</v>
      </c>
      <c r="C1060" s="13" t="n">
        <v>109</v>
      </c>
      <c r="D1060" s="13" t="s">
        <v>4313</v>
      </c>
      <c r="E1060" s="13" t="s">
        <v>4319</v>
      </c>
      <c r="F1060" s="13" t="s">
        <v>4316</v>
      </c>
      <c r="G1060" s="13" t="s">
        <v>4320</v>
      </c>
      <c r="H1060" s="13" t="s">
        <v>4321</v>
      </c>
      <c r="I1060" s="13" t="s">
        <v>82</v>
      </c>
      <c r="J1060" s="13" t="s">
        <v>83</v>
      </c>
      <c r="K1060" s="13"/>
      <c r="L1060" s="13" t="s">
        <v>4317</v>
      </c>
      <c r="M1060" s="13" t="s">
        <v>4318</v>
      </c>
    </row>
    <row r="1061" customFormat="false" ht="57.45" hidden="false" customHeight="false" outlineLevel="0" collapsed="false">
      <c r="A1061" s="13" t="s">
        <v>3</v>
      </c>
      <c r="B1061" s="13" t="s">
        <v>4108</v>
      </c>
      <c r="C1061" s="13" t="n">
        <v>109</v>
      </c>
      <c r="D1061" s="13" t="s">
        <v>4322</v>
      </c>
      <c r="E1061" s="13" t="s">
        <v>4323</v>
      </c>
      <c r="F1061" s="13" t="s">
        <v>4324</v>
      </c>
      <c r="G1061" s="13" t="s">
        <v>4107</v>
      </c>
      <c r="H1061" s="13" t="s">
        <v>806</v>
      </c>
      <c r="I1061" s="13" t="s">
        <v>82</v>
      </c>
      <c r="J1061" s="13" t="s">
        <v>83</v>
      </c>
      <c r="K1061" s="13"/>
      <c r="L1061" s="13" t="s">
        <v>4325</v>
      </c>
      <c r="M1061" s="13" t="s">
        <v>4326</v>
      </c>
    </row>
    <row r="1062" customFormat="false" ht="102.2" hidden="false" customHeight="false" outlineLevel="0" collapsed="false">
      <c r="A1062" s="13" t="s">
        <v>3</v>
      </c>
      <c r="B1062" s="13" t="s">
        <v>4108</v>
      </c>
      <c r="C1062" s="13" t="n">
        <v>109</v>
      </c>
      <c r="D1062" s="13" t="s">
        <v>4327</v>
      </c>
      <c r="E1062" s="13" t="s">
        <v>4328</v>
      </c>
      <c r="F1062" s="13" t="s">
        <v>4324</v>
      </c>
      <c r="G1062" s="13" t="s">
        <v>4050</v>
      </c>
      <c r="H1062" s="13" t="s">
        <v>806</v>
      </c>
      <c r="I1062" s="13" t="s">
        <v>82</v>
      </c>
      <c r="J1062" s="13" t="s">
        <v>83</v>
      </c>
      <c r="K1062" s="13"/>
      <c r="L1062" s="13" t="s">
        <v>4329</v>
      </c>
      <c r="M1062" s="13" t="s">
        <v>4330</v>
      </c>
    </row>
    <row r="1063" customFormat="false" ht="102.2" hidden="false" customHeight="false" outlineLevel="0" collapsed="false">
      <c r="A1063" s="13" t="s">
        <v>3</v>
      </c>
      <c r="B1063" s="13" t="s">
        <v>4108</v>
      </c>
      <c r="C1063" s="13" t="n">
        <v>109</v>
      </c>
      <c r="D1063" s="13" t="s">
        <v>4327</v>
      </c>
      <c r="E1063" s="13" t="s">
        <v>4331</v>
      </c>
      <c r="F1063" s="13" t="s">
        <v>806</v>
      </c>
      <c r="G1063" s="13" t="s">
        <v>4332</v>
      </c>
      <c r="H1063" s="13" t="s">
        <v>4333</v>
      </c>
      <c r="I1063" s="13" t="s">
        <v>82</v>
      </c>
      <c r="J1063" s="13" t="s">
        <v>83</v>
      </c>
      <c r="K1063" s="13"/>
      <c r="L1063" s="13" t="s">
        <v>4329</v>
      </c>
      <c r="M1063" s="13" t="s">
        <v>4330</v>
      </c>
    </row>
    <row r="1064" customFormat="false" ht="102.2" hidden="false" customHeight="false" outlineLevel="0" collapsed="false">
      <c r="A1064" s="13" t="s">
        <v>3</v>
      </c>
      <c r="B1064" s="13" t="s">
        <v>4108</v>
      </c>
      <c r="C1064" s="13" t="n">
        <v>109</v>
      </c>
      <c r="D1064" s="13" t="s">
        <v>4327</v>
      </c>
      <c r="E1064" s="13" t="s">
        <v>4334</v>
      </c>
      <c r="F1064" s="13" t="s">
        <v>806</v>
      </c>
      <c r="G1064" s="13" t="s">
        <v>4335</v>
      </c>
      <c r="H1064" s="13" t="s">
        <v>4336</v>
      </c>
      <c r="I1064" s="13" t="s">
        <v>82</v>
      </c>
      <c r="J1064" s="13" t="s">
        <v>83</v>
      </c>
      <c r="K1064" s="13"/>
      <c r="L1064" s="13" t="s">
        <v>4329</v>
      </c>
      <c r="M1064" s="13" t="s">
        <v>4330</v>
      </c>
    </row>
    <row r="1065" customFormat="false" ht="102.2" hidden="false" customHeight="false" outlineLevel="0" collapsed="false">
      <c r="A1065" s="13" t="s">
        <v>3</v>
      </c>
      <c r="B1065" s="13" t="s">
        <v>4108</v>
      </c>
      <c r="C1065" s="13" t="n">
        <v>109</v>
      </c>
      <c r="D1065" s="13" t="s">
        <v>4327</v>
      </c>
      <c r="E1065" s="13" t="s">
        <v>4337</v>
      </c>
      <c r="F1065" s="13" t="s">
        <v>4336</v>
      </c>
      <c r="G1065" s="13" t="s">
        <v>958</v>
      </c>
      <c r="H1065" s="13" t="s">
        <v>4338</v>
      </c>
      <c r="I1065" s="13" t="s">
        <v>82</v>
      </c>
      <c r="J1065" s="13" t="s">
        <v>83</v>
      </c>
      <c r="K1065" s="13"/>
      <c r="L1065" s="13" t="s">
        <v>4329</v>
      </c>
      <c r="M1065" s="13" t="s">
        <v>4330</v>
      </c>
    </row>
    <row r="1066" customFormat="false" ht="382.05" hidden="false" customHeight="false" outlineLevel="0" collapsed="false">
      <c r="A1066" s="13" t="s">
        <v>3</v>
      </c>
      <c r="B1066" s="13" t="s">
        <v>4108</v>
      </c>
      <c r="C1066" s="13" t="n">
        <v>109</v>
      </c>
      <c r="D1066" s="13" t="s">
        <v>4339</v>
      </c>
      <c r="E1066" s="13" t="s">
        <v>4340</v>
      </c>
      <c r="F1066" s="13" t="s">
        <v>806</v>
      </c>
      <c r="G1066" s="13" t="s">
        <v>4341</v>
      </c>
      <c r="H1066" s="13" t="s">
        <v>4342</v>
      </c>
      <c r="I1066" s="13" t="s">
        <v>82</v>
      </c>
      <c r="J1066" s="13" t="s">
        <v>83</v>
      </c>
      <c r="K1066" s="13"/>
      <c r="L1066" s="13" t="s">
        <v>4343</v>
      </c>
      <c r="M1066" s="13" t="s">
        <v>4344</v>
      </c>
    </row>
    <row r="1067" customFormat="false" ht="382.05" hidden="false" customHeight="false" outlineLevel="0" collapsed="false">
      <c r="A1067" s="13" t="s">
        <v>3</v>
      </c>
      <c r="B1067" s="13" t="s">
        <v>4108</v>
      </c>
      <c r="C1067" s="13" t="n">
        <v>109</v>
      </c>
      <c r="D1067" s="13" t="s">
        <v>4339</v>
      </c>
      <c r="E1067" s="13" t="s">
        <v>4345</v>
      </c>
      <c r="F1067" s="13" t="s">
        <v>4342</v>
      </c>
      <c r="G1067" s="13" t="s">
        <v>958</v>
      </c>
      <c r="H1067" s="13" t="s">
        <v>4346</v>
      </c>
      <c r="I1067" s="13" t="s">
        <v>82</v>
      </c>
      <c r="J1067" s="13" t="s">
        <v>83</v>
      </c>
      <c r="K1067" s="13"/>
      <c r="L1067" s="13" t="s">
        <v>4343</v>
      </c>
      <c r="M1067" s="13" t="s">
        <v>4344</v>
      </c>
    </row>
    <row r="1068" customFormat="false" ht="382.05" hidden="false" customHeight="false" outlineLevel="0" collapsed="false">
      <c r="A1068" s="13" t="s">
        <v>3</v>
      </c>
      <c r="B1068" s="13" t="s">
        <v>4108</v>
      </c>
      <c r="C1068" s="13" t="n">
        <v>109</v>
      </c>
      <c r="D1068" s="13" t="s">
        <v>4339</v>
      </c>
      <c r="E1068" s="13" t="s">
        <v>4347</v>
      </c>
      <c r="F1068" s="13" t="s">
        <v>806</v>
      </c>
      <c r="G1068" s="13" t="s">
        <v>4348</v>
      </c>
      <c r="H1068" s="13" t="s">
        <v>4349</v>
      </c>
      <c r="I1068" s="13" t="s">
        <v>82</v>
      </c>
      <c r="J1068" s="13" t="s">
        <v>83</v>
      </c>
      <c r="K1068" s="13"/>
      <c r="L1068" s="13" t="s">
        <v>4343</v>
      </c>
      <c r="M1068" s="13" t="s">
        <v>4344</v>
      </c>
    </row>
    <row r="1069" customFormat="false" ht="382.05" hidden="false" customHeight="false" outlineLevel="0" collapsed="false">
      <c r="A1069" s="13" t="s">
        <v>3</v>
      </c>
      <c r="B1069" s="13" t="s">
        <v>4108</v>
      </c>
      <c r="C1069" s="13" t="n">
        <v>109</v>
      </c>
      <c r="D1069" s="13" t="s">
        <v>4339</v>
      </c>
      <c r="E1069" s="13" t="s">
        <v>4350</v>
      </c>
      <c r="F1069" s="13" t="s">
        <v>4349</v>
      </c>
      <c r="G1069" s="13" t="s">
        <v>958</v>
      </c>
      <c r="H1069" s="13" t="s">
        <v>4351</v>
      </c>
      <c r="I1069" s="13" t="s">
        <v>82</v>
      </c>
      <c r="J1069" s="13" t="s">
        <v>83</v>
      </c>
      <c r="K1069" s="13"/>
      <c r="L1069" s="13" t="s">
        <v>4343</v>
      </c>
      <c r="M1069" s="13" t="s">
        <v>4344</v>
      </c>
    </row>
    <row r="1070" customFormat="false" ht="382.05" hidden="false" customHeight="false" outlineLevel="0" collapsed="false">
      <c r="A1070" s="13" t="s">
        <v>3</v>
      </c>
      <c r="B1070" s="13" t="s">
        <v>4108</v>
      </c>
      <c r="C1070" s="13" t="n">
        <v>109</v>
      </c>
      <c r="D1070" s="13" t="s">
        <v>4339</v>
      </c>
      <c r="E1070" s="13" t="s">
        <v>4352</v>
      </c>
      <c r="F1070" s="13" t="s">
        <v>806</v>
      </c>
      <c r="G1070" s="13" t="s">
        <v>4353</v>
      </c>
      <c r="H1070" s="13" t="s">
        <v>4354</v>
      </c>
      <c r="I1070" s="13" t="s">
        <v>82</v>
      </c>
      <c r="J1070" s="13" t="s">
        <v>83</v>
      </c>
      <c r="K1070" s="13"/>
      <c r="L1070" s="13" t="s">
        <v>4343</v>
      </c>
      <c r="M1070" s="13" t="s">
        <v>4344</v>
      </c>
    </row>
    <row r="1071" customFormat="false" ht="382.05" hidden="false" customHeight="false" outlineLevel="0" collapsed="false">
      <c r="A1071" s="13" t="s">
        <v>3</v>
      </c>
      <c r="B1071" s="13" t="s">
        <v>4108</v>
      </c>
      <c r="C1071" s="13" t="n">
        <v>109</v>
      </c>
      <c r="D1071" s="13" t="s">
        <v>4339</v>
      </c>
      <c r="E1071" s="13" t="s">
        <v>4355</v>
      </c>
      <c r="F1071" s="13" t="s">
        <v>4354</v>
      </c>
      <c r="G1071" s="13" t="s">
        <v>958</v>
      </c>
      <c r="H1071" s="13" t="s">
        <v>4356</v>
      </c>
      <c r="I1071" s="13" t="s">
        <v>82</v>
      </c>
      <c r="J1071" s="13" t="s">
        <v>83</v>
      </c>
      <c r="K1071" s="13"/>
      <c r="L1071" s="13" t="s">
        <v>4343</v>
      </c>
      <c r="M1071" s="13" t="s">
        <v>4344</v>
      </c>
    </row>
    <row r="1072" customFormat="false" ht="382.05" hidden="false" customHeight="false" outlineLevel="0" collapsed="false">
      <c r="A1072" s="13" t="s">
        <v>3</v>
      </c>
      <c r="B1072" s="13" t="s">
        <v>4108</v>
      </c>
      <c r="C1072" s="13" t="n">
        <v>109</v>
      </c>
      <c r="D1072" s="13" t="s">
        <v>4339</v>
      </c>
      <c r="E1072" s="13" t="s">
        <v>4357</v>
      </c>
      <c r="F1072" s="13" t="s">
        <v>806</v>
      </c>
      <c r="G1072" s="13" t="s">
        <v>4358</v>
      </c>
      <c r="H1072" s="13" t="s">
        <v>4359</v>
      </c>
      <c r="I1072" s="13" t="s">
        <v>82</v>
      </c>
      <c r="J1072" s="13" t="s">
        <v>83</v>
      </c>
      <c r="K1072" s="13"/>
      <c r="L1072" s="13" t="s">
        <v>4343</v>
      </c>
      <c r="M1072" s="13" t="s">
        <v>4344</v>
      </c>
    </row>
    <row r="1073" customFormat="false" ht="382.05" hidden="false" customHeight="false" outlineLevel="0" collapsed="false">
      <c r="A1073" s="13" t="s">
        <v>3</v>
      </c>
      <c r="B1073" s="13" t="s">
        <v>4108</v>
      </c>
      <c r="C1073" s="13" t="n">
        <v>109</v>
      </c>
      <c r="D1073" s="13" t="s">
        <v>4339</v>
      </c>
      <c r="E1073" s="13" t="s">
        <v>4360</v>
      </c>
      <c r="F1073" s="13" t="s">
        <v>4359</v>
      </c>
      <c r="G1073" s="13" t="s">
        <v>958</v>
      </c>
      <c r="H1073" s="13" t="s">
        <v>4361</v>
      </c>
      <c r="I1073" s="13" t="s">
        <v>82</v>
      </c>
      <c r="J1073" s="13" t="s">
        <v>83</v>
      </c>
      <c r="K1073" s="13"/>
      <c r="L1073" s="13" t="s">
        <v>4343</v>
      </c>
      <c r="M1073" s="13" t="s">
        <v>4344</v>
      </c>
    </row>
    <row r="1074" customFormat="false" ht="382.05" hidden="false" customHeight="false" outlineLevel="0" collapsed="false">
      <c r="A1074" s="13" t="s">
        <v>3</v>
      </c>
      <c r="B1074" s="13" t="s">
        <v>4108</v>
      </c>
      <c r="C1074" s="13" t="n">
        <v>109</v>
      </c>
      <c r="D1074" s="13" t="s">
        <v>4339</v>
      </c>
      <c r="E1074" s="13" t="s">
        <v>4362</v>
      </c>
      <c r="F1074" s="13" t="s">
        <v>806</v>
      </c>
      <c r="G1074" s="13" t="s">
        <v>4363</v>
      </c>
      <c r="H1074" s="13" t="s">
        <v>4364</v>
      </c>
      <c r="I1074" s="13" t="s">
        <v>82</v>
      </c>
      <c r="J1074" s="13" t="s">
        <v>83</v>
      </c>
      <c r="K1074" s="13"/>
      <c r="L1074" s="13" t="s">
        <v>4343</v>
      </c>
      <c r="M1074" s="13" t="s">
        <v>4344</v>
      </c>
    </row>
    <row r="1075" customFormat="false" ht="382.05" hidden="false" customHeight="false" outlineLevel="0" collapsed="false">
      <c r="A1075" s="13" t="s">
        <v>3</v>
      </c>
      <c r="B1075" s="13" t="s">
        <v>4108</v>
      </c>
      <c r="C1075" s="13" t="n">
        <v>109</v>
      </c>
      <c r="D1075" s="13" t="s">
        <v>4339</v>
      </c>
      <c r="E1075" s="13" t="s">
        <v>4365</v>
      </c>
      <c r="F1075" s="13" t="s">
        <v>4364</v>
      </c>
      <c r="G1075" s="13" t="s">
        <v>958</v>
      </c>
      <c r="H1075" s="13" t="s">
        <v>4366</v>
      </c>
      <c r="I1075" s="13" t="s">
        <v>82</v>
      </c>
      <c r="J1075" s="13" t="s">
        <v>83</v>
      </c>
      <c r="K1075" s="13"/>
      <c r="L1075" s="13" t="s">
        <v>4343</v>
      </c>
      <c r="M1075" s="13" t="s">
        <v>4344</v>
      </c>
    </row>
    <row r="1076" customFormat="false" ht="382.05" hidden="false" customHeight="false" outlineLevel="0" collapsed="false">
      <c r="A1076" s="13" t="s">
        <v>3</v>
      </c>
      <c r="B1076" s="13" t="s">
        <v>4108</v>
      </c>
      <c r="C1076" s="13" t="n">
        <v>109</v>
      </c>
      <c r="D1076" s="13" t="s">
        <v>4339</v>
      </c>
      <c r="E1076" s="13" t="s">
        <v>4367</v>
      </c>
      <c r="F1076" s="13" t="s">
        <v>806</v>
      </c>
      <c r="G1076" s="13" t="s">
        <v>4368</v>
      </c>
      <c r="H1076" s="13" t="s">
        <v>4316</v>
      </c>
      <c r="I1076" s="13" t="s">
        <v>82</v>
      </c>
      <c r="J1076" s="13" t="s">
        <v>83</v>
      </c>
      <c r="K1076" s="13"/>
      <c r="L1076" s="13" t="s">
        <v>4343</v>
      </c>
      <c r="M1076" s="13" t="s">
        <v>4344</v>
      </c>
    </row>
    <row r="1077" customFormat="false" ht="382.05" hidden="false" customHeight="false" outlineLevel="0" collapsed="false">
      <c r="A1077" s="13" t="s">
        <v>3</v>
      </c>
      <c r="B1077" s="13" t="s">
        <v>4108</v>
      </c>
      <c r="C1077" s="13" t="n">
        <v>109</v>
      </c>
      <c r="D1077" s="13" t="s">
        <v>4339</v>
      </c>
      <c r="E1077" s="13" t="s">
        <v>4369</v>
      </c>
      <c r="F1077" s="13" t="s">
        <v>4316</v>
      </c>
      <c r="G1077" s="13" t="s">
        <v>958</v>
      </c>
      <c r="H1077" s="13" t="s">
        <v>4361</v>
      </c>
      <c r="I1077" s="13" t="s">
        <v>82</v>
      </c>
      <c r="J1077" s="13" t="s">
        <v>83</v>
      </c>
      <c r="K1077" s="13"/>
      <c r="L1077" s="13" t="s">
        <v>4343</v>
      </c>
      <c r="M1077" s="13" t="s">
        <v>4344</v>
      </c>
    </row>
    <row r="1078" customFormat="false" ht="382.05" hidden="false" customHeight="false" outlineLevel="0" collapsed="false">
      <c r="A1078" s="13" t="s">
        <v>3</v>
      </c>
      <c r="B1078" s="13" t="s">
        <v>4108</v>
      </c>
      <c r="C1078" s="13" t="n">
        <v>109</v>
      </c>
      <c r="D1078" s="13" t="s">
        <v>4339</v>
      </c>
      <c r="E1078" s="13" t="s">
        <v>4370</v>
      </c>
      <c r="F1078" s="13" t="s">
        <v>806</v>
      </c>
      <c r="G1078" s="13" t="s">
        <v>4371</v>
      </c>
      <c r="H1078" s="13" t="s">
        <v>4372</v>
      </c>
      <c r="I1078" s="13" t="s">
        <v>82</v>
      </c>
      <c r="J1078" s="13" t="s">
        <v>83</v>
      </c>
      <c r="K1078" s="13"/>
      <c r="L1078" s="13" t="s">
        <v>4343</v>
      </c>
      <c r="M1078" s="13" t="s">
        <v>4344</v>
      </c>
    </row>
    <row r="1079" customFormat="false" ht="382.05" hidden="false" customHeight="false" outlineLevel="0" collapsed="false">
      <c r="A1079" s="13" t="s">
        <v>3</v>
      </c>
      <c r="B1079" s="13" t="s">
        <v>4108</v>
      </c>
      <c r="C1079" s="13" t="n">
        <v>109</v>
      </c>
      <c r="D1079" s="13" t="s">
        <v>4339</v>
      </c>
      <c r="E1079" s="13" t="s">
        <v>4373</v>
      </c>
      <c r="F1079" s="13" t="s">
        <v>4372</v>
      </c>
      <c r="G1079" s="13" t="s">
        <v>958</v>
      </c>
      <c r="H1079" s="13" t="s">
        <v>4361</v>
      </c>
      <c r="I1079" s="13" t="s">
        <v>82</v>
      </c>
      <c r="J1079" s="13" t="s">
        <v>83</v>
      </c>
      <c r="K1079" s="13"/>
      <c r="L1079" s="13" t="s">
        <v>4343</v>
      </c>
      <c r="M1079" s="13" t="s">
        <v>4344</v>
      </c>
    </row>
    <row r="1080" customFormat="false" ht="382.05" hidden="false" customHeight="false" outlineLevel="0" collapsed="false">
      <c r="A1080" s="13" t="s">
        <v>3</v>
      </c>
      <c r="B1080" s="13" t="s">
        <v>4108</v>
      </c>
      <c r="C1080" s="13" t="n">
        <v>109</v>
      </c>
      <c r="D1080" s="13" t="s">
        <v>4339</v>
      </c>
      <c r="E1080" s="13" t="s">
        <v>4374</v>
      </c>
      <c r="F1080" s="13" t="s">
        <v>806</v>
      </c>
      <c r="G1080" s="13" t="s">
        <v>4375</v>
      </c>
      <c r="H1080" s="13" t="s">
        <v>4364</v>
      </c>
      <c r="I1080" s="13" t="s">
        <v>82</v>
      </c>
      <c r="J1080" s="13" t="s">
        <v>83</v>
      </c>
      <c r="K1080" s="13"/>
      <c r="L1080" s="13" t="s">
        <v>4343</v>
      </c>
      <c r="M1080" s="13" t="s">
        <v>4344</v>
      </c>
    </row>
    <row r="1081" customFormat="false" ht="382.05" hidden="false" customHeight="false" outlineLevel="0" collapsed="false">
      <c r="A1081" s="13" t="s">
        <v>3</v>
      </c>
      <c r="B1081" s="13" t="s">
        <v>4108</v>
      </c>
      <c r="C1081" s="13" t="n">
        <v>109</v>
      </c>
      <c r="D1081" s="13" t="s">
        <v>4339</v>
      </c>
      <c r="E1081" s="13" t="s">
        <v>4376</v>
      </c>
      <c r="F1081" s="13" t="s">
        <v>4364</v>
      </c>
      <c r="G1081" s="13" t="s">
        <v>958</v>
      </c>
      <c r="H1081" s="13" t="s">
        <v>4377</v>
      </c>
      <c r="I1081" s="13" t="s">
        <v>82</v>
      </c>
      <c r="J1081" s="13" t="s">
        <v>83</v>
      </c>
      <c r="K1081" s="13"/>
      <c r="L1081" s="13" t="s">
        <v>4343</v>
      </c>
      <c r="M1081" s="13" t="s">
        <v>4344</v>
      </c>
    </row>
    <row r="1082" customFormat="false" ht="382.05" hidden="false" customHeight="false" outlineLevel="0" collapsed="false">
      <c r="A1082" s="13" t="s">
        <v>3</v>
      </c>
      <c r="B1082" s="13" t="s">
        <v>4108</v>
      </c>
      <c r="C1082" s="13" t="n">
        <v>109</v>
      </c>
      <c r="D1082" s="13" t="s">
        <v>4339</v>
      </c>
      <c r="E1082" s="13" t="s">
        <v>4378</v>
      </c>
      <c r="F1082" s="13" t="s">
        <v>806</v>
      </c>
      <c r="G1082" s="13" t="s">
        <v>4379</v>
      </c>
      <c r="H1082" s="13" t="s">
        <v>4380</v>
      </c>
      <c r="I1082" s="13" t="s">
        <v>82</v>
      </c>
      <c r="J1082" s="13" t="s">
        <v>83</v>
      </c>
      <c r="K1082" s="13"/>
      <c r="L1082" s="13" t="s">
        <v>4343</v>
      </c>
      <c r="M1082" s="13" t="s">
        <v>4344</v>
      </c>
    </row>
    <row r="1083" customFormat="false" ht="382.05" hidden="false" customHeight="false" outlineLevel="0" collapsed="false">
      <c r="A1083" s="13" t="s">
        <v>3</v>
      </c>
      <c r="B1083" s="13" t="s">
        <v>4108</v>
      </c>
      <c r="C1083" s="13" t="n">
        <v>109</v>
      </c>
      <c r="D1083" s="13" t="s">
        <v>4339</v>
      </c>
      <c r="E1083" s="13" t="s">
        <v>4381</v>
      </c>
      <c r="F1083" s="13" t="s">
        <v>4380</v>
      </c>
      <c r="G1083" s="13" t="s">
        <v>958</v>
      </c>
      <c r="H1083" s="13" t="s">
        <v>4382</v>
      </c>
      <c r="I1083" s="13" t="s">
        <v>82</v>
      </c>
      <c r="J1083" s="13" t="s">
        <v>83</v>
      </c>
      <c r="K1083" s="13"/>
      <c r="L1083" s="13" t="s">
        <v>4343</v>
      </c>
      <c r="M1083" s="13" t="s">
        <v>4344</v>
      </c>
    </row>
    <row r="1084" customFormat="false" ht="382.05" hidden="false" customHeight="false" outlineLevel="0" collapsed="false">
      <c r="A1084" s="13" t="s">
        <v>3</v>
      </c>
      <c r="B1084" s="13" t="s">
        <v>4108</v>
      </c>
      <c r="C1084" s="13" t="n">
        <v>109</v>
      </c>
      <c r="D1084" s="13" t="s">
        <v>4339</v>
      </c>
      <c r="E1084" s="13" t="s">
        <v>4383</v>
      </c>
      <c r="F1084" s="13" t="s">
        <v>806</v>
      </c>
      <c r="G1084" s="13" t="s">
        <v>4384</v>
      </c>
      <c r="H1084" s="13" t="s">
        <v>4385</v>
      </c>
      <c r="I1084" s="13" t="s">
        <v>82</v>
      </c>
      <c r="J1084" s="13" t="s">
        <v>83</v>
      </c>
      <c r="K1084" s="13"/>
      <c r="L1084" s="13" t="s">
        <v>4343</v>
      </c>
      <c r="M1084" s="13" t="s">
        <v>4344</v>
      </c>
    </row>
    <row r="1085" customFormat="false" ht="382.05" hidden="false" customHeight="false" outlineLevel="0" collapsed="false">
      <c r="A1085" s="13" t="s">
        <v>3</v>
      </c>
      <c r="B1085" s="13" t="s">
        <v>4108</v>
      </c>
      <c r="C1085" s="13" t="n">
        <v>109</v>
      </c>
      <c r="D1085" s="13" t="s">
        <v>4339</v>
      </c>
      <c r="E1085" s="13" t="s">
        <v>4386</v>
      </c>
      <c r="F1085" s="13" t="s">
        <v>4385</v>
      </c>
      <c r="G1085" s="13" t="s">
        <v>958</v>
      </c>
      <c r="H1085" s="13" t="s">
        <v>4387</v>
      </c>
      <c r="I1085" s="13" t="s">
        <v>82</v>
      </c>
      <c r="J1085" s="13" t="s">
        <v>83</v>
      </c>
      <c r="K1085" s="13"/>
      <c r="L1085" s="13" t="s">
        <v>4343</v>
      </c>
      <c r="M1085" s="13" t="s">
        <v>4344</v>
      </c>
    </row>
    <row r="1086" customFormat="false" ht="382.05" hidden="false" customHeight="false" outlineLevel="0" collapsed="false">
      <c r="A1086" s="13" t="s">
        <v>3</v>
      </c>
      <c r="B1086" s="13" t="s">
        <v>4108</v>
      </c>
      <c r="C1086" s="13" t="n">
        <v>109</v>
      </c>
      <c r="D1086" s="13" t="s">
        <v>4339</v>
      </c>
      <c r="E1086" s="13" t="s">
        <v>4388</v>
      </c>
      <c r="F1086" s="13" t="s">
        <v>806</v>
      </c>
      <c r="G1086" s="13" t="s">
        <v>4389</v>
      </c>
      <c r="H1086" s="13" t="s">
        <v>4390</v>
      </c>
      <c r="I1086" s="13" t="s">
        <v>82</v>
      </c>
      <c r="J1086" s="13" t="s">
        <v>83</v>
      </c>
      <c r="K1086" s="13"/>
      <c r="L1086" s="13" t="s">
        <v>4343</v>
      </c>
      <c r="M1086" s="13" t="s">
        <v>4344</v>
      </c>
    </row>
    <row r="1087" customFormat="false" ht="382.05" hidden="false" customHeight="false" outlineLevel="0" collapsed="false">
      <c r="A1087" s="13" t="s">
        <v>3</v>
      </c>
      <c r="B1087" s="13" t="s">
        <v>4108</v>
      </c>
      <c r="C1087" s="13" t="n">
        <v>109</v>
      </c>
      <c r="D1087" s="13" t="s">
        <v>4339</v>
      </c>
      <c r="E1087" s="13" t="s">
        <v>4391</v>
      </c>
      <c r="F1087" s="13" t="s">
        <v>4390</v>
      </c>
      <c r="G1087" s="13" t="s">
        <v>958</v>
      </c>
      <c r="H1087" s="13" t="s">
        <v>4392</v>
      </c>
      <c r="I1087" s="13" t="s">
        <v>82</v>
      </c>
      <c r="J1087" s="13" t="s">
        <v>83</v>
      </c>
      <c r="K1087" s="13"/>
      <c r="L1087" s="13" t="s">
        <v>4343</v>
      </c>
      <c r="M1087" s="13" t="s">
        <v>4344</v>
      </c>
    </row>
    <row r="1088" customFormat="false" ht="382.05" hidden="false" customHeight="false" outlineLevel="0" collapsed="false">
      <c r="A1088" s="13" t="s">
        <v>3</v>
      </c>
      <c r="B1088" s="13" t="s">
        <v>4108</v>
      </c>
      <c r="C1088" s="13" t="n">
        <v>109</v>
      </c>
      <c r="D1088" s="13" t="s">
        <v>4339</v>
      </c>
      <c r="E1088" s="13" t="s">
        <v>4393</v>
      </c>
      <c r="F1088" s="13" t="s">
        <v>806</v>
      </c>
      <c r="G1088" s="13" t="s">
        <v>4394</v>
      </c>
      <c r="H1088" s="13" t="s">
        <v>4395</v>
      </c>
      <c r="I1088" s="13" t="s">
        <v>82</v>
      </c>
      <c r="J1088" s="13" t="s">
        <v>83</v>
      </c>
      <c r="K1088" s="13"/>
      <c r="L1088" s="13" t="s">
        <v>4343</v>
      </c>
      <c r="M1088" s="13" t="s">
        <v>4344</v>
      </c>
    </row>
    <row r="1089" customFormat="false" ht="382.05" hidden="false" customHeight="false" outlineLevel="0" collapsed="false">
      <c r="A1089" s="13" t="s">
        <v>3</v>
      </c>
      <c r="B1089" s="13" t="s">
        <v>4108</v>
      </c>
      <c r="C1089" s="13" t="n">
        <v>109</v>
      </c>
      <c r="D1089" s="13" t="s">
        <v>4339</v>
      </c>
      <c r="E1089" s="13" t="s">
        <v>4396</v>
      </c>
      <c r="F1089" s="13" t="s">
        <v>4395</v>
      </c>
      <c r="G1089" s="13" t="s">
        <v>958</v>
      </c>
      <c r="H1089" s="13" t="s">
        <v>4397</v>
      </c>
      <c r="I1089" s="13" t="s">
        <v>82</v>
      </c>
      <c r="J1089" s="13" t="s">
        <v>83</v>
      </c>
      <c r="K1089" s="13"/>
      <c r="L1089" s="13" t="s">
        <v>4343</v>
      </c>
      <c r="M1089" s="13" t="s">
        <v>4344</v>
      </c>
    </row>
    <row r="1090" customFormat="false" ht="382.05" hidden="false" customHeight="false" outlineLevel="0" collapsed="false">
      <c r="A1090" s="13" t="s">
        <v>3</v>
      </c>
      <c r="B1090" s="13" t="s">
        <v>4108</v>
      </c>
      <c r="C1090" s="13" t="n">
        <v>109</v>
      </c>
      <c r="D1090" s="13" t="s">
        <v>4339</v>
      </c>
      <c r="E1090" s="13" t="s">
        <v>4398</v>
      </c>
      <c r="F1090" s="13" t="s">
        <v>806</v>
      </c>
      <c r="G1090" s="13" t="s">
        <v>4399</v>
      </c>
      <c r="H1090" s="13" t="s">
        <v>4400</v>
      </c>
      <c r="I1090" s="13" t="s">
        <v>82</v>
      </c>
      <c r="J1090" s="13" t="s">
        <v>83</v>
      </c>
      <c r="K1090" s="13"/>
      <c r="L1090" s="13" t="s">
        <v>4343</v>
      </c>
      <c r="M1090" s="13" t="s">
        <v>4344</v>
      </c>
    </row>
    <row r="1091" customFormat="false" ht="382.05" hidden="false" customHeight="false" outlineLevel="0" collapsed="false">
      <c r="A1091" s="13" t="s">
        <v>3</v>
      </c>
      <c r="B1091" s="13" t="s">
        <v>4108</v>
      </c>
      <c r="C1091" s="13" t="n">
        <v>109</v>
      </c>
      <c r="D1091" s="13" t="s">
        <v>4339</v>
      </c>
      <c r="E1091" s="13" t="s">
        <v>4401</v>
      </c>
      <c r="F1091" s="13" t="s">
        <v>4400</v>
      </c>
      <c r="G1091" s="13" t="s">
        <v>958</v>
      </c>
      <c r="H1091" s="13" t="s">
        <v>4402</v>
      </c>
      <c r="I1091" s="13" t="s">
        <v>82</v>
      </c>
      <c r="J1091" s="13" t="s">
        <v>83</v>
      </c>
      <c r="K1091" s="13"/>
      <c r="L1091" s="13" t="s">
        <v>4343</v>
      </c>
      <c r="M1091" s="13" t="s">
        <v>4344</v>
      </c>
    </row>
    <row r="1092" customFormat="false" ht="382.05" hidden="false" customHeight="false" outlineLevel="0" collapsed="false">
      <c r="A1092" s="13" t="s">
        <v>3</v>
      </c>
      <c r="B1092" s="13" t="s">
        <v>4108</v>
      </c>
      <c r="C1092" s="13" t="n">
        <v>109</v>
      </c>
      <c r="D1092" s="13" t="s">
        <v>4339</v>
      </c>
      <c r="E1092" s="13" t="s">
        <v>4403</v>
      </c>
      <c r="F1092" s="13" t="s">
        <v>806</v>
      </c>
      <c r="G1092" s="13" t="s">
        <v>4404</v>
      </c>
      <c r="H1092" s="13" t="s">
        <v>4405</v>
      </c>
      <c r="I1092" s="13" t="s">
        <v>82</v>
      </c>
      <c r="J1092" s="13" t="s">
        <v>83</v>
      </c>
      <c r="K1092" s="13"/>
      <c r="L1092" s="13" t="s">
        <v>4343</v>
      </c>
      <c r="M1092" s="13" t="s">
        <v>4344</v>
      </c>
    </row>
    <row r="1093" customFormat="false" ht="382.05" hidden="false" customHeight="false" outlineLevel="0" collapsed="false">
      <c r="A1093" s="13" t="s">
        <v>3</v>
      </c>
      <c r="B1093" s="13" t="s">
        <v>4108</v>
      </c>
      <c r="C1093" s="13" t="n">
        <v>109</v>
      </c>
      <c r="D1093" s="13" t="s">
        <v>4339</v>
      </c>
      <c r="E1093" s="13" t="s">
        <v>4406</v>
      </c>
      <c r="F1093" s="13" t="s">
        <v>4405</v>
      </c>
      <c r="G1093" s="13" t="s">
        <v>958</v>
      </c>
      <c r="H1093" s="13" t="s">
        <v>4407</v>
      </c>
      <c r="I1093" s="13" t="s">
        <v>82</v>
      </c>
      <c r="J1093" s="13" t="s">
        <v>83</v>
      </c>
      <c r="K1093" s="13"/>
      <c r="L1093" s="13" t="s">
        <v>4343</v>
      </c>
      <c r="M1093" s="13" t="s">
        <v>4344</v>
      </c>
    </row>
    <row r="1094" customFormat="false" ht="382.05" hidden="false" customHeight="false" outlineLevel="0" collapsed="false">
      <c r="A1094" s="13" t="s">
        <v>3</v>
      </c>
      <c r="B1094" s="13" t="s">
        <v>4108</v>
      </c>
      <c r="C1094" s="13" t="n">
        <v>109</v>
      </c>
      <c r="D1094" s="13" t="s">
        <v>4339</v>
      </c>
      <c r="E1094" s="13" t="s">
        <v>4408</v>
      </c>
      <c r="F1094" s="13" t="s">
        <v>806</v>
      </c>
      <c r="G1094" s="13" t="s">
        <v>4409</v>
      </c>
      <c r="H1094" s="13" t="s">
        <v>4410</v>
      </c>
      <c r="I1094" s="13" t="s">
        <v>82</v>
      </c>
      <c r="J1094" s="13" t="s">
        <v>83</v>
      </c>
      <c r="K1094" s="13"/>
      <c r="L1094" s="13" t="s">
        <v>4343</v>
      </c>
      <c r="M1094" s="13" t="s">
        <v>4344</v>
      </c>
    </row>
    <row r="1095" customFormat="false" ht="382.05" hidden="false" customHeight="false" outlineLevel="0" collapsed="false">
      <c r="A1095" s="13" t="s">
        <v>3</v>
      </c>
      <c r="B1095" s="13" t="s">
        <v>4108</v>
      </c>
      <c r="C1095" s="13" t="n">
        <v>109</v>
      </c>
      <c r="D1095" s="13" t="s">
        <v>4339</v>
      </c>
      <c r="E1095" s="13" t="s">
        <v>4411</v>
      </c>
      <c r="F1095" s="13" t="s">
        <v>4410</v>
      </c>
      <c r="G1095" s="13" t="s">
        <v>958</v>
      </c>
      <c r="H1095" s="13" t="s">
        <v>4412</v>
      </c>
      <c r="I1095" s="13" t="s">
        <v>82</v>
      </c>
      <c r="J1095" s="13" t="s">
        <v>83</v>
      </c>
      <c r="K1095" s="13"/>
      <c r="L1095" s="13" t="s">
        <v>4343</v>
      </c>
      <c r="M1095" s="13" t="s">
        <v>4344</v>
      </c>
    </row>
    <row r="1096" customFormat="false" ht="382.05" hidden="false" customHeight="false" outlineLevel="0" collapsed="false">
      <c r="A1096" s="13" t="s">
        <v>3</v>
      </c>
      <c r="B1096" s="13" t="s">
        <v>4108</v>
      </c>
      <c r="C1096" s="13" t="n">
        <v>109</v>
      </c>
      <c r="D1096" s="13" t="s">
        <v>4339</v>
      </c>
      <c r="E1096" s="13" t="s">
        <v>4413</v>
      </c>
      <c r="F1096" s="13" t="s">
        <v>806</v>
      </c>
      <c r="G1096" s="13" t="s">
        <v>4414</v>
      </c>
      <c r="H1096" s="13" t="s">
        <v>4415</v>
      </c>
      <c r="I1096" s="13" t="s">
        <v>82</v>
      </c>
      <c r="J1096" s="13" t="s">
        <v>83</v>
      </c>
      <c r="K1096" s="13"/>
      <c r="L1096" s="13" t="s">
        <v>4343</v>
      </c>
      <c r="M1096" s="13" t="s">
        <v>4344</v>
      </c>
    </row>
    <row r="1097" customFormat="false" ht="382.05" hidden="false" customHeight="false" outlineLevel="0" collapsed="false">
      <c r="A1097" s="13" t="s">
        <v>3</v>
      </c>
      <c r="B1097" s="13" t="s">
        <v>4108</v>
      </c>
      <c r="C1097" s="13" t="n">
        <v>109</v>
      </c>
      <c r="D1097" s="13" t="s">
        <v>4339</v>
      </c>
      <c r="E1097" s="13" t="s">
        <v>4416</v>
      </c>
      <c r="F1097" s="13" t="s">
        <v>4415</v>
      </c>
      <c r="G1097" s="13" t="s">
        <v>958</v>
      </c>
      <c r="H1097" s="13" t="s">
        <v>4417</v>
      </c>
      <c r="I1097" s="13" t="s">
        <v>82</v>
      </c>
      <c r="J1097" s="13" t="s">
        <v>83</v>
      </c>
      <c r="K1097" s="13"/>
      <c r="L1097" s="13" t="s">
        <v>4343</v>
      </c>
      <c r="M1097" s="13" t="s">
        <v>4344</v>
      </c>
    </row>
    <row r="1098" customFormat="false" ht="382.05" hidden="false" customHeight="false" outlineLevel="0" collapsed="false">
      <c r="A1098" s="13" t="s">
        <v>3</v>
      </c>
      <c r="B1098" s="13" t="s">
        <v>4108</v>
      </c>
      <c r="C1098" s="13" t="n">
        <v>109</v>
      </c>
      <c r="D1098" s="13" t="s">
        <v>4339</v>
      </c>
      <c r="E1098" s="13" t="s">
        <v>4418</v>
      </c>
      <c r="F1098" s="13" t="s">
        <v>806</v>
      </c>
      <c r="G1098" s="13" t="s">
        <v>4419</v>
      </c>
      <c r="H1098" s="13" t="s">
        <v>4420</v>
      </c>
      <c r="I1098" s="13" t="s">
        <v>82</v>
      </c>
      <c r="J1098" s="13" t="s">
        <v>83</v>
      </c>
      <c r="K1098" s="13"/>
      <c r="L1098" s="13" t="s">
        <v>4343</v>
      </c>
      <c r="M1098" s="13" t="s">
        <v>4344</v>
      </c>
    </row>
    <row r="1099" customFormat="false" ht="382.05" hidden="false" customHeight="false" outlineLevel="0" collapsed="false">
      <c r="A1099" s="13" t="s">
        <v>3</v>
      </c>
      <c r="B1099" s="13" t="s">
        <v>4108</v>
      </c>
      <c r="C1099" s="13" t="n">
        <v>109</v>
      </c>
      <c r="D1099" s="13" t="s">
        <v>4339</v>
      </c>
      <c r="E1099" s="13" t="s">
        <v>4421</v>
      </c>
      <c r="F1099" s="13" t="s">
        <v>4420</v>
      </c>
      <c r="G1099" s="13" t="s">
        <v>958</v>
      </c>
      <c r="H1099" s="13" t="s">
        <v>4422</v>
      </c>
      <c r="I1099" s="13" t="s">
        <v>82</v>
      </c>
      <c r="J1099" s="13" t="s">
        <v>83</v>
      </c>
      <c r="K1099" s="13"/>
      <c r="L1099" s="13" t="s">
        <v>4343</v>
      </c>
      <c r="M1099" s="13" t="s">
        <v>4344</v>
      </c>
    </row>
    <row r="1100" customFormat="false" ht="382.05" hidden="false" customHeight="false" outlineLevel="0" collapsed="false">
      <c r="A1100" s="13" t="s">
        <v>3</v>
      </c>
      <c r="B1100" s="13" t="s">
        <v>4108</v>
      </c>
      <c r="C1100" s="13" t="n">
        <v>109</v>
      </c>
      <c r="D1100" s="13" t="s">
        <v>4339</v>
      </c>
      <c r="E1100" s="13" t="s">
        <v>4423</v>
      </c>
      <c r="F1100" s="13" t="s">
        <v>806</v>
      </c>
      <c r="G1100" s="13" t="s">
        <v>4424</v>
      </c>
      <c r="H1100" s="13" t="s">
        <v>4425</v>
      </c>
      <c r="I1100" s="13" t="s">
        <v>82</v>
      </c>
      <c r="J1100" s="13" t="s">
        <v>83</v>
      </c>
      <c r="K1100" s="13"/>
      <c r="L1100" s="13" t="s">
        <v>4343</v>
      </c>
      <c r="M1100" s="13" t="s">
        <v>4344</v>
      </c>
    </row>
    <row r="1101" customFormat="false" ht="382.05" hidden="false" customHeight="false" outlineLevel="0" collapsed="false">
      <c r="A1101" s="13" t="s">
        <v>3</v>
      </c>
      <c r="B1101" s="13" t="s">
        <v>4108</v>
      </c>
      <c r="C1101" s="13" t="n">
        <v>109</v>
      </c>
      <c r="D1101" s="13" t="s">
        <v>4339</v>
      </c>
      <c r="E1101" s="13" t="s">
        <v>4426</v>
      </c>
      <c r="F1101" s="13" t="s">
        <v>4425</v>
      </c>
      <c r="G1101" s="13" t="s">
        <v>958</v>
      </c>
      <c r="H1101" s="13" t="s">
        <v>4427</v>
      </c>
      <c r="I1101" s="13" t="s">
        <v>82</v>
      </c>
      <c r="J1101" s="13" t="s">
        <v>83</v>
      </c>
      <c r="K1101" s="13"/>
      <c r="L1101" s="13" t="s">
        <v>4343</v>
      </c>
      <c r="M1101" s="13" t="s">
        <v>4344</v>
      </c>
    </row>
    <row r="1102" customFormat="false" ht="382.05" hidden="false" customHeight="false" outlineLevel="0" collapsed="false">
      <c r="A1102" s="13" t="s">
        <v>3</v>
      </c>
      <c r="B1102" s="13" t="s">
        <v>4108</v>
      </c>
      <c r="C1102" s="13" t="n">
        <v>109</v>
      </c>
      <c r="D1102" s="13" t="s">
        <v>4339</v>
      </c>
      <c r="E1102" s="13" t="s">
        <v>4428</v>
      </c>
      <c r="F1102" s="13" t="s">
        <v>806</v>
      </c>
      <c r="G1102" s="13" t="s">
        <v>4429</v>
      </c>
      <c r="H1102" s="13" t="s">
        <v>4430</v>
      </c>
      <c r="I1102" s="13" t="s">
        <v>82</v>
      </c>
      <c r="J1102" s="13" t="s">
        <v>83</v>
      </c>
      <c r="K1102" s="13"/>
      <c r="L1102" s="13" t="s">
        <v>4343</v>
      </c>
      <c r="M1102" s="13" t="s">
        <v>4344</v>
      </c>
    </row>
    <row r="1103" customFormat="false" ht="382.05" hidden="false" customHeight="false" outlineLevel="0" collapsed="false">
      <c r="A1103" s="13" t="s">
        <v>3</v>
      </c>
      <c r="B1103" s="13" t="s">
        <v>4108</v>
      </c>
      <c r="C1103" s="13" t="n">
        <v>109</v>
      </c>
      <c r="D1103" s="13" t="s">
        <v>4339</v>
      </c>
      <c r="E1103" s="13" t="s">
        <v>4431</v>
      </c>
      <c r="F1103" s="13" t="s">
        <v>806</v>
      </c>
      <c r="G1103" s="13" t="s">
        <v>4432</v>
      </c>
      <c r="H1103" s="13" t="s">
        <v>4433</v>
      </c>
      <c r="I1103" s="13" t="s">
        <v>82</v>
      </c>
      <c r="J1103" s="13" t="s">
        <v>83</v>
      </c>
      <c r="K1103" s="13"/>
      <c r="L1103" s="13" t="s">
        <v>4343</v>
      </c>
      <c r="M1103" s="13" t="s">
        <v>4344</v>
      </c>
    </row>
    <row r="1104" customFormat="false" ht="382.05" hidden="false" customHeight="false" outlineLevel="0" collapsed="false">
      <c r="A1104" s="13" t="s">
        <v>3</v>
      </c>
      <c r="B1104" s="13" t="s">
        <v>4108</v>
      </c>
      <c r="C1104" s="13" t="n">
        <v>109</v>
      </c>
      <c r="D1104" s="13" t="s">
        <v>4339</v>
      </c>
      <c r="E1104" s="13" t="s">
        <v>4434</v>
      </c>
      <c r="F1104" s="13" t="s">
        <v>4433</v>
      </c>
      <c r="G1104" s="13" t="s">
        <v>958</v>
      </c>
      <c r="H1104" s="13" t="s">
        <v>4435</v>
      </c>
      <c r="I1104" s="13" t="s">
        <v>82</v>
      </c>
      <c r="J1104" s="13" t="s">
        <v>83</v>
      </c>
      <c r="K1104" s="13"/>
      <c r="L1104" s="13" t="s">
        <v>4343</v>
      </c>
      <c r="M1104" s="13" t="s">
        <v>4344</v>
      </c>
    </row>
    <row r="1105" customFormat="false" ht="382.05" hidden="false" customHeight="false" outlineLevel="0" collapsed="false">
      <c r="A1105" s="13" t="s">
        <v>3</v>
      </c>
      <c r="B1105" s="13" t="s">
        <v>4108</v>
      </c>
      <c r="C1105" s="13" t="n">
        <v>109</v>
      </c>
      <c r="D1105" s="13" t="s">
        <v>4339</v>
      </c>
      <c r="E1105" s="13" t="s">
        <v>4436</v>
      </c>
      <c r="F1105" s="13" t="s">
        <v>806</v>
      </c>
      <c r="G1105" s="13" t="s">
        <v>4437</v>
      </c>
      <c r="H1105" s="13" t="s">
        <v>4438</v>
      </c>
      <c r="I1105" s="13" t="s">
        <v>82</v>
      </c>
      <c r="J1105" s="13" t="s">
        <v>83</v>
      </c>
      <c r="K1105" s="13"/>
      <c r="L1105" s="13" t="s">
        <v>4343</v>
      </c>
      <c r="M1105" s="13" t="s">
        <v>4344</v>
      </c>
    </row>
    <row r="1106" customFormat="false" ht="382.05" hidden="false" customHeight="false" outlineLevel="0" collapsed="false">
      <c r="A1106" s="13" t="s">
        <v>3</v>
      </c>
      <c r="B1106" s="13" t="s">
        <v>4108</v>
      </c>
      <c r="C1106" s="13" t="n">
        <v>109</v>
      </c>
      <c r="D1106" s="13" t="s">
        <v>4339</v>
      </c>
      <c r="E1106" s="13" t="s">
        <v>4439</v>
      </c>
      <c r="F1106" s="13" t="s">
        <v>4438</v>
      </c>
      <c r="G1106" s="13" t="s">
        <v>958</v>
      </c>
      <c r="H1106" s="13" t="s">
        <v>4440</v>
      </c>
      <c r="I1106" s="13" t="s">
        <v>82</v>
      </c>
      <c r="J1106" s="13" t="s">
        <v>83</v>
      </c>
      <c r="K1106" s="13"/>
      <c r="L1106" s="13" t="s">
        <v>4343</v>
      </c>
      <c r="M1106" s="13" t="s">
        <v>4344</v>
      </c>
    </row>
    <row r="1107" customFormat="false" ht="382.05" hidden="false" customHeight="false" outlineLevel="0" collapsed="false">
      <c r="A1107" s="13" t="s">
        <v>3</v>
      </c>
      <c r="B1107" s="13" t="s">
        <v>4108</v>
      </c>
      <c r="C1107" s="13" t="n">
        <v>109</v>
      </c>
      <c r="D1107" s="13" t="s">
        <v>4339</v>
      </c>
      <c r="E1107" s="13" t="s">
        <v>4441</v>
      </c>
      <c r="F1107" s="13" t="s">
        <v>806</v>
      </c>
      <c r="G1107" s="13" t="s">
        <v>4442</v>
      </c>
      <c r="H1107" s="13" t="s">
        <v>3853</v>
      </c>
      <c r="I1107" s="13" t="s">
        <v>82</v>
      </c>
      <c r="J1107" s="13" t="s">
        <v>83</v>
      </c>
      <c r="K1107" s="13"/>
      <c r="L1107" s="13" t="s">
        <v>4343</v>
      </c>
      <c r="M1107" s="13" t="s">
        <v>4344</v>
      </c>
    </row>
    <row r="1108" customFormat="false" ht="382.05" hidden="false" customHeight="false" outlineLevel="0" collapsed="false">
      <c r="A1108" s="13" t="s">
        <v>3</v>
      </c>
      <c r="B1108" s="13" t="s">
        <v>4108</v>
      </c>
      <c r="C1108" s="13" t="n">
        <v>109</v>
      </c>
      <c r="D1108" s="13" t="s">
        <v>4339</v>
      </c>
      <c r="E1108" s="13" t="s">
        <v>4443</v>
      </c>
      <c r="F1108" s="13" t="s">
        <v>3853</v>
      </c>
      <c r="G1108" s="13" t="s">
        <v>958</v>
      </c>
      <c r="H1108" s="13" t="s">
        <v>4444</v>
      </c>
      <c r="I1108" s="13" t="s">
        <v>82</v>
      </c>
      <c r="J1108" s="13" t="s">
        <v>83</v>
      </c>
      <c r="K1108" s="13"/>
      <c r="L1108" s="13" t="s">
        <v>4343</v>
      </c>
      <c r="M1108" s="13" t="s">
        <v>4344</v>
      </c>
    </row>
    <row r="1109" customFormat="false" ht="382.05" hidden="false" customHeight="false" outlineLevel="0" collapsed="false">
      <c r="A1109" s="13" t="s">
        <v>3</v>
      </c>
      <c r="B1109" s="13" t="s">
        <v>4108</v>
      </c>
      <c r="C1109" s="13" t="n">
        <v>109</v>
      </c>
      <c r="D1109" s="13" t="s">
        <v>4339</v>
      </c>
      <c r="E1109" s="13" t="s">
        <v>4445</v>
      </c>
      <c r="F1109" s="13" t="s">
        <v>806</v>
      </c>
      <c r="G1109" s="13" t="s">
        <v>4446</v>
      </c>
      <c r="H1109" s="13" t="s">
        <v>4415</v>
      </c>
      <c r="I1109" s="13" t="s">
        <v>82</v>
      </c>
      <c r="J1109" s="13" t="s">
        <v>83</v>
      </c>
      <c r="K1109" s="13"/>
      <c r="L1109" s="13" t="s">
        <v>4343</v>
      </c>
      <c r="M1109" s="13" t="s">
        <v>4344</v>
      </c>
    </row>
    <row r="1110" customFormat="false" ht="382.05" hidden="false" customHeight="false" outlineLevel="0" collapsed="false">
      <c r="A1110" s="13" t="s">
        <v>3</v>
      </c>
      <c r="B1110" s="13" t="s">
        <v>4108</v>
      </c>
      <c r="C1110" s="13" t="n">
        <v>109</v>
      </c>
      <c r="D1110" s="13" t="s">
        <v>4339</v>
      </c>
      <c r="E1110" s="13" t="s">
        <v>4447</v>
      </c>
      <c r="F1110" s="13" t="s">
        <v>4415</v>
      </c>
      <c r="G1110" s="13" t="s">
        <v>958</v>
      </c>
      <c r="H1110" s="13" t="s">
        <v>4448</v>
      </c>
      <c r="I1110" s="13" t="s">
        <v>82</v>
      </c>
      <c r="J1110" s="13" t="s">
        <v>83</v>
      </c>
      <c r="K1110" s="13"/>
      <c r="L1110" s="13" t="s">
        <v>4343</v>
      </c>
      <c r="M1110" s="13" t="s">
        <v>4344</v>
      </c>
    </row>
    <row r="1111" customFormat="false" ht="382.05" hidden="false" customHeight="false" outlineLevel="0" collapsed="false">
      <c r="A1111" s="13" t="s">
        <v>3</v>
      </c>
      <c r="B1111" s="13" t="s">
        <v>4108</v>
      </c>
      <c r="C1111" s="13" t="n">
        <v>109</v>
      </c>
      <c r="D1111" s="13" t="s">
        <v>4339</v>
      </c>
      <c r="E1111" s="13" t="s">
        <v>4449</v>
      </c>
      <c r="F1111" s="13" t="s">
        <v>806</v>
      </c>
      <c r="G1111" s="13" t="s">
        <v>4450</v>
      </c>
      <c r="H1111" s="13" t="s">
        <v>4451</v>
      </c>
      <c r="I1111" s="13" t="s">
        <v>82</v>
      </c>
      <c r="J1111" s="13" t="s">
        <v>83</v>
      </c>
      <c r="K1111" s="13"/>
      <c r="L1111" s="13" t="s">
        <v>4343</v>
      </c>
      <c r="M1111" s="13" t="s">
        <v>4344</v>
      </c>
    </row>
    <row r="1112" customFormat="false" ht="382.05" hidden="false" customHeight="false" outlineLevel="0" collapsed="false">
      <c r="A1112" s="13" t="s">
        <v>3</v>
      </c>
      <c r="B1112" s="13" t="s">
        <v>4108</v>
      </c>
      <c r="C1112" s="13" t="n">
        <v>109</v>
      </c>
      <c r="D1112" s="13" t="s">
        <v>4339</v>
      </c>
      <c r="E1112" s="13" t="s">
        <v>4452</v>
      </c>
      <c r="F1112" s="13" t="s">
        <v>4451</v>
      </c>
      <c r="G1112" s="13" t="s">
        <v>958</v>
      </c>
      <c r="H1112" s="13" t="s">
        <v>4453</v>
      </c>
      <c r="I1112" s="13" t="s">
        <v>82</v>
      </c>
      <c r="J1112" s="13" t="s">
        <v>83</v>
      </c>
      <c r="K1112" s="13"/>
      <c r="L1112" s="13" t="s">
        <v>4343</v>
      </c>
      <c r="M1112" s="13" t="s">
        <v>4344</v>
      </c>
    </row>
    <row r="1113" customFormat="false" ht="382.05" hidden="false" customHeight="false" outlineLevel="0" collapsed="false">
      <c r="A1113" s="13" t="s">
        <v>3</v>
      </c>
      <c r="B1113" s="13" t="s">
        <v>4108</v>
      </c>
      <c r="C1113" s="13" t="n">
        <v>109</v>
      </c>
      <c r="D1113" s="13" t="s">
        <v>4339</v>
      </c>
      <c r="E1113" s="13" t="s">
        <v>4454</v>
      </c>
      <c r="F1113" s="13" t="s">
        <v>806</v>
      </c>
      <c r="G1113" s="13" t="s">
        <v>4455</v>
      </c>
      <c r="H1113" s="13" t="s">
        <v>4456</v>
      </c>
      <c r="I1113" s="13" t="s">
        <v>82</v>
      </c>
      <c r="J1113" s="13" t="s">
        <v>83</v>
      </c>
      <c r="K1113" s="13"/>
      <c r="L1113" s="13" t="s">
        <v>4343</v>
      </c>
      <c r="M1113" s="13" t="s">
        <v>4344</v>
      </c>
    </row>
    <row r="1114" customFormat="false" ht="382.05" hidden="false" customHeight="false" outlineLevel="0" collapsed="false">
      <c r="A1114" s="13" t="s">
        <v>3</v>
      </c>
      <c r="B1114" s="13" t="s">
        <v>4108</v>
      </c>
      <c r="C1114" s="13" t="n">
        <v>109</v>
      </c>
      <c r="D1114" s="13" t="s">
        <v>4339</v>
      </c>
      <c r="E1114" s="13" t="s">
        <v>4457</v>
      </c>
      <c r="F1114" s="13" t="s">
        <v>806</v>
      </c>
      <c r="G1114" s="13" t="s">
        <v>4458</v>
      </c>
      <c r="H1114" s="13" t="s">
        <v>4459</v>
      </c>
      <c r="I1114" s="13" t="s">
        <v>82</v>
      </c>
      <c r="J1114" s="13" t="s">
        <v>83</v>
      </c>
      <c r="K1114" s="13"/>
      <c r="L1114" s="13" t="s">
        <v>4343</v>
      </c>
      <c r="M1114" s="13" t="s">
        <v>4344</v>
      </c>
    </row>
    <row r="1115" customFormat="false" ht="382.05" hidden="false" customHeight="false" outlineLevel="0" collapsed="false">
      <c r="A1115" s="13" t="s">
        <v>3</v>
      </c>
      <c r="B1115" s="13" t="s">
        <v>4108</v>
      </c>
      <c r="C1115" s="13" t="n">
        <v>109</v>
      </c>
      <c r="D1115" s="13" t="s">
        <v>4339</v>
      </c>
      <c r="E1115" s="13" t="s">
        <v>4460</v>
      </c>
      <c r="F1115" s="13" t="s">
        <v>4459</v>
      </c>
      <c r="G1115" s="13" t="s">
        <v>958</v>
      </c>
      <c r="H1115" s="13" t="s">
        <v>4461</v>
      </c>
      <c r="I1115" s="13" t="s">
        <v>82</v>
      </c>
      <c r="J1115" s="13" t="s">
        <v>83</v>
      </c>
      <c r="K1115" s="13"/>
      <c r="L1115" s="13" t="s">
        <v>4343</v>
      </c>
      <c r="M1115" s="13" t="s">
        <v>4344</v>
      </c>
    </row>
    <row r="1116" customFormat="false" ht="382.05" hidden="false" customHeight="false" outlineLevel="0" collapsed="false">
      <c r="A1116" s="13" t="s">
        <v>3</v>
      </c>
      <c r="B1116" s="13" t="s">
        <v>4108</v>
      </c>
      <c r="C1116" s="13" t="n">
        <v>109</v>
      </c>
      <c r="D1116" s="13" t="s">
        <v>4339</v>
      </c>
      <c r="E1116" s="13" t="s">
        <v>4462</v>
      </c>
      <c r="F1116" s="13" t="s">
        <v>806</v>
      </c>
      <c r="G1116" s="13" t="s">
        <v>4463</v>
      </c>
      <c r="H1116" s="13" t="s">
        <v>4464</v>
      </c>
      <c r="I1116" s="13" t="s">
        <v>82</v>
      </c>
      <c r="J1116" s="13" t="s">
        <v>83</v>
      </c>
      <c r="K1116" s="13"/>
      <c r="L1116" s="13" t="s">
        <v>4343</v>
      </c>
      <c r="M1116" s="13" t="s">
        <v>4344</v>
      </c>
    </row>
    <row r="1117" customFormat="false" ht="382.05" hidden="false" customHeight="false" outlineLevel="0" collapsed="false">
      <c r="A1117" s="13" t="s">
        <v>3</v>
      </c>
      <c r="B1117" s="13" t="s">
        <v>4108</v>
      </c>
      <c r="C1117" s="13" t="n">
        <v>109</v>
      </c>
      <c r="D1117" s="13" t="s">
        <v>4339</v>
      </c>
      <c r="E1117" s="13" t="s">
        <v>4465</v>
      </c>
      <c r="F1117" s="13" t="s">
        <v>4464</v>
      </c>
      <c r="G1117" s="13" t="s">
        <v>958</v>
      </c>
      <c r="H1117" s="13" t="s">
        <v>4466</v>
      </c>
      <c r="I1117" s="13" t="s">
        <v>82</v>
      </c>
      <c r="J1117" s="13" t="s">
        <v>83</v>
      </c>
      <c r="K1117" s="13"/>
      <c r="L1117" s="13" t="s">
        <v>4343</v>
      </c>
      <c r="M1117" s="13" t="s">
        <v>4344</v>
      </c>
    </row>
    <row r="1118" customFormat="false" ht="382.05" hidden="false" customHeight="false" outlineLevel="0" collapsed="false">
      <c r="A1118" s="13" t="s">
        <v>3</v>
      </c>
      <c r="B1118" s="13" t="s">
        <v>4108</v>
      </c>
      <c r="C1118" s="13" t="n">
        <v>109</v>
      </c>
      <c r="D1118" s="13" t="s">
        <v>4339</v>
      </c>
      <c r="E1118" s="13" t="s">
        <v>4467</v>
      </c>
      <c r="F1118" s="13" t="s">
        <v>806</v>
      </c>
      <c r="G1118" s="13" t="s">
        <v>4468</v>
      </c>
      <c r="H1118" s="13" t="s">
        <v>4469</v>
      </c>
      <c r="I1118" s="13" t="s">
        <v>82</v>
      </c>
      <c r="J1118" s="13" t="s">
        <v>83</v>
      </c>
      <c r="K1118" s="13"/>
      <c r="L1118" s="13" t="s">
        <v>4343</v>
      </c>
      <c r="M1118" s="13" t="s">
        <v>4344</v>
      </c>
    </row>
    <row r="1119" customFormat="false" ht="382.05" hidden="false" customHeight="false" outlineLevel="0" collapsed="false">
      <c r="A1119" s="13" t="s">
        <v>3</v>
      </c>
      <c r="B1119" s="13" t="s">
        <v>4108</v>
      </c>
      <c r="C1119" s="13" t="n">
        <v>109</v>
      </c>
      <c r="D1119" s="13" t="s">
        <v>4339</v>
      </c>
      <c r="E1119" s="13" t="s">
        <v>4470</v>
      </c>
      <c r="F1119" s="13" t="s">
        <v>4469</v>
      </c>
      <c r="G1119" s="13" t="s">
        <v>958</v>
      </c>
      <c r="H1119" s="13" t="s">
        <v>4471</v>
      </c>
      <c r="I1119" s="13" t="s">
        <v>82</v>
      </c>
      <c r="J1119" s="13" t="s">
        <v>83</v>
      </c>
      <c r="K1119" s="13"/>
      <c r="L1119" s="13" t="s">
        <v>4343</v>
      </c>
      <c r="M1119" s="13" t="s">
        <v>4344</v>
      </c>
    </row>
    <row r="1120" customFormat="false" ht="382.05" hidden="false" customHeight="false" outlineLevel="0" collapsed="false">
      <c r="A1120" s="13" t="s">
        <v>3</v>
      </c>
      <c r="B1120" s="13" t="s">
        <v>4108</v>
      </c>
      <c r="C1120" s="13" t="n">
        <v>109</v>
      </c>
      <c r="D1120" s="13" t="s">
        <v>4339</v>
      </c>
      <c r="E1120" s="13" t="s">
        <v>4472</v>
      </c>
      <c r="F1120" s="13" t="s">
        <v>806</v>
      </c>
      <c r="G1120" s="13" t="s">
        <v>4473</v>
      </c>
      <c r="H1120" s="13" t="s">
        <v>4474</v>
      </c>
      <c r="I1120" s="13" t="s">
        <v>82</v>
      </c>
      <c r="J1120" s="13" t="s">
        <v>83</v>
      </c>
      <c r="K1120" s="13"/>
      <c r="L1120" s="13" t="s">
        <v>4343</v>
      </c>
      <c r="M1120" s="13" t="s">
        <v>4344</v>
      </c>
    </row>
    <row r="1121" customFormat="false" ht="35.05" hidden="false" customHeight="false" outlineLevel="0" collapsed="false">
      <c r="A1121" s="13" t="s">
        <v>3</v>
      </c>
      <c r="B1121" s="13" t="s">
        <v>4108</v>
      </c>
      <c r="C1121" s="13" t="n">
        <v>160</v>
      </c>
      <c r="D1121" s="13" t="s">
        <v>4475</v>
      </c>
      <c r="E1121" s="13" t="s">
        <v>4476</v>
      </c>
      <c r="F1121" s="13" t="s">
        <v>806</v>
      </c>
      <c r="G1121" s="13" t="s">
        <v>3032</v>
      </c>
      <c r="H1121" s="13" t="s">
        <v>4477</v>
      </c>
      <c r="I1121" s="13" t="s">
        <v>82</v>
      </c>
      <c r="J1121" s="13" t="s">
        <v>83</v>
      </c>
      <c r="K1121" s="13"/>
      <c r="L1121" s="13" t="s">
        <v>4478</v>
      </c>
      <c r="M1121" s="13" t="s">
        <v>4479</v>
      </c>
    </row>
    <row r="1122" customFormat="false" ht="35.05" hidden="false" customHeight="false" outlineLevel="0" collapsed="false">
      <c r="A1122" s="13" t="s">
        <v>3</v>
      </c>
      <c r="B1122" s="13" t="s">
        <v>4108</v>
      </c>
      <c r="C1122" s="13" t="n">
        <v>160</v>
      </c>
      <c r="D1122" s="13" t="s">
        <v>4475</v>
      </c>
      <c r="E1122" s="13" t="s">
        <v>4480</v>
      </c>
      <c r="F1122" s="13" t="s">
        <v>4481</v>
      </c>
      <c r="G1122" s="13" t="s">
        <v>4482</v>
      </c>
      <c r="H1122" s="13" t="s">
        <v>4483</v>
      </c>
      <c r="I1122" s="13" t="s">
        <v>82</v>
      </c>
      <c r="J1122" s="13" t="s">
        <v>83</v>
      </c>
      <c r="K1122" s="13"/>
      <c r="L1122" s="13" t="s">
        <v>4478</v>
      </c>
      <c r="M1122" s="13" t="s">
        <v>4479</v>
      </c>
    </row>
    <row r="1123" customFormat="false" ht="494" hidden="false" customHeight="false" outlineLevel="0" collapsed="false">
      <c r="A1123" s="13" t="s">
        <v>3</v>
      </c>
      <c r="B1123" s="13" t="s">
        <v>4108</v>
      </c>
      <c r="C1123" s="13" t="n">
        <v>160</v>
      </c>
      <c r="D1123" s="13" t="s">
        <v>4484</v>
      </c>
      <c r="E1123" s="13" t="s">
        <v>4485</v>
      </c>
      <c r="F1123" s="13" t="s">
        <v>4486</v>
      </c>
      <c r="G1123" s="13" t="s">
        <v>4487</v>
      </c>
      <c r="H1123" s="13" t="s">
        <v>806</v>
      </c>
      <c r="I1123" s="13" t="s">
        <v>82</v>
      </c>
      <c r="J1123" s="13" t="s">
        <v>83</v>
      </c>
      <c r="K1123" s="13"/>
      <c r="L1123" s="13" t="s">
        <v>4488</v>
      </c>
      <c r="M1123" s="13" t="s">
        <v>4489</v>
      </c>
    </row>
    <row r="1124" customFormat="false" ht="494" hidden="false" customHeight="false" outlineLevel="0" collapsed="false">
      <c r="A1124" s="13" t="s">
        <v>3</v>
      </c>
      <c r="B1124" s="13" t="s">
        <v>4108</v>
      </c>
      <c r="C1124" s="13" t="n">
        <v>160</v>
      </c>
      <c r="D1124" s="13" t="s">
        <v>4484</v>
      </c>
      <c r="E1124" s="13" t="s">
        <v>4490</v>
      </c>
      <c r="F1124" s="13" t="s">
        <v>4491</v>
      </c>
      <c r="G1124" s="13" t="s">
        <v>4487</v>
      </c>
      <c r="H1124" s="13" t="s">
        <v>806</v>
      </c>
      <c r="I1124" s="13" t="s">
        <v>82</v>
      </c>
      <c r="J1124" s="13" t="s">
        <v>83</v>
      </c>
      <c r="K1124" s="13"/>
      <c r="L1124" s="13" t="s">
        <v>4488</v>
      </c>
      <c r="M1124" s="13" t="s">
        <v>4489</v>
      </c>
    </row>
    <row r="1125" customFormat="false" ht="494" hidden="false" customHeight="false" outlineLevel="0" collapsed="false">
      <c r="A1125" s="13" t="s">
        <v>3</v>
      </c>
      <c r="B1125" s="13" t="s">
        <v>4108</v>
      </c>
      <c r="C1125" s="13" t="n">
        <v>160</v>
      </c>
      <c r="D1125" s="13" t="s">
        <v>4484</v>
      </c>
      <c r="E1125" s="13" t="s">
        <v>4492</v>
      </c>
      <c r="F1125" s="13" t="s">
        <v>4493</v>
      </c>
      <c r="G1125" s="13" t="s">
        <v>4487</v>
      </c>
      <c r="H1125" s="13" t="s">
        <v>806</v>
      </c>
      <c r="I1125" s="13" t="s">
        <v>82</v>
      </c>
      <c r="J1125" s="13" t="s">
        <v>83</v>
      </c>
      <c r="K1125" s="13"/>
      <c r="L1125" s="13" t="s">
        <v>4488</v>
      </c>
      <c r="M1125" s="13" t="s">
        <v>4489</v>
      </c>
    </row>
    <row r="1126" customFormat="false" ht="494" hidden="false" customHeight="false" outlineLevel="0" collapsed="false">
      <c r="A1126" s="13" t="s">
        <v>3</v>
      </c>
      <c r="B1126" s="13" t="s">
        <v>4108</v>
      </c>
      <c r="C1126" s="13" t="n">
        <v>160</v>
      </c>
      <c r="D1126" s="13" t="s">
        <v>4484</v>
      </c>
      <c r="E1126" s="13" t="s">
        <v>4494</v>
      </c>
      <c r="F1126" s="13" t="s">
        <v>4495</v>
      </c>
      <c r="G1126" s="13" t="s">
        <v>4496</v>
      </c>
      <c r="H1126" s="13" t="s">
        <v>4497</v>
      </c>
      <c r="I1126" s="13" t="s">
        <v>82</v>
      </c>
      <c r="J1126" s="13" t="s">
        <v>83</v>
      </c>
      <c r="K1126" s="13"/>
      <c r="L1126" s="13" t="s">
        <v>4488</v>
      </c>
      <c r="M1126" s="13" t="s">
        <v>4489</v>
      </c>
    </row>
    <row r="1127" customFormat="false" ht="46.25" hidden="false" customHeight="false" outlineLevel="0" collapsed="false">
      <c r="A1127" s="13" t="s">
        <v>3</v>
      </c>
      <c r="B1127" s="13" t="s">
        <v>4108</v>
      </c>
      <c r="C1127" s="13" t="n">
        <v>209</v>
      </c>
      <c r="D1127" s="13" t="s">
        <v>4498</v>
      </c>
      <c r="E1127" s="13" t="s">
        <v>4499</v>
      </c>
      <c r="F1127" s="13" t="s">
        <v>4500</v>
      </c>
      <c r="G1127" s="13" t="s">
        <v>4501</v>
      </c>
      <c r="H1127" s="13" t="s">
        <v>4502</v>
      </c>
      <c r="I1127" s="13" t="s">
        <v>82</v>
      </c>
      <c r="J1127" s="13" t="s">
        <v>83</v>
      </c>
      <c r="K1127" s="13"/>
      <c r="L1127" s="13" t="s">
        <v>4503</v>
      </c>
      <c r="M1127" s="13" t="s">
        <v>4504</v>
      </c>
    </row>
    <row r="1128" customFormat="false" ht="46.25" hidden="false" customHeight="false" outlineLevel="0" collapsed="false">
      <c r="A1128" s="13" t="s">
        <v>3</v>
      </c>
      <c r="B1128" s="13" t="s">
        <v>4108</v>
      </c>
      <c r="C1128" s="13" t="n">
        <v>209</v>
      </c>
      <c r="D1128" s="13" t="s">
        <v>4498</v>
      </c>
      <c r="E1128" s="13" t="s">
        <v>4505</v>
      </c>
      <c r="F1128" s="13" t="s">
        <v>4502</v>
      </c>
      <c r="G1128" s="13" t="s">
        <v>1978</v>
      </c>
      <c r="H1128" s="13" t="s">
        <v>4506</v>
      </c>
      <c r="I1128" s="13" t="s">
        <v>82</v>
      </c>
      <c r="J1128" s="13" t="s">
        <v>83</v>
      </c>
      <c r="K1128" s="13"/>
      <c r="L1128" s="13" t="s">
        <v>4503</v>
      </c>
      <c r="M1128" s="13" t="s">
        <v>4504</v>
      </c>
    </row>
    <row r="1129" customFormat="false" ht="46.25" hidden="false" customHeight="false" outlineLevel="0" collapsed="false">
      <c r="A1129" s="13" t="s">
        <v>3</v>
      </c>
      <c r="B1129" s="13" t="s">
        <v>4108</v>
      </c>
      <c r="C1129" s="13" t="n">
        <v>209</v>
      </c>
      <c r="D1129" s="13" t="s">
        <v>4498</v>
      </c>
      <c r="E1129" s="13" t="s">
        <v>4507</v>
      </c>
      <c r="F1129" s="13" t="s">
        <v>4500</v>
      </c>
      <c r="G1129" s="13" t="s">
        <v>4508</v>
      </c>
      <c r="H1129" s="13" t="s">
        <v>4509</v>
      </c>
      <c r="I1129" s="13" t="s">
        <v>82</v>
      </c>
      <c r="J1129" s="13" t="s">
        <v>83</v>
      </c>
      <c r="K1129" s="13"/>
      <c r="L1129" s="13" t="s">
        <v>4503</v>
      </c>
      <c r="M1129" s="13" t="s">
        <v>4504</v>
      </c>
    </row>
    <row r="1130" customFormat="false" ht="91" hidden="false" customHeight="false" outlineLevel="0" collapsed="false">
      <c r="A1130" s="13" t="s">
        <v>3</v>
      </c>
      <c r="B1130" s="13" t="s">
        <v>4108</v>
      </c>
      <c r="C1130" s="13" t="n">
        <v>209</v>
      </c>
      <c r="D1130" s="13" t="s">
        <v>4510</v>
      </c>
      <c r="E1130" s="13" t="s">
        <v>4511</v>
      </c>
      <c r="F1130" s="13" t="s">
        <v>4512</v>
      </c>
      <c r="G1130" s="13" t="s">
        <v>4513</v>
      </c>
      <c r="H1130" s="13" t="s">
        <v>4514</v>
      </c>
      <c r="I1130" s="13" t="s">
        <v>82</v>
      </c>
      <c r="J1130" s="13" t="s">
        <v>83</v>
      </c>
      <c r="K1130" s="13"/>
      <c r="L1130" s="13" t="s">
        <v>4515</v>
      </c>
      <c r="M1130" s="13" t="s">
        <v>4516</v>
      </c>
    </row>
    <row r="1131" customFormat="false" ht="91" hidden="false" customHeight="false" outlineLevel="0" collapsed="false">
      <c r="A1131" s="13" t="s">
        <v>3</v>
      </c>
      <c r="B1131" s="13" t="s">
        <v>4108</v>
      </c>
      <c r="C1131" s="13" t="n">
        <v>209</v>
      </c>
      <c r="D1131" s="13" t="s">
        <v>4510</v>
      </c>
      <c r="E1131" s="13" t="s">
        <v>4517</v>
      </c>
      <c r="F1131" s="13" t="s">
        <v>4500</v>
      </c>
      <c r="G1131" s="13" t="s">
        <v>3032</v>
      </c>
      <c r="H1131" s="13" t="s">
        <v>4512</v>
      </c>
      <c r="I1131" s="13" t="s">
        <v>82</v>
      </c>
      <c r="J1131" s="13" t="s">
        <v>83</v>
      </c>
      <c r="K1131" s="13"/>
      <c r="L1131" s="13" t="s">
        <v>4515</v>
      </c>
      <c r="M1131" s="13" t="s">
        <v>4516</v>
      </c>
    </row>
    <row r="1132" customFormat="false" ht="23.85" hidden="false" customHeight="false" outlineLevel="0" collapsed="false">
      <c r="A1132" s="13" t="s">
        <v>3</v>
      </c>
      <c r="B1132" s="13" t="s">
        <v>4108</v>
      </c>
      <c r="C1132" s="13" t="n">
        <v>209</v>
      </c>
      <c r="D1132" s="13" t="s">
        <v>4518</v>
      </c>
      <c r="E1132" s="13" t="s">
        <v>4519</v>
      </c>
      <c r="F1132" s="13" t="s">
        <v>4520</v>
      </c>
      <c r="G1132" s="13" t="s">
        <v>4521</v>
      </c>
      <c r="H1132" s="13" t="s">
        <v>4522</v>
      </c>
      <c r="I1132" s="13" t="s">
        <v>82</v>
      </c>
      <c r="J1132" s="13" t="s">
        <v>83</v>
      </c>
      <c r="K1132" s="13"/>
      <c r="L1132" s="13" t="s">
        <v>4523</v>
      </c>
      <c r="M1132" s="13" t="s">
        <v>4524</v>
      </c>
    </row>
    <row r="1133" customFormat="false" ht="23.85" hidden="false" customHeight="false" outlineLevel="0" collapsed="false">
      <c r="A1133" s="13" t="s">
        <v>3</v>
      </c>
      <c r="B1133" s="13" t="s">
        <v>4108</v>
      </c>
      <c r="C1133" s="13" t="n">
        <v>209</v>
      </c>
      <c r="D1133" s="13" t="s">
        <v>4525</v>
      </c>
      <c r="E1133" s="13" t="s">
        <v>4526</v>
      </c>
      <c r="F1133" s="13" t="s">
        <v>4527</v>
      </c>
      <c r="G1133" s="13" t="s">
        <v>4528</v>
      </c>
      <c r="H1133" s="13" t="s">
        <v>4529</v>
      </c>
      <c r="I1133" s="13" t="s">
        <v>82</v>
      </c>
      <c r="J1133" s="13" t="s">
        <v>83</v>
      </c>
      <c r="K1133" s="13"/>
      <c r="L1133" s="13" t="s">
        <v>4530</v>
      </c>
      <c r="M1133" s="13" t="s">
        <v>4531</v>
      </c>
    </row>
    <row r="1134" customFormat="false" ht="23.85" hidden="false" customHeight="false" outlineLevel="0" collapsed="false">
      <c r="A1134" s="13" t="s">
        <v>3</v>
      </c>
      <c r="B1134" s="13" t="s">
        <v>4108</v>
      </c>
      <c r="C1134" s="13" t="n">
        <v>209</v>
      </c>
      <c r="D1134" s="13" t="s">
        <v>4532</v>
      </c>
      <c r="E1134" s="13" t="s">
        <v>4533</v>
      </c>
      <c r="F1134" s="13" t="s">
        <v>4534</v>
      </c>
      <c r="G1134" s="13" t="s">
        <v>4535</v>
      </c>
      <c r="H1134" s="13" t="s">
        <v>4514</v>
      </c>
      <c r="I1134" s="13" t="s">
        <v>82</v>
      </c>
      <c r="J1134" s="13" t="s">
        <v>83</v>
      </c>
      <c r="K1134" s="13"/>
      <c r="L1134" s="13" t="s">
        <v>4536</v>
      </c>
      <c r="M1134" s="13" t="s">
        <v>4537</v>
      </c>
    </row>
    <row r="1135" customFormat="false" ht="23.85" hidden="false" customHeight="false" outlineLevel="0" collapsed="false">
      <c r="A1135" s="13" t="s">
        <v>3</v>
      </c>
      <c r="B1135" s="13" t="s">
        <v>4108</v>
      </c>
      <c r="C1135" s="13" t="n">
        <v>209</v>
      </c>
      <c r="D1135" s="13" t="s">
        <v>4532</v>
      </c>
      <c r="E1135" s="13" t="s">
        <v>4538</v>
      </c>
      <c r="F1135" s="13" t="s">
        <v>4500</v>
      </c>
      <c r="G1135" s="13" t="s">
        <v>3032</v>
      </c>
      <c r="H1135" s="13" t="s">
        <v>4534</v>
      </c>
      <c r="I1135" s="13" t="s">
        <v>82</v>
      </c>
      <c r="J1135" s="13" t="s">
        <v>83</v>
      </c>
      <c r="K1135" s="13"/>
      <c r="L1135" s="13" t="s">
        <v>4536</v>
      </c>
      <c r="M1135" s="13" t="s">
        <v>4537</v>
      </c>
    </row>
    <row r="1136" customFormat="false" ht="23.85" hidden="false" customHeight="false" outlineLevel="0" collapsed="false">
      <c r="A1136" s="13" t="s">
        <v>3</v>
      </c>
      <c r="B1136" s="13" t="s">
        <v>4108</v>
      </c>
      <c r="C1136" s="13" t="n">
        <v>209</v>
      </c>
      <c r="D1136" s="13" t="s">
        <v>4539</v>
      </c>
      <c r="E1136" s="13" t="s">
        <v>4540</v>
      </c>
      <c r="F1136" s="13" t="s">
        <v>4541</v>
      </c>
      <c r="G1136" s="13" t="s">
        <v>4542</v>
      </c>
      <c r="H1136" s="13" t="s">
        <v>4543</v>
      </c>
      <c r="I1136" s="13" t="s">
        <v>82</v>
      </c>
      <c r="J1136" s="13" t="s">
        <v>83</v>
      </c>
      <c r="K1136" s="13"/>
      <c r="L1136" s="13" t="s">
        <v>4544</v>
      </c>
      <c r="M1136" s="13" t="s">
        <v>4545</v>
      </c>
    </row>
    <row r="1137" customFormat="false" ht="23.85" hidden="false" customHeight="false" outlineLevel="0" collapsed="false">
      <c r="A1137" s="13" t="s">
        <v>3</v>
      </c>
      <c r="B1137" s="13" t="s">
        <v>4108</v>
      </c>
      <c r="C1137" s="13" t="n">
        <v>209</v>
      </c>
      <c r="D1137" s="13" t="s">
        <v>4546</v>
      </c>
      <c r="E1137" s="13" t="s">
        <v>4547</v>
      </c>
      <c r="F1137" s="13" t="s">
        <v>4548</v>
      </c>
      <c r="G1137" s="13" t="s">
        <v>4549</v>
      </c>
      <c r="H1137" s="13" t="s">
        <v>4543</v>
      </c>
      <c r="I1137" s="13" t="s">
        <v>82</v>
      </c>
      <c r="J1137" s="13" t="s">
        <v>83</v>
      </c>
      <c r="K1137" s="13"/>
      <c r="L1137" s="13" t="s">
        <v>4550</v>
      </c>
      <c r="M1137" s="13" t="s">
        <v>4551</v>
      </c>
    </row>
    <row r="1138" customFormat="false" ht="23.85" hidden="false" customHeight="false" outlineLevel="0" collapsed="false">
      <c r="A1138" s="13" t="s">
        <v>3</v>
      </c>
      <c r="B1138" s="13" t="s">
        <v>4108</v>
      </c>
      <c r="C1138" s="13" t="n">
        <v>209</v>
      </c>
      <c r="D1138" s="13" t="s">
        <v>4546</v>
      </c>
      <c r="E1138" s="13" t="s">
        <v>4552</v>
      </c>
      <c r="F1138" s="13" t="s">
        <v>4548</v>
      </c>
      <c r="G1138" s="13" t="s">
        <v>4542</v>
      </c>
      <c r="H1138" s="13" t="s">
        <v>4543</v>
      </c>
      <c r="I1138" s="13" t="s">
        <v>82</v>
      </c>
      <c r="J1138" s="13" t="s">
        <v>83</v>
      </c>
      <c r="K1138" s="13"/>
      <c r="L1138" s="13" t="s">
        <v>4550</v>
      </c>
      <c r="M1138" s="13" t="s">
        <v>4551</v>
      </c>
    </row>
    <row r="1139" customFormat="false" ht="23.85" hidden="false" customHeight="false" outlineLevel="0" collapsed="false">
      <c r="A1139" s="13" t="s">
        <v>3</v>
      </c>
      <c r="B1139" s="13" t="s">
        <v>4108</v>
      </c>
      <c r="C1139" s="13" t="n">
        <v>209</v>
      </c>
      <c r="D1139" s="13" t="s">
        <v>4553</v>
      </c>
      <c r="E1139" s="13" t="s">
        <v>4554</v>
      </c>
      <c r="F1139" s="13" t="s">
        <v>4514</v>
      </c>
      <c r="G1139" s="13" t="s">
        <v>4555</v>
      </c>
      <c r="H1139" s="13" t="s">
        <v>4556</v>
      </c>
      <c r="I1139" s="13" t="s">
        <v>82</v>
      </c>
      <c r="J1139" s="13" t="s">
        <v>83</v>
      </c>
      <c r="K1139" s="13"/>
      <c r="L1139" s="13" t="s">
        <v>4557</v>
      </c>
      <c r="M1139" s="13" t="s">
        <v>4558</v>
      </c>
    </row>
    <row r="1140" customFormat="false" ht="23.85" hidden="false" customHeight="false" outlineLevel="0" collapsed="false">
      <c r="A1140" s="13" t="s">
        <v>3</v>
      </c>
      <c r="B1140" s="13" t="s">
        <v>4108</v>
      </c>
      <c r="C1140" s="13" t="n">
        <v>209</v>
      </c>
      <c r="D1140" s="13" t="s">
        <v>4559</v>
      </c>
      <c r="E1140" s="13" t="s">
        <v>4560</v>
      </c>
      <c r="F1140" s="13" t="s">
        <v>4500</v>
      </c>
      <c r="G1140" s="13" t="s">
        <v>4561</v>
      </c>
      <c r="H1140" s="13" t="s">
        <v>4562</v>
      </c>
      <c r="I1140" s="13" t="s">
        <v>82</v>
      </c>
      <c r="J1140" s="13" t="s">
        <v>83</v>
      </c>
      <c r="K1140" s="13"/>
      <c r="L1140" s="13" t="s">
        <v>4563</v>
      </c>
      <c r="M1140" s="13" t="s">
        <v>4564</v>
      </c>
    </row>
    <row r="1141" customFormat="false" ht="57.45" hidden="false" customHeight="false" outlineLevel="0" collapsed="false">
      <c r="A1141" s="13" t="s">
        <v>3</v>
      </c>
      <c r="B1141" s="13" t="s">
        <v>4108</v>
      </c>
      <c r="C1141" s="13" t="n">
        <v>209</v>
      </c>
      <c r="D1141" s="13" t="s">
        <v>4565</v>
      </c>
      <c r="E1141" s="13" t="s">
        <v>4566</v>
      </c>
      <c r="F1141" s="13" t="s">
        <v>4567</v>
      </c>
      <c r="G1141" s="13" t="s">
        <v>4568</v>
      </c>
      <c r="H1141" s="13" t="s">
        <v>4569</v>
      </c>
      <c r="I1141" s="13" t="s">
        <v>82</v>
      </c>
      <c r="J1141" s="13" t="s">
        <v>83</v>
      </c>
      <c r="K1141" s="13"/>
      <c r="L1141" s="13" t="s">
        <v>4570</v>
      </c>
      <c r="M1141" s="13" t="s">
        <v>4571</v>
      </c>
    </row>
    <row r="1142" customFormat="false" ht="57.45" hidden="false" customHeight="false" outlineLevel="0" collapsed="false">
      <c r="A1142" s="13" t="s">
        <v>3</v>
      </c>
      <c r="B1142" s="13" t="s">
        <v>4108</v>
      </c>
      <c r="C1142" s="13" t="n">
        <v>209</v>
      </c>
      <c r="D1142" s="13" t="s">
        <v>4565</v>
      </c>
      <c r="E1142" s="13" t="s">
        <v>4572</v>
      </c>
      <c r="F1142" s="13" t="s">
        <v>4573</v>
      </c>
      <c r="G1142" s="13" t="s">
        <v>4574</v>
      </c>
      <c r="H1142" s="13" t="s">
        <v>4569</v>
      </c>
      <c r="I1142" s="13" t="s">
        <v>82</v>
      </c>
      <c r="J1142" s="13" t="s">
        <v>83</v>
      </c>
      <c r="K1142" s="13"/>
      <c r="L1142" s="13" t="s">
        <v>4570</v>
      </c>
      <c r="M1142" s="13" t="s">
        <v>4571</v>
      </c>
    </row>
    <row r="1143" customFormat="false" ht="57.45" hidden="false" customHeight="false" outlineLevel="0" collapsed="false">
      <c r="A1143" s="13" t="s">
        <v>3</v>
      </c>
      <c r="B1143" s="13" t="s">
        <v>4108</v>
      </c>
      <c r="C1143" s="13" t="n">
        <v>209</v>
      </c>
      <c r="D1143" s="13" t="s">
        <v>4575</v>
      </c>
      <c r="E1143" s="13" t="s">
        <v>4576</v>
      </c>
      <c r="F1143" s="13" t="s">
        <v>4567</v>
      </c>
      <c r="G1143" s="13" t="s">
        <v>4577</v>
      </c>
      <c r="H1143" s="13" t="s">
        <v>4578</v>
      </c>
      <c r="I1143" s="13" t="s">
        <v>82</v>
      </c>
      <c r="J1143" s="13" t="s">
        <v>83</v>
      </c>
      <c r="K1143" s="13"/>
      <c r="L1143" s="13" t="s">
        <v>4579</v>
      </c>
      <c r="M1143" s="13" t="s">
        <v>4580</v>
      </c>
    </row>
    <row r="1144" customFormat="false" ht="57.45" hidden="false" customHeight="false" outlineLevel="0" collapsed="false">
      <c r="A1144" s="13" t="s">
        <v>3</v>
      </c>
      <c r="B1144" s="13" t="s">
        <v>4108</v>
      </c>
      <c r="C1144" s="13" t="n">
        <v>209</v>
      </c>
      <c r="D1144" s="13" t="s">
        <v>4575</v>
      </c>
      <c r="E1144" s="13" t="s">
        <v>4581</v>
      </c>
      <c r="F1144" s="13" t="s">
        <v>4573</v>
      </c>
      <c r="G1144" s="13" t="s">
        <v>4582</v>
      </c>
      <c r="H1144" s="13" t="s">
        <v>4578</v>
      </c>
      <c r="I1144" s="13" t="s">
        <v>82</v>
      </c>
      <c r="J1144" s="13" t="s">
        <v>83</v>
      </c>
      <c r="K1144" s="13"/>
      <c r="L1144" s="13" t="s">
        <v>4579</v>
      </c>
      <c r="M1144" s="13" t="s">
        <v>4580</v>
      </c>
    </row>
    <row r="1145" customFormat="false" ht="57.45" hidden="false" customHeight="false" outlineLevel="0" collapsed="false">
      <c r="A1145" s="13" t="s">
        <v>3</v>
      </c>
      <c r="B1145" s="13" t="s">
        <v>4108</v>
      </c>
      <c r="C1145" s="13" t="n">
        <v>209</v>
      </c>
      <c r="D1145" s="13" t="s">
        <v>4583</v>
      </c>
      <c r="E1145" s="13" t="s">
        <v>4584</v>
      </c>
      <c r="F1145" s="13" t="s">
        <v>4567</v>
      </c>
      <c r="G1145" s="13" t="s">
        <v>4585</v>
      </c>
      <c r="H1145" s="13" t="s">
        <v>4586</v>
      </c>
      <c r="I1145" s="13" t="s">
        <v>82</v>
      </c>
      <c r="J1145" s="13" t="s">
        <v>83</v>
      </c>
      <c r="K1145" s="13"/>
      <c r="L1145" s="13" t="s">
        <v>4587</v>
      </c>
      <c r="M1145" s="13" t="s">
        <v>4588</v>
      </c>
    </row>
    <row r="1146" customFormat="false" ht="57.45" hidden="false" customHeight="false" outlineLevel="0" collapsed="false">
      <c r="A1146" s="13" t="s">
        <v>3</v>
      </c>
      <c r="B1146" s="13" t="s">
        <v>4108</v>
      </c>
      <c r="C1146" s="13" t="n">
        <v>209</v>
      </c>
      <c r="D1146" s="13" t="s">
        <v>4583</v>
      </c>
      <c r="E1146" s="13" t="s">
        <v>4589</v>
      </c>
      <c r="F1146" s="13" t="s">
        <v>4573</v>
      </c>
      <c r="G1146" s="13" t="s">
        <v>4590</v>
      </c>
      <c r="H1146" s="13" t="s">
        <v>4586</v>
      </c>
      <c r="I1146" s="13" t="s">
        <v>82</v>
      </c>
      <c r="J1146" s="13" t="s">
        <v>83</v>
      </c>
      <c r="K1146" s="13"/>
      <c r="L1146" s="13" t="s">
        <v>4587</v>
      </c>
      <c r="M1146" s="13" t="s">
        <v>4588</v>
      </c>
    </row>
    <row r="1147" customFormat="false" ht="113.4" hidden="false" customHeight="false" outlineLevel="0" collapsed="false">
      <c r="A1147" s="13" t="s">
        <v>3</v>
      </c>
      <c r="B1147" s="13" t="s">
        <v>4108</v>
      </c>
      <c r="C1147" s="13" t="n">
        <v>227</v>
      </c>
      <c r="D1147" s="13" t="s">
        <v>4591</v>
      </c>
      <c r="E1147" s="13" t="s">
        <v>4592</v>
      </c>
      <c r="F1147" s="13" t="s">
        <v>4500</v>
      </c>
      <c r="G1147" s="13" t="s">
        <v>3245</v>
      </c>
      <c r="H1147" s="13" t="s">
        <v>4593</v>
      </c>
      <c r="I1147" s="13" t="s">
        <v>82</v>
      </c>
      <c r="J1147" s="13" t="s">
        <v>83</v>
      </c>
      <c r="K1147" s="13"/>
      <c r="L1147" s="13" t="s">
        <v>4594</v>
      </c>
      <c r="M1147" s="13" t="s">
        <v>4595</v>
      </c>
    </row>
    <row r="1148" customFormat="false" ht="113.4" hidden="false" customHeight="false" outlineLevel="0" collapsed="false">
      <c r="A1148" s="13" t="s">
        <v>3</v>
      </c>
      <c r="B1148" s="13" t="s">
        <v>4108</v>
      </c>
      <c r="C1148" s="13" t="n">
        <v>227</v>
      </c>
      <c r="D1148" s="13" t="s">
        <v>4591</v>
      </c>
      <c r="E1148" s="13" t="s">
        <v>4596</v>
      </c>
      <c r="F1148" s="13" t="s">
        <v>4597</v>
      </c>
      <c r="G1148" s="13" t="s">
        <v>4169</v>
      </c>
      <c r="H1148" s="13" t="s">
        <v>4593</v>
      </c>
      <c r="I1148" s="13" t="s">
        <v>82</v>
      </c>
      <c r="J1148" s="13" t="s">
        <v>83</v>
      </c>
      <c r="K1148" s="13"/>
      <c r="L1148" s="13" t="s">
        <v>4594</v>
      </c>
      <c r="M1148" s="13" t="s">
        <v>4595</v>
      </c>
    </row>
    <row r="1149" customFormat="false" ht="113.4" hidden="false" customHeight="false" outlineLevel="0" collapsed="false">
      <c r="A1149" s="13" t="s">
        <v>3</v>
      </c>
      <c r="B1149" s="13" t="s">
        <v>4108</v>
      </c>
      <c r="C1149" s="13" t="n">
        <v>227</v>
      </c>
      <c r="D1149" s="13" t="s">
        <v>4591</v>
      </c>
      <c r="E1149" s="13" t="s">
        <v>4598</v>
      </c>
      <c r="F1149" s="13" t="s">
        <v>4599</v>
      </c>
      <c r="G1149" s="13" t="s">
        <v>4169</v>
      </c>
      <c r="H1149" s="13" t="s">
        <v>4593</v>
      </c>
      <c r="I1149" s="13" t="s">
        <v>82</v>
      </c>
      <c r="J1149" s="13" t="s">
        <v>83</v>
      </c>
      <c r="K1149" s="13"/>
      <c r="L1149" s="13" t="s">
        <v>4594</v>
      </c>
      <c r="M1149" s="13" t="s">
        <v>4595</v>
      </c>
    </row>
    <row r="1150" customFormat="false" ht="113.4" hidden="false" customHeight="false" outlineLevel="0" collapsed="false">
      <c r="A1150" s="13" t="s">
        <v>3</v>
      </c>
      <c r="B1150" s="13" t="s">
        <v>4108</v>
      </c>
      <c r="C1150" s="13" t="n">
        <v>227</v>
      </c>
      <c r="D1150" s="13" t="s">
        <v>4591</v>
      </c>
      <c r="E1150" s="13" t="s">
        <v>4600</v>
      </c>
      <c r="F1150" s="13" t="s">
        <v>4593</v>
      </c>
      <c r="G1150" s="13" t="s">
        <v>4601</v>
      </c>
      <c r="H1150" s="13" t="s">
        <v>4500</v>
      </c>
      <c r="I1150" s="13" t="s">
        <v>82</v>
      </c>
      <c r="J1150" s="13" t="s">
        <v>83</v>
      </c>
      <c r="K1150" s="13"/>
      <c r="L1150" s="13" t="s">
        <v>4594</v>
      </c>
      <c r="M1150" s="13" t="s">
        <v>4595</v>
      </c>
    </row>
    <row r="1151" customFormat="false" ht="113.4" hidden="false" customHeight="false" outlineLevel="0" collapsed="false">
      <c r="A1151" s="13" t="s">
        <v>3</v>
      </c>
      <c r="B1151" s="13" t="s">
        <v>4108</v>
      </c>
      <c r="C1151" s="13" t="n">
        <v>227</v>
      </c>
      <c r="D1151" s="13" t="s">
        <v>4591</v>
      </c>
      <c r="E1151" s="13" t="s">
        <v>4602</v>
      </c>
      <c r="F1151" s="13" t="s">
        <v>4593</v>
      </c>
      <c r="G1151" s="13" t="s">
        <v>4603</v>
      </c>
      <c r="H1151" s="13" t="s">
        <v>4604</v>
      </c>
      <c r="I1151" s="13" t="s">
        <v>82</v>
      </c>
      <c r="J1151" s="13" t="s">
        <v>83</v>
      </c>
      <c r="K1151" s="13"/>
      <c r="L1151" s="13" t="s">
        <v>4594</v>
      </c>
      <c r="M1151" s="13" t="s">
        <v>4595</v>
      </c>
    </row>
    <row r="1152" customFormat="false" ht="46.25" hidden="false" customHeight="false" outlineLevel="0" collapsed="false">
      <c r="A1152" s="13" t="s">
        <v>3</v>
      </c>
      <c r="B1152" s="13" t="s">
        <v>4108</v>
      </c>
      <c r="C1152" s="13" t="n">
        <v>227</v>
      </c>
      <c r="D1152" s="13" t="s">
        <v>4605</v>
      </c>
      <c r="E1152" s="13" t="s">
        <v>4606</v>
      </c>
      <c r="F1152" s="13" t="s">
        <v>4607</v>
      </c>
      <c r="G1152" s="13" t="s">
        <v>4169</v>
      </c>
      <c r="H1152" s="13" t="s">
        <v>4608</v>
      </c>
      <c r="I1152" s="13" t="s">
        <v>114</v>
      </c>
      <c r="J1152" s="13" t="s">
        <v>4609</v>
      </c>
      <c r="K1152" s="13" t="s">
        <v>4610</v>
      </c>
      <c r="L1152" s="13" t="s">
        <v>4611</v>
      </c>
      <c r="M1152" s="13" t="s">
        <v>4612</v>
      </c>
    </row>
    <row r="1153" customFormat="false" ht="46.25" hidden="false" customHeight="false" outlineLevel="0" collapsed="false">
      <c r="A1153" s="13" t="s">
        <v>3</v>
      </c>
      <c r="B1153" s="13" t="s">
        <v>4108</v>
      </c>
      <c r="C1153" s="13" t="n">
        <v>227</v>
      </c>
      <c r="D1153" s="13" t="s">
        <v>4605</v>
      </c>
      <c r="E1153" s="13" t="s">
        <v>4613</v>
      </c>
      <c r="F1153" s="13" t="s">
        <v>4597</v>
      </c>
      <c r="G1153" s="13" t="s">
        <v>4169</v>
      </c>
      <c r="H1153" s="13" t="s">
        <v>4608</v>
      </c>
      <c r="I1153" s="13" t="s">
        <v>114</v>
      </c>
      <c r="J1153" s="13" t="s">
        <v>4609</v>
      </c>
      <c r="K1153" s="13" t="s">
        <v>4610</v>
      </c>
      <c r="L1153" s="13" t="s">
        <v>4611</v>
      </c>
      <c r="M1153" s="13" t="s">
        <v>4612</v>
      </c>
    </row>
    <row r="1154" customFormat="false" ht="46.25" hidden="false" customHeight="false" outlineLevel="0" collapsed="false">
      <c r="A1154" s="13" t="s">
        <v>3</v>
      </c>
      <c r="B1154" s="13" t="s">
        <v>4108</v>
      </c>
      <c r="C1154" s="13" t="n">
        <v>227</v>
      </c>
      <c r="D1154" s="13" t="s">
        <v>4605</v>
      </c>
      <c r="E1154" s="13" t="s">
        <v>4614</v>
      </c>
      <c r="F1154" s="13" t="s">
        <v>4615</v>
      </c>
      <c r="G1154" s="13" t="s">
        <v>4169</v>
      </c>
      <c r="H1154" s="13" t="s">
        <v>4608</v>
      </c>
      <c r="I1154" s="13" t="s">
        <v>114</v>
      </c>
      <c r="J1154" s="13" t="s">
        <v>4609</v>
      </c>
      <c r="K1154" s="13" t="s">
        <v>4610</v>
      </c>
      <c r="L1154" s="13" t="s">
        <v>4611</v>
      </c>
      <c r="M1154" s="13" t="s">
        <v>4612</v>
      </c>
    </row>
    <row r="1155" customFormat="false" ht="23.85" hidden="false" customHeight="false" outlineLevel="0" collapsed="false">
      <c r="A1155" s="13" t="s">
        <v>3</v>
      </c>
      <c r="B1155" s="13" t="s">
        <v>4108</v>
      </c>
      <c r="C1155" s="13" t="n">
        <v>227</v>
      </c>
      <c r="D1155" s="13" t="s">
        <v>4616</v>
      </c>
      <c r="E1155" s="13" t="s">
        <v>4617</v>
      </c>
      <c r="F1155" s="13" t="s">
        <v>4500</v>
      </c>
      <c r="G1155" s="13" t="s">
        <v>4618</v>
      </c>
      <c r="H1155" s="13" t="s">
        <v>4619</v>
      </c>
      <c r="I1155" s="13" t="s">
        <v>82</v>
      </c>
      <c r="J1155" s="13" t="s">
        <v>83</v>
      </c>
      <c r="K1155" s="13"/>
      <c r="L1155" s="13" t="s">
        <v>4620</v>
      </c>
      <c r="M1155" s="13" t="s">
        <v>4621</v>
      </c>
    </row>
    <row r="1156" customFormat="false" ht="35.05" hidden="false" customHeight="false" outlineLevel="0" collapsed="false">
      <c r="A1156" s="13" t="s">
        <v>3</v>
      </c>
      <c r="B1156" s="13" t="s">
        <v>4108</v>
      </c>
      <c r="C1156" s="13" t="n">
        <v>227</v>
      </c>
      <c r="D1156" s="13" t="s">
        <v>4622</v>
      </c>
      <c r="E1156" s="13" t="s">
        <v>4623</v>
      </c>
      <c r="F1156" s="13" t="s">
        <v>4624</v>
      </c>
      <c r="G1156" s="13" t="s">
        <v>4625</v>
      </c>
      <c r="H1156" s="13" t="s">
        <v>4254</v>
      </c>
      <c r="I1156" s="13" t="s">
        <v>82</v>
      </c>
      <c r="J1156" s="13" t="s">
        <v>83</v>
      </c>
      <c r="K1156" s="13"/>
      <c r="L1156" s="13" t="s">
        <v>4626</v>
      </c>
      <c r="M1156" s="13" t="s">
        <v>4627</v>
      </c>
    </row>
    <row r="1157" customFormat="false" ht="35.05" hidden="false" customHeight="false" outlineLevel="0" collapsed="false">
      <c r="A1157" s="13" t="s">
        <v>3</v>
      </c>
      <c r="B1157" s="13" t="s">
        <v>4108</v>
      </c>
      <c r="C1157" s="13" t="n">
        <v>227</v>
      </c>
      <c r="D1157" s="13" t="s">
        <v>4622</v>
      </c>
      <c r="E1157" s="13" t="s">
        <v>4628</v>
      </c>
      <c r="F1157" s="13" t="s">
        <v>4500</v>
      </c>
      <c r="G1157" s="13" t="s">
        <v>4629</v>
      </c>
      <c r="H1157" s="13" t="s">
        <v>4630</v>
      </c>
      <c r="I1157" s="13" t="s">
        <v>82</v>
      </c>
      <c r="J1157" s="13" t="s">
        <v>83</v>
      </c>
      <c r="K1157" s="13"/>
      <c r="L1157" s="13" t="s">
        <v>4626</v>
      </c>
      <c r="M1157" s="13" t="s">
        <v>4627</v>
      </c>
    </row>
    <row r="1158" customFormat="false" ht="35.05" hidden="false" customHeight="false" outlineLevel="0" collapsed="false">
      <c r="A1158" s="13" t="s">
        <v>3</v>
      </c>
      <c r="B1158" s="13" t="s">
        <v>4108</v>
      </c>
      <c r="C1158" s="13" t="n">
        <v>227</v>
      </c>
      <c r="D1158" s="13" t="s">
        <v>4631</v>
      </c>
      <c r="E1158" s="13" t="s">
        <v>4632</v>
      </c>
      <c r="F1158" s="13" t="s">
        <v>4633</v>
      </c>
      <c r="G1158" s="13" t="s">
        <v>4625</v>
      </c>
      <c r="H1158" s="13" t="s">
        <v>4254</v>
      </c>
      <c r="I1158" s="13" t="s">
        <v>82</v>
      </c>
      <c r="J1158" s="13" t="s">
        <v>83</v>
      </c>
      <c r="K1158" s="13"/>
      <c r="L1158" s="13" t="s">
        <v>4634</v>
      </c>
      <c r="M1158" s="13" t="s">
        <v>4635</v>
      </c>
    </row>
    <row r="1159" customFormat="false" ht="35.05" hidden="false" customHeight="false" outlineLevel="0" collapsed="false">
      <c r="A1159" s="13" t="s">
        <v>3</v>
      </c>
      <c r="B1159" s="13" t="s">
        <v>4108</v>
      </c>
      <c r="C1159" s="13" t="n">
        <v>227</v>
      </c>
      <c r="D1159" s="13" t="s">
        <v>4631</v>
      </c>
      <c r="E1159" s="13" t="s">
        <v>4636</v>
      </c>
      <c r="F1159" s="13" t="s">
        <v>4500</v>
      </c>
      <c r="G1159" s="13" t="s">
        <v>4637</v>
      </c>
      <c r="H1159" s="13" t="s">
        <v>4638</v>
      </c>
      <c r="I1159" s="13" t="s">
        <v>82</v>
      </c>
      <c r="J1159" s="13" t="s">
        <v>83</v>
      </c>
      <c r="K1159" s="13"/>
      <c r="L1159" s="13" t="s">
        <v>4634</v>
      </c>
      <c r="M1159" s="13" t="s">
        <v>4635</v>
      </c>
    </row>
    <row r="1160" customFormat="false" ht="68.65" hidden="false" customHeight="false" outlineLevel="0" collapsed="false">
      <c r="A1160" s="13" t="s">
        <v>3</v>
      </c>
      <c r="B1160" s="13" t="s">
        <v>4108</v>
      </c>
      <c r="C1160" s="13" t="n">
        <v>227</v>
      </c>
      <c r="D1160" s="13" t="s">
        <v>4639</v>
      </c>
      <c r="E1160" s="13" t="s">
        <v>4640</v>
      </c>
      <c r="F1160" s="13" t="s">
        <v>4500</v>
      </c>
      <c r="G1160" s="13" t="s">
        <v>4641</v>
      </c>
      <c r="H1160" s="13" t="s">
        <v>4642</v>
      </c>
      <c r="I1160" s="13" t="s">
        <v>82</v>
      </c>
      <c r="J1160" s="13" t="s">
        <v>83</v>
      </c>
      <c r="K1160" s="13"/>
      <c r="L1160" s="13" t="s">
        <v>4643</v>
      </c>
      <c r="M1160" s="13" t="s">
        <v>4644</v>
      </c>
    </row>
    <row r="1161" customFormat="false" ht="68.65" hidden="false" customHeight="false" outlineLevel="0" collapsed="false">
      <c r="A1161" s="13" t="s">
        <v>3</v>
      </c>
      <c r="B1161" s="13" t="s">
        <v>4108</v>
      </c>
      <c r="C1161" s="13" t="n">
        <v>227</v>
      </c>
      <c r="D1161" s="13" t="s">
        <v>4639</v>
      </c>
      <c r="E1161" s="13" t="s">
        <v>4645</v>
      </c>
      <c r="F1161" s="13" t="s">
        <v>4500</v>
      </c>
      <c r="G1161" s="13" t="s">
        <v>4646</v>
      </c>
      <c r="H1161" s="13" t="s">
        <v>4647</v>
      </c>
      <c r="I1161" s="13" t="s">
        <v>82</v>
      </c>
      <c r="J1161" s="13" t="s">
        <v>83</v>
      </c>
      <c r="K1161" s="13"/>
      <c r="L1161" s="13" t="s">
        <v>4643</v>
      </c>
      <c r="M1161" s="13" t="s">
        <v>4644</v>
      </c>
    </row>
    <row r="1162" customFormat="false" ht="68.65" hidden="false" customHeight="false" outlineLevel="0" collapsed="false">
      <c r="A1162" s="13" t="s">
        <v>3</v>
      </c>
      <c r="B1162" s="13" t="s">
        <v>4108</v>
      </c>
      <c r="C1162" s="13" t="n">
        <v>227</v>
      </c>
      <c r="D1162" s="13" t="s">
        <v>4639</v>
      </c>
      <c r="E1162" s="13" t="s">
        <v>4648</v>
      </c>
      <c r="F1162" s="13" t="s">
        <v>4647</v>
      </c>
      <c r="G1162" s="13" t="s">
        <v>4649</v>
      </c>
      <c r="H1162" s="13" t="s">
        <v>4642</v>
      </c>
      <c r="I1162" s="13" t="s">
        <v>82</v>
      </c>
      <c r="J1162" s="13" t="s">
        <v>83</v>
      </c>
      <c r="K1162" s="13"/>
      <c r="L1162" s="13" t="s">
        <v>4643</v>
      </c>
      <c r="M1162" s="13" t="s">
        <v>4644</v>
      </c>
    </row>
    <row r="1163" customFormat="false" ht="68.65" hidden="false" customHeight="false" outlineLevel="0" collapsed="false">
      <c r="A1163" s="13" t="s">
        <v>3</v>
      </c>
      <c r="B1163" s="13" t="s">
        <v>4108</v>
      </c>
      <c r="C1163" s="13" t="n">
        <v>227</v>
      </c>
      <c r="D1163" s="13" t="s">
        <v>4639</v>
      </c>
      <c r="E1163" s="13" t="s">
        <v>4650</v>
      </c>
      <c r="F1163" s="13" t="s">
        <v>4500</v>
      </c>
      <c r="G1163" s="13" t="s">
        <v>4651</v>
      </c>
      <c r="H1163" s="13" t="s">
        <v>4647</v>
      </c>
      <c r="I1163" s="13" t="s">
        <v>82</v>
      </c>
      <c r="J1163" s="13" t="s">
        <v>83</v>
      </c>
      <c r="K1163" s="13"/>
      <c r="L1163" s="13" t="s">
        <v>4643</v>
      </c>
      <c r="M1163" s="13" t="s">
        <v>4644</v>
      </c>
    </row>
    <row r="1164" customFormat="false" ht="35.05" hidden="false" customHeight="false" outlineLevel="0" collapsed="false">
      <c r="A1164" s="13" t="s">
        <v>3</v>
      </c>
      <c r="B1164" s="13" t="s">
        <v>4108</v>
      </c>
      <c r="C1164" s="13" t="n">
        <v>227</v>
      </c>
      <c r="D1164" s="13" t="s">
        <v>4652</v>
      </c>
      <c r="E1164" s="13" t="s">
        <v>4653</v>
      </c>
      <c r="F1164" s="13" t="s">
        <v>4654</v>
      </c>
      <c r="G1164" s="13" t="s">
        <v>4625</v>
      </c>
      <c r="H1164" s="13" t="s">
        <v>4655</v>
      </c>
      <c r="I1164" s="13" t="s">
        <v>82</v>
      </c>
      <c r="J1164" s="13" t="s">
        <v>83</v>
      </c>
      <c r="K1164" s="13"/>
      <c r="L1164" s="13" t="s">
        <v>4656</v>
      </c>
      <c r="M1164" s="13" t="s">
        <v>4657</v>
      </c>
    </row>
    <row r="1165" customFormat="false" ht="35.05" hidden="false" customHeight="false" outlineLevel="0" collapsed="false">
      <c r="A1165" s="13" t="s">
        <v>3</v>
      </c>
      <c r="B1165" s="13" t="s">
        <v>4108</v>
      </c>
      <c r="C1165" s="13" t="n">
        <v>227</v>
      </c>
      <c r="D1165" s="13" t="s">
        <v>4652</v>
      </c>
      <c r="E1165" s="13" t="s">
        <v>4658</v>
      </c>
      <c r="F1165" s="13" t="s">
        <v>4500</v>
      </c>
      <c r="G1165" s="13" t="s">
        <v>4629</v>
      </c>
      <c r="H1165" s="13" t="s">
        <v>4630</v>
      </c>
      <c r="I1165" s="13" t="s">
        <v>82</v>
      </c>
      <c r="J1165" s="13" t="s">
        <v>83</v>
      </c>
      <c r="K1165" s="13"/>
      <c r="L1165" s="13" t="s">
        <v>4656</v>
      </c>
      <c r="M1165" s="13" t="s">
        <v>4657</v>
      </c>
    </row>
    <row r="1166" customFormat="false" ht="46.25" hidden="false" customHeight="false" outlineLevel="0" collapsed="false">
      <c r="A1166" s="13" t="s">
        <v>3</v>
      </c>
      <c r="B1166" s="13" t="s">
        <v>4108</v>
      </c>
      <c r="C1166" s="13" t="n">
        <v>227</v>
      </c>
      <c r="D1166" s="13" t="s">
        <v>4659</v>
      </c>
      <c r="E1166" s="13" t="s">
        <v>4660</v>
      </c>
      <c r="F1166" s="13" t="s">
        <v>4500</v>
      </c>
      <c r="G1166" s="13" t="s">
        <v>4661</v>
      </c>
      <c r="H1166" s="13" t="s">
        <v>4662</v>
      </c>
      <c r="I1166" s="13" t="s">
        <v>82</v>
      </c>
      <c r="J1166" s="13" t="s">
        <v>83</v>
      </c>
      <c r="K1166" s="13"/>
      <c r="L1166" s="13" t="s">
        <v>4663</v>
      </c>
      <c r="M1166" s="13" t="s">
        <v>4664</v>
      </c>
    </row>
    <row r="1167" customFormat="false" ht="46.25" hidden="false" customHeight="false" outlineLevel="0" collapsed="false">
      <c r="A1167" s="13" t="s">
        <v>3</v>
      </c>
      <c r="B1167" s="13" t="s">
        <v>4108</v>
      </c>
      <c r="C1167" s="13" t="n">
        <v>227</v>
      </c>
      <c r="D1167" s="13" t="s">
        <v>4659</v>
      </c>
      <c r="E1167" s="13" t="s">
        <v>4665</v>
      </c>
      <c r="F1167" s="13" t="s">
        <v>4662</v>
      </c>
      <c r="G1167" s="13" t="s">
        <v>4666</v>
      </c>
      <c r="H1167" s="13" t="s">
        <v>4667</v>
      </c>
      <c r="I1167" s="13" t="s">
        <v>82</v>
      </c>
      <c r="J1167" s="13" t="s">
        <v>83</v>
      </c>
      <c r="K1167" s="13"/>
      <c r="L1167" s="13" t="s">
        <v>4663</v>
      </c>
      <c r="M1167" s="13" t="s">
        <v>4664</v>
      </c>
    </row>
    <row r="1168" customFormat="false" ht="46.25" hidden="false" customHeight="false" outlineLevel="0" collapsed="false">
      <c r="A1168" s="13" t="s">
        <v>3</v>
      </c>
      <c r="B1168" s="13" t="s">
        <v>4108</v>
      </c>
      <c r="C1168" s="13" t="n">
        <v>227</v>
      </c>
      <c r="D1168" s="13" t="s">
        <v>4659</v>
      </c>
      <c r="E1168" s="13" t="s">
        <v>4668</v>
      </c>
      <c r="F1168" s="13" t="s">
        <v>4500</v>
      </c>
      <c r="G1168" s="13" t="s">
        <v>4669</v>
      </c>
      <c r="H1168" s="13" t="s">
        <v>4670</v>
      </c>
      <c r="I1168" s="13" t="s">
        <v>82</v>
      </c>
      <c r="J1168" s="13" t="s">
        <v>83</v>
      </c>
      <c r="K1168" s="13"/>
      <c r="L1168" s="13" t="s">
        <v>4663</v>
      </c>
      <c r="M1168" s="13" t="s">
        <v>4664</v>
      </c>
    </row>
    <row r="1169" customFormat="false" ht="35.05" hidden="false" customHeight="false" outlineLevel="0" collapsed="false">
      <c r="A1169" s="13" t="s">
        <v>3</v>
      </c>
      <c r="B1169" s="13" t="s">
        <v>4108</v>
      </c>
      <c r="C1169" s="13" t="n">
        <v>227</v>
      </c>
      <c r="D1169" s="13" t="s">
        <v>4671</v>
      </c>
      <c r="E1169" s="13" t="s">
        <v>4672</v>
      </c>
      <c r="F1169" s="13" t="s">
        <v>4500</v>
      </c>
      <c r="G1169" s="13" t="s">
        <v>4673</v>
      </c>
      <c r="H1169" s="13" t="s">
        <v>4674</v>
      </c>
      <c r="I1169" s="13" t="s">
        <v>82</v>
      </c>
      <c r="J1169" s="13" t="s">
        <v>83</v>
      </c>
      <c r="K1169" s="13"/>
      <c r="L1169" s="13" t="s">
        <v>4675</v>
      </c>
      <c r="M1169" s="13" t="s">
        <v>4676</v>
      </c>
    </row>
    <row r="1170" customFormat="false" ht="35.05" hidden="false" customHeight="false" outlineLevel="0" collapsed="false">
      <c r="A1170" s="13" t="s">
        <v>3</v>
      </c>
      <c r="B1170" s="13" t="s">
        <v>4108</v>
      </c>
      <c r="C1170" s="13" t="n">
        <v>227</v>
      </c>
      <c r="D1170" s="13" t="s">
        <v>4671</v>
      </c>
      <c r="E1170" s="13" t="s">
        <v>4677</v>
      </c>
      <c r="F1170" s="13" t="s">
        <v>4674</v>
      </c>
      <c r="G1170" s="13" t="s">
        <v>3523</v>
      </c>
      <c r="H1170" s="13" t="s">
        <v>4678</v>
      </c>
      <c r="I1170" s="13" t="s">
        <v>82</v>
      </c>
      <c r="J1170" s="13" t="s">
        <v>83</v>
      </c>
      <c r="K1170" s="13"/>
      <c r="L1170" s="13" t="s">
        <v>4675</v>
      </c>
      <c r="M1170" s="13" t="s">
        <v>4676</v>
      </c>
    </row>
    <row r="1171" customFormat="false" ht="57.45" hidden="false" customHeight="false" outlineLevel="0" collapsed="false">
      <c r="A1171" s="13" t="s">
        <v>3</v>
      </c>
      <c r="B1171" s="13" t="s">
        <v>4108</v>
      </c>
      <c r="C1171" s="13" t="n">
        <v>227</v>
      </c>
      <c r="D1171" s="13" t="s">
        <v>4679</v>
      </c>
      <c r="E1171" s="13" t="s">
        <v>4680</v>
      </c>
      <c r="F1171" s="13" t="s">
        <v>4681</v>
      </c>
      <c r="G1171" s="13" t="s">
        <v>4682</v>
      </c>
      <c r="H1171" s="13" t="s">
        <v>4500</v>
      </c>
      <c r="I1171" s="13" t="s">
        <v>82</v>
      </c>
      <c r="J1171" s="13" t="s">
        <v>83</v>
      </c>
      <c r="K1171" s="13"/>
      <c r="L1171" s="13" t="s">
        <v>4683</v>
      </c>
      <c r="M1171" s="13" t="s">
        <v>4684</v>
      </c>
    </row>
    <row r="1172" customFormat="false" ht="57.45" hidden="false" customHeight="false" outlineLevel="0" collapsed="false">
      <c r="A1172" s="13" t="s">
        <v>3</v>
      </c>
      <c r="B1172" s="13" t="s">
        <v>4108</v>
      </c>
      <c r="C1172" s="13" t="n">
        <v>227</v>
      </c>
      <c r="D1172" s="13" t="s">
        <v>4679</v>
      </c>
      <c r="E1172" s="13" t="s">
        <v>4685</v>
      </c>
      <c r="F1172" s="13" t="s">
        <v>4686</v>
      </c>
      <c r="G1172" s="13" t="s">
        <v>4687</v>
      </c>
      <c r="H1172" s="13" t="s">
        <v>4688</v>
      </c>
      <c r="I1172" s="13" t="s">
        <v>82</v>
      </c>
      <c r="J1172" s="13" t="s">
        <v>83</v>
      </c>
      <c r="K1172" s="13"/>
      <c r="L1172" s="13" t="s">
        <v>4683</v>
      </c>
      <c r="M1172" s="13" t="s">
        <v>4684</v>
      </c>
    </row>
    <row r="1173" customFormat="false" ht="57.45" hidden="false" customHeight="false" outlineLevel="0" collapsed="false">
      <c r="A1173" s="13" t="s">
        <v>3</v>
      </c>
      <c r="B1173" s="13" t="s">
        <v>4108</v>
      </c>
      <c r="C1173" s="13" t="n">
        <v>227</v>
      </c>
      <c r="D1173" s="13" t="s">
        <v>4679</v>
      </c>
      <c r="E1173" s="13" t="s">
        <v>4689</v>
      </c>
      <c r="F1173" s="13" t="s">
        <v>4500</v>
      </c>
      <c r="G1173" s="13" t="s">
        <v>4690</v>
      </c>
      <c r="H1173" s="13" t="s">
        <v>4681</v>
      </c>
      <c r="I1173" s="13" t="s">
        <v>82</v>
      </c>
      <c r="J1173" s="13" t="s">
        <v>83</v>
      </c>
      <c r="K1173" s="13"/>
      <c r="L1173" s="13" t="s">
        <v>4683</v>
      </c>
      <c r="M1173" s="13" t="s">
        <v>4684</v>
      </c>
    </row>
    <row r="1174" customFormat="false" ht="57.45" hidden="false" customHeight="false" outlineLevel="0" collapsed="false">
      <c r="A1174" s="13" t="s">
        <v>3</v>
      </c>
      <c r="B1174" s="13" t="s">
        <v>4108</v>
      </c>
      <c r="C1174" s="13" t="n">
        <v>227</v>
      </c>
      <c r="D1174" s="13" t="s">
        <v>4679</v>
      </c>
      <c r="E1174" s="13" t="s">
        <v>4691</v>
      </c>
      <c r="F1174" s="13" t="s">
        <v>4692</v>
      </c>
      <c r="G1174" s="13" t="s">
        <v>4693</v>
      </c>
      <c r="H1174" s="13" t="s">
        <v>4500</v>
      </c>
      <c r="I1174" s="13" t="s">
        <v>82</v>
      </c>
      <c r="J1174" s="13" t="s">
        <v>83</v>
      </c>
      <c r="K1174" s="13"/>
      <c r="L1174" s="13" t="s">
        <v>4683</v>
      </c>
      <c r="M1174" s="13" t="s">
        <v>4684</v>
      </c>
    </row>
    <row r="1175" customFormat="false" ht="68.65" hidden="false" customHeight="false" outlineLevel="0" collapsed="false">
      <c r="A1175" s="13" t="s">
        <v>3</v>
      </c>
      <c r="B1175" s="13" t="s">
        <v>4108</v>
      </c>
      <c r="C1175" s="13" t="n">
        <v>247</v>
      </c>
      <c r="D1175" s="13" t="s">
        <v>4694</v>
      </c>
      <c r="E1175" s="13" t="s">
        <v>4695</v>
      </c>
      <c r="F1175" s="13" t="s">
        <v>3349</v>
      </c>
      <c r="G1175" s="13" t="s">
        <v>4696</v>
      </c>
      <c r="H1175" s="13" t="s">
        <v>4697</v>
      </c>
      <c r="I1175" s="13" t="s">
        <v>82</v>
      </c>
      <c r="J1175" s="13" t="s">
        <v>83</v>
      </c>
      <c r="K1175" s="13"/>
      <c r="L1175" s="13" t="s">
        <v>4698</v>
      </c>
      <c r="M1175" s="13" t="s">
        <v>4699</v>
      </c>
    </row>
    <row r="1176" customFormat="false" ht="68.65" hidden="false" customHeight="false" outlineLevel="0" collapsed="false">
      <c r="A1176" s="13" t="s">
        <v>3</v>
      </c>
      <c r="B1176" s="13" t="s">
        <v>4108</v>
      </c>
      <c r="C1176" s="13" t="n">
        <v>247</v>
      </c>
      <c r="D1176" s="13" t="s">
        <v>4694</v>
      </c>
      <c r="E1176" s="13" t="s">
        <v>4700</v>
      </c>
      <c r="F1176" s="13" t="s">
        <v>4701</v>
      </c>
      <c r="G1176" s="13" t="s">
        <v>4702</v>
      </c>
      <c r="H1176" s="13" t="s">
        <v>4703</v>
      </c>
      <c r="I1176" s="13" t="s">
        <v>82</v>
      </c>
      <c r="J1176" s="13" t="s">
        <v>83</v>
      </c>
      <c r="K1176" s="13"/>
      <c r="L1176" s="13" t="s">
        <v>4698</v>
      </c>
      <c r="M1176" s="13" t="s">
        <v>4699</v>
      </c>
    </row>
    <row r="1177" customFormat="false" ht="35.05" hidden="false" customHeight="false" outlineLevel="0" collapsed="false">
      <c r="A1177" s="13" t="s">
        <v>3</v>
      </c>
      <c r="B1177" s="13" t="s">
        <v>4108</v>
      </c>
      <c r="C1177" s="13" t="n">
        <v>247</v>
      </c>
      <c r="D1177" s="13" t="s">
        <v>4704</v>
      </c>
      <c r="E1177" s="13" t="s">
        <v>4705</v>
      </c>
      <c r="F1177" s="13" t="s">
        <v>3349</v>
      </c>
      <c r="G1177" s="13" t="s">
        <v>4706</v>
      </c>
      <c r="H1177" s="13" t="s">
        <v>4707</v>
      </c>
      <c r="I1177" s="13" t="s">
        <v>82</v>
      </c>
      <c r="J1177" s="13" t="s">
        <v>83</v>
      </c>
      <c r="K1177" s="13"/>
      <c r="L1177" s="13" t="s">
        <v>4708</v>
      </c>
      <c r="M1177" s="13" t="s">
        <v>4709</v>
      </c>
    </row>
    <row r="1178" customFormat="false" ht="68.65" hidden="false" customHeight="false" outlineLevel="0" collapsed="false">
      <c r="A1178" s="13" t="s">
        <v>3</v>
      </c>
      <c r="B1178" s="13" t="s">
        <v>4108</v>
      </c>
      <c r="C1178" s="13" t="n">
        <v>247</v>
      </c>
      <c r="D1178" s="13" t="s">
        <v>4710</v>
      </c>
      <c r="E1178" s="13" t="s">
        <v>4711</v>
      </c>
      <c r="F1178" s="13" t="s">
        <v>3349</v>
      </c>
      <c r="G1178" s="13" t="s">
        <v>4712</v>
      </c>
      <c r="H1178" s="13" t="s">
        <v>4713</v>
      </c>
      <c r="I1178" s="13" t="s">
        <v>82</v>
      </c>
      <c r="J1178" s="13" t="s">
        <v>83</v>
      </c>
      <c r="K1178" s="13"/>
      <c r="L1178" s="13" t="s">
        <v>4714</v>
      </c>
      <c r="M1178" s="13" t="s">
        <v>4715</v>
      </c>
    </row>
    <row r="1179" customFormat="false" ht="68.65" hidden="false" customHeight="false" outlineLevel="0" collapsed="false">
      <c r="A1179" s="13" t="s">
        <v>3</v>
      </c>
      <c r="B1179" s="13" t="s">
        <v>4108</v>
      </c>
      <c r="C1179" s="13" t="n">
        <v>247</v>
      </c>
      <c r="D1179" s="13" t="s">
        <v>4710</v>
      </c>
      <c r="E1179" s="13" t="s">
        <v>4716</v>
      </c>
      <c r="F1179" s="13" t="s">
        <v>4701</v>
      </c>
      <c r="G1179" s="13" t="s">
        <v>4717</v>
      </c>
      <c r="H1179" s="13" t="s">
        <v>4713</v>
      </c>
      <c r="I1179" s="13" t="s">
        <v>82</v>
      </c>
      <c r="J1179" s="13" t="s">
        <v>83</v>
      </c>
      <c r="K1179" s="13"/>
      <c r="L1179" s="13" t="s">
        <v>4714</v>
      </c>
      <c r="M1179" s="13" t="s">
        <v>4715</v>
      </c>
    </row>
    <row r="1180" customFormat="false" ht="57.45" hidden="false" customHeight="false" outlineLevel="0" collapsed="false">
      <c r="A1180" s="13" t="s">
        <v>3</v>
      </c>
      <c r="B1180" s="13" t="s">
        <v>4108</v>
      </c>
      <c r="C1180" s="13" t="n">
        <v>247</v>
      </c>
      <c r="D1180" s="13" t="s">
        <v>4718</v>
      </c>
      <c r="E1180" s="13" t="s">
        <v>4719</v>
      </c>
      <c r="F1180" s="13" t="s">
        <v>4720</v>
      </c>
      <c r="G1180" s="13" t="s">
        <v>4721</v>
      </c>
      <c r="H1180" s="13" t="s">
        <v>4722</v>
      </c>
      <c r="I1180" s="13" t="s">
        <v>114</v>
      </c>
      <c r="J1180" s="13" t="s">
        <v>4723</v>
      </c>
      <c r="K1180" s="13" t="s">
        <v>4724</v>
      </c>
      <c r="L1180" s="13" t="s">
        <v>4725</v>
      </c>
      <c r="M1180" s="13" t="s">
        <v>4726</v>
      </c>
    </row>
    <row r="1181" customFormat="false" ht="35.05" hidden="false" customHeight="false" outlineLevel="0" collapsed="false">
      <c r="A1181" s="13" t="s">
        <v>3</v>
      </c>
      <c r="B1181" s="13" t="s">
        <v>4108</v>
      </c>
      <c r="C1181" s="13" t="n">
        <v>247</v>
      </c>
      <c r="D1181" s="13" t="s">
        <v>4727</v>
      </c>
      <c r="E1181" s="13" t="s">
        <v>4728</v>
      </c>
      <c r="F1181" s="13" t="s">
        <v>4729</v>
      </c>
      <c r="G1181" s="13" t="s">
        <v>4730</v>
      </c>
      <c r="H1181" s="13" t="s">
        <v>4731</v>
      </c>
      <c r="I1181" s="13" t="s">
        <v>82</v>
      </c>
      <c r="J1181" s="13" t="s">
        <v>83</v>
      </c>
      <c r="K1181" s="13"/>
      <c r="L1181" s="13" t="s">
        <v>4732</v>
      </c>
      <c r="M1181" s="13" t="s">
        <v>4733</v>
      </c>
    </row>
    <row r="1182" customFormat="false" ht="35.05" hidden="false" customHeight="false" outlineLevel="0" collapsed="false">
      <c r="A1182" s="13" t="s">
        <v>3</v>
      </c>
      <c r="B1182" s="13" t="s">
        <v>4108</v>
      </c>
      <c r="C1182" s="13" t="n">
        <v>247</v>
      </c>
      <c r="D1182" s="13" t="s">
        <v>4727</v>
      </c>
      <c r="E1182" s="13" t="s">
        <v>4734</v>
      </c>
      <c r="F1182" s="13" t="s">
        <v>4735</v>
      </c>
      <c r="G1182" s="13" t="s">
        <v>4730</v>
      </c>
      <c r="H1182" s="13" t="s">
        <v>4731</v>
      </c>
      <c r="I1182" s="13" t="s">
        <v>82</v>
      </c>
      <c r="J1182" s="13" t="s">
        <v>83</v>
      </c>
      <c r="K1182" s="13"/>
      <c r="L1182" s="13" t="s">
        <v>4732</v>
      </c>
      <c r="M1182" s="13" t="s">
        <v>4733</v>
      </c>
    </row>
    <row r="1183" customFormat="false" ht="23.85" hidden="false" customHeight="false" outlineLevel="0" collapsed="false">
      <c r="A1183" s="13" t="s">
        <v>3</v>
      </c>
      <c r="B1183" s="13" t="s">
        <v>4108</v>
      </c>
      <c r="C1183" s="13" t="n">
        <v>247</v>
      </c>
      <c r="D1183" s="13" t="s">
        <v>4736</v>
      </c>
      <c r="E1183" s="13" t="s">
        <v>4737</v>
      </c>
      <c r="F1183" s="13" t="s">
        <v>4738</v>
      </c>
      <c r="G1183" s="13" t="s">
        <v>4739</v>
      </c>
      <c r="H1183" s="13" t="s">
        <v>4740</v>
      </c>
      <c r="I1183" s="13" t="s">
        <v>82</v>
      </c>
      <c r="J1183" s="13" t="s">
        <v>83</v>
      </c>
      <c r="K1183" s="13"/>
      <c r="L1183" s="13" t="s">
        <v>4741</v>
      </c>
      <c r="M1183" s="13" t="s">
        <v>4742</v>
      </c>
    </row>
    <row r="1184" customFormat="false" ht="35.05" hidden="false" customHeight="false" outlineLevel="0" collapsed="false">
      <c r="A1184" s="13" t="s">
        <v>3</v>
      </c>
      <c r="B1184" s="13" t="s">
        <v>4108</v>
      </c>
      <c r="C1184" s="13" t="n">
        <v>247</v>
      </c>
      <c r="D1184" s="13" t="s">
        <v>4743</v>
      </c>
      <c r="E1184" s="13" t="s">
        <v>4744</v>
      </c>
      <c r="F1184" s="13" t="s">
        <v>4720</v>
      </c>
      <c r="G1184" s="13" t="s">
        <v>4745</v>
      </c>
      <c r="H1184" s="13" t="s">
        <v>4746</v>
      </c>
      <c r="I1184" s="13" t="s">
        <v>82</v>
      </c>
      <c r="J1184" s="13" t="s">
        <v>83</v>
      </c>
      <c r="K1184" s="13"/>
      <c r="L1184" s="13" t="s">
        <v>4747</v>
      </c>
      <c r="M1184" s="13" t="s">
        <v>4748</v>
      </c>
    </row>
    <row r="1185" customFormat="false" ht="35.05" hidden="false" customHeight="false" outlineLevel="0" collapsed="false">
      <c r="A1185" s="13" t="s">
        <v>3</v>
      </c>
      <c r="B1185" s="13" t="s">
        <v>4108</v>
      </c>
      <c r="C1185" s="13" t="n">
        <v>247</v>
      </c>
      <c r="D1185" s="13" t="s">
        <v>4743</v>
      </c>
      <c r="E1185" s="13" t="s">
        <v>4749</v>
      </c>
      <c r="F1185" s="13" t="s">
        <v>4720</v>
      </c>
      <c r="G1185" s="13" t="s">
        <v>4750</v>
      </c>
      <c r="H1185" s="13" t="s">
        <v>4751</v>
      </c>
      <c r="I1185" s="13" t="s">
        <v>82</v>
      </c>
      <c r="J1185" s="13" t="s">
        <v>83</v>
      </c>
      <c r="K1185" s="13"/>
      <c r="L1185" s="13" t="s">
        <v>4747</v>
      </c>
      <c r="M1185" s="13" t="s">
        <v>4748</v>
      </c>
    </row>
    <row r="1186" customFormat="false" ht="57.45" hidden="false" customHeight="false" outlineLevel="0" collapsed="false">
      <c r="A1186" s="13" t="s">
        <v>3</v>
      </c>
      <c r="B1186" s="13" t="s">
        <v>4108</v>
      </c>
      <c r="C1186" s="13" t="n">
        <v>247</v>
      </c>
      <c r="D1186" s="13" t="s">
        <v>4752</v>
      </c>
      <c r="E1186" s="13" t="s">
        <v>4753</v>
      </c>
      <c r="F1186" s="13" t="s">
        <v>4754</v>
      </c>
      <c r="G1186" s="13" t="s">
        <v>4755</v>
      </c>
      <c r="H1186" s="13" t="s">
        <v>4756</v>
      </c>
      <c r="I1186" s="13" t="s">
        <v>82</v>
      </c>
      <c r="J1186" s="13" t="s">
        <v>83</v>
      </c>
      <c r="K1186" s="13"/>
      <c r="L1186" s="13" t="s">
        <v>4757</v>
      </c>
      <c r="M1186" s="13" t="s">
        <v>4758</v>
      </c>
    </row>
    <row r="1187" customFormat="false" ht="57.45" hidden="false" customHeight="false" outlineLevel="0" collapsed="false">
      <c r="A1187" s="13" t="s">
        <v>3</v>
      </c>
      <c r="B1187" s="13" t="s">
        <v>4108</v>
      </c>
      <c r="C1187" s="13" t="n">
        <v>247</v>
      </c>
      <c r="D1187" s="13" t="s">
        <v>4752</v>
      </c>
      <c r="E1187" s="13" t="s">
        <v>4759</v>
      </c>
      <c r="F1187" s="13" t="s">
        <v>4760</v>
      </c>
      <c r="G1187" s="13" t="s">
        <v>4761</v>
      </c>
      <c r="H1187" s="13" t="s">
        <v>4756</v>
      </c>
      <c r="I1187" s="13" t="s">
        <v>82</v>
      </c>
      <c r="J1187" s="13" t="s">
        <v>83</v>
      </c>
      <c r="K1187" s="13"/>
      <c r="L1187" s="13" t="s">
        <v>4757</v>
      </c>
      <c r="M1187" s="13" t="s">
        <v>4758</v>
      </c>
    </row>
    <row r="1188" customFormat="false" ht="23.85" hidden="false" customHeight="false" outlineLevel="0" collapsed="false">
      <c r="A1188" s="13" t="s">
        <v>3</v>
      </c>
      <c r="B1188" s="13" t="s">
        <v>4108</v>
      </c>
      <c r="C1188" s="13" t="n">
        <v>247</v>
      </c>
      <c r="D1188" s="13" t="s">
        <v>4762</v>
      </c>
      <c r="E1188" s="13" t="s">
        <v>4763</v>
      </c>
      <c r="F1188" s="13" t="s">
        <v>806</v>
      </c>
      <c r="G1188" s="13" t="s">
        <v>4764</v>
      </c>
      <c r="H1188" s="13" t="s">
        <v>4697</v>
      </c>
      <c r="I1188" s="13" t="s">
        <v>82</v>
      </c>
      <c r="J1188" s="13" t="s">
        <v>83</v>
      </c>
      <c r="K1188" s="13"/>
      <c r="L1188" s="13" t="s">
        <v>4765</v>
      </c>
      <c r="M1188" s="13" t="s">
        <v>4766</v>
      </c>
    </row>
    <row r="1189" customFormat="false" ht="23.85" hidden="false" customHeight="false" outlineLevel="0" collapsed="false">
      <c r="A1189" s="13" t="s">
        <v>3</v>
      </c>
      <c r="B1189" s="13" t="s">
        <v>4108</v>
      </c>
      <c r="C1189" s="13" t="n">
        <v>247</v>
      </c>
      <c r="D1189" s="13" t="s">
        <v>4762</v>
      </c>
      <c r="E1189" s="13" t="s">
        <v>4767</v>
      </c>
      <c r="F1189" s="13" t="s">
        <v>806</v>
      </c>
      <c r="G1189" s="13" t="s">
        <v>4768</v>
      </c>
      <c r="H1189" s="13" t="s">
        <v>4769</v>
      </c>
      <c r="I1189" s="13" t="s">
        <v>82</v>
      </c>
      <c r="J1189" s="13" t="s">
        <v>83</v>
      </c>
      <c r="K1189" s="13"/>
      <c r="L1189" s="13" t="s">
        <v>4765</v>
      </c>
      <c r="M1189" s="13" t="s">
        <v>4766</v>
      </c>
    </row>
    <row r="1190" customFormat="false" ht="57.45" hidden="false" customHeight="false" outlineLevel="0" collapsed="false">
      <c r="A1190" s="13" t="s">
        <v>3</v>
      </c>
      <c r="B1190" s="13" t="s">
        <v>4108</v>
      </c>
      <c r="C1190" s="13" t="n">
        <v>296</v>
      </c>
      <c r="D1190" s="13" t="s">
        <v>4770</v>
      </c>
      <c r="E1190" s="13" t="s">
        <v>4771</v>
      </c>
      <c r="F1190" s="13" t="s">
        <v>806</v>
      </c>
      <c r="G1190" s="13" t="s">
        <v>1466</v>
      </c>
      <c r="H1190" s="13" t="s">
        <v>4772</v>
      </c>
      <c r="I1190" s="13" t="s">
        <v>82</v>
      </c>
      <c r="J1190" s="13" t="s">
        <v>83</v>
      </c>
      <c r="K1190" s="13"/>
      <c r="L1190" s="13" t="s">
        <v>4773</v>
      </c>
      <c r="M1190" s="13" t="s">
        <v>4774</v>
      </c>
    </row>
    <row r="1191" customFormat="false" ht="57.45" hidden="false" customHeight="false" outlineLevel="0" collapsed="false">
      <c r="A1191" s="13" t="s">
        <v>3</v>
      </c>
      <c r="B1191" s="13" t="s">
        <v>4108</v>
      </c>
      <c r="C1191" s="13" t="n">
        <v>296</v>
      </c>
      <c r="D1191" s="13" t="s">
        <v>4770</v>
      </c>
      <c r="E1191" s="13" t="s">
        <v>4775</v>
      </c>
      <c r="F1191" s="13" t="s">
        <v>4776</v>
      </c>
      <c r="G1191" s="13" t="s">
        <v>4777</v>
      </c>
      <c r="H1191" s="13" t="s">
        <v>4778</v>
      </c>
      <c r="I1191" s="13" t="s">
        <v>82</v>
      </c>
      <c r="J1191" s="13" t="s">
        <v>83</v>
      </c>
      <c r="K1191" s="13"/>
      <c r="L1191" s="13" t="s">
        <v>4773</v>
      </c>
      <c r="M1191" s="13" t="s">
        <v>4774</v>
      </c>
    </row>
    <row r="1192" customFormat="false" ht="57.45" hidden="false" customHeight="false" outlineLevel="0" collapsed="false">
      <c r="A1192" s="13" t="s">
        <v>3</v>
      </c>
      <c r="B1192" s="13" t="s">
        <v>4108</v>
      </c>
      <c r="C1192" s="13" t="n">
        <v>296</v>
      </c>
      <c r="D1192" s="13" t="s">
        <v>4770</v>
      </c>
      <c r="E1192" s="13" t="s">
        <v>4779</v>
      </c>
      <c r="F1192" s="13" t="s">
        <v>4778</v>
      </c>
      <c r="G1192" s="13" t="s">
        <v>4780</v>
      </c>
      <c r="H1192" s="13" t="s">
        <v>4781</v>
      </c>
      <c r="I1192" s="13" t="s">
        <v>82</v>
      </c>
      <c r="J1192" s="13" t="s">
        <v>83</v>
      </c>
      <c r="K1192" s="13"/>
      <c r="L1192" s="13" t="s">
        <v>4773</v>
      </c>
      <c r="M1192" s="13" t="s">
        <v>4774</v>
      </c>
    </row>
    <row r="1193" customFormat="false" ht="57.45" hidden="false" customHeight="false" outlineLevel="0" collapsed="false">
      <c r="A1193" s="13" t="s">
        <v>3</v>
      </c>
      <c r="B1193" s="13" t="s">
        <v>4108</v>
      </c>
      <c r="C1193" s="13" t="n">
        <v>296</v>
      </c>
      <c r="D1193" s="13" t="s">
        <v>4770</v>
      </c>
      <c r="E1193" s="13" t="s">
        <v>4782</v>
      </c>
      <c r="F1193" s="13" t="s">
        <v>4778</v>
      </c>
      <c r="G1193" s="13" t="s">
        <v>4780</v>
      </c>
      <c r="H1193" s="13" t="s">
        <v>4783</v>
      </c>
      <c r="I1193" s="13" t="s">
        <v>82</v>
      </c>
      <c r="J1193" s="13" t="s">
        <v>83</v>
      </c>
      <c r="K1193" s="13"/>
      <c r="L1193" s="13" t="s">
        <v>4773</v>
      </c>
      <c r="M1193" s="13" t="s">
        <v>4774</v>
      </c>
    </row>
    <row r="1194" customFormat="false" ht="57.45" hidden="false" customHeight="false" outlineLevel="0" collapsed="false">
      <c r="A1194" s="13" t="s">
        <v>3</v>
      </c>
      <c r="B1194" s="13" t="s">
        <v>4108</v>
      </c>
      <c r="C1194" s="13" t="n">
        <v>296</v>
      </c>
      <c r="D1194" s="13" t="s">
        <v>4770</v>
      </c>
      <c r="E1194" s="13" t="s">
        <v>4784</v>
      </c>
      <c r="F1194" s="13" t="s">
        <v>4778</v>
      </c>
      <c r="G1194" s="13" t="s">
        <v>4780</v>
      </c>
      <c r="H1194" s="13" t="s">
        <v>4785</v>
      </c>
      <c r="I1194" s="13" t="s">
        <v>82</v>
      </c>
      <c r="J1194" s="13" t="s">
        <v>83</v>
      </c>
      <c r="K1194" s="13"/>
      <c r="L1194" s="13" t="s">
        <v>4773</v>
      </c>
      <c r="M1194" s="13" t="s">
        <v>4774</v>
      </c>
    </row>
    <row r="1195" customFormat="false" ht="46.25" hidden="false" customHeight="false" outlineLevel="0" collapsed="false">
      <c r="A1195" s="13" t="s">
        <v>3</v>
      </c>
      <c r="B1195" s="13" t="s">
        <v>4108</v>
      </c>
      <c r="C1195" s="13" t="n">
        <v>296</v>
      </c>
      <c r="D1195" s="13" t="s">
        <v>4786</v>
      </c>
      <c r="E1195" s="13" t="s">
        <v>4787</v>
      </c>
      <c r="F1195" s="13" t="s">
        <v>806</v>
      </c>
      <c r="G1195" s="13" t="s">
        <v>1466</v>
      </c>
      <c r="H1195" s="13" t="s">
        <v>4788</v>
      </c>
      <c r="I1195" s="13" t="s">
        <v>82</v>
      </c>
      <c r="J1195" s="13" t="s">
        <v>83</v>
      </c>
      <c r="K1195" s="13"/>
      <c r="L1195" s="13" t="s">
        <v>4789</v>
      </c>
      <c r="M1195" s="13" t="s">
        <v>4790</v>
      </c>
    </row>
    <row r="1196" customFormat="false" ht="46.25" hidden="false" customHeight="false" outlineLevel="0" collapsed="false">
      <c r="A1196" s="13" t="s">
        <v>3</v>
      </c>
      <c r="B1196" s="13" t="s">
        <v>4108</v>
      </c>
      <c r="C1196" s="13" t="n">
        <v>296</v>
      </c>
      <c r="D1196" s="13" t="s">
        <v>4786</v>
      </c>
      <c r="E1196" s="13" t="s">
        <v>4791</v>
      </c>
      <c r="F1196" s="13" t="s">
        <v>4792</v>
      </c>
      <c r="G1196" s="13" t="s">
        <v>4777</v>
      </c>
      <c r="H1196" s="13" t="s">
        <v>4793</v>
      </c>
      <c r="I1196" s="13" t="s">
        <v>82</v>
      </c>
      <c r="J1196" s="13" t="s">
        <v>83</v>
      </c>
      <c r="K1196" s="13"/>
      <c r="L1196" s="13" t="s">
        <v>4789</v>
      </c>
      <c r="M1196" s="13" t="s">
        <v>4790</v>
      </c>
    </row>
    <row r="1197" customFormat="false" ht="46.25" hidden="false" customHeight="false" outlineLevel="0" collapsed="false">
      <c r="A1197" s="13" t="s">
        <v>3</v>
      </c>
      <c r="B1197" s="13" t="s">
        <v>4108</v>
      </c>
      <c r="C1197" s="13" t="n">
        <v>296</v>
      </c>
      <c r="D1197" s="13" t="s">
        <v>4786</v>
      </c>
      <c r="E1197" s="13" t="s">
        <v>4794</v>
      </c>
      <c r="F1197" s="13" t="s">
        <v>806</v>
      </c>
      <c r="G1197" s="13" t="s">
        <v>1440</v>
      </c>
      <c r="H1197" s="13" t="s">
        <v>4795</v>
      </c>
      <c r="I1197" s="13" t="s">
        <v>82</v>
      </c>
      <c r="J1197" s="13" t="s">
        <v>83</v>
      </c>
      <c r="K1197" s="13"/>
      <c r="L1197" s="13" t="s">
        <v>4789</v>
      </c>
      <c r="M1197" s="13" t="s">
        <v>4790</v>
      </c>
    </row>
    <row r="1198" customFormat="false" ht="46.25" hidden="false" customHeight="false" outlineLevel="0" collapsed="false">
      <c r="A1198" s="13" t="s">
        <v>3</v>
      </c>
      <c r="B1198" s="13" t="s">
        <v>4108</v>
      </c>
      <c r="C1198" s="13" t="n">
        <v>296</v>
      </c>
      <c r="D1198" s="13" t="s">
        <v>4796</v>
      </c>
      <c r="E1198" s="13" t="s">
        <v>4797</v>
      </c>
      <c r="F1198" s="13" t="s">
        <v>806</v>
      </c>
      <c r="G1198" s="13" t="s">
        <v>1466</v>
      </c>
      <c r="H1198" s="13" t="s">
        <v>4798</v>
      </c>
      <c r="I1198" s="13" t="s">
        <v>82</v>
      </c>
      <c r="J1198" s="13" t="s">
        <v>83</v>
      </c>
      <c r="K1198" s="13"/>
      <c r="L1198" s="13" t="s">
        <v>4799</v>
      </c>
      <c r="M1198" s="13" t="s">
        <v>4800</v>
      </c>
    </row>
    <row r="1199" customFormat="false" ht="46.25" hidden="false" customHeight="false" outlineLevel="0" collapsed="false">
      <c r="A1199" s="13" t="s">
        <v>3</v>
      </c>
      <c r="B1199" s="13" t="s">
        <v>4108</v>
      </c>
      <c r="C1199" s="13" t="n">
        <v>296</v>
      </c>
      <c r="D1199" s="13" t="s">
        <v>4796</v>
      </c>
      <c r="E1199" s="13" t="s">
        <v>4801</v>
      </c>
      <c r="F1199" s="13" t="s">
        <v>4802</v>
      </c>
      <c r="G1199" s="13" t="s">
        <v>4777</v>
      </c>
      <c r="H1199" s="13" t="s">
        <v>4803</v>
      </c>
      <c r="I1199" s="13" t="s">
        <v>82</v>
      </c>
      <c r="J1199" s="13" t="s">
        <v>83</v>
      </c>
      <c r="K1199" s="13"/>
      <c r="L1199" s="13" t="s">
        <v>4799</v>
      </c>
      <c r="M1199" s="13" t="s">
        <v>4800</v>
      </c>
    </row>
    <row r="1200" customFormat="false" ht="46.25" hidden="false" customHeight="false" outlineLevel="0" collapsed="false">
      <c r="A1200" s="13" t="s">
        <v>3</v>
      </c>
      <c r="B1200" s="13" t="s">
        <v>4108</v>
      </c>
      <c r="C1200" s="13" t="n">
        <v>296</v>
      </c>
      <c r="D1200" s="13" t="s">
        <v>4796</v>
      </c>
      <c r="E1200" s="13" t="s">
        <v>4804</v>
      </c>
      <c r="F1200" s="13" t="s">
        <v>806</v>
      </c>
      <c r="G1200" s="13" t="s">
        <v>4805</v>
      </c>
      <c r="H1200" s="13" t="s">
        <v>4806</v>
      </c>
      <c r="I1200" s="13" t="s">
        <v>82</v>
      </c>
      <c r="J1200" s="13" t="s">
        <v>83</v>
      </c>
      <c r="K1200" s="13"/>
      <c r="L1200" s="13" t="s">
        <v>4799</v>
      </c>
      <c r="M1200" s="13" t="s">
        <v>4800</v>
      </c>
    </row>
    <row r="1201" customFormat="false" ht="46.25" hidden="false" customHeight="false" outlineLevel="0" collapsed="false">
      <c r="A1201" s="13" t="s">
        <v>3</v>
      </c>
      <c r="B1201" s="13" t="s">
        <v>4108</v>
      </c>
      <c r="C1201" s="13" t="n">
        <v>296</v>
      </c>
      <c r="D1201" s="13" t="s">
        <v>4796</v>
      </c>
      <c r="E1201" s="13" t="s">
        <v>4807</v>
      </c>
      <c r="F1201" s="13" t="s">
        <v>806</v>
      </c>
      <c r="G1201" s="13" t="s">
        <v>4808</v>
      </c>
      <c r="H1201" s="13" t="s">
        <v>4809</v>
      </c>
      <c r="I1201" s="13" t="s">
        <v>82</v>
      </c>
      <c r="J1201" s="13" t="s">
        <v>83</v>
      </c>
      <c r="K1201" s="13"/>
      <c r="L1201" s="13" t="s">
        <v>4799</v>
      </c>
      <c r="M1201" s="13" t="s">
        <v>4800</v>
      </c>
    </row>
    <row r="1202" customFormat="false" ht="35.05" hidden="false" customHeight="false" outlineLevel="0" collapsed="false">
      <c r="A1202" s="13" t="s">
        <v>3</v>
      </c>
      <c r="B1202" s="13" t="s">
        <v>4108</v>
      </c>
      <c r="C1202" s="13" t="n">
        <v>296</v>
      </c>
      <c r="D1202" s="13" t="s">
        <v>4810</v>
      </c>
      <c r="E1202" s="13" t="s">
        <v>4811</v>
      </c>
      <c r="F1202" s="13" t="s">
        <v>806</v>
      </c>
      <c r="G1202" s="13" t="s">
        <v>1466</v>
      </c>
      <c r="H1202" s="13" t="s">
        <v>4812</v>
      </c>
      <c r="I1202" s="13" t="s">
        <v>82</v>
      </c>
      <c r="J1202" s="13" t="s">
        <v>83</v>
      </c>
      <c r="K1202" s="13"/>
      <c r="L1202" s="13" t="s">
        <v>4813</v>
      </c>
      <c r="M1202" s="13" t="s">
        <v>4814</v>
      </c>
    </row>
    <row r="1203" customFormat="false" ht="35.05" hidden="false" customHeight="false" outlineLevel="0" collapsed="false">
      <c r="A1203" s="13" t="s">
        <v>3</v>
      </c>
      <c r="B1203" s="13" t="s">
        <v>4108</v>
      </c>
      <c r="C1203" s="13" t="n">
        <v>296</v>
      </c>
      <c r="D1203" s="13" t="s">
        <v>4810</v>
      </c>
      <c r="E1203" s="13" t="s">
        <v>4815</v>
      </c>
      <c r="F1203" s="13" t="s">
        <v>4816</v>
      </c>
      <c r="G1203" s="13" t="s">
        <v>4777</v>
      </c>
      <c r="H1203" s="13" t="s">
        <v>4817</v>
      </c>
      <c r="I1203" s="13" t="s">
        <v>82</v>
      </c>
      <c r="J1203" s="13" t="s">
        <v>83</v>
      </c>
      <c r="K1203" s="13"/>
      <c r="L1203" s="13" t="s">
        <v>4813</v>
      </c>
      <c r="M1203" s="13" t="s">
        <v>4814</v>
      </c>
    </row>
    <row r="1204" customFormat="false" ht="35.05" hidden="false" customHeight="false" outlineLevel="0" collapsed="false">
      <c r="A1204" s="13" t="s">
        <v>3</v>
      </c>
      <c r="B1204" s="13" t="s">
        <v>4108</v>
      </c>
      <c r="C1204" s="13" t="n">
        <v>296</v>
      </c>
      <c r="D1204" s="13" t="s">
        <v>4810</v>
      </c>
      <c r="E1204" s="13" t="s">
        <v>4818</v>
      </c>
      <c r="F1204" s="13" t="s">
        <v>806</v>
      </c>
      <c r="G1204" s="13" t="s">
        <v>4819</v>
      </c>
      <c r="H1204" s="13" t="s">
        <v>4820</v>
      </c>
      <c r="I1204" s="13" t="s">
        <v>82</v>
      </c>
      <c r="J1204" s="13" t="s">
        <v>83</v>
      </c>
      <c r="K1204" s="13"/>
      <c r="L1204" s="13" t="s">
        <v>4813</v>
      </c>
      <c r="M1204" s="13" t="s">
        <v>4814</v>
      </c>
    </row>
    <row r="1205" customFormat="false" ht="35.05" hidden="false" customHeight="false" outlineLevel="0" collapsed="false">
      <c r="A1205" s="13" t="s">
        <v>3</v>
      </c>
      <c r="B1205" s="13" t="s">
        <v>4108</v>
      </c>
      <c r="C1205" s="13" t="n">
        <v>296</v>
      </c>
      <c r="D1205" s="13" t="s">
        <v>4810</v>
      </c>
      <c r="E1205" s="13" t="s">
        <v>4821</v>
      </c>
      <c r="F1205" s="13" t="s">
        <v>806</v>
      </c>
      <c r="G1205" s="13" t="s">
        <v>4819</v>
      </c>
      <c r="H1205" s="13" t="s">
        <v>4822</v>
      </c>
      <c r="I1205" s="13" t="s">
        <v>82</v>
      </c>
      <c r="J1205" s="13" t="s">
        <v>83</v>
      </c>
      <c r="K1205" s="13"/>
      <c r="L1205" s="13" t="s">
        <v>4813</v>
      </c>
      <c r="M1205" s="13" t="s">
        <v>4814</v>
      </c>
    </row>
    <row r="1206" customFormat="false" ht="46.25" hidden="false" customHeight="false" outlineLevel="0" collapsed="false">
      <c r="A1206" s="13" t="s">
        <v>3</v>
      </c>
      <c r="B1206" s="13" t="s">
        <v>4108</v>
      </c>
      <c r="C1206" s="13" t="n">
        <v>296</v>
      </c>
      <c r="D1206" s="13" t="s">
        <v>4823</v>
      </c>
      <c r="E1206" s="13" t="s">
        <v>4824</v>
      </c>
      <c r="F1206" s="13" t="s">
        <v>4825</v>
      </c>
      <c r="G1206" s="13" t="s">
        <v>4826</v>
      </c>
      <c r="H1206" s="13" t="s">
        <v>4827</v>
      </c>
      <c r="I1206" s="13" t="s">
        <v>82</v>
      </c>
      <c r="J1206" s="13" t="s">
        <v>83</v>
      </c>
      <c r="K1206" s="13"/>
      <c r="L1206" s="13" t="s">
        <v>4828</v>
      </c>
      <c r="M1206" s="13" t="s">
        <v>4829</v>
      </c>
    </row>
    <row r="1207" customFormat="false" ht="46.25" hidden="false" customHeight="false" outlineLevel="0" collapsed="false">
      <c r="A1207" s="13" t="s">
        <v>3</v>
      </c>
      <c r="B1207" s="13" t="s">
        <v>4108</v>
      </c>
      <c r="C1207" s="13" t="n">
        <v>296</v>
      </c>
      <c r="D1207" s="13" t="s">
        <v>4823</v>
      </c>
      <c r="E1207" s="13" t="s">
        <v>4830</v>
      </c>
      <c r="F1207" s="13" t="s">
        <v>4827</v>
      </c>
      <c r="G1207" s="13" t="s">
        <v>4831</v>
      </c>
      <c r="H1207" s="13" t="s">
        <v>4832</v>
      </c>
      <c r="I1207" s="13" t="s">
        <v>82</v>
      </c>
      <c r="J1207" s="13" t="s">
        <v>83</v>
      </c>
      <c r="K1207" s="13"/>
      <c r="L1207" s="13" t="s">
        <v>4828</v>
      </c>
      <c r="M1207" s="13" t="s">
        <v>4829</v>
      </c>
    </row>
    <row r="1208" customFormat="false" ht="57.45" hidden="false" customHeight="false" outlineLevel="0" collapsed="false">
      <c r="A1208" s="13" t="s">
        <v>3</v>
      </c>
      <c r="B1208" s="13" t="s">
        <v>4108</v>
      </c>
      <c r="C1208" s="13" t="n">
        <v>296</v>
      </c>
      <c r="D1208" s="13" t="s">
        <v>4833</v>
      </c>
      <c r="E1208" s="13" t="s">
        <v>4834</v>
      </c>
      <c r="F1208" s="13" t="s">
        <v>988</v>
      </c>
      <c r="G1208" s="13" t="s">
        <v>1466</v>
      </c>
      <c r="H1208" s="13" t="s">
        <v>4835</v>
      </c>
      <c r="I1208" s="13" t="s">
        <v>82</v>
      </c>
      <c r="J1208" s="13" t="s">
        <v>83</v>
      </c>
      <c r="K1208" s="13"/>
      <c r="L1208" s="13" t="s">
        <v>4836</v>
      </c>
      <c r="M1208" s="13" t="s">
        <v>4837</v>
      </c>
    </row>
    <row r="1209" customFormat="false" ht="57.45" hidden="false" customHeight="false" outlineLevel="0" collapsed="false">
      <c r="A1209" s="13" t="s">
        <v>3</v>
      </c>
      <c r="B1209" s="13" t="s">
        <v>4108</v>
      </c>
      <c r="C1209" s="13" t="n">
        <v>296</v>
      </c>
      <c r="D1209" s="13" t="s">
        <v>4833</v>
      </c>
      <c r="E1209" s="13" t="s">
        <v>4838</v>
      </c>
      <c r="F1209" s="13" t="s">
        <v>4839</v>
      </c>
      <c r="G1209" s="13" t="s">
        <v>4840</v>
      </c>
      <c r="H1209" s="13" t="s">
        <v>4841</v>
      </c>
      <c r="I1209" s="13" t="s">
        <v>82</v>
      </c>
      <c r="J1209" s="13" t="s">
        <v>83</v>
      </c>
      <c r="K1209" s="13"/>
      <c r="L1209" s="13" t="s">
        <v>4836</v>
      </c>
      <c r="M1209" s="13" t="s">
        <v>4837</v>
      </c>
    </row>
    <row r="1210" customFormat="false" ht="23.85" hidden="false" customHeight="false" outlineLevel="0" collapsed="false">
      <c r="A1210" s="13" t="s">
        <v>3</v>
      </c>
      <c r="B1210" s="13" t="s">
        <v>4108</v>
      </c>
      <c r="C1210" s="13" t="n">
        <v>296</v>
      </c>
      <c r="D1210" s="13" t="s">
        <v>4842</v>
      </c>
      <c r="E1210" s="13" t="s">
        <v>4843</v>
      </c>
      <c r="F1210" s="13" t="s">
        <v>4844</v>
      </c>
      <c r="G1210" s="13" t="s">
        <v>4845</v>
      </c>
      <c r="H1210" s="13" t="s">
        <v>4846</v>
      </c>
      <c r="I1210" s="13" t="s">
        <v>82</v>
      </c>
      <c r="J1210" s="13" t="s">
        <v>83</v>
      </c>
      <c r="K1210" s="13"/>
      <c r="L1210" s="13" t="s">
        <v>4847</v>
      </c>
      <c r="M1210" s="13" t="s">
        <v>4848</v>
      </c>
    </row>
    <row r="1211" customFormat="false" ht="23.85" hidden="false" customHeight="false" outlineLevel="0" collapsed="false">
      <c r="A1211" s="13" t="s">
        <v>3</v>
      </c>
      <c r="B1211" s="13" t="s">
        <v>4108</v>
      </c>
      <c r="C1211" s="13" t="n">
        <v>296</v>
      </c>
      <c r="D1211" s="13" t="s">
        <v>4842</v>
      </c>
      <c r="E1211" s="13" t="s">
        <v>4849</v>
      </c>
      <c r="F1211" s="13" t="s">
        <v>4844</v>
      </c>
      <c r="G1211" s="13" t="s">
        <v>4850</v>
      </c>
      <c r="H1211" s="13" t="s">
        <v>4851</v>
      </c>
      <c r="I1211" s="13" t="s">
        <v>82</v>
      </c>
      <c r="J1211" s="13" t="s">
        <v>83</v>
      </c>
      <c r="K1211" s="13"/>
      <c r="L1211" s="13" t="s">
        <v>4847</v>
      </c>
      <c r="M1211" s="13" t="s">
        <v>4848</v>
      </c>
    </row>
    <row r="1212" customFormat="false" ht="23.85" hidden="false" customHeight="false" outlineLevel="0" collapsed="false">
      <c r="A1212" s="13" t="s">
        <v>3</v>
      </c>
      <c r="B1212" s="13" t="s">
        <v>4108</v>
      </c>
      <c r="C1212" s="13" t="n">
        <v>296</v>
      </c>
      <c r="D1212" s="13" t="s">
        <v>4852</v>
      </c>
      <c r="E1212" s="13" t="s">
        <v>4853</v>
      </c>
      <c r="F1212" s="13" t="s">
        <v>4854</v>
      </c>
      <c r="G1212" s="13" t="s">
        <v>4855</v>
      </c>
      <c r="H1212" s="13" t="s">
        <v>4827</v>
      </c>
      <c r="I1212" s="13" t="s">
        <v>82</v>
      </c>
      <c r="J1212" s="13" t="s">
        <v>83</v>
      </c>
      <c r="K1212" s="13"/>
      <c r="L1212" s="13" t="s">
        <v>4856</v>
      </c>
      <c r="M1212" s="13" t="s">
        <v>4857</v>
      </c>
    </row>
    <row r="1213" customFormat="false" ht="23.85" hidden="false" customHeight="false" outlineLevel="0" collapsed="false">
      <c r="A1213" s="13" t="s">
        <v>3</v>
      </c>
      <c r="B1213" s="13" t="s">
        <v>4108</v>
      </c>
      <c r="C1213" s="13" t="n">
        <v>296</v>
      </c>
      <c r="D1213" s="13" t="s">
        <v>4852</v>
      </c>
      <c r="E1213" s="13" t="s">
        <v>4858</v>
      </c>
      <c r="F1213" s="13" t="s">
        <v>4859</v>
      </c>
      <c r="G1213" s="13" t="s">
        <v>4855</v>
      </c>
      <c r="H1213" s="13" t="s">
        <v>4827</v>
      </c>
      <c r="I1213" s="13" t="s">
        <v>82</v>
      </c>
      <c r="J1213" s="13" t="s">
        <v>83</v>
      </c>
      <c r="K1213" s="13"/>
      <c r="L1213" s="13" t="s">
        <v>4856</v>
      </c>
      <c r="M1213" s="13" t="s">
        <v>4857</v>
      </c>
    </row>
    <row r="1214" customFormat="false" ht="23.85" hidden="false" customHeight="false" outlineLevel="0" collapsed="false">
      <c r="A1214" s="13" t="s">
        <v>3</v>
      </c>
      <c r="B1214" s="13" t="s">
        <v>4108</v>
      </c>
      <c r="C1214" s="13" t="n">
        <v>296</v>
      </c>
      <c r="D1214" s="13" t="s">
        <v>4860</v>
      </c>
      <c r="E1214" s="13" t="s">
        <v>4861</v>
      </c>
      <c r="F1214" s="13" t="s">
        <v>4862</v>
      </c>
      <c r="G1214" s="13" t="s">
        <v>4863</v>
      </c>
      <c r="H1214" s="13" t="s">
        <v>4864</v>
      </c>
      <c r="I1214" s="13" t="s">
        <v>82</v>
      </c>
      <c r="J1214" s="13" t="s">
        <v>83</v>
      </c>
      <c r="K1214" s="13"/>
      <c r="L1214" s="13" t="s">
        <v>4865</v>
      </c>
      <c r="M1214" s="13" t="s">
        <v>4866</v>
      </c>
    </row>
    <row r="1215" customFormat="false" ht="23.85" hidden="false" customHeight="false" outlineLevel="0" collapsed="false">
      <c r="A1215" s="13" t="s">
        <v>3</v>
      </c>
      <c r="B1215" s="13" t="s">
        <v>4108</v>
      </c>
      <c r="C1215" s="13" t="n">
        <v>296</v>
      </c>
      <c r="D1215" s="13" t="s">
        <v>4867</v>
      </c>
      <c r="E1215" s="13" t="s">
        <v>4868</v>
      </c>
      <c r="F1215" s="13" t="s">
        <v>4869</v>
      </c>
      <c r="G1215" s="13" t="s">
        <v>4831</v>
      </c>
      <c r="H1215" s="13" t="s">
        <v>4870</v>
      </c>
      <c r="I1215" s="13" t="s">
        <v>82</v>
      </c>
      <c r="J1215" s="13" t="s">
        <v>83</v>
      </c>
      <c r="K1215" s="13"/>
      <c r="L1215" s="13" t="s">
        <v>4871</v>
      </c>
      <c r="M1215" s="13" t="s">
        <v>4872</v>
      </c>
    </row>
    <row r="1216" customFormat="false" ht="23.85" hidden="false" customHeight="false" outlineLevel="0" collapsed="false">
      <c r="A1216" s="13" t="s">
        <v>3</v>
      </c>
      <c r="B1216" s="13" t="s">
        <v>4108</v>
      </c>
      <c r="C1216" s="13" t="n">
        <v>296</v>
      </c>
      <c r="D1216" s="13" t="s">
        <v>4873</v>
      </c>
      <c r="E1216" s="13" t="s">
        <v>4874</v>
      </c>
      <c r="F1216" s="13" t="s">
        <v>4875</v>
      </c>
      <c r="G1216" s="13" t="s">
        <v>4876</v>
      </c>
      <c r="H1216" s="13" t="s">
        <v>4877</v>
      </c>
      <c r="I1216" s="13" t="s">
        <v>82</v>
      </c>
      <c r="J1216" s="13" t="s">
        <v>83</v>
      </c>
      <c r="K1216" s="13"/>
      <c r="L1216" s="13" t="s">
        <v>4878</v>
      </c>
      <c r="M1216" s="13" t="s">
        <v>4879</v>
      </c>
    </row>
    <row r="1217" customFormat="false" ht="102.2" hidden="false" customHeight="false" outlineLevel="0" collapsed="false">
      <c r="A1217" s="13" t="s">
        <v>3</v>
      </c>
      <c r="B1217" s="13" t="s">
        <v>4108</v>
      </c>
      <c r="C1217" s="13" t="n">
        <v>296</v>
      </c>
      <c r="D1217" s="13" t="s">
        <v>4880</v>
      </c>
      <c r="E1217" s="13" t="s">
        <v>4881</v>
      </c>
      <c r="F1217" s="13" t="s">
        <v>4882</v>
      </c>
      <c r="G1217" s="13" t="s">
        <v>4883</v>
      </c>
      <c r="H1217" s="13" t="s">
        <v>4884</v>
      </c>
      <c r="I1217" s="13" t="s">
        <v>114</v>
      </c>
      <c r="J1217" s="13" t="s">
        <v>4885</v>
      </c>
      <c r="K1217" s="13" t="s">
        <v>4886</v>
      </c>
      <c r="L1217" s="13" t="s">
        <v>4887</v>
      </c>
      <c r="M1217" s="13" t="s">
        <v>4888</v>
      </c>
    </row>
    <row r="1218" customFormat="false" ht="102.2" hidden="false" customHeight="false" outlineLevel="0" collapsed="false">
      <c r="A1218" s="13" t="s">
        <v>3</v>
      </c>
      <c r="B1218" s="13" t="s">
        <v>4108</v>
      </c>
      <c r="C1218" s="13" t="n">
        <v>296</v>
      </c>
      <c r="D1218" s="13" t="s">
        <v>4880</v>
      </c>
      <c r="E1218" s="13" t="s">
        <v>4889</v>
      </c>
      <c r="F1218" s="13" t="s">
        <v>4890</v>
      </c>
      <c r="G1218" s="13" t="s">
        <v>4883</v>
      </c>
      <c r="H1218" s="13" t="s">
        <v>4884</v>
      </c>
      <c r="I1218" s="13" t="s">
        <v>114</v>
      </c>
      <c r="J1218" s="13" t="s">
        <v>4885</v>
      </c>
      <c r="K1218" s="13" t="s">
        <v>4886</v>
      </c>
      <c r="L1218" s="13" t="s">
        <v>4887</v>
      </c>
      <c r="M1218" s="13" t="s">
        <v>4888</v>
      </c>
    </row>
    <row r="1219" customFormat="false" ht="102.2" hidden="false" customHeight="false" outlineLevel="0" collapsed="false">
      <c r="A1219" s="13" t="s">
        <v>3</v>
      </c>
      <c r="B1219" s="13" t="s">
        <v>4108</v>
      </c>
      <c r="C1219" s="13" t="n">
        <v>296</v>
      </c>
      <c r="D1219" s="13" t="s">
        <v>4880</v>
      </c>
      <c r="E1219" s="13" t="s">
        <v>4891</v>
      </c>
      <c r="F1219" s="13" t="s">
        <v>4892</v>
      </c>
      <c r="G1219" s="13" t="s">
        <v>4883</v>
      </c>
      <c r="H1219" s="13" t="s">
        <v>4884</v>
      </c>
      <c r="I1219" s="13" t="s">
        <v>114</v>
      </c>
      <c r="J1219" s="13" t="s">
        <v>4885</v>
      </c>
      <c r="K1219" s="13" t="s">
        <v>4886</v>
      </c>
      <c r="L1219" s="13" t="s">
        <v>4887</v>
      </c>
      <c r="M1219" s="13" t="s">
        <v>4888</v>
      </c>
    </row>
    <row r="1220" customFormat="false" ht="102.2" hidden="false" customHeight="false" outlineLevel="0" collapsed="false">
      <c r="A1220" s="13" t="s">
        <v>3</v>
      </c>
      <c r="B1220" s="13" t="s">
        <v>4108</v>
      </c>
      <c r="C1220" s="13" t="n">
        <v>296</v>
      </c>
      <c r="D1220" s="13" t="s">
        <v>4880</v>
      </c>
      <c r="E1220" s="13" t="s">
        <v>4893</v>
      </c>
      <c r="F1220" s="13" t="s">
        <v>4894</v>
      </c>
      <c r="G1220" s="13" t="s">
        <v>4883</v>
      </c>
      <c r="H1220" s="13" t="s">
        <v>4884</v>
      </c>
      <c r="I1220" s="13" t="s">
        <v>114</v>
      </c>
      <c r="J1220" s="13" t="s">
        <v>4885</v>
      </c>
      <c r="K1220" s="13" t="s">
        <v>4886</v>
      </c>
      <c r="L1220" s="13" t="s">
        <v>4887</v>
      </c>
      <c r="M1220" s="13" t="s">
        <v>4888</v>
      </c>
    </row>
    <row r="1221" customFormat="false" ht="102.2" hidden="false" customHeight="false" outlineLevel="0" collapsed="false">
      <c r="A1221" s="13" t="s">
        <v>3</v>
      </c>
      <c r="B1221" s="13" t="s">
        <v>4108</v>
      </c>
      <c r="C1221" s="13" t="n">
        <v>296</v>
      </c>
      <c r="D1221" s="13" t="s">
        <v>4880</v>
      </c>
      <c r="E1221" s="13" t="s">
        <v>4895</v>
      </c>
      <c r="F1221" s="13" t="s">
        <v>4896</v>
      </c>
      <c r="G1221" s="13" t="s">
        <v>4883</v>
      </c>
      <c r="H1221" s="13" t="s">
        <v>4884</v>
      </c>
      <c r="I1221" s="13" t="s">
        <v>114</v>
      </c>
      <c r="J1221" s="13" t="s">
        <v>4885</v>
      </c>
      <c r="K1221" s="13" t="s">
        <v>4886</v>
      </c>
      <c r="L1221" s="13" t="s">
        <v>4887</v>
      </c>
      <c r="M1221" s="13" t="s">
        <v>4888</v>
      </c>
    </row>
    <row r="1222" customFormat="false" ht="102.2" hidden="false" customHeight="false" outlineLevel="0" collapsed="false">
      <c r="A1222" s="13" t="s">
        <v>3</v>
      </c>
      <c r="B1222" s="13" t="s">
        <v>4108</v>
      </c>
      <c r="C1222" s="13" t="n">
        <v>296</v>
      </c>
      <c r="D1222" s="13" t="s">
        <v>4880</v>
      </c>
      <c r="E1222" s="13" t="s">
        <v>4897</v>
      </c>
      <c r="F1222" s="13" t="s">
        <v>4898</v>
      </c>
      <c r="G1222" s="13" t="s">
        <v>4883</v>
      </c>
      <c r="H1222" s="13" t="s">
        <v>4884</v>
      </c>
      <c r="I1222" s="13" t="s">
        <v>114</v>
      </c>
      <c r="J1222" s="13" t="s">
        <v>4885</v>
      </c>
      <c r="K1222" s="13" t="s">
        <v>4886</v>
      </c>
      <c r="L1222" s="13" t="s">
        <v>4887</v>
      </c>
      <c r="M1222" s="13" t="s">
        <v>4888</v>
      </c>
    </row>
    <row r="1223" customFormat="false" ht="102.2" hidden="false" customHeight="false" outlineLevel="0" collapsed="false">
      <c r="A1223" s="13" t="s">
        <v>3</v>
      </c>
      <c r="B1223" s="13" t="s">
        <v>4108</v>
      </c>
      <c r="C1223" s="13" t="n">
        <v>296</v>
      </c>
      <c r="D1223" s="13" t="s">
        <v>4880</v>
      </c>
      <c r="E1223" s="13" t="s">
        <v>4899</v>
      </c>
      <c r="F1223" s="13" t="s">
        <v>4900</v>
      </c>
      <c r="G1223" s="13" t="s">
        <v>4901</v>
      </c>
      <c r="H1223" s="13" t="s">
        <v>4902</v>
      </c>
      <c r="I1223" s="13" t="s">
        <v>82</v>
      </c>
      <c r="J1223" s="13" t="s">
        <v>83</v>
      </c>
      <c r="K1223" s="13"/>
      <c r="L1223" s="13" t="s">
        <v>4887</v>
      </c>
      <c r="M1223" s="13" t="s">
        <v>4888</v>
      </c>
    </row>
    <row r="1224" customFormat="false" ht="102.2" hidden="false" customHeight="false" outlineLevel="0" collapsed="false">
      <c r="A1224" s="13" t="s">
        <v>3</v>
      </c>
      <c r="B1224" s="13" t="s">
        <v>4108</v>
      </c>
      <c r="C1224" s="13" t="n">
        <v>296</v>
      </c>
      <c r="D1224" s="13" t="s">
        <v>4880</v>
      </c>
      <c r="E1224" s="13" t="s">
        <v>4903</v>
      </c>
      <c r="F1224" s="13" t="s">
        <v>4884</v>
      </c>
      <c r="G1224" s="13" t="s">
        <v>4904</v>
      </c>
      <c r="H1224" s="13" t="s">
        <v>4905</v>
      </c>
      <c r="I1224" s="13" t="s">
        <v>114</v>
      </c>
      <c r="J1224" s="13" t="s">
        <v>4906</v>
      </c>
      <c r="K1224" s="13" t="s">
        <v>4907</v>
      </c>
      <c r="L1224" s="13" t="s">
        <v>4887</v>
      </c>
      <c r="M1224" s="13" t="s">
        <v>4888</v>
      </c>
    </row>
    <row r="1225" customFormat="false" ht="46.25" hidden="false" customHeight="false" outlineLevel="0" collapsed="false">
      <c r="A1225" s="13" t="s">
        <v>3</v>
      </c>
      <c r="B1225" s="13" t="s">
        <v>4108</v>
      </c>
      <c r="C1225" s="13" t="n">
        <v>296</v>
      </c>
      <c r="D1225" s="13" t="s">
        <v>4908</v>
      </c>
      <c r="E1225" s="13" t="s">
        <v>4909</v>
      </c>
      <c r="F1225" s="13" t="s">
        <v>4910</v>
      </c>
      <c r="G1225" s="13" t="s">
        <v>4911</v>
      </c>
      <c r="H1225" s="13" t="s">
        <v>4912</v>
      </c>
      <c r="I1225" s="13" t="s">
        <v>82</v>
      </c>
      <c r="J1225" s="13" t="s">
        <v>83</v>
      </c>
      <c r="K1225" s="13"/>
      <c r="L1225" s="13" t="s">
        <v>4913</v>
      </c>
      <c r="M1225" s="13" t="s">
        <v>4914</v>
      </c>
    </row>
    <row r="1226" customFormat="false" ht="46.25" hidden="false" customHeight="false" outlineLevel="0" collapsed="false">
      <c r="A1226" s="13" t="s">
        <v>3</v>
      </c>
      <c r="B1226" s="13" t="s">
        <v>4108</v>
      </c>
      <c r="C1226" s="13" t="n">
        <v>296</v>
      </c>
      <c r="D1226" s="13" t="s">
        <v>4908</v>
      </c>
      <c r="E1226" s="13" t="s">
        <v>4915</v>
      </c>
      <c r="F1226" s="13" t="s">
        <v>4912</v>
      </c>
      <c r="G1226" s="13" t="s">
        <v>4916</v>
      </c>
      <c r="H1226" s="13" t="s">
        <v>4917</v>
      </c>
      <c r="I1226" s="13" t="s">
        <v>82</v>
      </c>
      <c r="J1226" s="13" t="s">
        <v>83</v>
      </c>
      <c r="K1226" s="13"/>
      <c r="L1226" s="13" t="s">
        <v>4913</v>
      </c>
      <c r="M1226" s="13" t="s">
        <v>4914</v>
      </c>
    </row>
    <row r="1227" customFormat="false" ht="46.25" hidden="false" customHeight="false" outlineLevel="0" collapsed="false">
      <c r="A1227" s="13" t="s">
        <v>3</v>
      </c>
      <c r="B1227" s="13" t="s">
        <v>4108</v>
      </c>
      <c r="C1227" s="13" t="n">
        <v>296</v>
      </c>
      <c r="D1227" s="13" t="s">
        <v>4908</v>
      </c>
      <c r="E1227" s="13" t="s">
        <v>4918</v>
      </c>
      <c r="F1227" s="13" t="s">
        <v>4919</v>
      </c>
      <c r="G1227" s="13" t="s">
        <v>4920</v>
      </c>
      <c r="H1227" s="13" t="s">
        <v>4921</v>
      </c>
      <c r="I1227" s="13" t="s">
        <v>82</v>
      </c>
      <c r="J1227" s="13" t="s">
        <v>83</v>
      </c>
      <c r="K1227" s="13"/>
      <c r="L1227" s="13" t="s">
        <v>4913</v>
      </c>
      <c r="M1227" s="13" t="s">
        <v>4914</v>
      </c>
    </row>
    <row r="1228" customFormat="false" ht="23.85" hidden="false" customHeight="false" outlineLevel="0" collapsed="false">
      <c r="A1228" s="13" t="s">
        <v>3</v>
      </c>
      <c r="B1228" s="13" t="s">
        <v>4108</v>
      </c>
      <c r="C1228" s="13" t="n">
        <v>296</v>
      </c>
      <c r="D1228" s="13" t="s">
        <v>4922</v>
      </c>
      <c r="E1228" s="13" t="s">
        <v>4923</v>
      </c>
      <c r="F1228" s="13" t="s">
        <v>4924</v>
      </c>
      <c r="G1228" s="13" t="s">
        <v>4925</v>
      </c>
      <c r="H1228" s="13" t="s">
        <v>4926</v>
      </c>
      <c r="I1228" s="13" t="s">
        <v>82</v>
      </c>
      <c r="J1228" s="13" t="s">
        <v>83</v>
      </c>
      <c r="K1228" s="13"/>
      <c r="L1228" s="13" t="s">
        <v>4927</v>
      </c>
      <c r="M1228" s="13" t="s">
        <v>4928</v>
      </c>
    </row>
    <row r="1229" customFormat="false" ht="68.65" hidden="false" customHeight="false" outlineLevel="0" collapsed="false">
      <c r="A1229" s="13" t="s">
        <v>3</v>
      </c>
      <c r="B1229" s="13" t="s">
        <v>4108</v>
      </c>
      <c r="C1229" s="13" t="n">
        <v>296</v>
      </c>
      <c r="D1229" s="13" t="s">
        <v>4929</v>
      </c>
      <c r="E1229" s="13" t="s">
        <v>4930</v>
      </c>
      <c r="F1229" s="13" t="s">
        <v>4931</v>
      </c>
      <c r="G1229" s="13" t="s">
        <v>4920</v>
      </c>
      <c r="H1229" s="13" t="s">
        <v>4932</v>
      </c>
      <c r="I1229" s="13" t="s">
        <v>82</v>
      </c>
      <c r="J1229" s="13" t="s">
        <v>83</v>
      </c>
      <c r="K1229" s="13"/>
      <c r="L1229" s="13" t="s">
        <v>4933</v>
      </c>
      <c r="M1229" s="13" t="s">
        <v>4934</v>
      </c>
    </row>
    <row r="1230" customFormat="false" ht="68.65" hidden="false" customHeight="false" outlineLevel="0" collapsed="false">
      <c r="A1230" s="13" t="s">
        <v>3</v>
      </c>
      <c r="B1230" s="13" t="s">
        <v>4108</v>
      </c>
      <c r="C1230" s="13" t="n">
        <v>296</v>
      </c>
      <c r="D1230" s="13" t="s">
        <v>4929</v>
      </c>
      <c r="E1230" s="13" t="s">
        <v>4935</v>
      </c>
      <c r="F1230" s="13" t="s">
        <v>4936</v>
      </c>
      <c r="G1230" s="13" t="s">
        <v>4937</v>
      </c>
      <c r="H1230" s="13" t="s">
        <v>4938</v>
      </c>
      <c r="I1230" s="13" t="s">
        <v>82</v>
      </c>
      <c r="J1230" s="13" t="s">
        <v>83</v>
      </c>
      <c r="K1230" s="13"/>
      <c r="L1230" s="13" t="s">
        <v>4933</v>
      </c>
      <c r="M1230" s="13" t="s">
        <v>4934</v>
      </c>
    </row>
    <row r="1231" customFormat="false" ht="68.65" hidden="false" customHeight="false" outlineLevel="0" collapsed="false">
      <c r="A1231" s="13" t="s">
        <v>3</v>
      </c>
      <c r="B1231" s="13" t="s">
        <v>4108</v>
      </c>
      <c r="C1231" s="13" t="n">
        <v>296</v>
      </c>
      <c r="D1231" s="13" t="s">
        <v>4929</v>
      </c>
      <c r="E1231" s="13" t="s">
        <v>4939</v>
      </c>
      <c r="F1231" s="13" t="s">
        <v>4940</v>
      </c>
      <c r="G1231" s="13" t="s">
        <v>4941</v>
      </c>
      <c r="H1231" s="13" t="s">
        <v>4942</v>
      </c>
      <c r="I1231" s="13" t="s">
        <v>82</v>
      </c>
      <c r="J1231" s="13" t="s">
        <v>83</v>
      </c>
      <c r="K1231" s="13"/>
      <c r="L1231" s="13" t="s">
        <v>4933</v>
      </c>
      <c r="M1231" s="13" t="s">
        <v>4934</v>
      </c>
    </row>
    <row r="1232" customFormat="false" ht="46.25" hidden="false" customHeight="false" outlineLevel="0" collapsed="false">
      <c r="A1232" s="13" t="s">
        <v>3</v>
      </c>
      <c r="B1232" s="13" t="s">
        <v>4108</v>
      </c>
      <c r="C1232" s="13" t="n">
        <v>296</v>
      </c>
      <c r="D1232" s="13" t="s">
        <v>4943</v>
      </c>
      <c r="E1232" s="13" t="s">
        <v>4944</v>
      </c>
      <c r="F1232" s="13" t="s">
        <v>4945</v>
      </c>
      <c r="G1232" s="13" t="s">
        <v>4946</v>
      </c>
      <c r="H1232" s="13" t="s">
        <v>4947</v>
      </c>
      <c r="I1232" s="13" t="s">
        <v>82</v>
      </c>
      <c r="J1232" s="13" t="s">
        <v>83</v>
      </c>
      <c r="K1232" s="13"/>
      <c r="L1232" s="13" t="s">
        <v>4948</v>
      </c>
      <c r="M1232" s="13" t="s">
        <v>4949</v>
      </c>
    </row>
    <row r="1233" customFormat="false" ht="46.25" hidden="false" customHeight="false" outlineLevel="0" collapsed="false">
      <c r="A1233" s="13" t="s">
        <v>3</v>
      </c>
      <c r="B1233" s="13" t="s">
        <v>4108</v>
      </c>
      <c r="C1233" s="13" t="n">
        <v>296</v>
      </c>
      <c r="D1233" s="13" t="s">
        <v>4943</v>
      </c>
      <c r="E1233" s="13" t="s">
        <v>4950</v>
      </c>
      <c r="F1233" s="13" t="s">
        <v>4945</v>
      </c>
      <c r="G1233" s="13" t="s">
        <v>4951</v>
      </c>
      <c r="H1233" s="13" t="s">
        <v>4952</v>
      </c>
      <c r="I1233" s="13" t="s">
        <v>82</v>
      </c>
      <c r="J1233" s="13" t="s">
        <v>83</v>
      </c>
      <c r="K1233" s="13"/>
      <c r="L1233" s="13" t="s">
        <v>4948</v>
      </c>
      <c r="M1233" s="13" t="s">
        <v>4949</v>
      </c>
    </row>
    <row r="1234" customFormat="false" ht="57.45" hidden="false" customHeight="false" outlineLevel="0" collapsed="false">
      <c r="A1234" s="13" t="s">
        <v>3</v>
      </c>
      <c r="B1234" s="13" t="s">
        <v>4108</v>
      </c>
      <c r="C1234" s="13" t="n">
        <v>302</v>
      </c>
      <c r="D1234" s="13" t="s">
        <v>4953</v>
      </c>
      <c r="E1234" s="13" t="s">
        <v>4954</v>
      </c>
      <c r="F1234" s="13" t="s">
        <v>982</v>
      </c>
      <c r="G1234" s="13" t="s">
        <v>4955</v>
      </c>
      <c r="H1234" s="13" t="s">
        <v>806</v>
      </c>
      <c r="I1234" s="13" t="s">
        <v>74</v>
      </c>
      <c r="J1234" s="13" t="s">
        <v>4956</v>
      </c>
      <c r="K1234" s="13" t="s">
        <v>4957</v>
      </c>
      <c r="L1234" s="13" t="s">
        <v>4958</v>
      </c>
      <c r="M1234" s="13" t="s">
        <v>4959</v>
      </c>
    </row>
    <row r="1235" customFormat="false" ht="57.45" hidden="false" customHeight="false" outlineLevel="0" collapsed="false">
      <c r="A1235" s="13" t="s">
        <v>3</v>
      </c>
      <c r="B1235" s="13" t="s">
        <v>4108</v>
      </c>
      <c r="C1235" s="13" t="n">
        <v>302</v>
      </c>
      <c r="D1235" s="13" t="s">
        <v>4953</v>
      </c>
      <c r="E1235" s="13" t="s">
        <v>4960</v>
      </c>
      <c r="F1235" s="13" t="s">
        <v>4961</v>
      </c>
      <c r="G1235" s="13" t="s">
        <v>4962</v>
      </c>
      <c r="H1235" s="13" t="s">
        <v>806</v>
      </c>
      <c r="I1235" s="13" t="s">
        <v>114</v>
      </c>
      <c r="J1235" s="13" t="s">
        <v>4963</v>
      </c>
      <c r="K1235" s="13" t="s">
        <v>4964</v>
      </c>
      <c r="L1235" s="13" t="s">
        <v>4958</v>
      </c>
      <c r="M1235" s="13" t="s">
        <v>4959</v>
      </c>
    </row>
    <row r="1236" customFormat="false" ht="57.45" hidden="false" customHeight="false" outlineLevel="0" collapsed="false">
      <c r="A1236" s="13" t="s">
        <v>3</v>
      </c>
      <c r="B1236" s="13" t="s">
        <v>4108</v>
      </c>
      <c r="C1236" s="13" t="n">
        <v>302</v>
      </c>
      <c r="D1236" s="13" t="s">
        <v>4953</v>
      </c>
      <c r="E1236" s="13" t="s">
        <v>4965</v>
      </c>
      <c r="F1236" s="13" t="s">
        <v>4966</v>
      </c>
      <c r="G1236" s="13" t="s">
        <v>4967</v>
      </c>
      <c r="H1236" s="13" t="s">
        <v>806</v>
      </c>
      <c r="I1236" s="13" t="s">
        <v>114</v>
      </c>
      <c r="J1236" s="13" t="s">
        <v>4968</v>
      </c>
      <c r="K1236" s="13" t="s">
        <v>4969</v>
      </c>
      <c r="L1236" s="13" t="s">
        <v>4958</v>
      </c>
      <c r="M1236" s="13" t="s">
        <v>4959</v>
      </c>
    </row>
    <row r="1237" customFormat="false" ht="57.45" hidden="false" customHeight="false" outlineLevel="0" collapsed="false">
      <c r="A1237" s="13" t="s">
        <v>3</v>
      </c>
      <c r="B1237" s="13" t="s">
        <v>4108</v>
      </c>
      <c r="C1237" s="13" t="n">
        <v>302</v>
      </c>
      <c r="D1237" s="13" t="s">
        <v>4953</v>
      </c>
      <c r="E1237" s="13" t="s">
        <v>4970</v>
      </c>
      <c r="F1237" s="13" t="s">
        <v>4961</v>
      </c>
      <c r="G1237" s="13" t="s">
        <v>1854</v>
      </c>
      <c r="H1237" s="13" t="s">
        <v>4971</v>
      </c>
      <c r="I1237" s="13" t="s">
        <v>82</v>
      </c>
      <c r="J1237" s="13" t="s">
        <v>83</v>
      </c>
      <c r="K1237" s="13"/>
      <c r="L1237" s="13" t="s">
        <v>4958</v>
      </c>
      <c r="M1237" s="13" t="s">
        <v>4959</v>
      </c>
    </row>
    <row r="1238" customFormat="false" ht="57.45" hidden="false" customHeight="false" outlineLevel="0" collapsed="false">
      <c r="A1238" s="13" t="s">
        <v>3</v>
      </c>
      <c r="B1238" s="13" t="s">
        <v>4108</v>
      </c>
      <c r="C1238" s="13" t="n">
        <v>302</v>
      </c>
      <c r="D1238" s="13" t="s">
        <v>4953</v>
      </c>
      <c r="E1238" s="13" t="s">
        <v>4972</v>
      </c>
      <c r="F1238" s="13" t="s">
        <v>4966</v>
      </c>
      <c r="G1238" s="13" t="s">
        <v>4973</v>
      </c>
      <c r="H1238" s="13" t="s">
        <v>4974</v>
      </c>
      <c r="I1238" s="13" t="s">
        <v>82</v>
      </c>
      <c r="J1238" s="13" t="s">
        <v>83</v>
      </c>
      <c r="K1238" s="13"/>
      <c r="L1238" s="13" t="s">
        <v>4958</v>
      </c>
      <c r="M1238" s="13" t="s">
        <v>4959</v>
      </c>
    </row>
    <row r="1239" customFormat="false" ht="180.55" hidden="false" customHeight="false" outlineLevel="0" collapsed="false">
      <c r="A1239" s="13" t="s">
        <v>3</v>
      </c>
      <c r="B1239" s="13" t="s">
        <v>4108</v>
      </c>
      <c r="C1239" s="13" t="n">
        <v>302</v>
      </c>
      <c r="D1239" s="13" t="s">
        <v>4975</v>
      </c>
      <c r="E1239" s="13" t="s">
        <v>4976</v>
      </c>
      <c r="F1239" s="13" t="s">
        <v>4977</v>
      </c>
      <c r="G1239" s="13" t="s">
        <v>4978</v>
      </c>
      <c r="H1239" s="13" t="s">
        <v>806</v>
      </c>
      <c r="I1239" s="13" t="s">
        <v>82</v>
      </c>
      <c r="J1239" s="13" t="s">
        <v>83</v>
      </c>
      <c r="K1239" s="13"/>
      <c r="L1239" s="13" t="s">
        <v>4979</v>
      </c>
      <c r="M1239" s="13" t="s">
        <v>4980</v>
      </c>
    </row>
    <row r="1240" customFormat="false" ht="180.55" hidden="false" customHeight="false" outlineLevel="0" collapsed="false">
      <c r="A1240" s="13" t="s">
        <v>3</v>
      </c>
      <c r="B1240" s="13" t="s">
        <v>4108</v>
      </c>
      <c r="C1240" s="13" t="n">
        <v>302</v>
      </c>
      <c r="D1240" s="13" t="s">
        <v>4975</v>
      </c>
      <c r="E1240" s="13" t="s">
        <v>4981</v>
      </c>
      <c r="F1240" s="13" t="s">
        <v>4982</v>
      </c>
      <c r="G1240" s="13" t="s">
        <v>4983</v>
      </c>
      <c r="H1240" s="13" t="s">
        <v>4977</v>
      </c>
      <c r="I1240" s="13" t="s">
        <v>82</v>
      </c>
      <c r="J1240" s="13" t="s">
        <v>83</v>
      </c>
      <c r="K1240" s="13"/>
      <c r="L1240" s="13" t="s">
        <v>4979</v>
      </c>
      <c r="M1240" s="13" t="s">
        <v>4980</v>
      </c>
    </row>
    <row r="1241" customFormat="false" ht="180.55" hidden="false" customHeight="false" outlineLevel="0" collapsed="false">
      <c r="A1241" s="13" t="s">
        <v>3</v>
      </c>
      <c r="B1241" s="13" t="s">
        <v>4108</v>
      </c>
      <c r="C1241" s="13" t="n">
        <v>302</v>
      </c>
      <c r="D1241" s="13" t="s">
        <v>4975</v>
      </c>
      <c r="E1241" s="13" t="s">
        <v>4984</v>
      </c>
      <c r="F1241" s="13" t="s">
        <v>4977</v>
      </c>
      <c r="G1241" s="13" t="s">
        <v>4985</v>
      </c>
      <c r="H1241" s="13" t="s">
        <v>806</v>
      </c>
      <c r="I1241" s="13" t="s">
        <v>82</v>
      </c>
      <c r="J1241" s="13" t="s">
        <v>83</v>
      </c>
      <c r="K1241" s="13"/>
      <c r="L1241" s="13" t="s">
        <v>4979</v>
      </c>
      <c r="M1241" s="13" t="s">
        <v>4980</v>
      </c>
    </row>
    <row r="1242" customFormat="false" ht="180.55" hidden="false" customHeight="false" outlineLevel="0" collapsed="false">
      <c r="A1242" s="13" t="s">
        <v>3</v>
      </c>
      <c r="B1242" s="13" t="s">
        <v>4108</v>
      </c>
      <c r="C1242" s="13" t="n">
        <v>302</v>
      </c>
      <c r="D1242" s="13" t="s">
        <v>4975</v>
      </c>
      <c r="E1242" s="13" t="s">
        <v>4986</v>
      </c>
      <c r="F1242" s="13" t="s">
        <v>806</v>
      </c>
      <c r="G1242" s="13" t="s">
        <v>4987</v>
      </c>
      <c r="H1242" s="13" t="s">
        <v>4988</v>
      </c>
      <c r="I1242" s="13" t="s">
        <v>82</v>
      </c>
      <c r="J1242" s="13" t="s">
        <v>83</v>
      </c>
      <c r="K1242" s="13"/>
      <c r="L1242" s="13" t="s">
        <v>4979</v>
      </c>
      <c r="M1242" s="13" t="s">
        <v>4980</v>
      </c>
    </row>
    <row r="1243" customFormat="false" ht="180.55" hidden="false" customHeight="false" outlineLevel="0" collapsed="false">
      <c r="A1243" s="13" t="s">
        <v>3</v>
      </c>
      <c r="B1243" s="13" t="s">
        <v>4108</v>
      </c>
      <c r="C1243" s="13" t="n">
        <v>302</v>
      </c>
      <c r="D1243" s="13" t="s">
        <v>4975</v>
      </c>
      <c r="E1243" s="13" t="s">
        <v>4989</v>
      </c>
      <c r="F1243" s="13" t="s">
        <v>806</v>
      </c>
      <c r="G1243" s="13" t="s">
        <v>4990</v>
      </c>
      <c r="H1243" s="13" t="s">
        <v>4991</v>
      </c>
      <c r="I1243" s="13" t="s">
        <v>82</v>
      </c>
      <c r="J1243" s="13" t="s">
        <v>83</v>
      </c>
      <c r="K1243" s="13"/>
      <c r="L1243" s="13" t="s">
        <v>4979</v>
      </c>
      <c r="M1243" s="13" t="s">
        <v>4980</v>
      </c>
    </row>
    <row r="1244" customFormat="false" ht="180.55" hidden="false" customHeight="false" outlineLevel="0" collapsed="false">
      <c r="A1244" s="13" t="s">
        <v>3</v>
      </c>
      <c r="B1244" s="13" t="s">
        <v>4108</v>
      </c>
      <c r="C1244" s="13" t="n">
        <v>302</v>
      </c>
      <c r="D1244" s="13" t="s">
        <v>4975</v>
      </c>
      <c r="E1244" s="13" t="s">
        <v>4992</v>
      </c>
      <c r="F1244" s="13" t="s">
        <v>806</v>
      </c>
      <c r="G1244" s="13" t="s">
        <v>4993</v>
      </c>
      <c r="H1244" s="13" t="s">
        <v>4994</v>
      </c>
      <c r="I1244" s="13" t="s">
        <v>82</v>
      </c>
      <c r="J1244" s="13" t="s">
        <v>83</v>
      </c>
      <c r="K1244" s="13"/>
      <c r="L1244" s="13" t="s">
        <v>4979</v>
      </c>
      <c r="M1244" s="13" t="s">
        <v>4980</v>
      </c>
    </row>
    <row r="1245" customFormat="false" ht="135.8" hidden="false" customHeight="false" outlineLevel="0" collapsed="false">
      <c r="A1245" s="13" t="s">
        <v>3</v>
      </c>
      <c r="B1245" s="13" t="s">
        <v>4108</v>
      </c>
      <c r="C1245" s="13" t="n">
        <v>302</v>
      </c>
      <c r="D1245" s="13" t="s">
        <v>4995</v>
      </c>
      <c r="E1245" s="13" t="s">
        <v>4996</v>
      </c>
      <c r="F1245" s="13" t="s">
        <v>4997</v>
      </c>
      <c r="G1245" s="13" t="s">
        <v>4978</v>
      </c>
      <c r="H1245" s="13" t="s">
        <v>806</v>
      </c>
      <c r="I1245" s="13" t="s">
        <v>82</v>
      </c>
      <c r="J1245" s="13" t="s">
        <v>83</v>
      </c>
      <c r="K1245" s="13"/>
      <c r="L1245" s="13" t="s">
        <v>4998</v>
      </c>
      <c r="M1245" s="13" t="s">
        <v>4999</v>
      </c>
    </row>
    <row r="1246" customFormat="false" ht="135.8" hidden="false" customHeight="false" outlineLevel="0" collapsed="false">
      <c r="A1246" s="13" t="s">
        <v>3</v>
      </c>
      <c r="B1246" s="13" t="s">
        <v>4108</v>
      </c>
      <c r="C1246" s="13" t="n">
        <v>302</v>
      </c>
      <c r="D1246" s="13" t="s">
        <v>4995</v>
      </c>
      <c r="E1246" s="13" t="s">
        <v>5000</v>
      </c>
      <c r="F1246" s="13" t="s">
        <v>5001</v>
      </c>
      <c r="G1246" s="13" t="s">
        <v>4983</v>
      </c>
      <c r="H1246" s="13" t="s">
        <v>4997</v>
      </c>
      <c r="I1246" s="13" t="s">
        <v>82</v>
      </c>
      <c r="J1246" s="13" t="s">
        <v>83</v>
      </c>
      <c r="K1246" s="13"/>
      <c r="L1246" s="13" t="s">
        <v>4998</v>
      </c>
      <c r="M1246" s="13" t="s">
        <v>4999</v>
      </c>
    </row>
    <row r="1247" customFormat="false" ht="135.8" hidden="false" customHeight="false" outlineLevel="0" collapsed="false">
      <c r="A1247" s="13" t="s">
        <v>3</v>
      </c>
      <c r="B1247" s="13" t="s">
        <v>4108</v>
      </c>
      <c r="C1247" s="13" t="n">
        <v>302</v>
      </c>
      <c r="D1247" s="13" t="s">
        <v>4995</v>
      </c>
      <c r="E1247" s="13" t="s">
        <v>5002</v>
      </c>
      <c r="F1247" s="13" t="s">
        <v>4997</v>
      </c>
      <c r="G1247" s="13" t="s">
        <v>4985</v>
      </c>
      <c r="H1247" s="13" t="s">
        <v>806</v>
      </c>
      <c r="I1247" s="13" t="s">
        <v>82</v>
      </c>
      <c r="J1247" s="13" t="s">
        <v>83</v>
      </c>
      <c r="K1247" s="13"/>
      <c r="L1247" s="13" t="s">
        <v>4998</v>
      </c>
      <c r="M1247" s="13" t="s">
        <v>4999</v>
      </c>
    </row>
    <row r="1248" customFormat="false" ht="135.8" hidden="false" customHeight="false" outlineLevel="0" collapsed="false">
      <c r="A1248" s="13" t="s">
        <v>3</v>
      </c>
      <c r="B1248" s="13" t="s">
        <v>4108</v>
      </c>
      <c r="C1248" s="13" t="n">
        <v>302</v>
      </c>
      <c r="D1248" s="13" t="s">
        <v>4995</v>
      </c>
      <c r="E1248" s="13" t="s">
        <v>5003</v>
      </c>
      <c r="F1248" s="13" t="s">
        <v>806</v>
      </c>
      <c r="G1248" s="13" t="s">
        <v>5004</v>
      </c>
      <c r="H1248" s="13" t="s">
        <v>5005</v>
      </c>
      <c r="I1248" s="13" t="s">
        <v>82</v>
      </c>
      <c r="J1248" s="13" t="s">
        <v>83</v>
      </c>
      <c r="K1248" s="13"/>
      <c r="L1248" s="13" t="s">
        <v>4998</v>
      </c>
      <c r="M1248" s="13" t="s">
        <v>4999</v>
      </c>
    </row>
    <row r="1249" customFormat="false" ht="135.8" hidden="false" customHeight="false" outlineLevel="0" collapsed="false">
      <c r="A1249" s="13" t="s">
        <v>3</v>
      </c>
      <c r="B1249" s="13" t="s">
        <v>4108</v>
      </c>
      <c r="C1249" s="13" t="n">
        <v>302</v>
      </c>
      <c r="D1249" s="13" t="s">
        <v>4995</v>
      </c>
      <c r="E1249" s="13" t="s">
        <v>5006</v>
      </c>
      <c r="F1249" s="13" t="s">
        <v>806</v>
      </c>
      <c r="G1249" s="13" t="s">
        <v>5007</v>
      </c>
      <c r="H1249" s="13" t="s">
        <v>5008</v>
      </c>
      <c r="I1249" s="13" t="s">
        <v>82</v>
      </c>
      <c r="J1249" s="13" t="s">
        <v>83</v>
      </c>
      <c r="K1249" s="13"/>
      <c r="L1249" s="13" t="s">
        <v>4998</v>
      </c>
      <c r="M1249" s="13" t="s">
        <v>4999</v>
      </c>
    </row>
    <row r="1250" customFormat="false" ht="135.8" hidden="false" customHeight="false" outlineLevel="0" collapsed="false">
      <c r="A1250" s="13" t="s">
        <v>3</v>
      </c>
      <c r="B1250" s="13" t="s">
        <v>4108</v>
      </c>
      <c r="C1250" s="13" t="n">
        <v>302</v>
      </c>
      <c r="D1250" s="13" t="s">
        <v>4995</v>
      </c>
      <c r="E1250" s="13" t="s">
        <v>5009</v>
      </c>
      <c r="F1250" s="13" t="s">
        <v>806</v>
      </c>
      <c r="G1250" s="13" t="s">
        <v>5010</v>
      </c>
      <c r="H1250" s="13" t="s">
        <v>5011</v>
      </c>
      <c r="I1250" s="13" t="s">
        <v>82</v>
      </c>
      <c r="J1250" s="13" t="s">
        <v>83</v>
      </c>
      <c r="K1250" s="13"/>
      <c r="L1250" s="13" t="s">
        <v>4998</v>
      </c>
      <c r="M1250" s="13" t="s">
        <v>4999</v>
      </c>
    </row>
    <row r="1251" customFormat="false" ht="124.6" hidden="false" customHeight="false" outlineLevel="0" collapsed="false">
      <c r="A1251" s="13" t="s">
        <v>3</v>
      </c>
      <c r="B1251" s="13" t="s">
        <v>4108</v>
      </c>
      <c r="C1251" s="13" t="n">
        <v>302</v>
      </c>
      <c r="D1251" s="13" t="s">
        <v>5012</v>
      </c>
      <c r="E1251" s="13" t="s">
        <v>5013</v>
      </c>
      <c r="F1251" s="13" t="s">
        <v>5014</v>
      </c>
      <c r="G1251" s="13" t="s">
        <v>4978</v>
      </c>
      <c r="H1251" s="13" t="s">
        <v>806</v>
      </c>
      <c r="I1251" s="13" t="s">
        <v>82</v>
      </c>
      <c r="J1251" s="13" t="s">
        <v>83</v>
      </c>
      <c r="K1251" s="13"/>
      <c r="L1251" s="13" t="s">
        <v>5015</v>
      </c>
      <c r="M1251" s="13" t="s">
        <v>5016</v>
      </c>
    </row>
    <row r="1252" customFormat="false" ht="124.6" hidden="false" customHeight="false" outlineLevel="0" collapsed="false">
      <c r="A1252" s="13" t="s">
        <v>3</v>
      </c>
      <c r="B1252" s="13" t="s">
        <v>4108</v>
      </c>
      <c r="C1252" s="13" t="n">
        <v>302</v>
      </c>
      <c r="D1252" s="13" t="s">
        <v>5012</v>
      </c>
      <c r="E1252" s="13" t="s">
        <v>5017</v>
      </c>
      <c r="F1252" s="13" t="s">
        <v>5018</v>
      </c>
      <c r="G1252" s="13" t="s">
        <v>4983</v>
      </c>
      <c r="H1252" s="13" t="s">
        <v>5014</v>
      </c>
      <c r="I1252" s="13" t="s">
        <v>82</v>
      </c>
      <c r="J1252" s="13" t="s">
        <v>83</v>
      </c>
      <c r="K1252" s="13"/>
      <c r="L1252" s="13" t="s">
        <v>5015</v>
      </c>
      <c r="M1252" s="13" t="s">
        <v>5016</v>
      </c>
    </row>
    <row r="1253" customFormat="false" ht="124.6" hidden="false" customHeight="false" outlineLevel="0" collapsed="false">
      <c r="A1253" s="13" t="s">
        <v>3</v>
      </c>
      <c r="B1253" s="13" t="s">
        <v>4108</v>
      </c>
      <c r="C1253" s="13" t="n">
        <v>302</v>
      </c>
      <c r="D1253" s="13" t="s">
        <v>5012</v>
      </c>
      <c r="E1253" s="13" t="s">
        <v>5019</v>
      </c>
      <c r="F1253" s="13" t="s">
        <v>5014</v>
      </c>
      <c r="G1253" s="13" t="s">
        <v>4985</v>
      </c>
      <c r="H1253" s="13" t="s">
        <v>806</v>
      </c>
      <c r="I1253" s="13" t="s">
        <v>82</v>
      </c>
      <c r="J1253" s="13" t="s">
        <v>83</v>
      </c>
      <c r="K1253" s="13"/>
      <c r="L1253" s="13" t="s">
        <v>5015</v>
      </c>
      <c r="M1253" s="13" t="s">
        <v>5016</v>
      </c>
    </row>
    <row r="1254" customFormat="false" ht="124.6" hidden="false" customHeight="false" outlineLevel="0" collapsed="false">
      <c r="A1254" s="13" t="s">
        <v>3</v>
      </c>
      <c r="B1254" s="13" t="s">
        <v>4108</v>
      </c>
      <c r="C1254" s="13" t="n">
        <v>302</v>
      </c>
      <c r="D1254" s="13" t="s">
        <v>5012</v>
      </c>
      <c r="E1254" s="13" t="s">
        <v>5020</v>
      </c>
      <c r="F1254" s="13" t="s">
        <v>806</v>
      </c>
      <c r="G1254" s="13" t="s">
        <v>4990</v>
      </c>
      <c r="H1254" s="13" t="s">
        <v>5021</v>
      </c>
      <c r="I1254" s="13" t="s">
        <v>82</v>
      </c>
      <c r="J1254" s="13" t="s">
        <v>83</v>
      </c>
      <c r="K1254" s="13"/>
      <c r="L1254" s="13" t="s">
        <v>5015</v>
      </c>
      <c r="M1254" s="13" t="s">
        <v>5016</v>
      </c>
    </row>
    <row r="1255" customFormat="false" ht="124.6" hidden="false" customHeight="false" outlineLevel="0" collapsed="false">
      <c r="A1255" s="13" t="s">
        <v>3</v>
      </c>
      <c r="B1255" s="13" t="s">
        <v>4108</v>
      </c>
      <c r="C1255" s="13" t="n">
        <v>302</v>
      </c>
      <c r="D1255" s="13" t="s">
        <v>5012</v>
      </c>
      <c r="E1255" s="13" t="s">
        <v>5022</v>
      </c>
      <c r="F1255" s="13" t="s">
        <v>806</v>
      </c>
      <c r="G1255" s="13" t="s">
        <v>5023</v>
      </c>
      <c r="H1255" s="13" t="s">
        <v>5024</v>
      </c>
      <c r="I1255" s="13" t="s">
        <v>82</v>
      </c>
      <c r="J1255" s="13" t="s">
        <v>83</v>
      </c>
      <c r="K1255" s="13"/>
      <c r="L1255" s="13" t="s">
        <v>5015</v>
      </c>
      <c r="M1255" s="13" t="s">
        <v>5016</v>
      </c>
    </row>
    <row r="1256" customFormat="false" ht="124.6" hidden="false" customHeight="false" outlineLevel="0" collapsed="false">
      <c r="A1256" s="13" t="s">
        <v>3</v>
      </c>
      <c r="B1256" s="13" t="s">
        <v>4108</v>
      </c>
      <c r="C1256" s="13" t="n">
        <v>302</v>
      </c>
      <c r="D1256" s="13" t="s">
        <v>5012</v>
      </c>
      <c r="E1256" s="13" t="s">
        <v>5025</v>
      </c>
      <c r="F1256" s="13" t="s">
        <v>806</v>
      </c>
      <c r="G1256" s="13" t="s">
        <v>5010</v>
      </c>
      <c r="H1256" s="13" t="s">
        <v>5026</v>
      </c>
      <c r="I1256" s="13" t="s">
        <v>82</v>
      </c>
      <c r="J1256" s="13" t="s">
        <v>83</v>
      </c>
      <c r="K1256" s="13"/>
      <c r="L1256" s="13" t="s">
        <v>5015</v>
      </c>
      <c r="M1256" s="13" t="s">
        <v>5016</v>
      </c>
    </row>
    <row r="1257" customFormat="false" ht="57.45" hidden="false" customHeight="false" outlineLevel="0" collapsed="false">
      <c r="A1257" s="13" t="s">
        <v>3</v>
      </c>
      <c r="B1257" s="13" t="s">
        <v>4108</v>
      </c>
      <c r="C1257" s="13" t="n">
        <v>306</v>
      </c>
      <c r="D1257" s="13" t="s">
        <v>5027</v>
      </c>
      <c r="E1257" s="13" t="s">
        <v>5028</v>
      </c>
      <c r="F1257" s="13" t="s">
        <v>5029</v>
      </c>
      <c r="G1257" s="13" t="s">
        <v>5030</v>
      </c>
      <c r="H1257" s="13" t="s">
        <v>5031</v>
      </c>
      <c r="I1257" s="13" t="s">
        <v>82</v>
      </c>
      <c r="J1257" s="13" t="s">
        <v>83</v>
      </c>
      <c r="K1257" s="13"/>
      <c r="L1257" s="13" t="s">
        <v>5032</v>
      </c>
      <c r="M1257" s="13" t="s">
        <v>5033</v>
      </c>
    </row>
    <row r="1258" customFormat="false" ht="57.45" hidden="false" customHeight="false" outlineLevel="0" collapsed="false">
      <c r="A1258" s="13" t="s">
        <v>3</v>
      </c>
      <c r="B1258" s="13" t="s">
        <v>4108</v>
      </c>
      <c r="C1258" s="13" t="n">
        <v>306</v>
      </c>
      <c r="D1258" s="13" t="s">
        <v>5027</v>
      </c>
      <c r="E1258" s="13" t="s">
        <v>5034</v>
      </c>
      <c r="F1258" s="13" t="s">
        <v>5035</v>
      </c>
      <c r="G1258" s="13" t="s">
        <v>5036</v>
      </c>
      <c r="H1258" s="13" t="s">
        <v>5029</v>
      </c>
      <c r="I1258" s="13" t="s">
        <v>82</v>
      </c>
      <c r="J1258" s="13" t="s">
        <v>83</v>
      </c>
      <c r="K1258" s="13"/>
      <c r="L1258" s="13" t="s">
        <v>5032</v>
      </c>
      <c r="M1258" s="13" t="s">
        <v>5033</v>
      </c>
    </row>
    <row r="1259" customFormat="false" ht="46.25" hidden="false" customHeight="false" outlineLevel="0" collapsed="false">
      <c r="A1259" s="13" t="s">
        <v>3</v>
      </c>
      <c r="B1259" s="13" t="s">
        <v>4108</v>
      </c>
      <c r="C1259" s="13" t="n">
        <v>306</v>
      </c>
      <c r="D1259" s="13" t="s">
        <v>5037</v>
      </c>
      <c r="E1259" s="13" t="s">
        <v>5038</v>
      </c>
      <c r="F1259" s="13" t="s">
        <v>5039</v>
      </c>
      <c r="G1259" s="13" t="s">
        <v>5040</v>
      </c>
      <c r="H1259" s="13" t="s">
        <v>5041</v>
      </c>
      <c r="I1259" s="13" t="s">
        <v>82</v>
      </c>
      <c r="J1259" s="13" t="s">
        <v>83</v>
      </c>
      <c r="K1259" s="13"/>
      <c r="L1259" s="13" t="s">
        <v>5042</v>
      </c>
      <c r="M1259" s="13" t="s">
        <v>5043</v>
      </c>
    </row>
    <row r="1260" customFormat="false" ht="79.85" hidden="false" customHeight="false" outlineLevel="0" collapsed="false">
      <c r="A1260" s="13" t="s">
        <v>3</v>
      </c>
      <c r="B1260" s="13" t="s">
        <v>4108</v>
      </c>
      <c r="C1260" s="13" t="n">
        <v>306</v>
      </c>
      <c r="D1260" s="13" t="s">
        <v>5044</v>
      </c>
      <c r="E1260" s="13" t="s">
        <v>5045</v>
      </c>
      <c r="F1260" s="13" t="s">
        <v>5029</v>
      </c>
      <c r="G1260" s="13" t="s">
        <v>5046</v>
      </c>
      <c r="H1260" s="13" t="s">
        <v>5047</v>
      </c>
      <c r="I1260" s="13" t="s">
        <v>82</v>
      </c>
      <c r="J1260" s="13" t="s">
        <v>83</v>
      </c>
      <c r="K1260" s="13"/>
      <c r="L1260" s="13" t="s">
        <v>5048</v>
      </c>
      <c r="M1260" s="13" t="s">
        <v>5049</v>
      </c>
    </row>
    <row r="1261" customFormat="false" ht="79.85" hidden="false" customHeight="false" outlineLevel="0" collapsed="false">
      <c r="A1261" s="13" t="s">
        <v>3</v>
      </c>
      <c r="B1261" s="13" t="s">
        <v>4108</v>
      </c>
      <c r="C1261" s="13" t="n">
        <v>306</v>
      </c>
      <c r="D1261" s="13" t="s">
        <v>5044</v>
      </c>
      <c r="E1261" s="13" t="s">
        <v>5050</v>
      </c>
      <c r="F1261" s="13" t="s">
        <v>5029</v>
      </c>
      <c r="G1261" s="13" t="s">
        <v>5051</v>
      </c>
      <c r="H1261" s="13" t="s">
        <v>5052</v>
      </c>
      <c r="I1261" s="13" t="s">
        <v>82</v>
      </c>
      <c r="J1261" s="13" t="s">
        <v>83</v>
      </c>
      <c r="K1261" s="13"/>
      <c r="L1261" s="13" t="s">
        <v>5048</v>
      </c>
      <c r="M1261" s="13" t="s">
        <v>5049</v>
      </c>
    </row>
    <row r="1262" customFormat="false" ht="46.25" hidden="false" customHeight="false" outlineLevel="0" collapsed="false">
      <c r="A1262" s="13" t="s">
        <v>3</v>
      </c>
      <c r="B1262" s="13" t="s">
        <v>4108</v>
      </c>
      <c r="C1262" s="13" t="n">
        <v>306</v>
      </c>
      <c r="D1262" s="13" t="s">
        <v>5053</v>
      </c>
      <c r="E1262" s="13" t="s">
        <v>5054</v>
      </c>
      <c r="F1262" s="13" t="s">
        <v>5029</v>
      </c>
      <c r="G1262" s="13" t="s">
        <v>5055</v>
      </c>
      <c r="H1262" s="13" t="s">
        <v>5056</v>
      </c>
      <c r="I1262" s="13" t="s">
        <v>82</v>
      </c>
      <c r="J1262" s="13" t="s">
        <v>83</v>
      </c>
      <c r="K1262" s="13"/>
      <c r="L1262" s="13" t="s">
        <v>5057</v>
      </c>
      <c r="M1262" s="13" t="s">
        <v>5058</v>
      </c>
    </row>
    <row r="1263" customFormat="false" ht="46.25" hidden="false" customHeight="false" outlineLevel="0" collapsed="false">
      <c r="A1263" s="13" t="s">
        <v>3</v>
      </c>
      <c r="B1263" s="13" t="s">
        <v>4108</v>
      </c>
      <c r="C1263" s="13" t="n">
        <v>306</v>
      </c>
      <c r="D1263" s="13" t="s">
        <v>5053</v>
      </c>
      <c r="E1263" s="13" t="s">
        <v>5059</v>
      </c>
      <c r="F1263" s="13" t="s">
        <v>5029</v>
      </c>
      <c r="G1263" s="13" t="s">
        <v>5060</v>
      </c>
      <c r="H1263" s="13" t="s">
        <v>5061</v>
      </c>
      <c r="I1263" s="13" t="s">
        <v>82</v>
      </c>
      <c r="J1263" s="13" t="s">
        <v>83</v>
      </c>
      <c r="K1263" s="13"/>
      <c r="L1263" s="13" t="s">
        <v>5057</v>
      </c>
      <c r="M1263" s="13" t="s">
        <v>5058</v>
      </c>
    </row>
    <row r="1264" customFormat="false" ht="169.4" hidden="false" customHeight="false" outlineLevel="0" collapsed="false">
      <c r="A1264" s="13" t="s">
        <v>3</v>
      </c>
      <c r="B1264" s="13" t="s">
        <v>4108</v>
      </c>
      <c r="C1264" s="13" t="n">
        <v>306</v>
      </c>
      <c r="D1264" s="13" t="s">
        <v>5062</v>
      </c>
      <c r="E1264" s="13" t="s">
        <v>5063</v>
      </c>
      <c r="F1264" s="13" t="s">
        <v>5029</v>
      </c>
      <c r="G1264" s="13" t="s">
        <v>5064</v>
      </c>
      <c r="H1264" s="13" t="s">
        <v>5047</v>
      </c>
      <c r="I1264" s="13" t="s">
        <v>82</v>
      </c>
      <c r="J1264" s="13" t="s">
        <v>83</v>
      </c>
      <c r="K1264" s="13"/>
      <c r="L1264" s="13" t="s">
        <v>5065</v>
      </c>
      <c r="M1264" s="13" t="s">
        <v>5066</v>
      </c>
    </row>
    <row r="1265" customFormat="false" ht="169.4" hidden="false" customHeight="false" outlineLevel="0" collapsed="false">
      <c r="A1265" s="13" t="s">
        <v>3</v>
      </c>
      <c r="B1265" s="13" t="s">
        <v>4108</v>
      </c>
      <c r="C1265" s="13" t="n">
        <v>306</v>
      </c>
      <c r="D1265" s="13" t="s">
        <v>5062</v>
      </c>
      <c r="E1265" s="13" t="s">
        <v>5067</v>
      </c>
      <c r="F1265" s="13" t="s">
        <v>5068</v>
      </c>
      <c r="G1265" s="13" t="s">
        <v>5069</v>
      </c>
      <c r="H1265" s="13" t="s">
        <v>5070</v>
      </c>
      <c r="I1265" s="13" t="s">
        <v>82</v>
      </c>
      <c r="J1265" s="13" t="s">
        <v>83</v>
      </c>
      <c r="K1265" s="13"/>
      <c r="L1265" s="13" t="s">
        <v>5065</v>
      </c>
      <c r="M1265" s="13" t="s">
        <v>5066</v>
      </c>
    </row>
    <row r="1266" customFormat="false" ht="169.4" hidden="false" customHeight="false" outlineLevel="0" collapsed="false">
      <c r="A1266" s="13" t="s">
        <v>3</v>
      </c>
      <c r="B1266" s="13" t="s">
        <v>4108</v>
      </c>
      <c r="C1266" s="13" t="n">
        <v>306</v>
      </c>
      <c r="D1266" s="13" t="s">
        <v>5062</v>
      </c>
      <c r="E1266" s="13" t="s">
        <v>5071</v>
      </c>
      <c r="F1266" s="13" t="s">
        <v>5029</v>
      </c>
      <c r="G1266" s="13" t="s">
        <v>5072</v>
      </c>
      <c r="H1266" s="13" t="s">
        <v>5073</v>
      </c>
      <c r="I1266" s="13" t="s">
        <v>82</v>
      </c>
      <c r="J1266" s="13" t="s">
        <v>83</v>
      </c>
      <c r="K1266" s="13"/>
      <c r="L1266" s="13" t="s">
        <v>5065</v>
      </c>
      <c r="M1266" s="13" t="s">
        <v>5066</v>
      </c>
    </row>
    <row r="1267" customFormat="false" ht="169.4" hidden="false" customHeight="false" outlineLevel="0" collapsed="false">
      <c r="A1267" s="13" t="s">
        <v>3</v>
      </c>
      <c r="B1267" s="13" t="s">
        <v>4108</v>
      </c>
      <c r="C1267" s="13" t="n">
        <v>306</v>
      </c>
      <c r="D1267" s="13" t="s">
        <v>5062</v>
      </c>
      <c r="E1267" s="13" t="s">
        <v>5074</v>
      </c>
      <c r="F1267" s="13" t="s">
        <v>5029</v>
      </c>
      <c r="G1267" s="13" t="s">
        <v>5075</v>
      </c>
      <c r="H1267" s="13" t="s">
        <v>5068</v>
      </c>
      <c r="I1267" s="13" t="s">
        <v>82</v>
      </c>
      <c r="J1267" s="13" t="s">
        <v>83</v>
      </c>
      <c r="K1267" s="13"/>
      <c r="L1267" s="13" t="s">
        <v>5065</v>
      </c>
      <c r="M1267" s="13" t="s">
        <v>5066</v>
      </c>
    </row>
    <row r="1268" customFormat="false" ht="35.05" hidden="false" customHeight="false" outlineLevel="0" collapsed="false">
      <c r="A1268" s="13" t="s">
        <v>3</v>
      </c>
      <c r="B1268" s="13" t="s">
        <v>4108</v>
      </c>
      <c r="C1268" s="13" t="n">
        <v>306</v>
      </c>
      <c r="D1268" s="13" t="s">
        <v>5076</v>
      </c>
      <c r="E1268" s="13" t="s">
        <v>5077</v>
      </c>
      <c r="F1268" s="13" t="s">
        <v>5029</v>
      </c>
      <c r="G1268" s="13" t="s">
        <v>5078</v>
      </c>
      <c r="H1268" s="13" t="s">
        <v>5079</v>
      </c>
      <c r="I1268" s="13" t="s">
        <v>82</v>
      </c>
      <c r="J1268" s="13" t="s">
        <v>83</v>
      </c>
      <c r="K1268" s="13"/>
      <c r="L1268" s="13" t="s">
        <v>5080</v>
      </c>
      <c r="M1268" s="13" t="s">
        <v>5081</v>
      </c>
    </row>
    <row r="1269" customFormat="false" ht="35.05" hidden="false" customHeight="false" outlineLevel="0" collapsed="false">
      <c r="A1269" s="13" t="s">
        <v>3</v>
      </c>
      <c r="B1269" s="13" t="s">
        <v>4108</v>
      </c>
      <c r="C1269" s="13" t="n">
        <v>306</v>
      </c>
      <c r="D1269" s="13" t="s">
        <v>5076</v>
      </c>
      <c r="E1269" s="13" t="s">
        <v>5082</v>
      </c>
      <c r="F1269" s="13" t="s">
        <v>5079</v>
      </c>
      <c r="G1269" s="13" t="s">
        <v>5083</v>
      </c>
      <c r="H1269" s="13" t="s">
        <v>5029</v>
      </c>
      <c r="I1269" s="13" t="s">
        <v>82</v>
      </c>
      <c r="J1269" s="13" t="s">
        <v>83</v>
      </c>
      <c r="K1269" s="13"/>
      <c r="L1269" s="13" t="s">
        <v>5080</v>
      </c>
      <c r="M1269" s="13" t="s">
        <v>5081</v>
      </c>
    </row>
    <row r="1270" customFormat="false" ht="46.25" hidden="false" customHeight="false" outlineLevel="0" collapsed="false">
      <c r="A1270" s="13" t="s">
        <v>3</v>
      </c>
      <c r="B1270" s="13" t="s">
        <v>4108</v>
      </c>
      <c r="C1270" s="13" t="n">
        <v>306</v>
      </c>
      <c r="D1270" s="13" t="s">
        <v>5084</v>
      </c>
      <c r="E1270" s="13" t="s">
        <v>5085</v>
      </c>
      <c r="F1270" s="13" t="s">
        <v>5029</v>
      </c>
      <c r="G1270" s="13" t="s">
        <v>5086</v>
      </c>
      <c r="H1270" s="13" t="s">
        <v>5087</v>
      </c>
      <c r="I1270" s="13" t="s">
        <v>82</v>
      </c>
      <c r="J1270" s="13" t="s">
        <v>83</v>
      </c>
      <c r="K1270" s="13"/>
      <c r="L1270" s="13" t="s">
        <v>5088</v>
      </c>
      <c r="M1270" s="13" t="s">
        <v>5089</v>
      </c>
    </row>
    <row r="1271" customFormat="false" ht="46.25" hidden="false" customHeight="false" outlineLevel="0" collapsed="false">
      <c r="A1271" s="13" t="s">
        <v>3</v>
      </c>
      <c r="B1271" s="13" t="s">
        <v>4108</v>
      </c>
      <c r="C1271" s="13" t="n">
        <v>306</v>
      </c>
      <c r="D1271" s="13" t="s">
        <v>5084</v>
      </c>
      <c r="E1271" s="13" t="s">
        <v>5090</v>
      </c>
      <c r="F1271" s="13" t="s">
        <v>5087</v>
      </c>
      <c r="G1271" s="13" t="s">
        <v>149</v>
      </c>
      <c r="H1271" s="13" t="s">
        <v>5091</v>
      </c>
      <c r="I1271" s="13" t="s">
        <v>82</v>
      </c>
      <c r="J1271" s="13" t="s">
        <v>83</v>
      </c>
      <c r="K1271" s="13"/>
      <c r="L1271" s="13" t="s">
        <v>5088</v>
      </c>
      <c r="M1271" s="13" t="s">
        <v>5089</v>
      </c>
    </row>
    <row r="1272" customFormat="false" ht="23.85" hidden="false" customHeight="false" outlineLevel="0" collapsed="false">
      <c r="A1272" s="13" t="s">
        <v>3</v>
      </c>
      <c r="B1272" s="13" t="s">
        <v>4108</v>
      </c>
      <c r="C1272" s="13" t="n">
        <v>337</v>
      </c>
      <c r="D1272" s="13" t="s">
        <v>5092</v>
      </c>
      <c r="E1272" s="13" t="s">
        <v>5093</v>
      </c>
      <c r="F1272" s="13" t="s">
        <v>5094</v>
      </c>
      <c r="G1272" s="13" t="s">
        <v>5095</v>
      </c>
      <c r="H1272" s="13" t="s">
        <v>5096</v>
      </c>
      <c r="I1272" s="13" t="s">
        <v>82</v>
      </c>
      <c r="J1272" s="13" t="s">
        <v>83</v>
      </c>
      <c r="K1272" s="13"/>
      <c r="L1272" s="13" t="s">
        <v>5097</v>
      </c>
      <c r="M1272" s="13" t="s">
        <v>5098</v>
      </c>
    </row>
    <row r="1273" customFormat="false" ht="23.85" hidden="false" customHeight="false" outlineLevel="0" collapsed="false">
      <c r="A1273" s="13" t="s">
        <v>3</v>
      </c>
      <c r="B1273" s="13" t="s">
        <v>4108</v>
      </c>
      <c r="C1273" s="13" t="n">
        <v>337</v>
      </c>
      <c r="D1273" s="13" t="s">
        <v>5092</v>
      </c>
      <c r="E1273" s="13" t="s">
        <v>5099</v>
      </c>
      <c r="F1273" s="13" t="s">
        <v>5094</v>
      </c>
      <c r="G1273" s="13" t="s">
        <v>5100</v>
      </c>
      <c r="H1273" s="13" t="s">
        <v>5101</v>
      </c>
      <c r="I1273" s="13" t="s">
        <v>82</v>
      </c>
      <c r="J1273" s="13" t="s">
        <v>83</v>
      </c>
      <c r="K1273" s="13"/>
      <c r="L1273" s="13" t="s">
        <v>5097</v>
      </c>
      <c r="M1273" s="13" t="s">
        <v>5098</v>
      </c>
    </row>
    <row r="1274" customFormat="false" ht="23.85" hidden="false" customHeight="false" outlineLevel="0" collapsed="false">
      <c r="A1274" s="13" t="s">
        <v>3</v>
      </c>
      <c r="B1274" s="13" t="s">
        <v>4108</v>
      </c>
      <c r="C1274" s="13" t="n">
        <v>337</v>
      </c>
      <c r="D1274" s="13" t="s">
        <v>5102</v>
      </c>
      <c r="E1274" s="13" t="s">
        <v>5103</v>
      </c>
      <c r="F1274" s="13" t="s">
        <v>5104</v>
      </c>
      <c r="G1274" s="13" t="s">
        <v>5095</v>
      </c>
      <c r="H1274" s="13" t="s">
        <v>5105</v>
      </c>
      <c r="I1274" s="13" t="s">
        <v>82</v>
      </c>
      <c r="J1274" s="13" t="s">
        <v>83</v>
      </c>
      <c r="K1274" s="13"/>
      <c r="L1274" s="13" t="s">
        <v>5106</v>
      </c>
      <c r="M1274" s="13" t="s">
        <v>5107</v>
      </c>
    </row>
    <row r="1275" customFormat="false" ht="23.85" hidden="false" customHeight="false" outlineLevel="0" collapsed="false">
      <c r="A1275" s="13" t="s">
        <v>3</v>
      </c>
      <c r="B1275" s="13" t="s">
        <v>4108</v>
      </c>
      <c r="C1275" s="13" t="n">
        <v>337</v>
      </c>
      <c r="D1275" s="13" t="s">
        <v>5102</v>
      </c>
      <c r="E1275" s="13" t="s">
        <v>5108</v>
      </c>
      <c r="F1275" s="13" t="s">
        <v>5104</v>
      </c>
      <c r="G1275" s="13" t="s">
        <v>5100</v>
      </c>
      <c r="H1275" s="13" t="s">
        <v>5101</v>
      </c>
      <c r="I1275" s="13" t="s">
        <v>82</v>
      </c>
      <c r="J1275" s="13" t="s">
        <v>83</v>
      </c>
      <c r="K1275" s="13"/>
      <c r="L1275" s="13" t="s">
        <v>5106</v>
      </c>
      <c r="M1275" s="13" t="s">
        <v>5107</v>
      </c>
    </row>
    <row r="1276" customFormat="false" ht="23.85" hidden="false" customHeight="false" outlineLevel="0" collapsed="false">
      <c r="A1276" s="13" t="s">
        <v>3</v>
      </c>
      <c r="B1276" s="13" t="s">
        <v>4108</v>
      </c>
      <c r="C1276" s="13" t="n">
        <v>337</v>
      </c>
      <c r="D1276" s="13" t="s">
        <v>5102</v>
      </c>
      <c r="E1276" s="13" t="s">
        <v>5109</v>
      </c>
      <c r="F1276" s="13" t="s">
        <v>5104</v>
      </c>
      <c r="G1276" s="13" t="s">
        <v>5100</v>
      </c>
      <c r="H1276" s="13" t="s">
        <v>5110</v>
      </c>
      <c r="I1276" s="13" t="s">
        <v>82</v>
      </c>
      <c r="J1276" s="13" t="s">
        <v>83</v>
      </c>
      <c r="K1276" s="13"/>
      <c r="L1276" s="13" t="s">
        <v>5106</v>
      </c>
      <c r="M1276" s="13" t="s">
        <v>5107</v>
      </c>
    </row>
    <row r="1277" customFormat="false" ht="46.25" hidden="false" customHeight="false" outlineLevel="0" collapsed="false">
      <c r="A1277" s="13" t="s">
        <v>3</v>
      </c>
      <c r="B1277" s="13" t="s">
        <v>4108</v>
      </c>
      <c r="C1277" s="13" t="n">
        <v>337</v>
      </c>
      <c r="D1277" s="13" t="s">
        <v>5111</v>
      </c>
      <c r="E1277" s="13" t="s">
        <v>5112</v>
      </c>
      <c r="F1277" s="13" t="s">
        <v>5113</v>
      </c>
      <c r="G1277" s="13" t="s">
        <v>5114</v>
      </c>
      <c r="H1277" s="13" t="s">
        <v>5115</v>
      </c>
      <c r="I1277" s="13" t="s">
        <v>82</v>
      </c>
      <c r="J1277" s="13" t="s">
        <v>83</v>
      </c>
      <c r="K1277" s="13"/>
      <c r="L1277" s="13" t="s">
        <v>5116</v>
      </c>
      <c r="M1277" s="13" t="s">
        <v>5117</v>
      </c>
    </row>
    <row r="1278" customFormat="false" ht="46.25" hidden="false" customHeight="false" outlineLevel="0" collapsed="false">
      <c r="A1278" s="13" t="s">
        <v>3</v>
      </c>
      <c r="B1278" s="13" t="s">
        <v>4108</v>
      </c>
      <c r="C1278" s="13" t="n">
        <v>337</v>
      </c>
      <c r="D1278" s="13" t="s">
        <v>5111</v>
      </c>
      <c r="E1278" s="13" t="s">
        <v>5118</v>
      </c>
      <c r="F1278" s="13" t="s">
        <v>5113</v>
      </c>
      <c r="G1278" s="13" t="s">
        <v>5114</v>
      </c>
      <c r="H1278" s="13" t="s">
        <v>5119</v>
      </c>
      <c r="I1278" s="13" t="s">
        <v>82</v>
      </c>
      <c r="J1278" s="13" t="s">
        <v>83</v>
      </c>
      <c r="K1278" s="13"/>
      <c r="L1278" s="13" t="s">
        <v>5116</v>
      </c>
      <c r="M1278" s="13" t="s">
        <v>5117</v>
      </c>
    </row>
    <row r="1279" customFormat="false" ht="46.25" hidden="false" customHeight="false" outlineLevel="0" collapsed="false">
      <c r="A1279" s="13" t="s">
        <v>3</v>
      </c>
      <c r="B1279" s="13" t="s">
        <v>4108</v>
      </c>
      <c r="C1279" s="13" t="n">
        <v>337</v>
      </c>
      <c r="D1279" s="13" t="s">
        <v>5111</v>
      </c>
      <c r="E1279" s="13" t="s">
        <v>5120</v>
      </c>
      <c r="F1279" s="13" t="s">
        <v>5113</v>
      </c>
      <c r="G1279" s="13" t="s">
        <v>5114</v>
      </c>
      <c r="H1279" s="13" t="s">
        <v>5121</v>
      </c>
      <c r="I1279" s="13" t="s">
        <v>82</v>
      </c>
      <c r="J1279" s="13" t="s">
        <v>83</v>
      </c>
      <c r="K1279" s="13"/>
      <c r="L1279" s="13" t="s">
        <v>5116</v>
      </c>
      <c r="M1279" s="13" t="s">
        <v>5117</v>
      </c>
    </row>
    <row r="1280" customFormat="false" ht="46.25" hidden="false" customHeight="false" outlineLevel="0" collapsed="false">
      <c r="A1280" s="13" t="s">
        <v>3</v>
      </c>
      <c r="B1280" s="13" t="s">
        <v>4108</v>
      </c>
      <c r="C1280" s="13" t="n">
        <v>337</v>
      </c>
      <c r="D1280" s="13" t="s">
        <v>5111</v>
      </c>
      <c r="E1280" s="13" t="s">
        <v>5122</v>
      </c>
      <c r="F1280" s="13" t="s">
        <v>5113</v>
      </c>
      <c r="G1280" s="13" t="s">
        <v>5114</v>
      </c>
      <c r="H1280" s="13" t="s">
        <v>5123</v>
      </c>
      <c r="I1280" s="13" t="s">
        <v>82</v>
      </c>
      <c r="J1280" s="13" t="s">
        <v>83</v>
      </c>
      <c r="K1280" s="13"/>
      <c r="L1280" s="13" t="s">
        <v>5116</v>
      </c>
      <c r="M1280" s="13" t="s">
        <v>5117</v>
      </c>
    </row>
    <row r="1281" customFormat="false" ht="46.25" hidden="false" customHeight="false" outlineLevel="0" collapsed="false">
      <c r="A1281" s="13" t="s">
        <v>3</v>
      </c>
      <c r="B1281" s="13" t="s">
        <v>4108</v>
      </c>
      <c r="C1281" s="13" t="n">
        <v>337</v>
      </c>
      <c r="D1281" s="13" t="s">
        <v>5111</v>
      </c>
      <c r="E1281" s="13" t="s">
        <v>5124</v>
      </c>
      <c r="F1281" s="13" t="s">
        <v>5113</v>
      </c>
      <c r="G1281" s="13" t="s">
        <v>5114</v>
      </c>
      <c r="H1281" s="13" t="s">
        <v>5125</v>
      </c>
      <c r="I1281" s="13" t="s">
        <v>82</v>
      </c>
      <c r="J1281" s="13" t="s">
        <v>83</v>
      </c>
      <c r="K1281" s="13"/>
      <c r="L1281" s="13" t="s">
        <v>5116</v>
      </c>
      <c r="M1281" s="13" t="s">
        <v>5117</v>
      </c>
    </row>
    <row r="1282" customFormat="false" ht="46.25" hidden="false" customHeight="false" outlineLevel="0" collapsed="false">
      <c r="A1282" s="13" t="s">
        <v>3</v>
      </c>
      <c r="B1282" s="13" t="s">
        <v>4108</v>
      </c>
      <c r="C1282" s="13" t="n">
        <v>337</v>
      </c>
      <c r="D1282" s="13" t="s">
        <v>5111</v>
      </c>
      <c r="E1282" s="13" t="s">
        <v>5126</v>
      </c>
      <c r="F1282" s="13" t="s">
        <v>5113</v>
      </c>
      <c r="G1282" s="13" t="s">
        <v>5127</v>
      </c>
      <c r="H1282" s="13" t="s">
        <v>5128</v>
      </c>
      <c r="I1282" s="13" t="s">
        <v>82</v>
      </c>
      <c r="J1282" s="13" t="s">
        <v>83</v>
      </c>
      <c r="K1282" s="13"/>
      <c r="L1282" s="13" t="s">
        <v>5116</v>
      </c>
      <c r="M1282" s="13" t="s">
        <v>5117</v>
      </c>
    </row>
    <row r="1283" customFormat="false" ht="46.25" hidden="false" customHeight="false" outlineLevel="0" collapsed="false">
      <c r="A1283" s="13" t="s">
        <v>3</v>
      </c>
      <c r="B1283" s="13" t="s">
        <v>4108</v>
      </c>
      <c r="C1283" s="13" t="n">
        <v>401</v>
      </c>
      <c r="D1283" s="13" t="s">
        <v>5129</v>
      </c>
      <c r="E1283" s="13" t="s">
        <v>5130</v>
      </c>
      <c r="F1283" s="13" t="s">
        <v>5131</v>
      </c>
      <c r="G1283" s="13" t="s">
        <v>5132</v>
      </c>
      <c r="H1283" s="13" t="s">
        <v>5133</v>
      </c>
      <c r="I1283" s="13" t="s">
        <v>82</v>
      </c>
      <c r="J1283" s="13" t="s">
        <v>83</v>
      </c>
      <c r="K1283" s="13"/>
      <c r="L1283" s="13" t="s">
        <v>5134</v>
      </c>
      <c r="M1283" s="13" t="s">
        <v>5135</v>
      </c>
    </row>
    <row r="1284" customFormat="false" ht="46.25" hidden="false" customHeight="false" outlineLevel="0" collapsed="false">
      <c r="A1284" s="13" t="s">
        <v>3</v>
      </c>
      <c r="B1284" s="13" t="s">
        <v>4108</v>
      </c>
      <c r="C1284" s="13" t="n">
        <v>401</v>
      </c>
      <c r="D1284" s="13" t="s">
        <v>5129</v>
      </c>
      <c r="E1284" s="13" t="s">
        <v>5136</v>
      </c>
      <c r="F1284" s="13" t="s">
        <v>5137</v>
      </c>
      <c r="G1284" s="13" t="s">
        <v>5138</v>
      </c>
      <c r="H1284" s="13" t="s">
        <v>5139</v>
      </c>
      <c r="I1284" s="13" t="s">
        <v>82</v>
      </c>
      <c r="J1284" s="13" t="s">
        <v>83</v>
      </c>
      <c r="K1284" s="13"/>
      <c r="L1284" s="13" t="s">
        <v>5134</v>
      </c>
      <c r="M1284" s="13" t="s">
        <v>5135</v>
      </c>
    </row>
    <row r="1285" customFormat="false" ht="46.25" hidden="false" customHeight="false" outlineLevel="0" collapsed="false">
      <c r="A1285" s="13" t="s">
        <v>3</v>
      </c>
      <c r="B1285" s="13" t="s">
        <v>4108</v>
      </c>
      <c r="C1285" s="13" t="n">
        <v>401</v>
      </c>
      <c r="D1285" s="13" t="s">
        <v>5140</v>
      </c>
      <c r="E1285" s="13" t="s">
        <v>5141</v>
      </c>
      <c r="F1285" s="13" t="s">
        <v>5142</v>
      </c>
      <c r="G1285" s="13" t="s">
        <v>5143</v>
      </c>
      <c r="H1285" s="13" t="s">
        <v>5144</v>
      </c>
      <c r="I1285" s="13" t="s">
        <v>82</v>
      </c>
      <c r="J1285" s="13" t="s">
        <v>83</v>
      </c>
      <c r="K1285" s="13"/>
      <c r="L1285" s="13" t="s">
        <v>5145</v>
      </c>
      <c r="M1285" s="13" t="s">
        <v>5146</v>
      </c>
    </row>
    <row r="1286" customFormat="false" ht="46.25" hidden="false" customHeight="false" outlineLevel="0" collapsed="false">
      <c r="A1286" s="13" t="s">
        <v>3</v>
      </c>
      <c r="B1286" s="13" t="s">
        <v>4108</v>
      </c>
      <c r="C1286" s="13" t="n">
        <v>401</v>
      </c>
      <c r="D1286" s="13" t="s">
        <v>5140</v>
      </c>
      <c r="E1286" s="13" t="s">
        <v>5147</v>
      </c>
      <c r="F1286" s="13" t="s">
        <v>5142</v>
      </c>
      <c r="G1286" s="13" t="s">
        <v>5148</v>
      </c>
      <c r="H1286" s="13" t="s">
        <v>5149</v>
      </c>
      <c r="I1286" s="13" t="s">
        <v>82</v>
      </c>
      <c r="J1286" s="13" t="s">
        <v>83</v>
      </c>
      <c r="K1286" s="13"/>
      <c r="L1286" s="13" t="s">
        <v>5145</v>
      </c>
      <c r="M1286" s="13" t="s">
        <v>5146</v>
      </c>
    </row>
    <row r="1287" customFormat="false" ht="57.45" hidden="false" customHeight="false" outlineLevel="0" collapsed="false">
      <c r="A1287" s="13" t="s">
        <v>3</v>
      </c>
      <c r="B1287" s="13" t="s">
        <v>4108</v>
      </c>
      <c r="C1287" s="13" t="n">
        <v>401</v>
      </c>
      <c r="D1287" s="13" t="s">
        <v>5150</v>
      </c>
      <c r="E1287" s="13" t="s">
        <v>5151</v>
      </c>
      <c r="F1287" s="13" t="s">
        <v>806</v>
      </c>
      <c r="G1287" s="13" t="s">
        <v>5152</v>
      </c>
      <c r="H1287" s="13" t="s">
        <v>5153</v>
      </c>
      <c r="I1287" s="13" t="s">
        <v>82</v>
      </c>
      <c r="J1287" s="13" t="s">
        <v>83</v>
      </c>
      <c r="K1287" s="13"/>
      <c r="L1287" s="13" t="s">
        <v>5154</v>
      </c>
      <c r="M1287" s="13" t="s">
        <v>5155</v>
      </c>
    </row>
    <row r="1288" customFormat="false" ht="57.45" hidden="false" customHeight="false" outlineLevel="0" collapsed="false">
      <c r="A1288" s="13" t="s">
        <v>3</v>
      </c>
      <c r="B1288" s="13" t="s">
        <v>4108</v>
      </c>
      <c r="C1288" s="13" t="n">
        <v>401</v>
      </c>
      <c r="D1288" s="13" t="s">
        <v>5150</v>
      </c>
      <c r="E1288" s="13" t="s">
        <v>5156</v>
      </c>
      <c r="F1288" s="13" t="s">
        <v>806</v>
      </c>
      <c r="G1288" s="13" t="s">
        <v>5157</v>
      </c>
      <c r="H1288" s="13" t="s">
        <v>5158</v>
      </c>
      <c r="I1288" s="13" t="s">
        <v>82</v>
      </c>
      <c r="J1288" s="13" t="s">
        <v>83</v>
      </c>
      <c r="K1288" s="13"/>
      <c r="L1288" s="13" t="s">
        <v>5154</v>
      </c>
      <c r="M1288" s="13" t="s">
        <v>5155</v>
      </c>
    </row>
    <row r="1289" customFormat="false" ht="23.85" hidden="false" customHeight="false" outlineLevel="0" collapsed="false">
      <c r="A1289" s="13" t="s">
        <v>3</v>
      </c>
      <c r="B1289" s="13" t="s">
        <v>4108</v>
      </c>
      <c r="C1289" s="13" t="n">
        <v>401</v>
      </c>
      <c r="D1289" s="13" t="s">
        <v>5159</v>
      </c>
      <c r="E1289" s="13" t="s">
        <v>5160</v>
      </c>
      <c r="F1289" s="13" t="s">
        <v>5161</v>
      </c>
      <c r="G1289" s="13" t="s">
        <v>5162</v>
      </c>
      <c r="H1289" s="13" t="s">
        <v>5163</v>
      </c>
      <c r="I1289" s="13" t="s">
        <v>82</v>
      </c>
      <c r="J1289" s="13" t="s">
        <v>83</v>
      </c>
      <c r="K1289" s="13"/>
      <c r="L1289" s="13" t="s">
        <v>5164</v>
      </c>
      <c r="M1289" s="13" t="s">
        <v>5165</v>
      </c>
    </row>
    <row r="1290" customFormat="false" ht="23.85" hidden="false" customHeight="false" outlineLevel="0" collapsed="false">
      <c r="A1290" s="13" t="s">
        <v>3</v>
      </c>
      <c r="B1290" s="13" t="s">
        <v>4108</v>
      </c>
      <c r="C1290" s="13" t="n">
        <v>401</v>
      </c>
      <c r="D1290" s="13" t="s">
        <v>5159</v>
      </c>
      <c r="E1290" s="13" t="s">
        <v>5166</v>
      </c>
      <c r="F1290" s="13" t="s">
        <v>5167</v>
      </c>
      <c r="G1290" s="13" t="s">
        <v>5168</v>
      </c>
      <c r="H1290" s="13" t="s">
        <v>5169</v>
      </c>
      <c r="I1290" s="13" t="s">
        <v>82</v>
      </c>
      <c r="J1290" s="13" t="s">
        <v>83</v>
      </c>
      <c r="K1290" s="13"/>
      <c r="L1290" s="13" t="s">
        <v>5164</v>
      </c>
      <c r="M1290" s="13" t="s">
        <v>5165</v>
      </c>
    </row>
    <row r="1291" customFormat="false" ht="46.25" hidden="false" customHeight="false" outlineLevel="0" collapsed="false">
      <c r="A1291" s="13" t="s">
        <v>3</v>
      </c>
      <c r="B1291" s="13" t="s">
        <v>4108</v>
      </c>
      <c r="C1291" s="13" t="n">
        <v>401</v>
      </c>
      <c r="D1291" s="13" t="s">
        <v>5170</v>
      </c>
      <c r="E1291" s="13" t="s">
        <v>5171</v>
      </c>
      <c r="F1291" s="13" t="s">
        <v>806</v>
      </c>
      <c r="G1291" s="13" t="s">
        <v>5172</v>
      </c>
      <c r="H1291" s="13" t="s">
        <v>5173</v>
      </c>
      <c r="I1291" s="13" t="s">
        <v>82</v>
      </c>
      <c r="J1291" s="13" t="s">
        <v>83</v>
      </c>
      <c r="K1291" s="13"/>
      <c r="L1291" s="13" t="s">
        <v>5174</v>
      </c>
      <c r="M1291" s="13" t="s">
        <v>5175</v>
      </c>
    </row>
    <row r="1292" customFormat="false" ht="46.25" hidden="false" customHeight="false" outlineLevel="0" collapsed="false">
      <c r="A1292" s="13" t="s">
        <v>3</v>
      </c>
      <c r="B1292" s="13" t="s">
        <v>4108</v>
      </c>
      <c r="C1292" s="13" t="n">
        <v>401</v>
      </c>
      <c r="D1292" s="13" t="s">
        <v>5170</v>
      </c>
      <c r="E1292" s="13" t="s">
        <v>5176</v>
      </c>
      <c r="F1292" s="13" t="s">
        <v>806</v>
      </c>
      <c r="G1292" s="13" t="s">
        <v>5172</v>
      </c>
      <c r="H1292" s="13" t="s">
        <v>5177</v>
      </c>
      <c r="I1292" s="13" t="s">
        <v>82</v>
      </c>
      <c r="J1292" s="13" t="s">
        <v>83</v>
      </c>
      <c r="K1292" s="13"/>
      <c r="L1292" s="13" t="s">
        <v>5174</v>
      </c>
      <c r="M1292" s="13" t="s">
        <v>5175</v>
      </c>
    </row>
    <row r="1293" customFormat="false" ht="46.25" hidden="false" customHeight="false" outlineLevel="0" collapsed="false">
      <c r="A1293" s="13" t="s">
        <v>3</v>
      </c>
      <c r="B1293" s="13" t="s">
        <v>4108</v>
      </c>
      <c r="C1293" s="13" t="n">
        <v>401</v>
      </c>
      <c r="D1293" s="13" t="s">
        <v>5170</v>
      </c>
      <c r="E1293" s="13" t="s">
        <v>5178</v>
      </c>
      <c r="F1293" s="13" t="s">
        <v>806</v>
      </c>
      <c r="G1293" s="13" t="s">
        <v>5172</v>
      </c>
      <c r="H1293" s="13" t="s">
        <v>5179</v>
      </c>
      <c r="I1293" s="13" t="s">
        <v>82</v>
      </c>
      <c r="J1293" s="13" t="s">
        <v>83</v>
      </c>
      <c r="K1293" s="13"/>
      <c r="L1293" s="13" t="s">
        <v>5174</v>
      </c>
      <c r="M1293" s="13" t="s">
        <v>5175</v>
      </c>
    </row>
    <row r="1294" customFormat="false" ht="23.85" hidden="false" customHeight="false" outlineLevel="0" collapsed="false">
      <c r="A1294" s="13" t="s">
        <v>3</v>
      </c>
      <c r="B1294" s="13" t="s">
        <v>4108</v>
      </c>
      <c r="C1294" s="13" t="n">
        <v>401</v>
      </c>
      <c r="D1294" s="13" t="s">
        <v>5180</v>
      </c>
      <c r="E1294" s="13" t="s">
        <v>5181</v>
      </c>
      <c r="F1294" s="13" t="s">
        <v>806</v>
      </c>
      <c r="G1294" s="13" t="s">
        <v>899</v>
      </c>
      <c r="H1294" s="13" t="s">
        <v>5182</v>
      </c>
      <c r="I1294" s="13" t="s">
        <v>82</v>
      </c>
      <c r="J1294" s="13" t="s">
        <v>83</v>
      </c>
      <c r="K1294" s="13"/>
      <c r="L1294" s="13" t="s">
        <v>5183</v>
      </c>
      <c r="M1294" s="13" t="s">
        <v>5184</v>
      </c>
    </row>
    <row r="1295" customFormat="false" ht="23.85" hidden="false" customHeight="false" outlineLevel="0" collapsed="false">
      <c r="A1295" s="13" t="s">
        <v>3</v>
      </c>
      <c r="B1295" s="13" t="s">
        <v>4108</v>
      </c>
      <c r="C1295" s="13" t="n">
        <v>401</v>
      </c>
      <c r="D1295" s="13" t="s">
        <v>5180</v>
      </c>
      <c r="E1295" s="13" t="s">
        <v>5185</v>
      </c>
      <c r="F1295" s="13" t="s">
        <v>5142</v>
      </c>
      <c r="G1295" s="13" t="s">
        <v>5186</v>
      </c>
      <c r="H1295" s="13" t="s">
        <v>5187</v>
      </c>
      <c r="I1295" s="13" t="s">
        <v>82</v>
      </c>
      <c r="J1295" s="13" t="s">
        <v>83</v>
      </c>
      <c r="K1295" s="13"/>
      <c r="L1295" s="13" t="s">
        <v>5183</v>
      </c>
      <c r="M1295" s="13" t="s">
        <v>5184</v>
      </c>
    </row>
    <row r="1296" customFormat="false" ht="23.85" hidden="false" customHeight="false" outlineLevel="0" collapsed="false">
      <c r="A1296" s="13" t="s">
        <v>3</v>
      </c>
      <c r="B1296" s="13" t="s">
        <v>4108</v>
      </c>
      <c r="C1296" s="13" t="n">
        <v>401</v>
      </c>
      <c r="D1296" s="13" t="s">
        <v>5188</v>
      </c>
      <c r="E1296" s="13" t="s">
        <v>5189</v>
      </c>
      <c r="F1296" s="13" t="s">
        <v>5190</v>
      </c>
      <c r="G1296" s="13" t="s">
        <v>5191</v>
      </c>
      <c r="H1296" s="13" t="s">
        <v>5182</v>
      </c>
      <c r="I1296" s="13" t="s">
        <v>82</v>
      </c>
      <c r="J1296" s="13" t="s">
        <v>83</v>
      </c>
      <c r="K1296" s="13"/>
      <c r="L1296" s="13" t="s">
        <v>5192</v>
      </c>
      <c r="M1296" s="13" t="s">
        <v>5193</v>
      </c>
    </row>
    <row r="1297" customFormat="false" ht="23.85" hidden="false" customHeight="false" outlineLevel="0" collapsed="false">
      <c r="A1297" s="13" t="s">
        <v>3</v>
      </c>
      <c r="B1297" s="13" t="s">
        <v>4108</v>
      </c>
      <c r="C1297" s="13" t="n">
        <v>401</v>
      </c>
      <c r="D1297" s="13" t="s">
        <v>5194</v>
      </c>
      <c r="E1297" s="13" t="s">
        <v>5195</v>
      </c>
      <c r="F1297" s="13" t="s">
        <v>806</v>
      </c>
      <c r="G1297" s="13" t="s">
        <v>5196</v>
      </c>
      <c r="H1297" s="13" t="s">
        <v>5197</v>
      </c>
      <c r="I1297" s="13" t="s">
        <v>82</v>
      </c>
      <c r="J1297" s="13" t="s">
        <v>83</v>
      </c>
      <c r="K1297" s="13"/>
      <c r="L1297" s="13" t="s">
        <v>5198</v>
      </c>
      <c r="M1297" s="13" t="s">
        <v>5199</v>
      </c>
    </row>
    <row r="1298" customFormat="false" ht="23.85" hidden="false" customHeight="false" outlineLevel="0" collapsed="false">
      <c r="A1298" s="13" t="s">
        <v>3</v>
      </c>
      <c r="B1298" s="13" t="s">
        <v>4108</v>
      </c>
      <c r="C1298" s="13" t="n">
        <v>401</v>
      </c>
      <c r="D1298" s="13" t="s">
        <v>5200</v>
      </c>
      <c r="E1298" s="13" t="s">
        <v>5201</v>
      </c>
      <c r="F1298" s="13" t="s">
        <v>806</v>
      </c>
      <c r="G1298" s="13" t="s">
        <v>5157</v>
      </c>
      <c r="H1298" s="13" t="s">
        <v>5202</v>
      </c>
      <c r="I1298" s="13" t="s">
        <v>82</v>
      </c>
      <c r="J1298" s="13" t="s">
        <v>83</v>
      </c>
      <c r="K1298" s="13"/>
      <c r="L1298" s="13" t="s">
        <v>5203</v>
      </c>
      <c r="M1298" s="13" t="s">
        <v>5204</v>
      </c>
    </row>
    <row r="1299" customFormat="false" ht="35.05" hidden="false" customHeight="false" outlineLevel="0" collapsed="false">
      <c r="A1299" s="13" t="s">
        <v>3</v>
      </c>
      <c r="B1299" s="13" t="s">
        <v>4108</v>
      </c>
      <c r="C1299" s="13" t="n">
        <v>401</v>
      </c>
      <c r="D1299" s="13" t="s">
        <v>5205</v>
      </c>
      <c r="E1299" s="13" t="s">
        <v>5206</v>
      </c>
      <c r="F1299" s="13" t="s">
        <v>5207</v>
      </c>
      <c r="G1299" s="13" t="s">
        <v>5208</v>
      </c>
      <c r="H1299" s="13" t="s">
        <v>5209</v>
      </c>
      <c r="I1299" s="13" t="s">
        <v>82</v>
      </c>
      <c r="J1299" s="13" t="s">
        <v>83</v>
      </c>
      <c r="K1299" s="13"/>
      <c r="L1299" s="13" t="s">
        <v>5210</v>
      </c>
      <c r="M1299" s="13" t="s">
        <v>5211</v>
      </c>
    </row>
    <row r="1300" customFormat="false" ht="23.85" hidden="false" customHeight="false" outlineLevel="0" collapsed="false">
      <c r="A1300" s="13" t="s">
        <v>3</v>
      </c>
      <c r="B1300" s="13" t="s">
        <v>4108</v>
      </c>
      <c r="C1300" s="13" t="n">
        <v>401</v>
      </c>
      <c r="D1300" s="13" t="s">
        <v>5212</v>
      </c>
      <c r="E1300" s="13" t="s">
        <v>5213</v>
      </c>
      <c r="F1300" s="13" t="s">
        <v>5190</v>
      </c>
      <c r="G1300" s="13" t="s">
        <v>5208</v>
      </c>
      <c r="H1300" s="13" t="s">
        <v>5214</v>
      </c>
      <c r="I1300" s="13" t="s">
        <v>82</v>
      </c>
      <c r="J1300" s="13" t="s">
        <v>83</v>
      </c>
      <c r="K1300" s="13"/>
      <c r="L1300" s="13" t="s">
        <v>5215</v>
      </c>
      <c r="M1300" s="13" t="s">
        <v>5216</v>
      </c>
    </row>
    <row r="1301" customFormat="false" ht="46.25" hidden="false" customHeight="false" outlineLevel="0" collapsed="false">
      <c r="A1301" s="13" t="s">
        <v>3</v>
      </c>
      <c r="B1301" s="13" t="s">
        <v>4108</v>
      </c>
      <c r="C1301" s="13" t="n">
        <v>401</v>
      </c>
      <c r="D1301" s="13" t="s">
        <v>5217</v>
      </c>
      <c r="E1301" s="13" t="s">
        <v>5218</v>
      </c>
      <c r="F1301" s="13" t="s">
        <v>5219</v>
      </c>
      <c r="G1301" s="13" t="s">
        <v>5208</v>
      </c>
      <c r="H1301" s="13" t="s">
        <v>5220</v>
      </c>
      <c r="I1301" s="13" t="s">
        <v>74</v>
      </c>
      <c r="J1301" s="13" t="s">
        <v>5221</v>
      </c>
      <c r="K1301" s="13" t="s">
        <v>5222</v>
      </c>
      <c r="L1301" s="13" t="s">
        <v>5223</v>
      </c>
      <c r="M1301" s="13" t="s">
        <v>5224</v>
      </c>
    </row>
    <row r="1302" customFormat="false" ht="23.85" hidden="false" customHeight="false" outlineLevel="0" collapsed="false">
      <c r="A1302" s="13" t="s">
        <v>3</v>
      </c>
      <c r="B1302" s="13" t="s">
        <v>4108</v>
      </c>
      <c r="C1302" s="13" t="n">
        <v>401</v>
      </c>
      <c r="D1302" s="13" t="s">
        <v>5225</v>
      </c>
      <c r="E1302" s="13" t="s">
        <v>5226</v>
      </c>
      <c r="F1302" s="13" t="s">
        <v>5142</v>
      </c>
      <c r="G1302" s="13" t="s">
        <v>5227</v>
      </c>
      <c r="H1302" s="13" t="s">
        <v>5228</v>
      </c>
      <c r="I1302" s="13" t="s">
        <v>82</v>
      </c>
      <c r="J1302" s="13" t="s">
        <v>83</v>
      </c>
      <c r="K1302" s="13"/>
      <c r="L1302" s="13" t="s">
        <v>5229</v>
      </c>
      <c r="M1302" s="13" t="s">
        <v>5230</v>
      </c>
    </row>
    <row r="1303" customFormat="false" ht="23.85" hidden="false" customHeight="false" outlineLevel="0" collapsed="false">
      <c r="A1303" s="13" t="s">
        <v>3</v>
      </c>
      <c r="B1303" s="13" t="s">
        <v>4108</v>
      </c>
      <c r="C1303" s="13" t="n">
        <v>401</v>
      </c>
      <c r="D1303" s="13" t="s">
        <v>5231</v>
      </c>
      <c r="E1303" s="13" t="s">
        <v>5232</v>
      </c>
      <c r="F1303" s="13" t="s">
        <v>806</v>
      </c>
      <c r="G1303" s="13" t="s">
        <v>5196</v>
      </c>
      <c r="H1303" s="13" t="s">
        <v>5233</v>
      </c>
      <c r="I1303" s="13" t="s">
        <v>82</v>
      </c>
      <c r="J1303" s="13" t="s">
        <v>83</v>
      </c>
      <c r="K1303" s="13"/>
      <c r="L1303" s="13" t="s">
        <v>5234</v>
      </c>
      <c r="M1303" s="13" t="s">
        <v>5235</v>
      </c>
    </row>
    <row r="1304" customFormat="false" ht="23.85" hidden="false" customHeight="false" outlineLevel="0" collapsed="false">
      <c r="A1304" s="13" t="s">
        <v>3</v>
      </c>
      <c r="B1304" s="13" t="s">
        <v>4108</v>
      </c>
      <c r="C1304" s="13" t="n">
        <v>401</v>
      </c>
      <c r="D1304" s="13" t="s">
        <v>5236</v>
      </c>
      <c r="E1304" s="13" t="s">
        <v>5237</v>
      </c>
      <c r="F1304" s="13" t="s">
        <v>4997</v>
      </c>
      <c r="G1304" s="13" t="s">
        <v>5238</v>
      </c>
      <c r="H1304" s="13" t="s">
        <v>806</v>
      </c>
      <c r="I1304" s="13" t="s">
        <v>82</v>
      </c>
      <c r="J1304" s="13" t="s">
        <v>83</v>
      </c>
      <c r="K1304" s="13"/>
      <c r="L1304" s="13" t="s">
        <v>5239</v>
      </c>
      <c r="M1304" s="13" t="s">
        <v>5240</v>
      </c>
    </row>
    <row r="1305" customFormat="false" ht="23.85" hidden="false" customHeight="false" outlineLevel="0" collapsed="false">
      <c r="A1305" s="13" t="s">
        <v>3</v>
      </c>
      <c r="B1305" s="13" t="s">
        <v>4108</v>
      </c>
      <c r="C1305" s="13" t="n">
        <v>401</v>
      </c>
      <c r="D1305" s="13" t="s">
        <v>5241</v>
      </c>
      <c r="E1305" s="13" t="s">
        <v>5242</v>
      </c>
      <c r="F1305" s="13" t="s">
        <v>806</v>
      </c>
      <c r="G1305" s="13" t="s">
        <v>5243</v>
      </c>
      <c r="H1305" s="13" t="s">
        <v>5244</v>
      </c>
      <c r="I1305" s="13" t="s">
        <v>82</v>
      </c>
      <c r="J1305" s="13" t="s">
        <v>83</v>
      </c>
      <c r="K1305" s="13"/>
      <c r="L1305" s="13" t="s">
        <v>5245</v>
      </c>
      <c r="M1305" s="13" t="s">
        <v>5246</v>
      </c>
    </row>
    <row r="1306" customFormat="false" ht="68.65" hidden="false" customHeight="false" outlineLevel="0" collapsed="false">
      <c r="A1306" s="13" t="s">
        <v>3</v>
      </c>
      <c r="B1306" s="13" t="s">
        <v>4108</v>
      </c>
      <c r="C1306" s="13" t="n">
        <v>401</v>
      </c>
      <c r="D1306" s="13" t="s">
        <v>5247</v>
      </c>
      <c r="E1306" s="13" t="s">
        <v>5248</v>
      </c>
      <c r="F1306" s="13" t="s">
        <v>5249</v>
      </c>
      <c r="G1306" s="13" t="s">
        <v>5168</v>
      </c>
      <c r="H1306" s="13" t="s">
        <v>5250</v>
      </c>
      <c r="I1306" s="13" t="s">
        <v>82</v>
      </c>
      <c r="J1306" s="13" t="s">
        <v>83</v>
      </c>
      <c r="K1306" s="13"/>
      <c r="L1306" s="13" t="s">
        <v>5251</v>
      </c>
      <c r="M1306" s="13" t="s">
        <v>5252</v>
      </c>
    </row>
    <row r="1307" customFormat="false" ht="68.65" hidden="false" customHeight="false" outlineLevel="0" collapsed="false">
      <c r="A1307" s="13" t="s">
        <v>3</v>
      </c>
      <c r="B1307" s="13" t="s">
        <v>4108</v>
      </c>
      <c r="C1307" s="13" t="n">
        <v>401</v>
      </c>
      <c r="D1307" s="13" t="s">
        <v>5247</v>
      </c>
      <c r="E1307" s="13" t="s">
        <v>5253</v>
      </c>
      <c r="F1307" s="13" t="s">
        <v>2178</v>
      </c>
      <c r="G1307" s="13" t="s">
        <v>5254</v>
      </c>
      <c r="H1307" s="13" t="s">
        <v>5255</v>
      </c>
      <c r="I1307" s="13" t="s">
        <v>82</v>
      </c>
      <c r="J1307" s="13" t="s">
        <v>83</v>
      </c>
      <c r="K1307" s="13"/>
      <c r="L1307" s="13" t="s">
        <v>5251</v>
      </c>
      <c r="M1307" s="13" t="s">
        <v>5252</v>
      </c>
    </row>
    <row r="1308" customFormat="false" ht="23.85" hidden="false" customHeight="false" outlineLevel="0" collapsed="false">
      <c r="A1308" s="13" t="s">
        <v>3</v>
      </c>
      <c r="B1308" s="13" t="s">
        <v>4108</v>
      </c>
      <c r="C1308" s="13" t="n">
        <v>401</v>
      </c>
      <c r="D1308" s="13" t="s">
        <v>5256</v>
      </c>
      <c r="E1308" s="13" t="s">
        <v>5257</v>
      </c>
      <c r="F1308" s="13" t="s">
        <v>806</v>
      </c>
      <c r="G1308" s="13" t="s">
        <v>4528</v>
      </c>
      <c r="H1308" s="13" t="s">
        <v>5258</v>
      </c>
      <c r="I1308" s="13" t="s">
        <v>82</v>
      </c>
      <c r="J1308" s="13" t="s">
        <v>83</v>
      </c>
      <c r="K1308" s="13"/>
      <c r="L1308" s="13" t="s">
        <v>5259</v>
      </c>
      <c r="M1308" s="13" t="s">
        <v>5260</v>
      </c>
    </row>
    <row r="1309" customFormat="false" ht="35.05" hidden="false" customHeight="false" outlineLevel="0" collapsed="false">
      <c r="A1309" s="13" t="s">
        <v>3</v>
      </c>
      <c r="B1309" s="13" t="s">
        <v>4108</v>
      </c>
      <c r="C1309" s="13" t="n">
        <v>401</v>
      </c>
      <c r="D1309" s="13" t="s">
        <v>5261</v>
      </c>
      <c r="E1309" s="13" t="s">
        <v>5262</v>
      </c>
      <c r="F1309" s="13" t="s">
        <v>806</v>
      </c>
      <c r="G1309" s="13" t="s">
        <v>1532</v>
      </c>
      <c r="H1309" s="13" t="s">
        <v>5263</v>
      </c>
      <c r="I1309" s="13" t="s">
        <v>82</v>
      </c>
      <c r="J1309" s="13" t="s">
        <v>83</v>
      </c>
      <c r="K1309" s="13"/>
      <c r="L1309" s="13" t="s">
        <v>5264</v>
      </c>
      <c r="M1309" s="13" t="s">
        <v>5265</v>
      </c>
    </row>
    <row r="1310" customFormat="false" ht="35.05" hidden="false" customHeight="false" outlineLevel="0" collapsed="false">
      <c r="A1310" s="13" t="s">
        <v>3</v>
      </c>
      <c r="B1310" s="13" t="s">
        <v>4108</v>
      </c>
      <c r="C1310" s="13" t="n">
        <v>401</v>
      </c>
      <c r="D1310" s="13" t="s">
        <v>5261</v>
      </c>
      <c r="E1310" s="13" t="s">
        <v>5266</v>
      </c>
      <c r="F1310" s="13" t="s">
        <v>806</v>
      </c>
      <c r="G1310" s="13" t="s">
        <v>5267</v>
      </c>
      <c r="H1310" s="13" t="s">
        <v>5268</v>
      </c>
      <c r="I1310" s="13" t="s">
        <v>82</v>
      </c>
      <c r="J1310" s="13" t="s">
        <v>83</v>
      </c>
      <c r="K1310" s="13"/>
      <c r="L1310" s="13" t="s">
        <v>5264</v>
      </c>
      <c r="M1310" s="13" t="s">
        <v>5265</v>
      </c>
    </row>
    <row r="1311" customFormat="false" ht="46.25" hidden="false" customHeight="false" outlineLevel="0" collapsed="false">
      <c r="A1311" s="13" t="s">
        <v>3</v>
      </c>
      <c r="B1311" s="13" t="s">
        <v>4108</v>
      </c>
      <c r="C1311" s="13" t="n">
        <v>401</v>
      </c>
      <c r="D1311" s="13" t="s">
        <v>5269</v>
      </c>
      <c r="E1311" s="13" t="s">
        <v>5270</v>
      </c>
      <c r="F1311" s="13" t="s">
        <v>5271</v>
      </c>
      <c r="G1311" s="13" t="s">
        <v>5272</v>
      </c>
      <c r="H1311" s="13" t="s">
        <v>3585</v>
      </c>
      <c r="I1311" s="13" t="s">
        <v>82</v>
      </c>
      <c r="J1311" s="13" t="s">
        <v>83</v>
      </c>
      <c r="K1311" s="13"/>
      <c r="L1311" s="13" t="s">
        <v>5273</v>
      </c>
      <c r="M1311" s="13" t="s">
        <v>5274</v>
      </c>
    </row>
    <row r="1312" customFormat="false" ht="46.25" hidden="false" customHeight="false" outlineLevel="0" collapsed="false">
      <c r="A1312" s="13" t="s">
        <v>3</v>
      </c>
      <c r="B1312" s="13" t="s">
        <v>4108</v>
      </c>
      <c r="C1312" s="13" t="n">
        <v>401</v>
      </c>
      <c r="D1312" s="13" t="s">
        <v>5269</v>
      </c>
      <c r="E1312" s="13" t="s">
        <v>5275</v>
      </c>
      <c r="F1312" s="13" t="s">
        <v>5142</v>
      </c>
      <c r="G1312" s="13" t="s">
        <v>5276</v>
      </c>
      <c r="H1312" s="13" t="s">
        <v>5277</v>
      </c>
      <c r="I1312" s="13" t="s">
        <v>82</v>
      </c>
      <c r="J1312" s="13" t="s">
        <v>83</v>
      </c>
      <c r="K1312" s="13"/>
      <c r="L1312" s="13" t="s">
        <v>5273</v>
      </c>
      <c r="M1312" s="13" t="s">
        <v>5274</v>
      </c>
    </row>
    <row r="1313" customFormat="false" ht="35.05" hidden="false" customHeight="false" outlineLevel="0" collapsed="false">
      <c r="A1313" s="13" t="s">
        <v>3</v>
      </c>
      <c r="B1313" s="13" t="s">
        <v>4108</v>
      </c>
      <c r="C1313" s="13" t="n">
        <v>437</v>
      </c>
      <c r="D1313" s="13" t="s">
        <v>5278</v>
      </c>
      <c r="E1313" s="13" t="s">
        <v>5279</v>
      </c>
      <c r="F1313" s="13" t="s">
        <v>5280</v>
      </c>
      <c r="G1313" s="13" t="s">
        <v>5281</v>
      </c>
      <c r="H1313" s="13" t="s">
        <v>5282</v>
      </c>
      <c r="I1313" s="13" t="s">
        <v>82</v>
      </c>
      <c r="J1313" s="13" t="s">
        <v>83</v>
      </c>
      <c r="K1313" s="13"/>
      <c r="L1313" s="13" t="s">
        <v>5283</v>
      </c>
      <c r="M1313" s="13" t="s">
        <v>5284</v>
      </c>
    </row>
    <row r="1314" customFormat="false" ht="35.05" hidden="false" customHeight="false" outlineLevel="0" collapsed="false">
      <c r="A1314" s="13" t="s">
        <v>3</v>
      </c>
      <c r="B1314" s="13" t="s">
        <v>4108</v>
      </c>
      <c r="C1314" s="13" t="n">
        <v>437</v>
      </c>
      <c r="D1314" s="13" t="s">
        <v>5278</v>
      </c>
      <c r="E1314" s="13" t="s">
        <v>5285</v>
      </c>
      <c r="F1314" s="13" t="s">
        <v>5282</v>
      </c>
      <c r="G1314" s="13" t="s">
        <v>5286</v>
      </c>
      <c r="H1314" s="13" t="s">
        <v>5287</v>
      </c>
      <c r="I1314" s="13" t="s">
        <v>82</v>
      </c>
      <c r="J1314" s="13" t="s">
        <v>83</v>
      </c>
      <c r="K1314" s="13"/>
      <c r="L1314" s="13" t="s">
        <v>5283</v>
      </c>
      <c r="M1314" s="13" t="s">
        <v>5284</v>
      </c>
    </row>
    <row r="1315" customFormat="false" ht="79.85" hidden="false" customHeight="false" outlineLevel="0" collapsed="false">
      <c r="A1315" s="13" t="s">
        <v>3</v>
      </c>
      <c r="B1315" s="13" t="s">
        <v>4108</v>
      </c>
      <c r="C1315" s="13" t="n">
        <v>437</v>
      </c>
      <c r="D1315" s="13" t="s">
        <v>5288</v>
      </c>
      <c r="E1315" s="13" t="s">
        <v>5289</v>
      </c>
      <c r="F1315" s="13" t="s">
        <v>3585</v>
      </c>
      <c r="G1315" s="13" t="s">
        <v>5290</v>
      </c>
      <c r="H1315" s="13" t="s">
        <v>5282</v>
      </c>
      <c r="I1315" s="13" t="s">
        <v>82</v>
      </c>
      <c r="J1315" s="13" t="s">
        <v>83</v>
      </c>
      <c r="K1315" s="13"/>
      <c r="L1315" s="13" t="s">
        <v>5291</v>
      </c>
      <c r="M1315" s="13" t="s">
        <v>5292</v>
      </c>
    </row>
    <row r="1316" customFormat="false" ht="79.85" hidden="false" customHeight="false" outlineLevel="0" collapsed="false">
      <c r="A1316" s="13" t="s">
        <v>3</v>
      </c>
      <c r="B1316" s="13" t="s">
        <v>4108</v>
      </c>
      <c r="C1316" s="13" t="n">
        <v>437</v>
      </c>
      <c r="D1316" s="13" t="s">
        <v>5288</v>
      </c>
      <c r="E1316" s="13" t="s">
        <v>5293</v>
      </c>
      <c r="F1316" s="13" t="s">
        <v>1480</v>
      </c>
      <c r="G1316" s="13" t="s">
        <v>1481</v>
      </c>
      <c r="H1316" s="13" t="s">
        <v>5294</v>
      </c>
      <c r="I1316" s="13" t="s">
        <v>82</v>
      </c>
      <c r="J1316" s="13" t="s">
        <v>83</v>
      </c>
      <c r="K1316" s="13"/>
      <c r="L1316" s="13" t="s">
        <v>5291</v>
      </c>
      <c r="M1316" s="13" t="s">
        <v>5292</v>
      </c>
    </row>
    <row r="1317" customFormat="false" ht="79.85" hidden="false" customHeight="false" outlineLevel="0" collapsed="false">
      <c r="A1317" s="13" t="s">
        <v>3</v>
      </c>
      <c r="B1317" s="13" t="s">
        <v>4108</v>
      </c>
      <c r="C1317" s="13" t="n">
        <v>437</v>
      </c>
      <c r="D1317" s="13" t="s">
        <v>5288</v>
      </c>
      <c r="E1317" s="13" t="s">
        <v>5295</v>
      </c>
      <c r="F1317" s="13" t="s">
        <v>5294</v>
      </c>
      <c r="G1317" s="13" t="s">
        <v>5296</v>
      </c>
      <c r="H1317" s="13" t="s">
        <v>5282</v>
      </c>
      <c r="I1317" s="13" t="s">
        <v>82</v>
      </c>
      <c r="J1317" s="13" t="s">
        <v>83</v>
      </c>
      <c r="K1317" s="13"/>
      <c r="L1317" s="13" t="s">
        <v>5291</v>
      </c>
      <c r="M1317" s="13" t="s">
        <v>5292</v>
      </c>
    </row>
    <row r="1318" customFormat="false" ht="23.85" hidden="false" customHeight="false" outlineLevel="0" collapsed="false">
      <c r="A1318" s="13" t="s">
        <v>3</v>
      </c>
      <c r="B1318" s="13" t="s">
        <v>4108</v>
      </c>
      <c r="C1318" s="13" t="n">
        <v>437</v>
      </c>
      <c r="D1318" s="13" t="s">
        <v>5297</v>
      </c>
      <c r="E1318" s="13" t="s">
        <v>5298</v>
      </c>
      <c r="F1318" s="13" t="s">
        <v>5280</v>
      </c>
      <c r="G1318" s="13" t="s">
        <v>5299</v>
      </c>
      <c r="H1318" s="13" t="s">
        <v>5300</v>
      </c>
      <c r="I1318" s="13" t="s">
        <v>82</v>
      </c>
      <c r="J1318" s="13" t="s">
        <v>83</v>
      </c>
      <c r="K1318" s="13"/>
      <c r="L1318" s="13" t="s">
        <v>5301</v>
      </c>
      <c r="M1318" s="13" t="s">
        <v>5302</v>
      </c>
    </row>
    <row r="1319" customFormat="false" ht="79.85" hidden="false" customHeight="false" outlineLevel="0" collapsed="false">
      <c r="A1319" s="13" t="s">
        <v>3</v>
      </c>
      <c r="B1319" s="13" t="s">
        <v>4108</v>
      </c>
      <c r="C1319" s="13" t="n">
        <v>437</v>
      </c>
      <c r="D1319" s="13" t="s">
        <v>5303</v>
      </c>
      <c r="E1319" s="13" t="s">
        <v>5304</v>
      </c>
      <c r="F1319" s="13" t="s">
        <v>5305</v>
      </c>
      <c r="G1319" s="13" t="s">
        <v>5086</v>
      </c>
      <c r="H1319" s="13" t="s">
        <v>5306</v>
      </c>
      <c r="I1319" s="13" t="s">
        <v>82</v>
      </c>
      <c r="J1319" s="13" t="s">
        <v>83</v>
      </c>
      <c r="K1319" s="13"/>
      <c r="L1319" s="13" t="s">
        <v>5307</v>
      </c>
      <c r="M1319" s="13" t="s">
        <v>5308</v>
      </c>
    </row>
    <row r="1320" customFormat="false" ht="79.85" hidden="false" customHeight="false" outlineLevel="0" collapsed="false">
      <c r="A1320" s="13" t="s">
        <v>3</v>
      </c>
      <c r="B1320" s="13" t="s">
        <v>4108</v>
      </c>
      <c r="C1320" s="13" t="n">
        <v>437</v>
      </c>
      <c r="D1320" s="13" t="s">
        <v>5303</v>
      </c>
      <c r="E1320" s="13" t="s">
        <v>5309</v>
      </c>
      <c r="F1320" s="13" t="s">
        <v>5305</v>
      </c>
      <c r="G1320" s="13" t="s">
        <v>5310</v>
      </c>
      <c r="H1320" s="13" t="s">
        <v>5306</v>
      </c>
      <c r="I1320" s="13" t="s">
        <v>82</v>
      </c>
      <c r="J1320" s="13" t="s">
        <v>83</v>
      </c>
      <c r="K1320" s="13"/>
      <c r="L1320" s="13" t="s">
        <v>5307</v>
      </c>
      <c r="M1320" s="13" t="s">
        <v>5308</v>
      </c>
    </row>
    <row r="1321" customFormat="false" ht="79.85" hidden="false" customHeight="false" outlineLevel="0" collapsed="false">
      <c r="A1321" s="13" t="s">
        <v>3</v>
      </c>
      <c r="B1321" s="13" t="s">
        <v>4108</v>
      </c>
      <c r="C1321" s="13" t="n">
        <v>437</v>
      </c>
      <c r="D1321" s="13" t="s">
        <v>5303</v>
      </c>
      <c r="E1321" s="13" t="s">
        <v>5311</v>
      </c>
      <c r="F1321" s="13" t="s">
        <v>5305</v>
      </c>
      <c r="G1321" s="13" t="s">
        <v>5312</v>
      </c>
      <c r="H1321" s="13" t="s">
        <v>5306</v>
      </c>
      <c r="I1321" s="13" t="s">
        <v>82</v>
      </c>
      <c r="J1321" s="13" t="s">
        <v>83</v>
      </c>
      <c r="K1321" s="13"/>
      <c r="L1321" s="13" t="s">
        <v>5307</v>
      </c>
      <c r="M1321" s="13" t="s">
        <v>5308</v>
      </c>
    </row>
    <row r="1322" customFormat="false" ht="79.85" hidden="false" customHeight="false" outlineLevel="0" collapsed="false">
      <c r="A1322" s="13" t="s">
        <v>3</v>
      </c>
      <c r="B1322" s="13" t="s">
        <v>4108</v>
      </c>
      <c r="C1322" s="13" t="n">
        <v>437</v>
      </c>
      <c r="D1322" s="13" t="s">
        <v>5313</v>
      </c>
      <c r="E1322" s="13" t="s">
        <v>5314</v>
      </c>
      <c r="F1322" s="13" t="s">
        <v>5305</v>
      </c>
      <c r="G1322" s="13" t="s">
        <v>5315</v>
      </c>
      <c r="H1322" s="13" t="s">
        <v>5316</v>
      </c>
      <c r="I1322" s="13" t="s">
        <v>82</v>
      </c>
      <c r="J1322" s="13" t="s">
        <v>83</v>
      </c>
      <c r="K1322" s="13"/>
      <c r="L1322" s="13" t="s">
        <v>5317</v>
      </c>
      <c r="M1322" s="13" t="s">
        <v>5318</v>
      </c>
    </row>
    <row r="1323" customFormat="false" ht="79.85" hidden="false" customHeight="false" outlineLevel="0" collapsed="false">
      <c r="A1323" s="13" t="s">
        <v>3</v>
      </c>
      <c r="B1323" s="13" t="s">
        <v>4108</v>
      </c>
      <c r="C1323" s="13" t="n">
        <v>437</v>
      </c>
      <c r="D1323" s="13" t="s">
        <v>5313</v>
      </c>
      <c r="E1323" s="13" t="s">
        <v>5319</v>
      </c>
      <c r="F1323" s="13" t="s">
        <v>5305</v>
      </c>
      <c r="G1323" s="13" t="s">
        <v>5320</v>
      </c>
      <c r="H1323" s="13" t="s">
        <v>5321</v>
      </c>
      <c r="I1323" s="13" t="s">
        <v>82</v>
      </c>
      <c r="J1323" s="13" t="s">
        <v>83</v>
      </c>
      <c r="K1323" s="13"/>
      <c r="L1323" s="13" t="s">
        <v>5317</v>
      </c>
      <c r="M1323" s="13" t="s">
        <v>5318</v>
      </c>
    </row>
    <row r="1324" customFormat="false" ht="79.85" hidden="false" customHeight="false" outlineLevel="0" collapsed="false">
      <c r="A1324" s="13" t="s">
        <v>3</v>
      </c>
      <c r="B1324" s="13" t="s">
        <v>4108</v>
      </c>
      <c r="C1324" s="13" t="n">
        <v>437</v>
      </c>
      <c r="D1324" s="13" t="s">
        <v>5313</v>
      </c>
      <c r="E1324" s="13" t="s">
        <v>5322</v>
      </c>
      <c r="F1324" s="13" t="s">
        <v>5305</v>
      </c>
      <c r="G1324" s="13" t="s">
        <v>5320</v>
      </c>
      <c r="H1324" s="13" t="s">
        <v>5323</v>
      </c>
      <c r="I1324" s="13" t="s">
        <v>82</v>
      </c>
      <c r="J1324" s="13" t="s">
        <v>83</v>
      </c>
      <c r="K1324" s="13"/>
      <c r="L1324" s="13" t="s">
        <v>5317</v>
      </c>
      <c r="M1324" s="13" t="s">
        <v>5318</v>
      </c>
    </row>
    <row r="1325" customFormat="false" ht="79.85" hidden="false" customHeight="false" outlineLevel="0" collapsed="false">
      <c r="A1325" s="13" t="s">
        <v>3</v>
      </c>
      <c r="B1325" s="13" t="s">
        <v>4108</v>
      </c>
      <c r="C1325" s="13" t="n">
        <v>437</v>
      </c>
      <c r="D1325" s="13" t="s">
        <v>5313</v>
      </c>
      <c r="E1325" s="13" t="s">
        <v>5324</v>
      </c>
      <c r="F1325" s="13" t="s">
        <v>5305</v>
      </c>
      <c r="G1325" s="13" t="s">
        <v>5325</v>
      </c>
      <c r="H1325" s="13" t="s">
        <v>5326</v>
      </c>
      <c r="I1325" s="13" t="s">
        <v>82</v>
      </c>
      <c r="J1325" s="13" t="s">
        <v>83</v>
      </c>
      <c r="K1325" s="13"/>
      <c r="L1325" s="13" t="s">
        <v>5317</v>
      </c>
      <c r="M1325" s="13" t="s">
        <v>5318</v>
      </c>
    </row>
    <row r="1326" customFormat="false" ht="102.2" hidden="false" customHeight="false" outlineLevel="0" collapsed="false">
      <c r="A1326" s="13" t="s">
        <v>3</v>
      </c>
      <c r="B1326" s="13" t="s">
        <v>4108</v>
      </c>
      <c r="C1326" s="13" t="n">
        <v>437</v>
      </c>
      <c r="D1326" s="13" t="s">
        <v>5327</v>
      </c>
      <c r="E1326" s="13" t="s">
        <v>5328</v>
      </c>
      <c r="F1326" s="13" t="s">
        <v>5305</v>
      </c>
      <c r="G1326" s="13" t="s">
        <v>5329</v>
      </c>
      <c r="H1326" s="13" t="s">
        <v>5330</v>
      </c>
      <c r="I1326" s="13" t="s">
        <v>82</v>
      </c>
      <c r="J1326" s="13" t="s">
        <v>83</v>
      </c>
      <c r="K1326" s="13"/>
      <c r="L1326" s="13" t="s">
        <v>5331</v>
      </c>
      <c r="M1326" s="13" t="s">
        <v>5332</v>
      </c>
    </row>
    <row r="1327" customFormat="false" ht="102.2" hidden="false" customHeight="false" outlineLevel="0" collapsed="false">
      <c r="A1327" s="13" t="s">
        <v>3</v>
      </c>
      <c r="B1327" s="13" t="s">
        <v>4108</v>
      </c>
      <c r="C1327" s="13" t="n">
        <v>437</v>
      </c>
      <c r="D1327" s="13" t="s">
        <v>5327</v>
      </c>
      <c r="E1327" s="13" t="s">
        <v>5333</v>
      </c>
      <c r="F1327" s="13" t="s">
        <v>5305</v>
      </c>
      <c r="G1327" s="13" t="s">
        <v>5334</v>
      </c>
      <c r="H1327" s="13" t="s">
        <v>5335</v>
      </c>
      <c r="I1327" s="13" t="s">
        <v>82</v>
      </c>
      <c r="J1327" s="13" t="s">
        <v>83</v>
      </c>
      <c r="K1327" s="13"/>
      <c r="L1327" s="13" t="s">
        <v>5331</v>
      </c>
      <c r="M1327" s="13" t="s">
        <v>5332</v>
      </c>
    </row>
    <row r="1328" customFormat="false" ht="102.2" hidden="false" customHeight="false" outlineLevel="0" collapsed="false">
      <c r="A1328" s="13" t="s">
        <v>3</v>
      </c>
      <c r="B1328" s="13" t="s">
        <v>4108</v>
      </c>
      <c r="C1328" s="13" t="n">
        <v>437</v>
      </c>
      <c r="D1328" s="13" t="s">
        <v>5327</v>
      </c>
      <c r="E1328" s="13" t="s">
        <v>5336</v>
      </c>
      <c r="F1328" s="13" t="s">
        <v>5335</v>
      </c>
      <c r="G1328" s="13" t="s">
        <v>5337</v>
      </c>
      <c r="H1328" s="13" t="s">
        <v>5338</v>
      </c>
      <c r="I1328" s="13" t="s">
        <v>82</v>
      </c>
      <c r="J1328" s="13" t="s">
        <v>83</v>
      </c>
      <c r="K1328" s="13"/>
      <c r="L1328" s="13" t="s">
        <v>5331</v>
      </c>
      <c r="M1328" s="13" t="s">
        <v>5332</v>
      </c>
    </row>
    <row r="1329" customFormat="false" ht="102.2" hidden="false" customHeight="false" outlineLevel="0" collapsed="false">
      <c r="A1329" s="13" t="s">
        <v>3</v>
      </c>
      <c r="B1329" s="13" t="s">
        <v>4108</v>
      </c>
      <c r="C1329" s="13" t="n">
        <v>437</v>
      </c>
      <c r="D1329" s="13" t="s">
        <v>5327</v>
      </c>
      <c r="E1329" s="13" t="s">
        <v>5339</v>
      </c>
      <c r="F1329" s="13" t="s">
        <v>5305</v>
      </c>
      <c r="G1329" s="13" t="s">
        <v>5340</v>
      </c>
      <c r="H1329" s="13" t="s">
        <v>5005</v>
      </c>
      <c r="I1329" s="13" t="s">
        <v>82</v>
      </c>
      <c r="J1329" s="13" t="s">
        <v>83</v>
      </c>
      <c r="K1329" s="13"/>
      <c r="L1329" s="13" t="s">
        <v>5331</v>
      </c>
      <c r="M1329" s="13" t="s">
        <v>5332</v>
      </c>
    </row>
    <row r="1330" customFormat="false" ht="46.25" hidden="false" customHeight="false" outlineLevel="0" collapsed="false">
      <c r="A1330" s="13" t="s">
        <v>3</v>
      </c>
      <c r="B1330" s="13" t="s">
        <v>4108</v>
      </c>
      <c r="C1330" s="13" t="n">
        <v>437</v>
      </c>
      <c r="D1330" s="13" t="s">
        <v>5341</v>
      </c>
      <c r="E1330" s="13" t="s">
        <v>5342</v>
      </c>
      <c r="F1330" s="13" t="s">
        <v>5305</v>
      </c>
      <c r="G1330" s="13" t="s">
        <v>5343</v>
      </c>
      <c r="H1330" s="13" t="s">
        <v>5344</v>
      </c>
      <c r="I1330" s="13" t="s">
        <v>82</v>
      </c>
      <c r="J1330" s="13" t="s">
        <v>83</v>
      </c>
      <c r="K1330" s="13"/>
      <c r="L1330" s="13" t="s">
        <v>5345</v>
      </c>
      <c r="M1330" s="13" t="s">
        <v>5346</v>
      </c>
    </row>
    <row r="1331" customFormat="false" ht="46.25" hidden="false" customHeight="false" outlineLevel="0" collapsed="false">
      <c r="A1331" s="13" t="s">
        <v>3</v>
      </c>
      <c r="B1331" s="13" t="s">
        <v>4108</v>
      </c>
      <c r="C1331" s="13" t="n">
        <v>437</v>
      </c>
      <c r="D1331" s="13" t="s">
        <v>5341</v>
      </c>
      <c r="E1331" s="13" t="s">
        <v>5347</v>
      </c>
      <c r="F1331" s="13" t="s">
        <v>5344</v>
      </c>
      <c r="G1331" s="13" t="s">
        <v>5348</v>
      </c>
      <c r="H1331" s="13" t="s">
        <v>5349</v>
      </c>
      <c r="I1331" s="13" t="s">
        <v>82</v>
      </c>
      <c r="J1331" s="13" t="s">
        <v>83</v>
      </c>
      <c r="K1331" s="13"/>
      <c r="L1331" s="13" t="s">
        <v>5345</v>
      </c>
      <c r="M1331" s="13" t="s">
        <v>5346</v>
      </c>
    </row>
    <row r="1332" customFormat="false" ht="35.05" hidden="false" customHeight="false" outlineLevel="0" collapsed="false">
      <c r="A1332" s="13" t="s">
        <v>3</v>
      </c>
      <c r="B1332" s="13" t="s">
        <v>4108</v>
      </c>
      <c r="C1332" s="13" t="n">
        <v>437</v>
      </c>
      <c r="D1332" s="13" t="s">
        <v>5350</v>
      </c>
      <c r="E1332" s="13" t="s">
        <v>5351</v>
      </c>
      <c r="F1332" s="13" t="s">
        <v>3585</v>
      </c>
      <c r="G1332" s="13" t="s">
        <v>5352</v>
      </c>
      <c r="H1332" s="13" t="s">
        <v>4738</v>
      </c>
      <c r="I1332" s="13" t="s">
        <v>82</v>
      </c>
      <c r="J1332" s="13" t="s">
        <v>83</v>
      </c>
      <c r="K1332" s="13"/>
      <c r="L1332" s="13" t="s">
        <v>5353</v>
      </c>
      <c r="M1332" s="13" t="s">
        <v>5354</v>
      </c>
    </row>
    <row r="1333" customFormat="false" ht="23.85" hidden="false" customHeight="false" outlineLevel="0" collapsed="false">
      <c r="A1333" s="13" t="s">
        <v>3</v>
      </c>
      <c r="B1333" s="13" t="s">
        <v>4108</v>
      </c>
      <c r="C1333" s="13" t="n">
        <v>437</v>
      </c>
      <c r="D1333" s="13" t="s">
        <v>5355</v>
      </c>
      <c r="E1333" s="13" t="s">
        <v>5356</v>
      </c>
      <c r="F1333" s="13" t="s">
        <v>3585</v>
      </c>
      <c r="G1333" s="13" t="s">
        <v>5357</v>
      </c>
      <c r="H1333" s="13" t="s">
        <v>5358</v>
      </c>
      <c r="I1333" s="13" t="s">
        <v>82</v>
      </c>
      <c r="J1333" s="13" t="s">
        <v>83</v>
      </c>
      <c r="K1333" s="13"/>
      <c r="L1333" s="13" t="s">
        <v>5359</v>
      </c>
      <c r="M1333" s="13" t="s">
        <v>5360</v>
      </c>
    </row>
    <row r="1334" customFormat="false" ht="46.25" hidden="false" customHeight="false" outlineLevel="0" collapsed="false">
      <c r="A1334" s="13" t="s">
        <v>3</v>
      </c>
      <c r="B1334" s="13" t="s">
        <v>4108</v>
      </c>
      <c r="C1334" s="13" t="n">
        <v>437</v>
      </c>
      <c r="D1334" s="13" t="s">
        <v>5361</v>
      </c>
      <c r="E1334" s="13" t="s">
        <v>5362</v>
      </c>
      <c r="F1334" s="13" t="s">
        <v>3585</v>
      </c>
      <c r="G1334" s="13" t="s">
        <v>5227</v>
      </c>
      <c r="H1334" s="13" t="s">
        <v>5358</v>
      </c>
      <c r="I1334" s="13" t="s">
        <v>82</v>
      </c>
      <c r="J1334" s="13" t="s">
        <v>83</v>
      </c>
      <c r="K1334" s="13"/>
      <c r="L1334" s="13" t="s">
        <v>5363</v>
      </c>
      <c r="M1334" s="13" t="s">
        <v>5364</v>
      </c>
    </row>
    <row r="1335" customFormat="false" ht="46.25" hidden="false" customHeight="false" outlineLevel="0" collapsed="false">
      <c r="A1335" s="13" t="s">
        <v>3</v>
      </c>
      <c r="B1335" s="13" t="s">
        <v>4108</v>
      </c>
      <c r="C1335" s="13" t="n">
        <v>437</v>
      </c>
      <c r="D1335" s="13" t="s">
        <v>5361</v>
      </c>
      <c r="E1335" s="13" t="s">
        <v>5365</v>
      </c>
      <c r="F1335" s="13" t="s">
        <v>3585</v>
      </c>
      <c r="G1335" s="13" t="s">
        <v>5366</v>
      </c>
      <c r="H1335" s="13" t="s">
        <v>5367</v>
      </c>
      <c r="I1335" s="13" t="s">
        <v>82</v>
      </c>
      <c r="J1335" s="13" t="s">
        <v>83</v>
      </c>
      <c r="K1335" s="13"/>
      <c r="L1335" s="13" t="s">
        <v>5363</v>
      </c>
      <c r="M1335" s="13" t="s">
        <v>5364</v>
      </c>
    </row>
    <row r="1336" customFormat="false" ht="46.25" hidden="false" customHeight="false" outlineLevel="0" collapsed="false">
      <c r="A1336" s="13" t="s">
        <v>3</v>
      </c>
      <c r="B1336" s="13" t="s">
        <v>4108</v>
      </c>
      <c r="C1336" s="13" t="n">
        <v>437</v>
      </c>
      <c r="D1336" s="13" t="s">
        <v>5361</v>
      </c>
      <c r="E1336" s="13" t="s">
        <v>5368</v>
      </c>
      <c r="F1336" s="13" t="s">
        <v>3585</v>
      </c>
      <c r="G1336" s="13" t="s">
        <v>5366</v>
      </c>
      <c r="H1336" s="13" t="s">
        <v>5369</v>
      </c>
      <c r="I1336" s="13" t="s">
        <v>82</v>
      </c>
      <c r="J1336" s="13" t="s">
        <v>83</v>
      </c>
      <c r="K1336" s="13"/>
      <c r="L1336" s="13" t="s">
        <v>5363</v>
      </c>
      <c r="M1336" s="13" t="s">
        <v>5364</v>
      </c>
    </row>
    <row r="1337" customFormat="false" ht="46.25" hidden="false" customHeight="false" outlineLevel="0" collapsed="false">
      <c r="A1337" s="13" t="s">
        <v>3</v>
      </c>
      <c r="B1337" s="13" t="s">
        <v>4108</v>
      </c>
      <c r="C1337" s="13" t="n">
        <v>437</v>
      </c>
      <c r="D1337" s="13" t="s">
        <v>5361</v>
      </c>
      <c r="E1337" s="13" t="s">
        <v>5370</v>
      </c>
      <c r="F1337" s="13" t="s">
        <v>5305</v>
      </c>
      <c r="G1337" s="13" t="s">
        <v>5371</v>
      </c>
      <c r="H1337" s="13" t="s">
        <v>4738</v>
      </c>
      <c r="I1337" s="13" t="s">
        <v>82</v>
      </c>
      <c r="J1337" s="13" t="s">
        <v>83</v>
      </c>
      <c r="K1337" s="13"/>
      <c r="L1337" s="13" t="s">
        <v>5363</v>
      </c>
      <c r="M1337" s="13" t="s">
        <v>5364</v>
      </c>
    </row>
    <row r="1338" customFormat="false" ht="35.05" hidden="false" customHeight="false" outlineLevel="0" collapsed="false">
      <c r="A1338" s="13" t="s">
        <v>3</v>
      </c>
      <c r="B1338" s="13" t="s">
        <v>4108</v>
      </c>
      <c r="C1338" s="13" t="n">
        <v>437</v>
      </c>
      <c r="D1338" s="13" t="s">
        <v>5372</v>
      </c>
      <c r="E1338" s="13" t="s">
        <v>5373</v>
      </c>
      <c r="F1338" s="13" t="s">
        <v>3585</v>
      </c>
      <c r="G1338" s="13" t="s">
        <v>5366</v>
      </c>
      <c r="H1338" s="13" t="s">
        <v>5374</v>
      </c>
      <c r="I1338" s="13" t="s">
        <v>82</v>
      </c>
      <c r="J1338" s="13" t="s">
        <v>83</v>
      </c>
      <c r="K1338" s="13"/>
      <c r="L1338" s="13" t="s">
        <v>5375</v>
      </c>
      <c r="M1338" s="13" t="s">
        <v>5376</v>
      </c>
    </row>
    <row r="1339" customFormat="false" ht="35.05" hidden="false" customHeight="false" outlineLevel="0" collapsed="false">
      <c r="A1339" s="13" t="s">
        <v>3</v>
      </c>
      <c r="B1339" s="13" t="s">
        <v>4108</v>
      </c>
      <c r="C1339" s="13" t="n">
        <v>437</v>
      </c>
      <c r="D1339" s="13" t="s">
        <v>5372</v>
      </c>
      <c r="E1339" s="13" t="s">
        <v>5377</v>
      </c>
      <c r="F1339" s="13" t="s">
        <v>5305</v>
      </c>
      <c r="G1339" s="13" t="s">
        <v>5378</v>
      </c>
      <c r="H1339" s="13" t="s">
        <v>5374</v>
      </c>
      <c r="I1339" s="13" t="s">
        <v>82</v>
      </c>
      <c r="J1339" s="13" t="s">
        <v>83</v>
      </c>
      <c r="K1339" s="13"/>
      <c r="L1339" s="13" t="s">
        <v>5375</v>
      </c>
      <c r="M1339" s="13" t="s">
        <v>5376</v>
      </c>
    </row>
    <row r="1340" customFormat="false" ht="23.85" hidden="false" customHeight="false" outlineLevel="0" collapsed="false">
      <c r="A1340" s="13" t="s">
        <v>3</v>
      </c>
      <c r="B1340" s="13" t="s">
        <v>4108</v>
      </c>
      <c r="C1340" s="13" t="n">
        <v>440</v>
      </c>
      <c r="D1340" s="13" t="s">
        <v>5379</v>
      </c>
      <c r="E1340" s="13" t="s">
        <v>5380</v>
      </c>
      <c r="F1340" s="13" t="s">
        <v>5381</v>
      </c>
      <c r="G1340" s="13" t="s">
        <v>5382</v>
      </c>
      <c r="H1340" s="13" t="s">
        <v>5383</v>
      </c>
      <c r="I1340" s="13" t="s">
        <v>82</v>
      </c>
      <c r="J1340" s="13" t="s">
        <v>83</v>
      </c>
      <c r="K1340" s="13"/>
      <c r="L1340" s="13" t="s">
        <v>5384</v>
      </c>
      <c r="M1340" s="13" t="s">
        <v>5385</v>
      </c>
    </row>
    <row r="1341" customFormat="false" ht="23.85" hidden="false" customHeight="false" outlineLevel="0" collapsed="false">
      <c r="A1341" s="13" t="s">
        <v>3</v>
      </c>
      <c r="B1341" s="13" t="s">
        <v>4108</v>
      </c>
      <c r="C1341" s="13" t="n">
        <v>440</v>
      </c>
      <c r="D1341" s="13" t="s">
        <v>5379</v>
      </c>
      <c r="E1341" s="13" t="s">
        <v>5386</v>
      </c>
      <c r="F1341" s="13" t="s">
        <v>5387</v>
      </c>
      <c r="G1341" s="13" t="s">
        <v>5388</v>
      </c>
      <c r="H1341" s="13" t="s">
        <v>5389</v>
      </c>
      <c r="I1341" s="13" t="s">
        <v>82</v>
      </c>
      <c r="J1341" s="13" t="s">
        <v>83</v>
      </c>
      <c r="K1341" s="13"/>
      <c r="L1341" s="13" t="s">
        <v>5384</v>
      </c>
      <c r="M1341" s="13" t="s">
        <v>5385</v>
      </c>
    </row>
    <row r="1342" customFormat="false" ht="46.25" hidden="false" customHeight="false" outlineLevel="0" collapsed="false">
      <c r="A1342" s="13" t="s">
        <v>3</v>
      </c>
      <c r="B1342" s="13" t="s">
        <v>4108</v>
      </c>
      <c r="C1342" s="13" t="n">
        <v>440</v>
      </c>
      <c r="D1342" s="13" t="s">
        <v>5390</v>
      </c>
      <c r="E1342" s="13" t="s">
        <v>5391</v>
      </c>
      <c r="F1342" s="13" t="s">
        <v>5392</v>
      </c>
      <c r="G1342" s="13" t="s">
        <v>5393</v>
      </c>
      <c r="H1342" s="13" t="s">
        <v>5394</v>
      </c>
      <c r="I1342" s="13" t="s">
        <v>82</v>
      </c>
      <c r="J1342" s="13" t="s">
        <v>83</v>
      </c>
      <c r="K1342" s="13"/>
      <c r="L1342" s="13" t="s">
        <v>5395</v>
      </c>
      <c r="M1342" s="13" t="s">
        <v>5396</v>
      </c>
    </row>
    <row r="1343" customFormat="false" ht="46.25" hidden="false" customHeight="false" outlineLevel="0" collapsed="false">
      <c r="A1343" s="13" t="s">
        <v>3</v>
      </c>
      <c r="B1343" s="13" t="s">
        <v>4108</v>
      </c>
      <c r="C1343" s="13" t="n">
        <v>440</v>
      </c>
      <c r="D1343" s="13" t="s">
        <v>5390</v>
      </c>
      <c r="E1343" s="13" t="s">
        <v>5397</v>
      </c>
      <c r="F1343" s="13" t="s">
        <v>5392</v>
      </c>
      <c r="G1343" s="13" t="s">
        <v>5398</v>
      </c>
      <c r="H1343" s="13" t="s">
        <v>5399</v>
      </c>
      <c r="I1343" s="13" t="s">
        <v>82</v>
      </c>
      <c r="J1343" s="13" t="s">
        <v>83</v>
      </c>
      <c r="K1343" s="13"/>
      <c r="L1343" s="13" t="s">
        <v>5395</v>
      </c>
      <c r="M1343" s="13" t="s">
        <v>5396</v>
      </c>
    </row>
    <row r="1344" customFormat="false" ht="46.25" hidden="false" customHeight="false" outlineLevel="0" collapsed="false">
      <c r="A1344" s="13" t="s">
        <v>3</v>
      </c>
      <c r="B1344" s="13" t="s">
        <v>4108</v>
      </c>
      <c r="C1344" s="13" t="n">
        <v>440</v>
      </c>
      <c r="D1344" s="13" t="s">
        <v>5390</v>
      </c>
      <c r="E1344" s="13" t="s">
        <v>5400</v>
      </c>
      <c r="F1344" s="13" t="s">
        <v>5401</v>
      </c>
      <c r="G1344" s="13" t="s">
        <v>1481</v>
      </c>
      <c r="H1344" s="13" t="s">
        <v>5402</v>
      </c>
      <c r="I1344" s="13" t="s">
        <v>82</v>
      </c>
      <c r="J1344" s="13" t="s">
        <v>83</v>
      </c>
      <c r="K1344" s="13"/>
      <c r="L1344" s="13" t="s">
        <v>5395</v>
      </c>
      <c r="M1344" s="13" t="s">
        <v>5396</v>
      </c>
    </row>
    <row r="1345" customFormat="false" ht="23.85" hidden="false" customHeight="false" outlineLevel="0" collapsed="false">
      <c r="A1345" s="13" t="s">
        <v>3</v>
      </c>
      <c r="B1345" s="13" t="s">
        <v>4108</v>
      </c>
      <c r="C1345" s="13" t="n">
        <v>440</v>
      </c>
      <c r="D1345" s="13" t="s">
        <v>5403</v>
      </c>
      <c r="E1345" s="13" t="s">
        <v>5404</v>
      </c>
      <c r="F1345" s="13" t="s">
        <v>5405</v>
      </c>
      <c r="G1345" s="13" t="s">
        <v>5406</v>
      </c>
      <c r="H1345" s="13" t="s">
        <v>5407</v>
      </c>
      <c r="I1345" s="13" t="s">
        <v>82</v>
      </c>
      <c r="J1345" s="13" t="s">
        <v>83</v>
      </c>
      <c r="K1345" s="13"/>
      <c r="L1345" s="13" t="s">
        <v>5408</v>
      </c>
      <c r="M1345" s="13" t="s">
        <v>5409</v>
      </c>
    </row>
    <row r="1346" customFormat="false" ht="23.85" hidden="false" customHeight="false" outlineLevel="0" collapsed="false">
      <c r="A1346" s="13" t="s">
        <v>3</v>
      </c>
      <c r="B1346" s="13" t="s">
        <v>4108</v>
      </c>
      <c r="C1346" s="13" t="n">
        <v>440</v>
      </c>
      <c r="D1346" s="13" t="s">
        <v>5403</v>
      </c>
      <c r="E1346" s="13" t="s">
        <v>5410</v>
      </c>
      <c r="F1346" s="13" t="s">
        <v>5405</v>
      </c>
      <c r="G1346" s="13" t="s">
        <v>5411</v>
      </c>
      <c r="H1346" s="13" t="s">
        <v>5412</v>
      </c>
      <c r="I1346" s="13" t="s">
        <v>82</v>
      </c>
      <c r="J1346" s="13" t="s">
        <v>83</v>
      </c>
      <c r="K1346" s="13"/>
      <c r="L1346" s="13" t="s">
        <v>5408</v>
      </c>
      <c r="M1346" s="13" t="s">
        <v>5409</v>
      </c>
    </row>
    <row r="1347" customFormat="false" ht="35.05" hidden="false" customHeight="false" outlineLevel="0" collapsed="false">
      <c r="A1347" s="13" t="s">
        <v>3</v>
      </c>
      <c r="B1347" s="13" t="s">
        <v>4108</v>
      </c>
      <c r="C1347" s="13" t="n">
        <v>440</v>
      </c>
      <c r="D1347" s="13" t="s">
        <v>5413</v>
      </c>
      <c r="E1347" s="13" t="s">
        <v>5414</v>
      </c>
      <c r="F1347" s="13" t="s">
        <v>5392</v>
      </c>
      <c r="G1347" s="13" t="s">
        <v>5415</v>
      </c>
      <c r="H1347" s="13" t="s">
        <v>5416</v>
      </c>
      <c r="I1347" s="13" t="s">
        <v>82</v>
      </c>
      <c r="J1347" s="13" t="s">
        <v>83</v>
      </c>
      <c r="K1347" s="13"/>
      <c r="L1347" s="13" t="s">
        <v>5417</v>
      </c>
      <c r="M1347" s="13" t="s">
        <v>5418</v>
      </c>
    </row>
    <row r="1348" customFormat="false" ht="35.05" hidden="false" customHeight="false" outlineLevel="0" collapsed="false">
      <c r="A1348" s="13" t="s">
        <v>3</v>
      </c>
      <c r="B1348" s="13" t="s">
        <v>4108</v>
      </c>
      <c r="C1348" s="13" t="n">
        <v>440</v>
      </c>
      <c r="D1348" s="13" t="s">
        <v>5413</v>
      </c>
      <c r="E1348" s="13" t="s">
        <v>5419</v>
      </c>
      <c r="F1348" s="13" t="s">
        <v>5392</v>
      </c>
      <c r="G1348" s="13" t="s">
        <v>5420</v>
      </c>
      <c r="H1348" s="13" t="s">
        <v>5421</v>
      </c>
      <c r="I1348" s="13" t="s">
        <v>82</v>
      </c>
      <c r="J1348" s="13" t="s">
        <v>83</v>
      </c>
      <c r="K1348" s="13"/>
      <c r="L1348" s="13" t="s">
        <v>5417</v>
      </c>
      <c r="M1348" s="13" t="s">
        <v>5418</v>
      </c>
    </row>
    <row r="1349" customFormat="false" ht="46.25" hidden="false" customHeight="false" outlineLevel="0" collapsed="false">
      <c r="A1349" s="13" t="s">
        <v>3</v>
      </c>
      <c r="B1349" s="13" t="s">
        <v>4108</v>
      </c>
      <c r="C1349" s="13" t="n">
        <v>440</v>
      </c>
      <c r="D1349" s="13" t="s">
        <v>5422</v>
      </c>
      <c r="E1349" s="13" t="s">
        <v>5423</v>
      </c>
      <c r="F1349" s="13" t="s">
        <v>5424</v>
      </c>
      <c r="G1349" s="13" t="s">
        <v>5425</v>
      </c>
      <c r="H1349" s="13" t="s">
        <v>4226</v>
      </c>
      <c r="I1349" s="13" t="s">
        <v>82</v>
      </c>
      <c r="J1349" s="13" t="s">
        <v>83</v>
      </c>
      <c r="K1349" s="13"/>
      <c r="L1349" s="13" t="s">
        <v>5426</v>
      </c>
      <c r="M1349" s="13" t="s">
        <v>5427</v>
      </c>
    </row>
    <row r="1350" customFormat="false" ht="46.25" hidden="false" customHeight="false" outlineLevel="0" collapsed="false">
      <c r="A1350" s="13" t="s">
        <v>3</v>
      </c>
      <c r="B1350" s="13" t="s">
        <v>4108</v>
      </c>
      <c r="C1350" s="13" t="n">
        <v>440</v>
      </c>
      <c r="D1350" s="13" t="s">
        <v>5422</v>
      </c>
      <c r="E1350" s="13" t="s">
        <v>5428</v>
      </c>
      <c r="F1350" s="13" t="s">
        <v>4226</v>
      </c>
      <c r="G1350" s="13" t="s">
        <v>5429</v>
      </c>
      <c r="H1350" s="13" t="s">
        <v>5430</v>
      </c>
      <c r="I1350" s="13" t="s">
        <v>82</v>
      </c>
      <c r="J1350" s="13" t="s">
        <v>83</v>
      </c>
      <c r="K1350" s="13"/>
      <c r="L1350" s="13" t="s">
        <v>5426</v>
      </c>
      <c r="M1350" s="13" t="s">
        <v>5427</v>
      </c>
    </row>
    <row r="1351" customFormat="false" ht="46.25" hidden="false" customHeight="false" outlineLevel="0" collapsed="false">
      <c r="A1351" s="13" t="s">
        <v>3</v>
      </c>
      <c r="B1351" s="13" t="s">
        <v>4108</v>
      </c>
      <c r="C1351" s="13" t="n">
        <v>440</v>
      </c>
      <c r="D1351" s="13" t="s">
        <v>5422</v>
      </c>
      <c r="E1351" s="13" t="s">
        <v>5431</v>
      </c>
      <c r="F1351" s="13" t="s">
        <v>5430</v>
      </c>
      <c r="G1351" s="13" t="s">
        <v>5432</v>
      </c>
      <c r="H1351" s="13" t="s">
        <v>5433</v>
      </c>
      <c r="I1351" s="13" t="s">
        <v>82</v>
      </c>
      <c r="J1351" s="13" t="s">
        <v>83</v>
      </c>
      <c r="K1351" s="13"/>
      <c r="L1351" s="13" t="s">
        <v>5426</v>
      </c>
      <c r="M1351" s="13" t="s">
        <v>5427</v>
      </c>
    </row>
    <row r="1352" customFormat="false" ht="46.25" hidden="false" customHeight="false" outlineLevel="0" collapsed="false">
      <c r="A1352" s="13" t="s">
        <v>3</v>
      </c>
      <c r="B1352" s="13" t="s">
        <v>4108</v>
      </c>
      <c r="C1352" s="13" t="n">
        <v>440</v>
      </c>
      <c r="D1352" s="13" t="s">
        <v>5422</v>
      </c>
      <c r="E1352" s="13" t="s">
        <v>5434</v>
      </c>
      <c r="F1352" s="13" t="s">
        <v>5435</v>
      </c>
      <c r="G1352" s="13" t="s">
        <v>5436</v>
      </c>
      <c r="H1352" s="13" t="s">
        <v>5437</v>
      </c>
      <c r="I1352" s="13" t="s">
        <v>82</v>
      </c>
      <c r="J1352" s="13" t="s">
        <v>83</v>
      </c>
      <c r="K1352" s="13"/>
      <c r="L1352" s="13" t="s">
        <v>5426</v>
      </c>
      <c r="M1352" s="13" t="s">
        <v>5427</v>
      </c>
    </row>
    <row r="1353" customFormat="false" ht="23.85" hidden="false" customHeight="false" outlineLevel="0" collapsed="false">
      <c r="A1353" s="13" t="s">
        <v>3</v>
      </c>
      <c r="B1353" s="13" t="s">
        <v>4108</v>
      </c>
      <c r="C1353" s="13" t="n">
        <v>440</v>
      </c>
      <c r="D1353" s="13" t="s">
        <v>5438</v>
      </c>
      <c r="E1353" s="13" t="s">
        <v>5439</v>
      </c>
      <c r="F1353" s="13" t="s">
        <v>5387</v>
      </c>
      <c r="G1353" s="13" t="s">
        <v>5440</v>
      </c>
      <c r="H1353" s="13" t="s">
        <v>5441</v>
      </c>
      <c r="I1353" s="13" t="s">
        <v>82</v>
      </c>
      <c r="J1353" s="13" t="s">
        <v>83</v>
      </c>
      <c r="K1353" s="13"/>
      <c r="L1353" s="13" t="s">
        <v>5442</v>
      </c>
      <c r="M1353" s="13" t="s">
        <v>5443</v>
      </c>
    </row>
    <row r="1354" customFormat="false" ht="23.85" hidden="false" customHeight="false" outlineLevel="0" collapsed="false">
      <c r="A1354" s="13" t="s">
        <v>3</v>
      </c>
      <c r="B1354" s="13" t="s">
        <v>4108</v>
      </c>
      <c r="C1354" s="13" t="n">
        <v>440</v>
      </c>
      <c r="D1354" s="13" t="s">
        <v>5438</v>
      </c>
      <c r="E1354" s="13" t="s">
        <v>5444</v>
      </c>
      <c r="F1354" s="13" t="s">
        <v>5441</v>
      </c>
      <c r="G1354" s="13" t="s">
        <v>5445</v>
      </c>
      <c r="H1354" s="13" t="s">
        <v>5446</v>
      </c>
      <c r="I1354" s="13" t="s">
        <v>82</v>
      </c>
      <c r="J1354" s="13" t="s">
        <v>83</v>
      </c>
      <c r="K1354" s="13"/>
      <c r="L1354" s="13" t="s">
        <v>5442</v>
      </c>
      <c r="M1354" s="13" t="s">
        <v>5443</v>
      </c>
    </row>
    <row r="1355" customFormat="false" ht="102.2" hidden="false" customHeight="false" outlineLevel="0" collapsed="false">
      <c r="A1355" s="13" t="s">
        <v>3</v>
      </c>
      <c r="B1355" s="13" t="s">
        <v>4108</v>
      </c>
      <c r="C1355" s="13" t="n">
        <v>440</v>
      </c>
      <c r="D1355" s="13" t="s">
        <v>5447</v>
      </c>
      <c r="E1355" s="13" t="s">
        <v>5448</v>
      </c>
      <c r="F1355" s="13" t="s">
        <v>806</v>
      </c>
      <c r="G1355" s="13" t="s">
        <v>5449</v>
      </c>
      <c r="H1355" s="13" t="s">
        <v>5450</v>
      </c>
      <c r="I1355" s="13" t="s">
        <v>82</v>
      </c>
      <c r="J1355" s="13" t="s">
        <v>83</v>
      </c>
      <c r="K1355" s="13"/>
      <c r="L1355" s="13" t="s">
        <v>5451</v>
      </c>
      <c r="M1355" s="13" t="s">
        <v>5452</v>
      </c>
    </row>
    <row r="1356" customFormat="false" ht="102.2" hidden="false" customHeight="false" outlineLevel="0" collapsed="false">
      <c r="A1356" s="13" t="s">
        <v>3</v>
      </c>
      <c r="B1356" s="13" t="s">
        <v>4108</v>
      </c>
      <c r="C1356" s="13" t="n">
        <v>440</v>
      </c>
      <c r="D1356" s="13" t="s">
        <v>5447</v>
      </c>
      <c r="E1356" s="13" t="s">
        <v>5453</v>
      </c>
      <c r="F1356" s="13" t="s">
        <v>5454</v>
      </c>
      <c r="G1356" s="13" t="s">
        <v>5449</v>
      </c>
      <c r="H1356" s="13" t="s">
        <v>5455</v>
      </c>
      <c r="I1356" s="13" t="s">
        <v>82</v>
      </c>
      <c r="J1356" s="13" t="s">
        <v>83</v>
      </c>
      <c r="K1356" s="13"/>
      <c r="L1356" s="13" t="s">
        <v>5451</v>
      </c>
      <c r="M1356" s="13" t="s">
        <v>5452</v>
      </c>
    </row>
    <row r="1357" customFormat="false" ht="102.2" hidden="false" customHeight="false" outlineLevel="0" collapsed="false">
      <c r="A1357" s="13" t="s">
        <v>3</v>
      </c>
      <c r="B1357" s="13" t="s">
        <v>4108</v>
      </c>
      <c r="C1357" s="13" t="n">
        <v>440</v>
      </c>
      <c r="D1357" s="13" t="s">
        <v>5447</v>
      </c>
      <c r="E1357" s="13" t="s">
        <v>5456</v>
      </c>
      <c r="F1357" s="13" t="s">
        <v>5457</v>
      </c>
      <c r="G1357" s="13" t="s">
        <v>5458</v>
      </c>
      <c r="H1357" s="13" t="s">
        <v>5459</v>
      </c>
      <c r="I1357" s="13" t="s">
        <v>82</v>
      </c>
      <c r="J1357" s="13" t="s">
        <v>83</v>
      </c>
      <c r="K1357" s="13"/>
      <c r="L1357" s="13" t="s">
        <v>5451</v>
      </c>
      <c r="M1357" s="13" t="s">
        <v>5452</v>
      </c>
    </row>
    <row r="1358" customFormat="false" ht="23.85" hidden="false" customHeight="false" outlineLevel="0" collapsed="false">
      <c r="A1358" s="13" t="s">
        <v>3</v>
      </c>
      <c r="B1358" s="13" t="s">
        <v>4108</v>
      </c>
      <c r="C1358" s="13" t="n">
        <v>440</v>
      </c>
      <c r="D1358" s="13" t="s">
        <v>5460</v>
      </c>
      <c r="E1358" s="13" t="s">
        <v>5461</v>
      </c>
      <c r="F1358" s="13" t="s">
        <v>5462</v>
      </c>
      <c r="G1358" s="13" t="s">
        <v>762</v>
      </c>
      <c r="H1358" s="13" t="s">
        <v>5463</v>
      </c>
      <c r="I1358" s="13" t="s">
        <v>82</v>
      </c>
      <c r="J1358" s="13" t="s">
        <v>83</v>
      </c>
      <c r="K1358" s="13"/>
      <c r="L1358" s="13" t="s">
        <v>5464</v>
      </c>
      <c r="M1358" s="13" t="s">
        <v>5465</v>
      </c>
    </row>
    <row r="1359" customFormat="false" ht="35.05" hidden="false" customHeight="false" outlineLevel="0" collapsed="false">
      <c r="A1359" s="13" t="s">
        <v>3</v>
      </c>
      <c r="B1359" s="13" t="s">
        <v>4108</v>
      </c>
      <c r="C1359" s="13" t="n">
        <v>440</v>
      </c>
      <c r="D1359" s="13" t="s">
        <v>5466</v>
      </c>
      <c r="E1359" s="13" t="s">
        <v>5467</v>
      </c>
      <c r="F1359" s="13" t="s">
        <v>5468</v>
      </c>
      <c r="G1359" s="13" t="s">
        <v>5469</v>
      </c>
      <c r="H1359" s="13" t="s">
        <v>5470</v>
      </c>
      <c r="I1359" s="13" t="s">
        <v>82</v>
      </c>
      <c r="J1359" s="13" t="s">
        <v>83</v>
      </c>
      <c r="K1359" s="13"/>
      <c r="L1359" s="13" t="s">
        <v>5471</v>
      </c>
      <c r="M1359" s="13" t="s">
        <v>5472</v>
      </c>
    </row>
    <row r="1360" customFormat="false" ht="23.85" hidden="false" customHeight="false" outlineLevel="0" collapsed="false">
      <c r="A1360" s="13" t="s">
        <v>3</v>
      </c>
      <c r="B1360" s="13" t="s">
        <v>4108</v>
      </c>
      <c r="C1360" s="13" t="n">
        <v>440</v>
      </c>
      <c r="D1360" s="13" t="s">
        <v>5473</v>
      </c>
      <c r="E1360" s="13" t="s">
        <v>5474</v>
      </c>
      <c r="F1360" s="13" t="s">
        <v>5387</v>
      </c>
      <c r="G1360" s="13" t="s">
        <v>1587</v>
      </c>
      <c r="H1360" s="13" t="s">
        <v>5475</v>
      </c>
      <c r="I1360" s="13" t="s">
        <v>82</v>
      </c>
      <c r="J1360" s="13" t="s">
        <v>83</v>
      </c>
      <c r="K1360" s="13"/>
      <c r="L1360" s="13" t="s">
        <v>5476</v>
      </c>
      <c r="M1360" s="13" t="s">
        <v>5477</v>
      </c>
    </row>
    <row r="1361" customFormat="false" ht="23.85" hidden="false" customHeight="false" outlineLevel="0" collapsed="false">
      <c r="A1361" s="13" t="s">
        <v>3</v>
      </c>
      <c r="B1361" s="13" t="s">
        <v>4108</v>
      </c>
      <c r="C1361" s="13" t="n">
        <v>440</v>
      </c>
      <c r="D1361" s="13" t="s">
        <v>5473</v>
      </c>
      <c r="E1361" s="13" t="s">
        <v>5478</v>
      </c>
      <c r="F1361" s="13" t="s">
        <v>5479</v>
      </c>
      <c r="G1361" s="13" t="s">
        <v>5480</v>
      </c>
      <c r="H1361" s="13" t="s">
        <v>5387</v>
      </c>
      <c r="I1361" s="13" t="s">
        <v>82</v>
      </c>
      <c r="J1361" s="13" t="s">
        <v>83</v>
      </c>
      <c r="K1361" s="13"/>
      <c r="L1361" s="13" t="s">
        <v>5476</v>
      </c>
      <c r="M1361" s="13" t="s">
        <v>5477</v>
      </c>
    </row>
    <row r="1362" customFormat="false" ht="46.25" hidden="false" customHeight="false" outlineLevel="0" collapsed="false">
      <c r="A1362" s="13" t="s">
        <v>3</v>
      </c>
      <c r="B1362" s="13" t="s">
        <v>4108</v>
      </c>
      <c r="C1362" s="13" t="n">
        <v>440</v>
      </c>
      <c r="D1362" s="13" t="s">
        <v>5481</v>
      </c>
      <c r="E1362" s="13" t="s">
        <v>5482</v>
      </c>
      <c r="F1362" s="13" t="s">
        <v>5483</v>
      </c>
      <c r="G1362" s="13" t="s">
        <v>5484</v>
      </c>
      <c r="H1362" s="13" t="s">
        <v>5485</v>
      </c>
      <c r="I1362" s="13" t="s">
        <v>82</v>
      </c>
      <c r="J1362" s="13" t="s">
        <v>83</v>
      </c>
      <c r="K1362" s="13"/>
      <c r="L1362" s="13" t="s">
        <v>5486</v>
      </c>
      <c r="M1362" s="13" t="s">
        <v>5487</v>
      </c>
    </row>
    <row r="1363" customFormat="false" ht="46.25" hidden="false" customHeight="false" outlineLevel="0" collapsed="false">
      <c r="A1363" s="13" t="s">
        <v>3</v>
      </c>
      <c r="B1363" s="13" t="s">
        <v>4108</v>
      </c>
      <c r="C1363" s="13" t="n">
        <v>440</v>
      </c>
      <c r="D1363" s="13" t="s">
        <v>5481</v>
      </c>
      <c r="E1363" s="13" t="s">
        <v>5488</v>
      </c>
      <c r="F1363" s="13" t="s">
        <v>5489</v>
      </c>
      <c r="G1363" s="13" t="s">
        <v>5484</v>
      </c>
      <c r="H1363" s="13" t="s">
        <v>5485</v>
      </c>
      <c r="I1363" s="13" t="s">
        <v>82</v>
      </c>
      <c r="J1363" s="13" t="s">
        <v>83</v>
      </c>
      <c r="K1363" s="13"/>
      <c r="L1363" s="13" t="s">
        <v>5486</v>
      </c>
      <c r="M1363" s="13" t="s">
        <v>5487</v>
      </c>
    </row>
    <row r="1364" customFormat="false" ht="23.85" hidden="false" customHeight="false" outlineLevel="0" collapsed="false">
      <c r="A1364" s="13" t="s">
        <v>3</v>
      </c>
      <c r="B1364" s="13" t="s">
        <v>4108</v>
      </c>
      <c r="C1364" s="13" t="n">
        <v>440</v>
      </c>
      <c r="D1364" s="13" t="s">
        <v>5490</v>
      </c>
      <c r="E1364" s="13" t="s">
        <v>5491</v>
      </c>
      <c r="F1364" s="13" t="s">
        <v>5424</v>
      </c>
      <c r="G1364" s="13" t="s">
        <v>1803</v>
      </c>
      <c r="H1364" s="13" t="s">
        <v>5492</v>
      </c>
      <c r="I1364" s="13" t="s">
        <v>82</v>
      </c>
      <c r="J1364" s="13" t="s">
        <v>83</v>
      </c>
      <c r="K1364" s="13"/>
      <c r="L1364" s="13" t="s">
        <v>5493</v>
      </c>
      <c r="M1364" s="13" t="s">
        <v>5494</v>
      </c>
    </row>
    <row r="1365" customFormat="false" ht="23.85" hidden="false" customHeight="false" outlineLevel="0" collapsed="false">
      <c r="A1365" s="13" t="s">
        <v>3</v>
      </c>
      <c r="B1365" s="13" t="s">
        <v>4108</v>
      </c>
      <c r="C1365" s="13" t="n">
        <v>440</v>
      </c>
      <c r="D1365" s="13" t="s">
        <v>5490</v>
      </c>
      <c r="E1365" s="13" t="s">
        <v>5495</v>
      </c>
      <c r="F1365" s="13" t="s">
        <v>5492</v>
      </c>
      <c r="G1365" s="13" t="s">
        <v>5496</v>
      </c>
      <c r="H1365" s="13" t="s">
        <v>5497</v>
      </c>
      <c r="I1365" s="13" t="s">
        <v>82</v>
      </c>
      <c r="J1365" s="13" t="s">
        <v>83</v>
      </c>
      <c r="K1365" s="13"/>
      <c r="L1365" s="13" t="s">
        <v>5493</v>
      </c>
      <c r="M1365" s="13" t="s">
        <v>5494</v>
      </c>
    </row>
    <row r="1366" customFormat="false" ht="35.05" hidden="false" customHeight="false" outlineLevel="0" collapsed="false">
      <c r="A1366" s="13" t="s">
        <v>3</v>
      </c>
      <c r="B1366" s="13" t="s">
        <v>4108</v>
      </c>
      <c r="C1366" s="13" t="n">
        <v>440</v>
      </c>
      <c r="D1366" s="13" t="s">
        <v>5498</v>
      </c>
      <c r="E1366" s="13" t="s">
        <v>5499</v>
      </c>
      <c r="F1366" s="13" t="s">
        <v>5424</v>
      </c>
      <c r="G1366" s="13" t="s">
        <v>5500</v>
      </c>
      <c r="H1366" s="13" t="s">
        <v>5501</v>
      </c>
      <c r="I1366" s="13" t="s">
        <v>82</v>
      </c>
      <c r="J1366" s="13" t="s">
        <v>83</v>
      </c>
      <c r="K1366" s="13"/>
      <c r="L1366" s="13" t="s">
        <v>5502</v>
      </c>
      <c r="M1366" s="13" t="s">
        <v>5503</v>
      </c>
    </row>
    <row r="1367" customFormat="false" ht="35.05" hidden="false" customHeight="false" outlineLevel="0" collapsed="false">
      <c r="A1367" s="13" t="s">
        <v>3</v>
      </c>
      <c r="B1367" s="13" t="s">
        <v>4108</v>
      </c>
      <c r="C1367" s="13" t="n">
        <v>440</v>
      </c>
      <c r="D1367" s="13" t="s">
        <v>5498</v>
      </c>
      <c r="E1367" s="13" t="s">
        <v>5504</v>
      </c>
      <c r="F1367" s="13" t="s">
        <v>5501</v>
      </c>
      <c r="G1367" s="13" t="s">
        <v>5505</v>
      </c>
      <c r="H1367" s="13" t="s">
        <v>5506</v>
      </c>
      <c r="I1367" s="13" t="s">
        <v>82</v>
      </c>
      <c r="J1367" s="13" t="s">
        <v>83</v>
      </c>
      <c r="K1367" s="13"/>
      <c r="L1367" s="13" t="s">
        <v>5502</v>
      </c>
      <c r="M1367" s="13" t="s">
        <v>5503</v>
      </c>
    </row>
    <row r="1368" customFormat="false" ht="225.35" hidden="false" customHeight="false" outlineLevel="0" collapsed="false">
      <c r="A1368" s="13" t="s">
        <v>3</v>
      </c>
      <c r="B1368" s="13" t="s">
        <v>4108</v>
      </c>
      <c r="C1368" s="13" t="n">
        <v>440</v>
      </c>
      <c r="D1368" s="13" t="s">
        <v>5507</v>
      </c>
      <c r="E1368" s="13" t="s">
        <v>5508</v>
      </c>
      <c r="F1368" s="13" t="s">
        <v>4226</v>
      </c>
      <c r="G1368" s="13" t="s">
        <v>5509</v>
      </c>
      <c r="H1368" s="13" t="s">
        <v>5510</v>
      </c>
      <c r="I1368" s="13" t="s">
        <v>82</v>
      </c>
      <c r="J1368" s="13" t="s">
        <v>83</v>
      </c>
      <c r="K1368" s="13"/>
      <c r="L1368" s="13" t="s">
        <v>5511</v>
      </c>
      <c r="M1368" s="13" t="s">
        <v>5512</v>
      </c>
    </row>
    <row r="1369" customFormat="false" ht="225.35" hidden="false" customHeight="false" outlineLevel="0" collapsed="false">
      <c r="A1369" s="13" t="s">
        <v>3</v>
      </c>
      <c r="B1369" s="13" t="s">
        <v>4108</v>
      </c>
      <c r="C1369" s="13" t="n">
        <v>440</v>
      </c>
      <c r="D1369" s="13" t="s">
        <v>5507</v>
      </c>
      <c r="E1369" s="13" t="s">
        <v>5513</v>
      </c>
      <c r="F1369" s="13" t="s">
        <v>5510</v>
      </c>
      <c r="G1369" s="13" t="s">
        <v>5514</v>
      </c>
      <c r="H1369" s="13" t="s">
        <v>5515</v>
      </c>
      <c r="I1369" s="13" t="s">
        <v>82</v>
      </c>
      <c r="J1369" s="13" t="s">
        <v>83</v>
      </c>
      <c r="K1369" s="13"/>
      <c r="L1369" s="13" t="s">
        <v>5511</v>
      </c>
      <c r="M1369" s="13" t="s">
        <v>5512</v>
      </c>
    </row>
    <row r="1370" customFormat="false" ht="225.35" hidden="false" customHeight="false" outlineLevel="0" collapsed="false">
      <c r="A1370" s="13" t="s">
        <v>3</v>
      </c>
      <c r="B1370" s="13" t="s">
        <v>4108</v>
      </c>
      <c r="C1370" s="13" t="n">
        <v>440</v>
      </c>
      <c r="D1370" s="13" t="s">
        <v>5507</v>
      </c>
      <c r="E1370" s="13" t="s">
        <v>5516</v>
      </c>
      <c r="F1370" s="13" t="s">
        <v>5387</v>
      </c>
      <c r="G1370" s="13" t="s">
        <v>5517</v>
      </c>
      <c r="H1370" s="13" t="s">
        <v>5518</v>
      </c>
      <c r="I1370" s="13" t="s">
        <v>114</v>
      </c>
      <c r="J1370" s="13" t="s">
        <v>5519</v>
      </c>
      <c r="K1370" s="13" t="s">
        <v>5520</v>
      </c>
      <c r="L1370" s="13" t="s">
        <v>5511</v>
      </c>
      <c r="M1370" s="13" t="s">
        <v>5512</v>
      </c>
    </row>
    <row r="1371" customFormat="false" ht="225.35" hidden="false" customHeight="false" outlineLevel="0" collapsed="false">
      <c r="A1371" s="13" t="s">
        <v>3</v>
      </c>
      <c r="B1371" s="13" t="s">
        <v>4108</v>
      </c>
      <c r="C1371" s="13" t="n">
        <v>440</v>
      </c>
      <c r="D1371" s="13" t="s">
        <v>5507</v>
      </c>
      <c r="E1371" s="13" t="s">
        <v>5521</v>
      </c>
      <c r="F1371" s="13" t="s">
        <v>5510</v>
      </c>
      <c r="G1371" s="13" t="s">
        <v>5522</v>
      </c>
      <c r="H1371" s="13" t="s">
        <v>5523</v>
      </c>
      <c r="I1371" s="13" t="s">
        <v>82</v>
      </c>
      <c r="J1371" s="13" t="s">
        <v>83</v>
      </c>
      <c r="K1371" s="13"/>
      <c r="L1371" s="13" t="s">
        <v>5511</v>
      </c>
      <c r="M1371" s="13" t="s">
        <v>5512</v>
      </c>
    </row>
    <row r="1372" customFormat="false" ht="225.35" hidden="false" customHeight="false" outlineLevel="0" collapsed="false">
      <c r="A1372" s="13" t="s">
        <v>3</v>
      </c>
      <c r="B1372" s="13" t="s">
        <v>4108</v>
      </c>
      <c r="C1372" s="13" t="n">
        <v>440</v>
      </c>
      <c r="D1372" s="13" t="s">
        <v>5507</v>
      </c>
      <c r="E1372" s="13" t="s">
        <v>5524</v>
      </c>
      <c r="F1372" s="13" t="s">
        <v>5510</v>
      </c>
      <c r="G1372" s="13" t="s">
        <v>5525</v>
      </c>
      <c r="H1372" s="13" t="s">
        <v>5526</v>
      </c>
      <c r="I1372" s="13" t="s">
        <v>82</v>
      </c>
      <c r="J1372" s="13" t="s">
        <v>83</v>
      </c>
      <c r="K1372" s="13"/>
      <c r="L1372" s="13" t="s">
        <v>5511</v>
      </c>
      <c r="M1372" s="13" t="s">
        <v>5512</v>
      </c>
    </row>
    <row r="1373" customFormat="false" ht="225.35" hidden="false" customHeight="false" outlineLevel="0" collapsed="false">
      <c r="A1373" s="13" t="s">
        <v>3</v>
      </c>
      <c r="B1373" s="13" t="s">
        <v>4108</v>
      </c>
      <c r="C1373" s="13" t="n">
        <v>440</v>
      </c>
      <c r="D1373" s="13" t="s">
        <v>5507</v>
      </c>
      <c r="E1373" s="13" t="s">
        <v>5527</v>
      </c>
      <c r="F1373" s="13" t="s">
        <v>5528</v>
      </c>
      <c r="G1373" s="13" t="s">
        <v>168</v>
      </c>
      <c r="H1373" s="13" t="s">
        <v>5529</v>
      </c>
      <c r="I1373" s="13" t="s">
        <v>82</v>
      </c>
      <c r="J1373" s="13" t="s">
        <v>83</v>
      </c>
      <c r="K1373" s="13"/>
      <c r="L1373" s="13" t="s">
        <v>5511</v>
      </c>
      <c r="M1373" s="13" t="s">
        <v>5512</v>
      </c>
    </row>
    <row r="1374" customFormat="false" ht="57.45" hidden="false" customHeight="false" outlineLevel="0" collapsed="false">
      <c r="A1374" s="13" t="s">
        <v>3</v>
      </c>
      <c r="B1374" s="13" t="s">
        <v>4108</v>
      </c>
      <c r="C1374" s="13" t="n">
        <v>445</v>
      </c>
      <c r="D1374" s="13" t="s">
        <v>5530</v>
      </c>
      <c r="E1374" s="13" t="s">
        <v>5531</v>
      </c>
      <c r="F1374" s="13" t="s">
        <v>806</v>
      </c>
      <c r="G1374" s="13" t="s">
        <v>1532</v>
      </c>
      <c r="H1374" s="13" t="s">
        <v>5532</v>
      </c>
      <c r="I1374" s="13" t="s">
        <v>114</v>
      </c>
      <c r="J1374" s="13" t="s">
        <v>5533</v>
      </c>
      <c r="K1374" s="13" t="s">
        <v>5534</v>
      </c>
      <c r="L1374" s="13" t="s">
        <v>5535</v>
      </c>
      <c r="M1374" s="13" t="s">
        <v>5536</v>
      </c>
    </row>
    <row r="1375" customFormat="false" ht="57.45" hidden="false" customHeight="false" outlineLevel="0" collapsed="false">
      <c r="A1375" s="13" t="s">
        <v>3</v>
      </c>
      <c r="B1375" s="13" t="s">
        <v>4108</v>
      </c>
      <c r="C1375" s="13" t="n">
        <v>445</v>
      </c>
      <c r="D1375" s="13" t="s">
        <v>5530</v>
      </c>
      <c r="E1375" s="13" t="s">
        <v>5537</v>
      </c>
      <c r="F1375" s="13" t="s">
        <v>5532</v>
      </c>
      <c r="G1375" s="13" t="s">
        <v>5538</v>
      </c>
      <c r="H1375" s="13" t="s">
        <v>5539</v>
      </c>
      <c r="I1375" s="13" t="s">
        <v>82</v>
      </c>
      <c r="J1375" s="13" t="s">
        <v>83</v>
      </c>
      <c r="K1375" s="13"/>
      <c r="L1375" s="13" t="s">
        <v>5535</v>
      </c>
      <c r="M1375" s="13" t="s">
        <v>5536</v>
      </c>
    </row>
    <row r="1376" customFormat="false" ht="68.65" hidden="false" customHeight="false" outlineLevel="0" collapsed="false">
      <c r="A1376" s="13" t="s">
        <v>3</v>
      </c>
      <c r="B1376" s="13" t="s">
        <v>4108</v>
      </c>
      <c r="C1376" s="13" t="n">
        <v>445</v>
      </c>
      <c r="D1376" s="13" t="s">
        <v>5540</v>
      </c>
      <c r="E1376" s="13" t="s">
        <v>5541</v>
      </c>
      <c r="F1376" s="13" t="s">
        <v>4232</v>
      </c>
      <c r="G1376" s="13" t="s">
        <v>5542</v>
      </c>
      <c r="H1376" s="13" t="s">
        <v>5539</v>
      </c>
      <c r="I1376" s="13" t="s">
        <v>82</v>
      </c>
      <c r="J1376" s="13" t="s">
        <v>83</v>
      </c>
      <c r="K1376" s="13"/>
      <c r="L1376" s="13" t="s">
        <v>5543</v>
      </c>
      <c r="M1376" s="13" t="s">
        <v>5544</v>
      </c>
    </row>
    <row r="1377" customFormat="false" ht="68.65" hidden="false" customHeight="false" outlineLevel="0" collapsed="false">
      <c r="A1377" s="13" t="s">
        <v>3</v>
      </c>
      <c r="B1377" s="13" t="s">
        <v>4108</v>
      </c>
      <c r="C1377" s="13" t="n">
        <v>445</v>
      </c>
      <c r="D1377" s="13" t="s">
        <v>5540</v>
      </c>
      <c r="E1377" s="13" t="s">
        <v>5545</v>
      </c>
      <c r="F1377" s="13" t="s">
        <v>5546</v>
      </c>
      <c r="G1377" s="13" t="s">
        <v>5547</v>
      </c>
      <c r="H1377" s="13" t="s">
        <v>5548</v>
      </c>
      <c r="I1377" s="13" t="s">
        <v>82</v>
      </c>
      <c r="J1377" s="13" t="s">
        <v>83</v>
      </c>
      <c r="K1377" s="13"/>
      <c r="L1377" s="13" t="s">
        <v>5543</v>
      </c>
      <c r="M1377" s="13" t="s">
        <v>5544</v>
      </c>
    </row>
    <row r="1378" customFormat="false" ht="68.65" hidden="false" customHeight="false" outlineLevel="0" collapsed="false">
      <c r="A1378" s="13" t="s">
        <v>3</v>
      </c>
      <c r="B1378" s="13" t="s">
        <v>4108</v>
      </c>
      <c r="C1378" s="13" t="n">
        <v>445</v>
      </c>
      <c r="D1378" s="13" t="s">
        <v>5549</v>
      </c>
      <c r="E1378" s="13" t="s">
        <v>5550</v>
      </c>
      <c r="F1378" s="13" t="s">
        <v>5551</v>
      </c>
      <c r="G1378" s="13" t="s">
        <v>5542</v>
      </c>
      <c r="H1378" s="13" t="s">
        <v>5539</v>
      </c>
      <c r="I1378" s="13" t="s">
        <v>82</v>
      </c>
      <c r="J1378" s="13" t="s">
        <v>83</v>
      </c>
      <c r="K1378" s="13"/>
      <c r="L1378" s="13" t="s">
        <v>5552</v>
      </c>
      <c r="M1378" s="13" t="s">
        <v>5553</v>
      </c>
    </row>
    <row r="1379" customFormat="false" ht="68.65" hidden="false" customHeight="false" outlineLevel="0" collapsed="false">
      <c r="A1379" s="13" t="s">
        <v>3</v>
      </c>
      <c r="B1379" s="13" t="s">
        <v>4108</v>
      </c>
      <c r="C1379" s="13" t="n">
        <v>445</v>
      </c>
      <c r="D1379" s="13" t="s">
        <v>5549</v>
      </c>
      <c r="E1379" s="13" t="s">
        <v>5554</v>
      </c>
      <c r="F1379" s="13" t="s">
        <v>5551</v>
      </c>
      <c r="G1379" s="13" t="s">
        <v>5547</v>
      </c>
      <c r="H1379" s="13" t="s">
        <v>5548</v>
      </c>
      <c r="I1379" s="13" t="s">
        <v>82</v>
      </c>
      <c r="J1379" s="13" t="s">
        <v>83</v>
      </c>
      <c r="K1379" s="13"/>
      <c r="L1379" s="13" t="s">
        <v>5552</v>
      </c>
      <c r="M1379" s="13" t="s">
        <v>5553</v>
      </c>
    </row>
    <row r="1380" customFormat="false" ht="23.85" hidden="false" customHeight="false" outlineLevel="0" collapsed="false">
      <c r="A1380" s="13" t="s">
        <v>3</v>
      </c>
      <c r="B1380" s="13" t="s">
        <v>4108</v>
      </c>
      <c r="C1380" s="13" t="n">
        <v>445</v>
      </c>
      <c r="D1380" s="13" t="s">
        <v>5555</v>
      </c>
      <c r="E1380" s="13" t="s">
        <v>5556</v>
      </c>
      <c r="F1380" s="13" t="s">
        <v>5557</v>
      </c>
      <c r="G1380" s="13" t="s">
        <v>5558</v>
      </c>
      <c r="H1380" s="13" t="s">
        <v>5559</v>
      </c>
      <c r="I1380" s="13" t="s">
        <v>82</v>
      </c>
      <c r="J1380" s="13" t="s">
        <v>83</v>
      </c>
      <c r="K1380" s="13"/>
      <c r="L1380" s="13" t="s">
        <v>5560</v>
      </c>
      <c r="M1380" s="13" t="s">
        <v>5561</v>
      </c>
    </row>
    <row r="1381" customFormat="false" ht="23.85" hidden="false" customHeight="false" outlineLevel="0" collapsed="false">
      <c r="A1381" s="13" t="s">
        <v>3</v>
      </c>
      <c r="B1381" s="13" t="s">
        <v>4108</v>
      </c>
      <c r="C1381" s="13" t="n">
        <v>445</v>
      </c>
      <c r="D1381" s="13" t="s">
        <v>5562</v>
      </c>
      <c r="E1381" s="13" t="s">
        <v>5563</v>
      </c>
      <c r="F1381" s="13" t="s">
        <v>5564</v>
      </c>
      <c r="G1381" s="13" t="s">
        <v>5565</v>
      </c>
      <c r="H1381" s="13" t="s">
        <v>5539</v>
      </c>
      <c r="I1381" s="13" t="s">
        <v>82</v>
      </c>
      <c r="J1381" s="13" t="s">
        <v>83</v>
      </c>
      <c r="K1381" s="13"/>
      <c r="L1381" s="13" t="s">
        <v>5566</v>
      </c>
      <c r="M1381" s="13" t="s">
        <v>5567</v>
      </c>
    </row>
    <row r="1382" customFormat="false" ht="23.85" hidden="false" customHeight="false" outlineLevel="0" collapsed="false">
      <c r="A1382" s="13" t="s">
        <v>3</v>
      </c>
      <c r="B1382" s="13" t="s">
        <v>4108</v>
      </c>
      <c r="C1382" s="13" t="n">
        <v>445</v>
      </c>
      <c r="D1382" s="13" t="s">
        <v>5562</v>
      </c>
      <c r="E1382" s="13" t="s">
        <v>5568</v>
      </c>
      <c r="F1382" s="13" t="s">
        <v>5569</v>
      </c>
      <c r="G1382" s="13" t="s">
        <v>5565</v>
      </c>
      <c r="H1382" s="13" t="s">
        <v>5539</v>
      </c>
      <c r="I1382" s="13" t="s">
        <v>82</v>
      </c>
      <c r="J1382" s="13" t="s">
        <v>83</v>
      </c>
      <c r="K1382" s="13"/>
      <c r="L1382" s="13" t="s">
        <v>5566</v>
      </c>
      <c r="M1382" s="13" t="s">
        <v>5567</v>
      </c>
    </row>
    <row r="1383" customFormat="false" ht="79.85" hidden="false" customHeight="false" outlineLevel="0" collapsed="false">
      <c r="A1383" s="13" t="s">
        <v>3</v>
      </c>
      <c r="B1383" s="13" t="s">
        <v>4108</v>
      </c>
      <c r="C1383" s="13" t="n">
        <v>445</v>
      </c>
      <c r="D1383" s="13" t="s">
        <v>5570</v>
      </c>
      <c r="E1383" s="13" t="s">
        <v>5571</v>
      </c>
      <c r="F1383" s="13" t="s">
        <v>4961</v>
      </c>
      <c r="G1383" s="13" t="s">
        <v>4730</v>
      </c>
      <c r="H1383" s="13" t="s">
        <v>5572</v>
      </c>
      <c r="I1383" s="13" t="s">
        <v>82</v>
      </c>
      <c r="J1383" s="13" t="s">
        <v>83</v>
      </c>
      <c r="K1383" s="13"/>
      <c r="L1383" s="13" t="s">
        <v>5573</v>
      </c>
      <c r="M1383" s="13" t="s">
        <v>5574</v>
      </c>
    </row>
    <row r="1384" customFormat="false" ht="79.85" hidden="false" customHeight="false" outlineLevel="0" collapsed="false">
      <c r="A1384" s="13" t="s">
        <v>3</v>
      </c>
      <c r="B1384" s="13" t="s">
        <v>4108</v>
      </c>
      <c r="C1384" s="13" t="n">
        <v>445</v>
      </c>
      <c r="D1384" s="13" t="s">
        <v>5570</v>
      </c>
      <c r="E1384" s="13" t="s">
        <v>5575</v>
      </c>
      <c r="F1384" s="13" t="s">
        <v>5576</v>
      </c>
      <c r="G1384" s="13" t="s">
        <v>4730</v>
      </c>
      <c r="H1384" s="13" t="s">
        <v>5572</v>
      </c>
      <c r="I1384" s="13" t="s">
        <v>82</v>
      </c>
      <c r="J1384" s="13" t="s">
        <v>83</v>
      </c>
      <c r="K1384" s="13"/>
      <c r="L1384" s="13" t="s">
        <v>5573</v>
      </c>
      <c r="M1384" s="13" t="s">
        <v>5574</v>
      </c>
    </row>
    <row r="1385" customFormat="false" ht="79.85" hidden="false" customHeight="false" outlineLevel="0" collapsed="false">
      <c r="A1385" s="13" t="s">
        <v>3</v>
      </c>
      <c r="B1385" s="13" t="s">
        <v>4108</v>
      </c>
      <c r="C1385" s="13" t="n">
        <v>445</v>
      </c>
      <c r="D1385" s="13" t="s">
        <v>5570</v>
      </c>
      <c r="E1385" s="13" t="s">
        <v>5577</v>
      </c>
      <c r="F1385" s="13" t="s">
        <v>5578</v>
      </c>
      <c r="G1385" s="13" t="s">
        <v>4730</v>
      </c>
      <c r="H1385" s="13" t="s">
        <v>5572</v>
      </c>
      <c r="I1385" s="13" t="s">
        <v>74</v>
      </c>
      <c r="J1385" s="13" t="s">
        <v>5579</v>
      </c>
      <c r="K1385" s="13" t="s">
        <v>5580</v>
      </c>
      <c r="L1385" s="13" t="s">
        <v>5573</v>
      </c>
      <c r="M1385" s="13" t="s">
        <v>5574</v>
      </c>
    </row>
    <row r="1386" customFormat="false" ht="79.85" hidden="false" customHeight="false" outlineLevel="0" collapsed="false">
      <c r="A1386" s="13" t="s">
        <v>3</v>
      </c>
      <c r="B1386" s="13" t="s">
        <v>4108</v>
      </c>
      <c r="C1386" s="13" t="n">
        <v>445</v>
      </c>
      <c r="D1386" s="13" t="s">
        <v>5570</v>
      </c>
      <c r="E1386" s="13" t="s">
        <v>5581</v>
      </c>
      <c r="F1386" s="13" t="s">
        <v>5582</v>
      </c>
      <c r="G1386" s="13" t="s">
        <v>4730</v>
      </c>
      <c r="H1386" s="13" t="s">
        <v>5572</v>
      </c>
      <c r="I1386" s="13" t="s">
        <v>82</v>
      </c>
      <c r="J1386" s="13" t="s">
        <v>83</v>
      </c>
      <c r="K1386" s="13"/>
      <c r="L1386" s="13" t="s">
        <v>5573</v>
      </c>
      <c r="M1386" s="13" t="s">
        <v>5574</v>
      </c>
    </row>
    <row r="1387" customFormat="false" ht="79.85" hidden="false" customHeight="false" outlineLevel="0" collapsed="false">
      <c r="A1387" s="13" t="s">
        <v>3</v>
      </c>
      <c r="B1387" s="13" t="s">
        <v>4108</v>
      </c>
      <c r="C1387" s="13" t="n">
        <v>445</v>
      </c>
      <c r="D1387" s="13" t="s">
        <v>5570</v>
      </c>
      <c r="E1387" s="13" t="s">
        <v>5583</v>
      </c>
      <c r="F1387" s="13" t="s">
        <v>5584</v>
      </c>
      <c r="G1387" s="13" t="s">
        <v>4730</v>
      </c>
      <c r="H1387" s="13" t="s">
        <v>5572</v>
      </c>
      <c r="I1387" s="13" t="s">
        <v>82</v>
      </c>
      <c r="J1387" s="13" t="s">
        <v>83</v>
      </c>
      <c r="K1387" s="13"/>
      <c r="L1387" s="13" t="s">
        <v>5573</v>
      </c>
      <c r="M1387" s="13" t="s">
        <v>5574</v>
      </c>
    </row>
    <row r="1388" customFormat="false" ht="79.85" hidden="false" customHeight="false" outlineLevel="0" collapsed="false">
      <c r="A1388" s="13" t="s">
        <v>3</v>
      </c>
      <c r="B1388" s="13" t="s">
        <v>4108</v>
      </c>
      <c r="C1388" s="13" t="n">
        <v>445</v>
      </c>
      <c r="D1388" s="13" t="s">
        <v>5570</v>
      </c>
      <c r="E1388" s="13" t="s">
        <v>5585</v>
      </c>
      <c r="F1388" s="13" t="s">
        <v>5586</v>
      </c>
      <c r="G1388" s="13" t="s">
        <v>4730</v>
      </c>
      <c r="H1388" s="13" t="s">
        <v>5572</v>
      </c>
      <c r="I1388" s="13" t="s">
        <v>74</v>
      </c>
      <c r="J1388" s="13" t="s">
        <v>5587</v>
      </c>
      <c r="K1388" s="13" t="s">
        <v>5588</v>
      </c>
      <c r="L1388" s="13" t="s">
        <v>5573</v>
      </c>
      <c r="M1388" s="13" t="s">
        <v>5574</v>
      </c>
    </row>
    <row r="1389" customFormat="false" ht="79.85" hidden="false" customHeight="false" outlineLevel="0" collapsed="false">
      <c r="A1389" s="13" t="s">
        <v>3</v>
      </c>
      <c r="B1389" s="13" t="s">
        <v>4108</v>
      </c>
      <c r="C1389" s="13" t="n">
        <v>445</v>
      </c>
      <c r="D1389" s="13" t="s">
        <v>5570</v>
      </c>
      <c r="E1389" s="13" t="s">
        <v>5589</v>
      </c>
      <c r="F1389" s="13" t="s">
        <v>5590</v>
      </c>
      <c r="G1389" s="13" t="s">
        <v>4730</v>
      </c>
      <c r="H1389" s="13" t="s">
        <v>5572</v>
      </c>
      <c r="I1389" s="13" t="s">
        <v>82</v>
      </c>
      <c r="J1389" s="13" t="s">
        <v>83</v>
      </c>
      <c r="K1389" s="13"/>
      <c r="L1389" s="13" t="s">
        <v>5573</v>
      </c>
      <c r="M1389" s="13" t="s">
        <v>5574</v>
      </c>
    </row>
    <row r="1390" customFormat="false" ht="79.85" hidden="false" customHeight="false" outlineLevel="0" collapsed="false">
      <c r="A1390" s="13" t="s">
        <v>3</v>
      </c>
      <c r="B1390" s="13" t="s">
        <v>4108</v>
      </c>
      <c r="C1390" s="13" t="n">
        <v>445</v>
      </c>
      <c r="D1390" s="13" t="s">
        <v>5570</v>
      </c>
      <c r="E1390" s="13" t="s">
        <v>5591</v>
      </c>
      <c r="F1390" s="13" t="s">
        <v>5592</v>
      </c>
      <c r="G1390" s="13" t="s">
        <v>4730</v>
      </c>
      <c r="H1390" s="13" t="s">
        <v>5572</v>
      </c>
      <c r="I1390" s="13" t="s">
        <v>82</v>
      </c>
      <c r="J1390" s="13" t="s">
        <v>83</v>
      </c>
      <c r="K1390" s="13"/>
      <c r="L1390" s="13" t="s">
        <v>5573</v>
      </c>
      <c r="M1390" s="13" t="s">
        <v>5574</v>
      </c>
    </row>
    <row r="1391" customFormat="false" ht="79.85" hidden="false" customHeight="false" outlineLevel="0" collapsed="false">
      <c r="A1391" s="13" t="s">
        <v>3</v>
      </c>
      <c r="B1391" s="13" t="s">
        <v>4108</v>
      </c>
      <c r="C1391" s="13" t="n">
        <v>445</v>
      </c>
      <c r="D1391" s="13" t="s">
        <v>5570</v>
      </c>
      <c r="E1391" s="13" t="s">
        <v>5593</v>
      </c>
      <c r="F1391" s="13" t="s">
        <v>5594</v>
      </c>
      <c r="G1391" s="13" t="s">
        <v>4730</v>
      </c>
      <c r="H1391" s="13" t="s">
        <v>5572</v>
      </c>
      <c r="I1391" s="13" t="s">
        <v>82</v>
      </c>
      <c r="J1391" s="13" t="s">
        <v>83</v>
      </c>
      <c r="K1391" s="13"/>
      <c r="L1391" s="13" t="s">
        <v>5573</v>
      </c>
      <c r="M1391" s="13" t="s">
        <v>5574</v>
      </c>
    </row>
    <row r="1392" customFormat="false" ht="79.85" hidden="false" customHeight="false" outlineLevel="0" collapsed="false">
      <c r="A1392" s="13" t="s">
        <v>3</v>
      </c>
      <c r="B1392" s="13" t="s">
        <v>4108</v>
      </c>
      <c r="C1392" s="13" t="n">
        <v>445</v>
      </c>
      <c r="D1392" s="13" t="s">
        <v>5570</v>
      </c>
      <c r="E1392" s="13" t="s">
        <v>5595</v>
      </c>
      <c r="F1392" s="13" t="s">
        <v>5596</v>
      </c>
      <c r="G1392" s="13" t="s">
        <v>4730</v>
      </c>
      <c r="H1392" s="13" t="s">
        <v>5572</v>
      </c>
      <c r="I1392" s="13" t="s">
        <v>82</v>
      </c>
      <c r="J1392" s="13" t="s">
        <v>83</v>
      </c>
      <c r="K1392" s="13"/>
      <c r="L1392" s="13" t="s">
        <v>5573</v>
      </c>
      <c r="M1392" s="13" t="s">
        <v>5574</v>
      </c>
    </row>
    <row r="1393" customFormat="false" ht="79.85" hidden="false" customHeight="false" outlineLevel="0" collapsed="false">
      <c r="A1393" s="13" t="s">
        <v>3</v>
      </c>
      <c r="B1393" s="13" t="s">
        <v>4108</v>
      </c>
      <c r="C1393" s="13" t="n">
        <v>445</v>
      </c>
      <c r="D1393" s="13" t="s">
        <v>5570</v>
      </c>
      <c r="E1393" s="13" t="s">
        <v>5597</v>
      </c>
      <c r="F1393" s="13" t="s">
        <v>5598</v>
      </c>
      <c r="G1393" s="13" t="s">
        <v>4730</v>
      </c>
      <c r="H1393" s="13" t="s">
        <v>5572</v>
      </c>
      <c r="I1393" s="13" t="s">
        <v>82</v>
      </c>
      <c r="J1393" s="13" t="s">
        <v>83</v>
      </c>
      <c r="K1393" s="13"/>
      <c r="L1393" s="13" t="s">
        <v>5573</v>
      </c>
      <c r="M1393" s="13" t="s">
        <v>5574</v>
      </c>
    </row>
    <row r="1394" customFormat="false" ht="79.85" hidden="false" customHeight="false" outlineLevel="0" collapsed="false">
      <c r="A1394" s="13" t="s">
        <v>3</v>
      </c>
      <c r="B1394" s="13" t="s">
        <v>4108</v>
      </c>
      <c r="C1394" s="13" t="n">
        <v>445</v>
      </c>
      <c r="D1394" s="13" t="s">
        <v>5570</v>
      </c>
      <c r="E1394" s="13" t="s">
        <v>5599</v>
      </c>
      <c r="F1394" s="13" t="s">
        <v>5600</v>
      </c>
      <c r="G1394" s="13" t="s">
        <v>4730</v>
      </c>
      <c r="H1394" s="13" t="s">
        <v>5572</v>
      </c>
      <c r="I1394" s="13" t="s">
        <v>82</v>
      </c>
      <c r="J1394" s="13" t="s">
        <v>83</v>
      </c>
      <c r="K1394" s="13"/>
      <c r="L1394" s="13" t="s">
        <v>5573</v>
      </c>
      <c r="M1394" s="13" t="s">
        <v>5574</v>
      </c>
    </row>
    <row r="1395" customFormat="false" ht="79.85" hidden="false" customHeight="false" outlineLevel="0" collapsed="false">
      <c r="A1395" s="13" t="s">
        <v>3</v>
      </c>
      <c r="B1395" s="13" t="s">
        <v>4108</v>
      </c>
      <c r="C1395" s="13" t="n">
        <v>445</v>
      </c>
      <c r="D1395" s="13" t="s">
        <v>5570</v>
      </c>
      <c r="E1395" s="13" t="s">
        <v>5601</v>
      </c>
      <c r="F1395" s="13" t="s">
        <v>5602</v>
      </c>
      <c r="G1395" s="13" t="s">
        <v>4730</v>
      </c>
      <c r="H1395" s="13" t="s">
        <v>5572</v>
      </c>
      <c r="I1395" s="13" t="s">
        <v>82</v>
      </c>
      <c r="J1395" s="13" t="s">
        <v>83</v>
      </c>
      <c r="K1395" s="13"/>
      <c r="L1395" s="13" t="s">
        <v>5573</v>
      </c>
      <c r="M1395" s="13" t="s">
        <v>5574</v>
      </c>
    </row>
    <row r="1396" customFormat="false" ht="79.85" hidden="false" customHeight="false" outlineLevel="0" collapsed="false">
      <c r="A1396" s="13" t="s">
        <v>3</v>
      </c>
      <c r="B1396" s="13" t="s">
        <v>4108</v>
      </c>
      <c r="C1396" s="13" t="n">
        <v>476</v>
      </c>
      <c r="D1396" s="13" t="s">
        <v>5603</v>
      </c>
      <c r="E1396" s="13" t="s">
        <v>5604</v>
      </c>
      <c r="F1396" s="13" t="s">
        <v>1289</v>
      </c>
      <c r="G1396" s="13" t="s">
        <v>5605</v>
      </c>
      <c r="H1396" s="13" t="s">
        <v>5606</v>
      </c>
      <c r="I1396" s="13" t="s">
        <v>82</v>
      </c>
      <c r="J1396" s="13" t="s">
        <v>83</v>
      </c>
      <c r="K1396" s="13"/>
      <c r="L1396" s="13" t="s">
        <v>5607</v>
      </c>
      <c r="M1396" s="13" t="s">
        <v>5608</v>
      </c>
    </row>
    <row r="1397" customFormat="false" ht="79.85" hidden="false" customHeight="false" outlineLevel="0" collapsed="false">
      <c r="A1397" s="13" t="s">
        <v>3</v>
      </c>
      <c r="B1397" s="13" t="s">
        <v>4108</v>
      </c>
      <c r="C1397" s="13" t="n">
        <v>476</v>
      </c>
      <c r="D1397" s="13" t="s">
        <v>5603</v>
      </c>
      <c r="E1397" s="13" t="s">
        <v>5609</v>
      </c>
      <c r="F1397" s="13" t="s">
        <v>5610</v>
      </c>
      <c r="G1397" s="13" t="s">
        <v>5605</v>
      </c>
      <c r="H1397" s="13" t="s">
        <v>5611</v>
      </c>
      <c r="I1397" s="13" t="s">
        <v>82</v>
      </c>
      <c r="J1397" s="13" t="s">
        <v>83</v>
      </c>
      <c r="K1397" s="13"/>
      <c r="L1397" s="13" t="s">
        <v>5607</v>
      </c>
      <c r="M1397" s="13" t="s">
        <v>5608</v>
      </c>
    </row>
    <row r="1398" customFormat="false" ht="79.85" hidden="false" customHeight="false" outlineLevel="0" collapsed="false">
      <c r="A1398" s="13" t="s">
        <v>3</v>
      </c>
      <c r="B1398" s="13" t="s">
        <v>4108</v>
      </c>
      <c r="C1398" s="13" t="n">
        <v>476</v>
      </c>
      <c r="D1398" s="13" t="s">
        <v>5603</v>
      </c>
      <c r="E1398" s="13" t="s">
        <v>5612</v>
      </c>
      <c r="F1398" s="13" t="s">
        <v>5606</v>
      </c>
      <c r="G1398" s="13" t="s">
        <v>1854</v>
      </c>
      <c r="H1398" s="13" t="s">
        <v>5613</v>
      </c>
      <c r="I1398" s="13" t="s">
        <v>82</v>
      </c>
      <c r="J1398" s="13" t="s">
        <v>83</v>
      </c>
      <c r="K1398" s="13"/>
      <c r="L1398" s="13" t="s">
        <v>5607</v>
      </c>
      <c r="M1398" s="13" t="s">
        <v>5608</v>
      </c>
    </row>
    <row r="1399" customFormat="false" ht="46.25" hidden="false" customHeight="false" outlineLevel="0" collapsed="false">
      <c r="A1399" s="13" t="s">
        <v>3</v>
      </c>
      <c r="B1399" s="13" t="s">
        <v>4108</v>
      </c>
      <c r="C1399" s="13" t="n">
        <v>476</v>
      </c>
      <c r="D1399" s="13" t="s">
        <v>5614</v>
      </c>
      <c r="E1399" s="13" t="s">
        <v>5615</v>
      </c>
      <c r="F1399" s="13" t="s">
        <v>5616</v>
      </c>
      <c r="G1399" s="13" t="s">
        <v>5617</v>
      </c>
      <c r="H1399" s="13" t="s">
        <v>5618</v>
      </c>
      <c r="I1399" s="13" t="s">
        <v>82</v>
      </c>
      <c r="J1399" s="13" t="s">
        <v>83</v>
      </c>
      <c r="K1399" s="13"/>
      <c r="L1399" s="13" t="s">
        <v>5619</v>
      </c>
      <c r="M1399" s="13" t="s">
        <v>5620</v>
      </c>
    </row>
    <row r="1400" customFormat="false" ht="35.05" hidden="false" customHeight="false" outlineLevel="0" collapsed="false">
      <c r="A1400" s="13" t="s">
        <v>3</v>
      </c>
      <c r="B1400" s="13" t="s">
        <v>4108</v>
      </c>
      <c r="C1400" s="13" t="n">
        <v>476</v>
      </c>
      <c r="D1400" s="13" t="s">
        <v>5621</v>
      </c>
      <c r="E1400" s="13" t="s">
        <v>5622</v>
      </c>
      <c r="F1400" s="13" t="s">
        <v>5616</v>
      </c>
      <c r="G1400" s="13" t="s">
        <v>5623</v>
      </c>
      <c r="H1400" s="13" t="s">
        <v>5624</v>
      </c>
      <c r="I1400" s="13" t="s">
        <v>82</v>
      </c>
      <c r="J1400" s="13" t="s">
        <v>83</v>
      </c>
      <c r="K1400" s="13"/>
      <c r="L1400" s="13" t="s">
        <v>5625</v>
      </c>
      <c r="M1400" s="13" t="s">
        <v>5626</v>
      </c>
    </row>
    <row r="1401" customFormat="false" ht="35.05" hidden="false" customHeight="false" outlineLevel="0" collapsed="false">
      <c r="A1401" s="13" t="s">
        <v>3</v>
      </c>
      <c r="B1401" s="13" t="s">
        <v>4108</v>
      </c>
      <c r="C1401" s="13" t="n">
        <v>476</v>
      </c>
      <c r="D1401" s="13" t="s">
        <v>5621</v>
      </c>
      <c r="E1401" s="13" t="s">
        <v>5627</v>
      </c>
      <c r="F1401" s="13" t="s">
        <v>5618</v>
      </c>
      <c r="G1401" s="13" t="s">
        <v>5623</v>
      </c>
      <c r="H1401" s="13" t="s">
        <v>5628</v>
      </c>
      <c r="I1401" s="13" t="s">
        <v>82</v>
      </c>
      <c r="J1401" s="13" t="s">
        <v>83</v>
      </c>
      <c r="K1401" s="13"/>
      <c r="L1401" s="13" t="s">
        <v>5625</v>
      </c>
      <c r="M1401" s="13" t="s">
        <v>5626</v>
      </c>
    </row>
    <row r="1402" customFormat="false" ht="57.45" hidden="false" customHeight="false" outlineLevel="0" collapsed="false">
      <c r="A1402" s="13" t="s">
        <v>3</v>
      </c>
      <c r="B1402" s="13" t="s">
        <v>4108</v>
      </c>
      <c r="C1402" s="13" t="n">
        <v>476</v>
      </c>
      <c r="D1402" s="13" t="s">
        <v>5629</v>
      </c>
      <c r="E1402" s="13" t="s">
        <v>5630</v>
      </c>
      <c r="F1402" s="13" t="s">
        <v>5616</v>
      </c>
      <c r="G1402" s="13" t="s">
        <v>5631</v>
      </c>
      <c r="H1402" s="13" t="s">
        <v>5624</v>
      </c>
      <c r="I1402" s="13" t="s">
        <v>82</v>
      </c>
      <c r="J1402" s="13" t="s">
        <v>83</v>
      </c>
      <c r="K1402" s="13"/>
      <c r="L1402" s="13" t="s">
        <v>5632</v>
      </c>
      <c r="M1402" s="13" t="s">
        <v>5633</v>
      </c>
    </row>
    <row r="1403" customFormat="false" ht="57.45" hidden="false" customHeight="false" outlineLevel="0" collapsed="false">
      <c r="A1403" s="13" t="s">
        <v>3</v>
      </c>
      <c r="B1403" s="13" t="s">
        <v>4108</v>
      </c>
      <c r="C1403" s="13" t="n">
        <v>476</v>
      </c>
      <c r="D1403" s="13" t="s">
        <v>5629</v>
      </c>
      <c r="E1403" s="13" t="s">
        <v>5634</v>
      </c>
      <c r="F1403" s="13" t="s">
        <v>5624</v>
      </c>
      <c r="G1403" s="13" t="s">
        <v>5635</v>
      </c>
      <c r="H1403" s="13" t="s">
        <v>5616</v>
      </c>
      <c r="I1403" s="13" t="s">
        <v>82</v>
      </c>
      <c r="J1403" s="13" t="s">
        <v>83</v>
      </c>
      <c r="K1403" s="13"/>
      <c r="L1403" s="13" t="s">
        <v>5632</v>
      </c>
      <c r="M1403" s="13" t="s">
        <v>5633</v>
      </c>
    </row>
    <row r="1404" customFormat="false" ht="91" hidden="false" customHeight="false" outlineLevel="0" collapsed="false">
      <c r="A1404" s="13" t="s">
        <v>3</v>
      </c>
      <c r="B1404" s="13" t="s">
        <v>4108</v>
      </c>
      <c r="C1404" s="13" t="n">
        <v>476</v>
      </c>
      <c r="D1404" s="13" t="s">
        <v>5636</v>
      </c>
      <c r="E1404" s="13" t="s">
        <v>5637</v>
      </c>
      <c r="F1404" s="13" t="s">
        <v>5616</v>
      </c>
      <c r="G1404" s="13" t="s">
        <v>5638</v>
      </c>
      <c r="H1404" s="13" t="s">
        <v>5624</v>
      </c>
      <c r="I1404" s="13" t="s">
        <v>82</v>
      </c>
      <c r="J1404" s="13" t="s">
        <v>83</v>
      </c>
      <c r="K1404" s="13"/>
      <c r="L1404" s="13" t="s">
        <v>5639</v>
      </c>
      <c r="M1404" s="13" t="s">
        <v>5640</v>
      </c>
    </row>
    <row r="1405" customFormat="false" ht="91" hidden="false" customHeight="false" outlineLevel="0" collapsed="false">
      <c r="A1405" s="13" t="s">
        <v>3</v>
      </c>
      <c r="B1405" s="13" t="s">
        <v>4108</v>
      </c>
      <c r="C1405" s="13" t="n">
        <v>476</v>
      </c>
      <c r="D1405" s="13" t="s">
        <v>5636</v>
      </c>
      <c r="E1405" s="13" t="s">
        <v>5641</v>
      </c>
      <c r="F1405" s="13" t="s">
        <v>5616</v>
      </c>
      <c r="G1405" s="13" t="s">
        <v>5642</v>
      </c>
      <c r="H1405" s="13" t="s">
        <v>5624</v>
      </c>
      <c r="I1405" s="13" t="s">
        <v>82</v>
      </c>
      <c r="J1405" s="13" t="s">
        <v>83</v>
      </c>
      <c r="K1405" s="13"/>
      <c r="L1405" s="13" t="s">
        <v>5639</v>
      </c>
      <c r="M1405" s="13" t="s">
        <v>5640</v>
      </c>
    </row>
    <row r="1406" customFormat="false" ht="91" hidden="false" customHeight="false" outlineLevel="0" collapsed="false">
      <c r="A1406" s="13" t="s">
        <v>3</v>
      </c>
      <c r="B1406" s="13" t="s">
        <v>4108</v>
      </c>
      <c r="C1406" s="13" t="n">
        <v>476</v>
      </c>
      <c r="D1406" s="13" t="s">
        <v>5636</v>
      </c>
      <c r="E1406" s="13" t="s">
        <v>5643</v>
      </c>
      <c r="F1406" s="13" t="s">
        <v>5616</v>
      </c>
      <c r="G1406" s="13" t="s">
        <v>5644</v>
      </c>
      <c r="H1406" s="13" t="s">
        <v>5645</v>
      </c>
      <c r="I1406" s="13" t="s">
        <v>82</v>
      </c>
      <c r="J1406" s="13" t="s">
        <v>83</v>
      </c>
      <c r="K1406" s="13"/>
      <c r="L1406" s="13" t="s">
        <v>5639</v>
      </c>
      <c r="M1406" s="13" t="s">
        <v>5640</v>
      </c>
    </row>
    <row r="1407" customFormat="false" ht="147" hidden="false" customHeight="false" outlineLevel="0" collapsed="false">
      <c r="A1407" s="13" t="s">
        <v>3</v>
      </c>
      <c r="B1407" s="13" t="s">
        <v>4108</v>
      </c>
      <c r="C1407" s="13" t="n">
        <v>476</v>
      </c>
      <c r="D1407" s="13" t="s">
        <v>5646</v>
      </c>
      <c r="E1407" s="13" t="s">
        <v>5647</v>
      </c>
      <c r="F1407" s="13" t="s">
        <v>5616</v>
      </c>
      <c r="G1407" s="13" t="s">
        <v>5648</v>
      </c>
      <c r="H1407" s="13" t="s">
        <v>5624</v>
      </c>
      <c r="I1407" s="13" t="s">
        <v>82</v>
      </c>
      <c r="J1407" s="13" t="s">
        <v>83</v>
      </c>
      <c r="K1407" s="13"/>
      <c r="L1407" s="13" t="s">
        <v>5649</v>
      </c>
      <c r="M1407" s="13" t="s">
        <v>5650</v>
      </c>
    </row>
    <row r="1408" customFormat="false" ht="147" hidden="false" customHeight="false" outlineLevel="0" collapsed="false">
      <c r="A1408" s="13" t="s">
        <v>3</v>
      </c>
      <c r="B1408" s="13" t="s">
        <v>4108</v>
      </c>
      <c r="C1408" s="13" t="n">
        <v>476</v>
      </c>
      <c r="D1408" s="13" t="s">
        <v>5646</v>
      </c>
      <c r="E1408" s="13" t="s">
        <v>5651</v>
      </c>
      <c r="F1408" s="13" t="s">
        <v>5616</v>
      </c>
      <c r="G1408" s="13" t="s">
        <v>5652</v>
      </c>
      <c r="H1408" s="13" t="s">
        <v>5624</v>
      </c>
      <c r="I1408" s="13" t="s">
        <v>82</v>
      </c>
      <c r="J1408" s="13" t="s">
        <v>83</v>
      </c>
      <c r="K1408" s="13"/>
      <c r="L1408" s="13" t="s">
        <v>5649</v>
      </c>
      <c r="M1408" s="13" t="s">
        <v>5650</v>
      </c>
    </row>
    <row r="1409" customFormat="false" ht="147" hidden="false" customHeight="false" outlineLevel="0" collapsed="false">
      <c r="A1409" s="13" t="s">
        <v>3</v>
      </c>
      <c r="B1409" s="13" t="s">
        <v>4108</v>
      </c>
      <c r="C1409" s="13" t="n">
        <v>476</v>
      </c>
      <c r="D1409" s="13" t="s">
        <v>5646</v>
      </c>
      <c r="E1409" s="13" t="s">
        <v>5653</v>
      </c>
      <c r="F1409" s="13" t="s">
        <v>5616</v>
      </c>
      <c r="G1409" s="13" t="s">
        <v>5654</v>
      </c>
      <c r="H1409" s="13" t="s">
        <v>5624</v>
      </c>
      <c r="I1409" s="13" t="s">
        <v>82</v>
      </c>
      <c r="J1409" s="13" t="s">
        <v>83</v>
      </c>
      <c r="K1409" s="13"/>
      <c r="L1409" s="13" t="s">
        <v>5649</v>
      </c>
      <c r="M1409" s="13" t="s">
        <v>5650</v>
      </c>
    </row>
    <row r="1410" customFormat="false" ht="147" hidden="false" customHeight="false" outlineLevel="0" collapsed="false">
      <c r="A1410" s="13" t="s">
        <v>3</v>
      </c>
      <c r="B1410" s="13" t="s">
        <v>4108</v>
      </c>
      <c r="C1410" s="13" t="n">
        <v>476</v>
      </c>
      <c r="D1410" s="13" t="s">
        <v>5646</v>
      </c>
      <c r="E1410" s="13" t="s">
        <v>5655</v>
      </c>
      <c r="F1410" s="13" t="s">
        <v>5616</v>
      </c>
      <c r="G1410" s="13" t="s">
        <v>5656</v>
      </c>
      <c r="H1410" s="13" t="s">
        <v>5624</v>
      </c>
      <c r="I1410" s="13" t="s">
        <v>82</v>
      </c>
      <c r="J1410" s="13" t="s">
        <v>83</v>
      </c>
      <c r="K1410" s="13"/>
      <c r="L1410" s="13" t="s">
        <v>5649</v>
      </c>
      <c r="M1410" s="13" t="s">
        <v>5650</v>
      </c>
    </row>
    <row r="1411" customFormat="false" ht="68.65" hidden="false" customHeight="false" outlineLevel="0" collapsed="false">
      <c r="A1411" s="13" t="s">
        <v>3</v>
      </c>
      <c r="B1411" s="13" t="s">
        <v>4108</v>
      </c>
      <c r="C1411" s="13" t="n">
        <v>476</v>
      </c>
      <c r="D1411" s="13" t="s">
        <v>5657</v>
      </c>
      <c r="E1411" s="13" t="s">
        <v>5658</v>
      </c>
      <c r="F1411" s="13" t="s">
        <v>5616</v>
      </c>
      <c r="G1411" s="13" t="s">
        <v>5659</v>
      </c>
      <c r="H1411" s="13" t="s">
        <v>5624</v>
      </c>
      <c r="I1411" s="13" t="s">
        <v>82</v>
      </c>
      <c r="J1411" s="13" t="s">
        <v>83</v>
      </c>
      <c r="K1411" s="13"/>
      <c r="L1411" s="13" t="s">
        <v>5660</v>
      </c>
      <c r="M1411" s="13" t="s">
        <v>5661</v>
      </c>
    </row>
    <row r="1412" customFormat="false" ht="68.65" hidden="false" customHeight="false" outlineLevel="0" collapsed="false">
      <c r="A1412" s="13" t="s">
        <v>3</v>
      </c>
      <c r="B1412" s="13" t="s">
        <v>4108</v>
      </c>
      <c r="C1412" s="13" t="n">
        <v>476</v>
      </c>
      <c r="D1412" s="13" t="s">
        <v>5657</v>
      </c>
      <c r="E1412" s="13" t="s">
        <v>5662</v>
      </c>
      <c r="F1412" s="13" t="s">
        <v>5624</v>
      </c>
      <c r="G1412" s="13" t="s">
        <v>5663</v>
      </c>
      <c r="H1412" s="13" t="s">
        <v>5616</v>
      </c>
      <c r="I1412" s="13" t="s">
        <v>82</v>
      </c>
      <c r="J1412" s="13" t="s">
        <v>83</v>
      </c>
      <c r="K1412" s="13"/>
      <c r="L1412" s="13" t="s">
        <v>5660</v>
      </c>
      <c r="M1412" s="13" t="s">
        <v>5661</v>
      </c>
    </row>
    <row r="1413" customFormat="false" ht="113.4" hidden="false" customHeight="false" outlineLevel="0" collapsed="false">
      <c r="A1413" s="13" t="s">
        <v>3</v>
      </c>
      <c r="B1413" s="13" t="s">
        <v>4108</v>
      </c>
      <c r="C1413" s="13" t="n">
        <v>483</v>
      </c>
      <c r="D1413" s="13" t="s">
        <v>5664</v>
      </c>
      <c r="E1413" s="13" t="s">
        <v>5665</v>
      </c>
      <c r="F1413" s="13" t="s">
        <v>5666</v>
      </c>
      <c r="G1413" s="13" t="s">
        <v>5667</v>
      </c>
      <c r="H1413" s="13" t="s">
        <v>3519</v>
      </c>
      <c r="I1413" s="13" t="s">
        <v>82</v>
      </c>
      <c r="J1413" s="13" t="s">
        <v>83</v>
      </c>
      <c r="K1413" s="13"/>
      <c r="L1413" s="13" t="s">
        <v>5668</v>
      </c>
      <c r="M1413" s="13" t="s">
        <v>5669</v>
      </c>
    </row>
    <row r="1414" customFormat="false" ht="113.4" hidden="false" customHeight="false" outlineLevel="0" collapsed="false">
      <c r="A1414" s="13" t="s">
        <v>3</v>
      </c>
      <c r="B1414" s="13" t="s">
        <v>4108</v>
      </c>
      <c r="C1414" s="13" t="n">
        <v>483</v>
      </c>
      <c r="D1414" s="13" t="s">
        <v>5664</v>
      </c>
      <c r="E1414" s="13" t="s">
        <v>5670</v>
      </c>
      <c r="F1414" s="13" t="s">
        <v>5666</v>
      </c>
      <c r="G1414" s="13" t="s">
        <v>5671</v>
      </c>
      <c r="H1414" s="13" t="s">
        <v>5672</v>
      </c>
      <c r="I1414" s="13" t="s">
        <v>82</v>
      </c>
      <c r="J1414" s="13" t="s">
        <v>83</v>
      </c>
      <c r="K1414" s="13"/>
      <c r="L1414" s="13" t="s">
        <v>5668</v>
      </c>
      <c r="M1414" s="13" t="s">
        <v>5669</v>
      </c>
    </row>
    <row r="1415" customFormat="false" ht="113.4" hidden="false" customHeight="false" outlineLevel="0" collapsed="false">
      <c r="A1415" s="13" t="s">
        <v>3</v>
      </c>
      <c r="B1415" s="13" t="s">
        <v>4108</v>
      </c>
      <c r="C1415" s="13" t="n">
        <v>483</v>
      </c>
      <c r="D1415" s="13" t="s">
        <v>5664</v>
      </c>
      <c r="E1415" s="13" t="s">
        <v>5673</v>
      </c>
      <c r="F1415" s="13" t="s">
        <v>5666</v>
      </c>
      <c r="G1415" s="13" t="s">
        <v>5674</v>
      </c>
      <c r="H1415" s="13" t="s">
        <v>5675</v>
      </c>
      <c r="I1415" s="13" t="s">
        <v>82</v>
      </c>
      <c r="J1415" s="13" t="s">
        <v>83</v>
      </c>
      <c r="K1415" s="13"/>
      <c r="L1415" s="13" t="s">
        <v>5668</v>
      </c>
      <c r="M1415" s="13" t="s">
        <v>5669</v>
      </c>
    </row>
    <row r="1416" customFormat="false" ht="236.55" hidden="false" customHeight="false" outlineLevel="0" collapsed="false">
      <c r="A1416" s="13" t="s">
        <v>3</v>
      </c>
      <c r="B1416" s="13" t="s">
        <v>4108</v>
      </c>
      <c r="C1416" s="13" t="n">
        <v>483</v>
      </c>
      <c r="D1416" s="13" t="s">
        <v>5676</v>
      </c>
      <c r="E1416" s="13" t="s">
        <v>5677</v>
      </c>
      <c r="F1416" s="13" t="s">
        <v>5678</v>
      </c>
      <c r="G1416" s="13" t="s">
        <v>5679</v>
      </c>
      <c r="H1416" s="13" t="s">
        <v>3519</v>
      </c>
      <c r="I1416" s="13" t="s">
        <v>82</v>
      </c>
      <c r="J1416" s="13" t="s">
        <v>83</v>
      </c>
      <c r="K1416" s="13"/>
      <c r="L1416" s="13" t="s">
        <v>5680</v>
      </c>
      <c r="M1416" s="13" t="s">
        <v>5681</v>
      </c>
    </row>
    <row r="1417" customFormat="false" ht="236.55" hidden="false" customHeight="false" outlineLevel="0" collapsed="false">
      <c r="A1417" s="13" t="s">
        <v>3</v>
      </c>
      <c r="B1417" s="13" t="s">
        <v>4108</v>
      </c>
      <c r="C1417" s="13" t="n">
        <v>483</v>
      </c>
      <c r="D1417" s="13" t="s">
        <v>5676</v>
      </c>
      <c r="E1417" s="13" t="s">
        <v>5682</v>
      </c>
      <c r="F1417" s="13" t="s">
        <v>5683</v>
      </c>
      <c r="G1417" s="13" t="s">
        <v>5684</v>
      </c>
      <c r="H1417" s="13" t="s">
        <v>5678</v>
      </c>
      <c r="I1417" s="13" t="s">
        <v>82</v>
      </c>
      <c r="J1417" s="13" t="s">
        <v>83</v>
      </c>
      <c r="K1417" s="13"/>
      <c r="L1417" s="13" t="s">
        <v>5680</v>
      </c>
      <c r="M1417" s="13" t="s">
        <v>5681</v>
      </c>
    </row>
    <row r="1418" customFormat="false" ht="236.55" hidden="false" customHeight="false" outlineLevel="0" collapsed="false">
      <c r="A1418" s="13" t="s">
        <v>3</v>
      </c>
      <c r="B1418" s="13" t="s">
        <v>4108</v>
      </c>
      <c r="C1418" s="13" t="n">
        <v>483</v>
      </c>
      <c r="D1418" s="13" t="s">
        <v>5676</v>
      </c>
      <c r="E1418" s="13" t="s">
        <v>5685</v>
      </c>
      <c r="F1418" s="13" t="s">
        <v>2660</v>
      </c>
      <c r="G1418" s="13" t="s">
        <v>5686</v>
      </c>
      <c r="H1418" s="13" t="s">
        <v>5687</v>
      </c>
      <c r="I1418" s="13" t="s">
        <v>82</v>
      </c>
      <c r="J1418" s="13" t="s">
        <v>83</v>
      </c>
      <c r="K1418" s="13"/>
      <c r="L1418" s="13" t="s">
        <v>5680</v>
      </c>
      <c r="M1418" s="13" t="s">
        <v>5681</v>
      </c>
    </row>
    <row r="1419" customFormat="false" ht="236.55" hidden="false" customHeight="false" outlineLevel="0" collapsed="false">
      <c r="A1419" s="13" t="s">
        <v>3</v>
      </c>
      <c r="B1419" s="13" t="s">
        <v>4108</v>
      </c>
      <c r="C1419" s="13" t="n">
        <v>483</v>
      </c>
      <c r="D1419" s="13" t="s">
        <v>5676</v>
      </c>
      <c r="E1419" s="13" t="s">
        <v>5688</v>
      </c>
      <c r="F1419" s="13" t="s">
        <v>5689</v>
      </c>
      <c r="G1419" s="13" t="s">
        <v>5690</v>
      </c>
      <c r="H1419" s="13" t="s">
        <v>5691</v>
      </c>
      <c r="I1419" s="13" t="s">
        <v>82</v>
      </c>
      <c r="J1419" s="13" t="s">
        <v>83</v>
      </c>
      <c r="K1419" s="13"/>
      <c r="L1419" s="13" t="s">
        <v>5680</v>
      </c>
      <c r="M1419" s="13" t="s">
        <v>5681</v>
      </c>
    </row>
    <row r="1420" customFormat="false" ht="57.45" hidden="false" customHeight="false" outlineLevel="0" collapsed="false">
      <c r="A1420" s="13" t="s">
        <v>3</v>
      </c>
      <c r="B1420" s="13" t="s">
        <v>4108</v>
      </c>
      <c r="C1420" s="13" t="n">
        <v>483</v>
      </c>
      <c r="D1420" s="13" t="s">
        <v>5692</v>
      </c>
      <c r="E1420" s="13" t="s">
        <v>5693</v>
      </c>
      <c r="F1420" s="13" t="s">
        <v>5694</v>
      </c>
      <c r="G1420" s="13" t="s">
        <v>5695</v>
      </c>
      <c r="H1420" s="13" t="s">
        <v>3519</v>
      </c>
      <c r="I1420" s="13" t="s">
        <v>82</v>
      </c>
      <c r="J1420" s="13" t="s">
        <v>83</v>
      </c>
      <c r="K1420" s="13"/>
      <c r="L1420" s="13" t="s">
        <v>5696</v>
      </c>
      <c r="M1420" s="13" t="s">
        <v>5697</v>
      </c>
    </row>
    <row r="1421" customFormat="false" ht="57.45" hidden="false" customHeight="false" outlineLevel="0" collapsed="false">
      <c r="A1421" s="13" t="s">
        <v>3</v>
      </c>
      <c r="B1421" s="13" t="s">
        <v>4108</v>
      </c>
      <c r="C1421" s="13" t="n">
        <v>483</v>
      </c>
      <c r="D1421" s="13" t="s">
        <v>5692</v>
      </c>
      <c r="E1421" s="13" t="s">
        <v>5698</v>
      </c>
      <c r="F1421" s="13" t="s">
        <v>5694</v>
      </c>
      <c r="G1421" s="13" t="s">
        <v>5699</v>
      </c>
      <c r="H1421" s="13" t="s">
        <v>5700</v>
      </c>
      <c r="I1421" s="13" t="s">
        <v>82</v>
      </c>
      <c r="J1421" s="13" t="s">
        <v>83</v>
      </c>
      <c r="K1421" s="13"/>
      <c r="L1421" s="13" t="s">
        <v>5696</v>
      </c>
      <c r="M1421" s="13" t="s">
        <v>5697</v>
      </c>
    </row>
    <row r="1422" customFormat="false" ht="79.85" hidden="false" customHeight="false" outlineLevel="0" collapsed="false">
      <c r="A1422" s="13" t="s">
        <v>3</v>
      </c>
      <c r="B1422" s="13" t="s">
        <v>4108</v>
      </c>
      <c r="C1422" s="13" t="n">
        <v>483</v>
      </c>
      <c r="D1422" s="13" t="s">
        <v>5701</v>
      </c>
      <c r="E1422" s="13" t="s">
        <v>5702</v>
      </c>
      <c r="F1422" s="13" t="s">
        <v>5703</v>
      </c>
      <c r="G1422" s="13" t="s">
        <v>5704</v>
      </c>
      <c r="H1422" s="13" t="s">
        <v>5705</v>
      </c>
      <c r="I1422" s="13" t="s">
        <v>82</v>
      </c>
      <c r="J1422" s="13" t="s">
        <v>83</v>
      </c>
      <c r="K1422" s="13"/>
      <c r="L1422" s="13" t="s">
        <v>5706</v>
      </c>
      <c r="M1422" s="13" t="s">
        <v>5707</v>
      </c>
    </row>
    <row r="1423" customFormat="false" ht="79.85" hidden="false" customHeight="false" outlineLevel="0" collapsed="false">
      <c r="A1423" s="13" t="s">
        <v>3</v>
      </c>
      <c r="B1423" s="13" t="s">
        <v>4108</v>
      </c>
      <c r="C1423" s="13" t="n">
        <v>483</v>
      </c>
      <c r="D1423" s="13" t="s">
        <v>5701</v>
      </c>
      <c r="E1423" s="13" t="s">
        <v>5708</v>
      </c>
      <c r="F1423" s="13" t="s">
        <v>5709</v>
      </c>
      <c r="G1423" s="13" t="s">
        <v>5710</v>
      </c>
      <c r="H1423" s="13" t="s">
        <v>5705</v>
      </c>
      <c r="I1423" s="13" t="s">
        <v>82</v>
      </c>
      <c r="J1423" s="13" t="s">
        <v>83</v>
      </c>
      <c r="K1423" s="13"/>
      <c r="L1423" s="13" t="s">
        <v>5706</v>
      </c>
      <c r="M1423" s="13" t="s">
        <v>5707</v>
      </c>
    </row>
    <row r="1424" customFormat="false" ht="79.85" hidden="false" customHeight="false" outlineLevel="0" collapsed="false">
      <c r="A1424" s="13" t="s">
        <v>3</v>
      </c>
      <c r="B1424" s="13" t="s">
        <v>4108</v>
      </c>
      <c r="C1424" s="13" t="n">
        <v>483</v>
      </c>
      <c r="D1424" s="13" t="s">
        <v>5701</v>
      </c>
      <c r="E1424" s="13" t="s">
        <v>5711</v>
      </c>
      <c r="F1424" s="13" t="s">
        <v>5712</v>
      </c>
      <c r="G1424" s="13" t="s">
        <v>5713</v>
      </c>
      <c r="H1424" s="13" t="s">
        <v>5705</v>
      </c>
      <c r="I1424" s="13" t="s">
        <v>82</v>
      </c>
      <c r="J1424" s="13" t="s">
        <v>83</v>
      </c>
      <c r="K1424" s="13"/>
      <c r="L1424" s="13" t="s">
        <v>5706</v>
      </c>
      <c r="M1424" s="13" t="s">
        <v>5707</v>
      </c>
    </row>
    <row r="1425" customFormat="false" ht="169.4" hidden="false" customHeight="false" outlineLevel="0" collapsed="false">
      <c r="A1425" s="13" t="s">
        <v>4</v>
      </c>
      <c r="B1425" s="13" t="s">
        <v>68</v>
      </c>
      <c r="C1425" s="13" t="n">
        <v>68</v>
      </c>
      <c r="D1425" s="13" t="s">
        <v>5714</v>
      </c>
      <c r="E1425" s="13" t="s">
        <v>5715</v>
      </c>
      <c r="F1425" s="13" t="s">
        <v>1520</v>
      </c>
      <c r="G1425" s="13" t="s">
        <v>4050</v>
      </c>
      <c r="H1425" s="13" t="s">
        <v>173</v>
      </c>
      <c r="I1425" s="13" t="s">
        <v>82</v>
      </c>
      <c r="J1425" s="13" t="s">
        <v>5716</v>
      </c>
      <c r="K1425" s="13"/>
      <c r="L1425" s="13" t="s">
        <v>5717</v>
      </c>
      <c r="M1425" s="13" t="s">
        <v>5718</v>
      </c>
    </row>
    <row r="1426" customFormat="false" ht="169.4" hidden="false" customHeight="false" outlineLevel="0" collapsed="false">
      <c r="A1426" s="13" t="s">
        <v>4</v>
      </c>
      <c r="B1426" s="13" t="s">
        <v>68</v>
      </c>
      <c r="C1426" s="13" t="n">
        <v>68</v>
      </c>
      <c r="D1426" s="13" t="s">
        <v>5714</v>
      </c>
      <c r="E1426" s="13" t="s">
        <v>5719</v>
      </c>
      <c r="F1426" s="13" t="s">
        <v>1520</v>
      </c>
      <c r="G1426" s="13" t="s">
        <v>5720</v>
      </c>
      <c r="H1426" s="13" t="s">
        <v>5721</v>
      </c>
      <c r="I1426" s="13" t="s">
        <v>82</v>
      </c>
      <c r="J1426" s="13" t="s">
        <v>5716</v>
      </c>
      <c r="K1426" s="13"/>
      <c r="L1426" s="13" t="s">
        <v>5717</v>
      </c>
      <c r="M1426" s="13" t="s">
        <v>5718</v>
      </c>
    </row>
    <row r="1427" customFormat="false" ht="169.4" hidden="false" customHeight="false" outlineLevel="0" collapsed="false">
      <c r="A1427" s="13" t="s">
        <v>4</v>
      </c>
      <c r="B1427" s="13" t="s">
        <v>68</v>
      </c>
      <c r="C1427" s="13" t="n">
        <v>68</v>
      </c>
      <c r="D1427" s="13" t="s">
        <v>5714</v>
      </c>
      <c r="E1427" s="13" t="s">
        <v>5722</v>
      </c>
      <c r="F1427" s="13" t="s">
        <v>1520</v>
      </c>
      <c r="G1427" s="13" t="s">
        <v>5723</v>
      </c>
      <c r="H1427" s="13" t="s">
        <v>5724</v>
      </c>
      <c r="I1427" s="13" t="s">
        <v>82</v>
      </c>
      <c r="J1427" s="13" t="s">
        <v>5716</v>
      </c>
      <c r="K1427" s="13"/>
      <c r="L1427" s="13" t="s">
        <v>5717</v>
      </c>
      <c r="M1427" s="13" t="s">
        <v>5718</v>
      </c>
    </row>
    <row r="1428" customFormat="false" ht="169.4" hidden="false" customHeight="false" outlineLevel="0" collapsed="false">
      <c r="A1428" s="13" t="s">
        <v>4</v>
      </c>
      <c r="B1428" s="13" t="s">
        <v>68</v>
      </c>
      <c r="C1428" s="13" t="n">
        <v>68</v>
      </c>
      <c r="D1428" s="13" t="s">
        <v>5714</v>
      </c>
      <c r="E1428" s="13" t="s">
        <v>5725</v>
      </c>
      <c r="F1428" s="13" t="s">
        <v>1520</v>
      </c>
      <c r="G1428" s="13" t="s">
        <v>5723</v>
      </c>
      <c r="H1428" s="13" t="s">
        <v>5726</v>
      </c>
      <c r="I1428" s="13" t="s">
        <v>82</v>
      </c>
      <c r="J1428" s="13" t="s">
        <v>5716</v>
      </c>
      <c r="K1428" s="13"/>
      <c r="L1428" s="13" t="s">
        <v>5717</v>
      </c>
      <c r="M1428" s="13" t="s">
        <v>5718</v>
      </c>
    </row>
    <row r="1429" customFormat="false" ht="169.4" hidden="false" customHeight="false" outlineLevel="0" collapsed="false">
      <c r="A1429" s="13" t="s">
        <v>4</v>
      </c>
      <c r="B1429" s="13" t="s">
        <v>68</v>
      </c>
      <c r="C1429" s="13" t="n">
        <v>68</v>
      </c>
      <c r="D1429" s="13" t="s">
        <v>5714</v>
      </c>
      <c r="E1429" s="13" t="s">
        <v>5727</v>
      </c>
      <c r="F1429" s="13" t="s">
        <v>5728</v>
      </c>
      <c r="G1429" s="13" t="s">
        <v>5729</v>
      </c>
      <c r="H1429" s="13" t="s">
        <v>5730</v>
      </c>
      <c r="I1429" s="13" t="s">
        <v>82</v>
      </c>
      <c r="J1429" s="13" t="s">
        <v>5716</v>
      </c>
      <c r="K1429" s="13"/>
      <c r="L1429" s="13" t="s">
        <v>5717</v>
      </c>
      <c r="M1429" s="13" t="s">
        <v>5718</v>
      </c>
    </row>
    <row r="1430" customFormat="false" ht="337.3" hidden="false" customHeight="false" outlineLevel="0" collapsed="false">
      <c r="A1430" s="13" t="s">
        <v>4</v>
      </c>
      <c r="B1430" s="13" t="s">
        <v>68</v>
      </c>
      <c r="C1430" s="13" t="n">
        <v>68</v>
      </c>
      <c r="D1430" s="13" t="s">
        <v>5731</v>
      </c>
      <c r="E1430" s="13" t="s">
        <v>5732</v>
      </c>
      <c r="F1430" s="13" t="s">
        <v>5728</v>
      </c>
      <c r="G1430" s="13" t="s">
        <v>5733</v>
      </c>
      <c r="H1430" s="13" t="s">
        <v>5734</v>
      </c>
      <c r="I1430" s="13" t="s">
        <v>82</v>
      </c>
      <c r="J1430" s="13" t="s">
        <v>5716</v>
      </c>
      <c r="K1430" s="13"/>
      <c r="L1430" s="13" t="s">
        <v>5735</v>
      </c>
      <c r="M1430" s="13" t="s">
        <v>5736</v>
      </c>
    </row>
    <row r="1431" customFormat="false" ht="337.3" hidden="false" customHeight="false" outlineLevel="0" collapsed="false">
      <c r="A1431" s="13" t="s">
        <v>4</v>
      </c>
      <c r="B1431" s="13" t="s">
        <v>68</v>
      </c>
      <c r="C1431" s="13" t="n">
        <v>68</v>
      </c>
      <c r="D1431" s="13" t="s">
        <v>5731</v>
      </c>
      <c r="E1431" s="13" t="s">
        <v>5737</v>
      </c>
      <c r="F1431" s="13" t="s">
        <v>5728</v>
      </c>
      <c r="G1431" s="13" t="s">
        <v>5720</v>
      </c>
      <c r="H1431" s="13" t="s">
        <v>5738</v>
      </c>
      <c r="I1431" s="13" t="s">
        <v>82</v>
      </c>
      <c r="J1431" s="13" t="s">
        <v>5716</v>
      </c>
      <c r="K1431" s="13"/>
      <c r="L1431" s="13" t="s">
        <v>5735</v>
      </c>
      <c r="M1431" s="13" t="s">
        <v>5736</v>
      </c>
    </row>
    <row r="1432" customFormat="false" ht="337.3" hidden="false" customHeight="false" outlineLevel="0" collapsed="false">
      <c r="A1432" s="13" t="s">
        <v>4</v>
      </c>
      <c r="B1432" s="13" t="s">
        <v>68</v>
      </c>
      <c r="C1432" s="13" t="n">
        <v>68</v>
      </c>
      <c r="D1432" s="13" t="s">
        <v>5731</v>
      </c>
      <c r="E1432" s="13" t="s">
        <v>5739</v>
      </c>
      <c r="F1432" s="13" t="s">
        <v>5728</v>
      </c>
      <c r="G1432" s="13" t="s">
        <v>5740</v>
      </c>
      <c r="H1432" s="13" t="s">
        <v>5741</v>
      </c>
      <c r="I1432" s="13" t="s">
        <v>82</v>
      </c>
      <c r="J1432" s="13" t="s">
        <v>5716</v>
      </c>
      <c r="K1432" s="13"/>
      <c r="L1432" s="13" t="s">
        <v>5735</v>
      </c>
      <c r="M1432" s="13" t="s">
        <v>5736</v>
      </c>
    </row>
    <row r="1433" customFormat="false" ht="337.3" hidden="false" customHeight="false" outlineLevel="0" collapsed="false">
      <c r="A1433" s="13" t="s">
        <v>4</v>
      </c>
      <c r="B1433" s="13" t="s">
        <v>68</v>
      </c>
      <c r="C1433" s="13" t="n">
        <v>68</v>
      </c>
      <c r="D1433" s="13" t="s">
        <v>5731</v>
      </c>
      <c r="E1433" s="13" t="s">
        <v>5742</v>
      </c>
      <c r="F1433" s="13" t="s">
        <v>5743</v>
      </c>
      <c r="G1433" s="13" t="s">
        <v>5720</v>
      </c>
      <c r="H1433" s="13" t="s">
        <v>5744</v>
      </c>
      <c r="I1433" s="13" t="s">
        <v>82</v>
      </c>
      <c r="J1433" s="13" t="s">
        <v>5716</v>
      </c>
      <c r="K1433" s="13"/>
      <c r="L1433" s="13" t="s">
        <v>5735</v>
      </c>
      <c r="M1433" s="13" t="s">
        <v>5736</v>
      </c>
    </row>
    <row r="1434" customFormat="false" ht="337.3" hidden="false" customHeight="false" outlineLevel="0" collapsed="false">
      <c r="A1434" s="13" t="s">
        <v>4</v>
      </c>
      <c r="B1434" s="13" t="s">
        <v>68</v>
      </c>
      <c r="C1434" s="13" t="n">
        <v>68</v>
      </c>
      <c r="D1434" s="13" t="s">
        <v>5731</v>
      </c>
      <c r="E1434" s="13" t="s">
        <v>5745</v>
      </c>
      <c r="F1434" s="13" t="s">
        <v>173</v>
      </c>
      <c r="G1434" s="13" t="s">
        <v>5746</v>
      </c>
      <c r="H1434" s="13" t="s">
        <v>5738</v>
      </c>
      <c r="I1434" s="13" t="s">
        <v>82</v>
      </c>
      <c r="J1434" s="13" t="s">
        <v>5716</v>
      </c>
      <c r="K1434" s="13"/>
      <c r="L1434" s="13" t="s">
        <v>5735</v>
      </c>
      <c r="M1434" s="13" t="s">
        <v>5736</v>
      </c>
    </row>
    <row r="1435" customFormat="false" ht="337.3" hidden="false" customHeight="false" outlineLevel="0" collapsed="false">
      <c r="A1435" s="13" t="s">
        <v>4</v>
      </c>
      <c r="B1435" s="13" t="s">
        <v>68</v>
      </c>
      <c r="C1435" s="13" t="n">
        <v>68</v>
      </c>
      <c r="D1435" s="13" t="s">
        <v>5731</v>
      </c>
      <c r="E1435" s="13" t="s">
        <v>5747</v>
      </c>
      <c r="F1435" s="13" t="s">
        <v>173</v>
      </c>
      <c r="G1435" s="13" t="s">
        <v>736</v>
      </c>
      <c r="H1435" s="13" t="s">
        <v>5748</v>
      </c>
      <c r="I1435" s="13" t="s">
        <v>82</v>
      </c>
      <c r="J1435" s="13" t="s">
        <v>5716</v>
      </c>
      <c r="K1435" s="13"/>
      <c r="L1435" s="13" t="s">
        <v>5735</v>
      </c>
      <c r="M1435" s="13" t="s">
        <v>5736</v>
      </c>
    </row>
    <row r="1436" customFormat="false" ht="337.3" hidden="false" customHeight="false" outlineLevel="0" collapsed="false">
      <c r="A1436" s="13" t="s">
        <v>4</v>
      </c>
      <c r="B1436" s="13" t="s">
        <v>68</v>
      </c>
      <c r="C1436" s="13" t="n">
        <v>68</v>
      </c>
      <c r="D1436" s="13" t="s">
        <v>5731</v>
      </c>
      <c r="E1436" s="13" t="s">
        <v>5749</v>
      </c>
      <c r="F1436" s="13" t="s">
        <v>173</v>
      </c>
      <c r="G1436" s="13" t="s">
        <v>5750</v>
      </c>
      <c r="H1436" s="13" t="s">
        <v>5751</v>
      </c>
      <c r="I1436" s="13" t="s">
        <v>82</v>
      </c>
      <c r="J1436" s="13" t="s">
        <v>5716</v>
      </c>
      <c r="K1436" s="13"/>
      <c r="L1436" s="13" t="s">
        <v>5735</v>
      </c>
      <c r="M1436" s="13" t="s">
        <v>5736</v>
      </c>
    </row>
    <row r="1437" customFormat="false" ht="337.3" hidden="false" customHeight="false" outlineLevel="0" collapsed="false">
      <c r="A1437" s="13" t="s">
        <v>4</v>
      </c>
      <c r="B1437" s="13" t="s">
        <v>68</v>
      </c>
      <c r="C1437" s="13" t="n">
        <v>68</v>
      </c>
      <c r="D1437" s="13" t="s">
        <v>5731</v>
      </c>
      <c r="E1437" s="13" t="s">
        <v>5752</v>
      </c>
      <c r="F1437" s="13" t="s">
        <v>1520</v>
      </c>
      <c r="G1437" s="13" t="s">
        <v>5753</v>
      </c>
      <c r="H1437" s="13" t="s">
        <v>173</v>
      </c>
      <c r="I1437" s="13" t="s">
        <v>82</v>
      </c>
      <c r="J1437" s="13" t="s">
        <v>5716</v>
      </c>
      <c r="K1437" s="13"/>
      <c r="L1437" s="13" t="s">
        <v>5735</v>
      </c>
      <c r="M1437" s="13" t="s">
        <v>5736</v>
      </c>
    </row>
    <row r="1438" customFormat="false" ht="46.25" hidden="false" customHeight="false" outlineLevel="0" collapsed="false">
      <c r="A1438" s="13" t="s">
        <v>4</v>
      </c>
      <c r="B1438" s="13" t="s">
        <v>68</v>
      </c>
      <c r="C1438" s="13" t="n">
        <v>90</v>
      </c>
      <c r="D1438" s="13" t="s">
        <v>5754</v>
      </c>
      <c r="E1438" s="13" t="s">
        <v>5755</v>
      </c>
      <c r="F1438" s="13" t="s">
        <v>806</v>
      </c>
      <c r="G1438" s="13" t="s">
        <v>5756</v>
      </c>
      <c r="H1438" s="13" t="s">
        <v>5757</v>
      </c>
      <c r="I1438" s="13" t="s">
        <v>82</v>
      </c>
      <c r="J1438" s="13" t="s">
        <v>5716</v>
      </c>
      <c r="K1438" s="13"/>
      <c r="L1438" s="13" t="s">
        <v>5758</v>
      </c>
      <c r="M1438" s="13" t="s">
        <v>5759</v>
      </c>
    </row>
    <row r="1439" customFormat="false" ht="46.25" hidden="false" customHeight="false" outlineLevel="0" collapsed="false">
      <c r="A1439" s="13" t="s">
        <v>4</v>
      </c>
      <c r="B1439" s="13" t="s">
        <v>68</v>
      </c>
      <c r="C1439" s="13" t="n">
        <v>90</v>
      </c>
      <c r="D1439" s="13" t="s">
        <v>5754</v>
      </c>
      <c r="E1439" s="13" t="s">
        <v>5760</v>
      </c>
      <c r="F1439" s="13" t="s">
        <v>806</v>
      </c>
      <c r="G1439" s="13" t="s">
        <v>5761</v>
      </c>
      <c r="H1439" s="13" t="s">
        <v>5762</v>
      </c>
      <c r="I1439" s="13" t="s">
        <v>82</v>
      </c>
      <c r="J1439" s="13" t="s">
        <v>5716</v>
      </c>
      <c r="K1439" s="13"/>
      <c r="L1439" s="13" t="s">
        <v>5758</v>
      </c>
      <c r="M1439" s="13" t="s">
        <v>5759</v>
      </c>
    </row>
    <row r="1440" customFormat="false" ht="68.65" hidden="false" customHeight="false" outlineLevel="0" collapsed="false">
      <c r="A1440" s="13" t="s">
        <v>4</v>
      </c>
      <c r="B1440" s="13" t="s">
        <v>68</v>
      </c>
      <c r="C1440" s="13" t="n">
        <v>90</v>
      </c>
      <c r="D1440" s="13" t="s">
        <v>5763</v>
      </c>
      <c r="E1440" s="13" t="s">
        <v>5764</v>
      </c>
      <c r="F1440" s="13" t="s">
        <v>806</v>
      </c>
      <c r="G1440" s="13" t="s">
        <v>5765</v>
      </c>
      <c r="H1440" s="13" t="s">
        <v>5766</v>
      </c>
      <c r="I1440" s="13" t="s">
        <v>82</v>
      </c>
      <c r="J1440" s="13" t="s">
        <v>5716</v>
      </c>
      <c r="K1440" s="13"/>
      <c r="L1440" s="13" t="s">
        <v>5767</v>
      </c>
      <c r="M1440" s="13" t="s">
        <v>5768</v>
      </c>
    </row>
    <row r="1441" customFormat="false" ht="68.65" hidden="false" customHeight="false" outlineLevel="0" collapsed="false">
      <c r="A1441" s="13" t="s">
        <v>4</v>
      </c>
      <c r="B1441" s="13" t="s">
        <v>68</v>
      </c>
      <c r="C1441" s="13" t="n">
        <v>90</v>
      </c>
      <c r="D1441" s="13" t="s">
        <v>5763</v>
      </c>
      <c r="E1441" s="13" t="s">
        <v>5769</v>
      </c>
      <c r="F1441" s="13" t="s">
        <v>5770</v>
      </c>
      <c r="G1441" s="13" t="s">
        <v>5771</v>
      </c>
      <c r="H1441" s="13" t="s">
        <v>5772</v>
      </c>
      <c r="I1441" s="13" t="s">
        <v>82</v>
      </c>
      <c r="J1441" s="13" t="s">
        <v>5716</v>
      </c>
      <c r="K1441" s="13"/>
      <c r="L1441" s="13" t="s">
        <v>5767</v>
      </c>
      <c r="M1441" s="13" t="s">
        <v>5768</v>
      </c>
    </row>
    <row r="1442" customFormat="false" ht="35.05" hidden="false" customHeight="false" outlineLevel="0" collapsed="false">
      <c r="A1442" s="13" t="s">
        <v>4</v>
      </c>
      <c r="B1442" s="13" t="s">
        <v>68</v>
      </c>
      <c r="C1442" s="13" t="n">
        <v>90</v>
      </c>
      <c r="D1442" s="13" t="s">
        <v>5773</v>
      </c>
      <c r="E1442" s="13" t="s">
        <v>5774</v>
      </c>
      <c r="F1442" s="13" t="s">
        <v>5775</v>
      </c>
      <c r="G1442" s="13" t="s">
        <v>5776</v>
      </c>
      <c r="H1442" s="13" t="s">
        <v>5777</v>
      </c>
      <c r="I1442" s="13" t="s">
        <v>82</v>
      </c>
      <c r="J1442" s="13" t="s">
        <v>5716</v>
      </c>
      <c r="K1442" s="13"/>
      <c r="L1442" s="13" t="s">
        <v>5778</v>
      </c>
      <c r="M1442" s="13" t="s">
        <v>5779</v>
      </c>
    </row>
    <row r="1443" customFormat="false" ht="57.45" hidden="false" customHeight="false" outlineLevel="0" collapsed="false">
      <c r="A1443" s="13" t="s">
        <v>4</v>
      </c>
      <c r="B1443" s="13" t="s">
        <v>68</v>
      </c>
      <c r="C1443" s="13" t="n">
        <v>90</v>
      </c>
      <c r="D1443" s="13" t="s">
        <v>5780</v>
      </c>
      <c r="E1443" s="13" t="s">
        <v>5781</v>
      </c>
      <c r="F1443" s="13" t="s">
        <v>5775</v>
      </c>
      <c r="G1443" s="13" t="s">
        <v>5776</v>
      </c>
      <c r="H1443" s="13" t="s">
        <v>5782</v>
      </c>
      <c r="I1443" s="13" t="s">
        <v>82</v>
      </c>
      <c r="J1443" s="13" t="s">
        <v>5716</v>
      </c>
      <c r="K1443" s="13"/>
      <c r="L1443" s="13" t="s">
        <v>5783</v>
      </c>
      <c r="M1443" s="13" t="s">
        <v>5784</v>
      </c>
    </row>
    <row r="1444" customFormat="false" ht="46.25" hidden="false" customHeight="false" outlineLevel="0" collapsed="false">
      <c r="A1444" s="13" t="s">
        <v>4</v>
      </c>
      <c r="B1444" s="13" t="s">
        <v>68</v>
      </c>
      <c r="C1444" s="13" t="n">
        <v>90</v>
      </c>
      <c r="D1444" s="13" t="s">
        <v>5785</v>
      </c>
      <c r="E1444" s="13" t="s">
        <v>5786</v>
      </c>
      <c r="F1444" s="13" t="s">
        <v>806</v>
      </c>
      <c r="G1444" s="13" t="s">
        <v>5765</v>
      </c>
      <c r="H1444" s="13" t="s">
        <v>5787</v>
      </c>
      <c r="I1444" s="13" t="s">
        <v>82</v>
      </c>
      <c r="J1444" s="13" t="s">
        <v>5716</v>
      </c>
      <c r="K1444" s="13"/>
      <c r="L1444" s="13" t="s">
        <v>5788</v>
      </c>
      <c r="M1444" s="13" t="s">
        <v>5789</v>
      </c>
    </row>
    <row r="1445" customFormat="false" ht="23.85" hidden="false" customHeight="false" outlineLevel="0" collapsed="false">
      <c r="A1445" s="13" t="s">
        <v>4</v>
      </c>
      <c r="B1445" s="13" t="s">
        <v>68</v>
      </c>
      <c r="C1445" s="13" t="n">
        <v>90</v>
      </c>
      <c r="D1445" s="13" t="s">
        <v>5790</v>
      </c>
      <c r="E1445" s="13" t="s">
        <v>5791</v>
      </c>
      <c r="F1445" s="13" t="s">
        <v>806</v>
      </c>
      <c r="G1445" s="13" t="s">
        <v>1530</v>
      </c>
      <c r="H1445" s="13" t="s">
        <v>5792</v>
      </c>
      <c r="I1445" s="13" t="s">
        <v>82</v>
      </c>
      <c r="J1445" s="13" t="s">
        <v>5716</v>
      </c>
      <c r="K1445" s="13"/>
      <c r="L1445" s="13" t="s">
        <v>5793</v>
      </c>
      <c r="M1445" s="13" t="s">
        <v>5794</v>
      </c>
    </row>
    <row r="1446" customFormat="false" ht="23.85" hidden="false" customHeight="false" outlineLevel="0" collapsed="false">
      <c r="A1446" s="13" t="s">
        <v>4</v>
      </c>
      <c r="B1446" s="13" t="s">
        <v>68</v>
      </c>
      <c r="C1446" s="13" t="n">
        <v>90</v>
      </c>
      <c r="D1446" s="13" t="s">
        <v>5795</v>
      </c>
      <c r="E1446" s="13" t="s">
        <v>5796</v>
      </c>
      <c r="F1446" s="13" t="s">
        <v>5797</v>
      </c>
      <c r="G1446" s="13" t="s">
        <v>715</v>
      </c>
      <c r="H1446" s="13" t="s">
        <v>5798</v>
      </c>
      <c r="I1446" s="13" t="s">
        <v>82</v>
      </c>
      <c r="J1446" s="13" t="s">
        <v>5716</v>
      </c>
      <c r="K1446" s="13"/>
      <c r="L1446" s="13" t="s">
        <v>5799</v>
      </c>
      <c r="M1446" s="13" t="s">
        <v>5800</v>
      </c>
    </row>
    <row r="1447" customFormat="false" ht="35.05" hidden="false" customHeight="false" outlineLevel="0" collapsed="false">
      <c r="A1447" s="13" t="s">
        <v>4</v>
      </c>
      <c r="B1447" s="13" t="s">
        <v>68</v>
      </c>
      <c r="C1447" s="13" t="n">
        <v>90</v>
      </c>
      <c r="D1447" s="13" t="s">
        <v>5801</v>
      </c>
      <c r="E1447" s="13" t="s">
        <v>5802</v>
      </c>
      <c r="F1447" s="13" t="s">
        <v>806</v>
      </c>
      <c r="G1447" s="13" t="s">
        <v>1344</v>
      </c>
      <c r="H1447" s="13" t="s">
        <v>5803</v>
      </c>
      <c r="I1447" s="13" t="s">
        <v>82</v>
      </c>
      <c r="J1447" s="13" t="s">
        <v>5716</v>
      </c>
      <c r="K1447" s="13"/>
      <c r="L1447" s="13" t="s">
        <v>5804</v>
      </c>
      <c r="M1447" s="13" t="s">
        <v>5805</v>
      </c>
    </row>
    <row r="1448" customFormat="false" ht="35.05" hidden="false" customHeight="false" outlineLevel="0" collapsed="false">
      <c r="A1448" s="13" t="s">
        <v>4</v>
      </c>
      <c r="B1448" s="13" t="s">
        <v>68</v>
      </c>
      <c r="C1448" s="13" t="n">
        <v>90</v>
      </c>
      <c r="D1448" s="13" t="s">
        <v>5801</v>
      </c>
      <c r="E1448" s="13" t="s">
        <v>5806</v>
      </c>
      <c r="F1448" s="13" t="s">
        <v>5807</v>
      </c>
      <c r="G1448" s="13" t="s">
        <v>5808</v>
      </c>
      <c r="H1448" s="13" t="s">
        <v>5809</v>
      </c>
      <c r="I1448" s="13" t="s">
        <v>82</v>
      </c>
      <c r="J1448" s="13" t="s">
        <v>5716</v>
      </c>
      <c r="K1448" s="13"/>
      <c r="L1448" s="13" t="s">
        <v>5804</v>
      </c>
      <c r="M1448" s="13" t="s">
        <v>5805</v>
      </c>
    </row>
    <row r="1449" customFormat="false" ht="57.45" hidden="false" customHeight="false" outlineLevel="0" collapsed="false">
      <c r="A1449" s="13" t="s">
        <v>4</v>
      </c>
      <c r="B1449" s="13" t="s">
        <v>68</v>
      </c>
      <c r="C1449" s="13" t="n">
        <v>90</v>
      </c>
      <c r="D1449" s="13" t="s">
        <v>5810</v>
      </c>
      <c r="E1449" s="13" t="s">
        <v>5811</v>
      </c>
      <c r="F1449" s="13" t="s">
        <v>806</v>
      </c>
      <c r="G1449" s="13" t="s">
        <v>5812</v>
      </c>
      <c r="H1449" s="13" t="s">
        <v>5813</v>
      </c>
      <c r="I1449" s="13" t="s">
        <v>82</v>
      </c>
      <c r="J1449" s="13" t="s">
        <v>5716</v>
      </c>
      <c r="K1449" s="13"/>
      <c r="L1449" s="13" t="s">
        <v>5814</v>
      </c>
      <c r="M1449" s="13" t="s">
        <v>5815</v>
      </c>
    </row>
    <row r="1450" customFormat="false" ht="57.45" hidden="false" customHeight="false" outlineLevel="0" collapsed="false">
      <c r="A1450" s="13" t="s">
        <v>4</v>
      </c>
      <c r="B1450" s="13" t="s">
        <v>68</v>
      </c>
      <c r="C1450" s="13" t="n">
        <v>90</v>
      </c>
      <c r="D1450" s="13" t="s">
        <v>5810</v>
      </c>
      <c r="E1450" s="13" t="s">
        <v>5816</v>
      </c>
      <c r="F1450" s="13" t="s">
        <v>5817</v>
      </c>
      <c r="G1450" s="13" t="s">
        <v>5818</v>
      </c>
      <c r="H1450" s="13" t="s">
        <v>5819</v>
      </c>
      <c r="I1450" s="13" t="s">
        <v>82</v>
      </c>
      <c r="J1450" s="13" t="s">
        <v>5716</v>
      </c>
      <c r="K1450" s="13"/>
      <c r="L1450" s="13" t="s">
        <v>5814</v>
      </c>
      <c r="M1450" s="13" t="s">
        <v>5815</v>
      </c>
    </row>
    <row r="1451" customFormat="false" ht="46.25" hidden="false" customHeight="false" outlineLevel="0" collapsed="false">
      <c r="A1451" s="13" t="s">
        <v>4</v>
      </c>
      <c r="B1451" s="13" t="s">
        <v>68</v>
      </c>
      <c r="C1451" s="13" t="n">
        <v>90</v>
      </c>
      <c r="D1451" s="13" t="s">
        <v>5820</v>
      </c>
      <c r="E1451" s="13" t="s">
        <v>5821</v>
      </c>
      <c r="F1451" s="13" t="s">
        <v>806</v>
      </c>
      <c r="G1451" s="13" t="s">
        <v>5822</v>
      </c>
      <c r="H1451" s="13" t="s">
        <v>5823</v>
      </c>
      <c r="I1451" s="13" t="s">
        <v>82</v>
      </c>
      <c r="J1451" s="13" t="s">
        <v>5716</v>
      </c>
      <c r="K1451" s="13"/>
      <c r="L1451" s="13" t="s">
        <v>5824</v>
      </c>
      <c r="M1451" s="13" t="s">
        <v>5825</v>
      </c>
    </row>
    <row r="1452" customFormat="false" ht="23.85" hidden="false" customHeight="false" outlineLevel="0" collapsed="false">
      <c r="A1452" s="13" t="s">
        <v>4</v>
      </c>
      <c r="B1452" s="13" t="s">
        <v>68</v>
      </c>
      <c r="C1452" s="13" t="n">
        <v>90</v>
      </c>
      <c r="D1452" s="13" t="s">
        <v>5826</v>
      </c>
      <c r="E1452" s="13" t="s">
        <v>5827</v>
      </c>
      <c r="F1452" s="13" t="s">
        <v>806</v>
      </c>
      <c r="G1452" s="13" t="s">
        <v>1556</v>
      </c>
      <c r="H1452" s="13" t="s">
        <v>5828</v>
      </c>
      <c r="I1452" s="13" t="s">
        <v>82</v>
      </c>
      <c r="J1452" s="13" t="s">
        <v>5716</v>
      </c>
      <c r="K1452" s="13"/>
      <c r="L1452" s="13" t="s">
        <v>5829</v>
      </c>
      <c r="M1452" s="13" t="s">
        <v>5830</v>
      </c>
    </row>
    <row r="1453" customFormat="false" ht="23.85" hidden="false" customHeight="false" outlineLevel="0" collapsed="false">
      <c r="A1453" s="13" t="s">
        <v>4</v>
      </c>
      <c r="B1453" s="13" t="s">
        <v>68</v>
      </c>
      <c r="C1453" s="13" t="n">
        <v>90</v>
      </c>
      <c r="D1453" s="13" t="s">
        <v>5831</v>
      </c>
      <c r="E1453" s="13" t="s">
        <v>5832</v>
      </c>
      <c r="F1453" s="13" t="s">
        <v>806</v>
      </c>
      <c r="G1453" s="13" t="s">
        <v>1556</v>
      </c>
      <c r="H1453" s="13" t="s">
        <v>5833</v>
      </c>
      <c r="I1453" s="13" t="s">
        <v>82</v>
      </c>
      <c r="J1453" s="13" t="s">
        <v>5716</v>
      </c>
      <c r="K1453" s="13"/>
      <c r="L1453" s="13" t="s">
        <v>5834</v>
      </c>
      <c r="M1453" s="13" t="s">
        <v>5835</v>
      </c>
    </row>
    <row r="1454" customFormat="false" ht="23.85" hidden="false" customHeight="false" outlineLevel="0" collapsed="false">
      <c r="A1454" s="13" t="s">
        <v>4</v>
      </c>
      <c r="B1454" s="13" t="s">
        <v>68</v>
      </c>
      <c r="C1454" s="13" t="n">
        <v>90</v>
      </c>
      <c r="D1454" s="13" t="s">
        <v>5836</v>
      </c>
      <c r="E1454" s="13" t="s">
        <v>5837</v>
      </c>
      <c r="F1454" s="13" t="s">
        <v>806</v>
      </c>
      <c r="G1454" s="13" t="s">
        <v>1556</v>
      </c>
      <c r="H1454" s="13" t="s">
        <v>5838</v>
      </c>
      <c r="I1454" s="13" t="s">
        <v>82</v>
      </c>
      <c r="J1454" s="13" t="s">
        <v>5716</v>
      </c>
      <c r="K1454" s="13"/>
      <c r="L1454" s="13" t="s">
        <v>5839</v>
      </c>
      <c r="M1454" s="13" t="s">
        <v>5840</v>
      </c>
    </row>
    <row r="1455" customFormat="false" ht="35.05" hidden="false" customHeight="false" outlineLevel="0" collapsed="false">
      <c r="A1455" s="13" t="s">
        <v>4</v>
      </c>
      <c r="B1455" s="13" t="s">
        <v>68</v>
      </c>
      <c r="C1455" s="13" t="n">
        <v>90</v>
      </c>
      <c r="D1455" s="13" t="s">
        <v>5841</v>
      </c>
      <c r="E1455" s="13" t="s">
        <v>5842</v>
      </c>
      <c r="F1455" s="13" t="s">
        <v>806</v>
      </c>
      <c r="G1455" s="13" t="s">
        <v>1556</v>
      </c>
      <c r="H1455" s="13" t="s">
        <v>5843</v>
      </c>
      <c r="I1455" s="13" t="s">
        <v>82</v>
      </c>
      <c r="J1455" s="13" t="s">
        <v>5716</v>
      </c>
      <c r="K1455" s="13"/>
      <c r="L1455" s="13" t="s">
        <v>5844</v>
      </c>
      <c r="M1455" s="13" t="s">
        <v>5845</v>
      </c>
    </row>
    <row r="1456" customFormat="false" ht="23.85" hidden="false" customHeight="false" outlineLevel="0" collapsed="false">
      <c r="A1456" s="13" t="s">
        <v>4</v>
      </c>
      <c r="B1456" s="13" t="s">
        <v>68</v>
      </c>
      <c r="C1456" s="13" t="n">
        <v>90</v>
      </c>
      <c r="D1456" s="13" t="s">
        <v>5841</v>
      </c>
      <c r="E1456" s="13" t="s">
        <v>5846</v>
      </c>
      <c r="F1456" s="13" t="s">
        <v>806</v>
      </c>
      <c r="G1456" s="13" t="s">
        <v>1556</v>
      </c>
      <c r="H1456" s="13" t="s">
        <v>5847</v>
      </c>
      <c r="I1456" s="13" t="s">
        <v>82</v>
      </c>
      <c r="J1456" s="13" t="s">
        <v>5716</v>
      </c>
      <c r="K1456" s="13"/>
      <c r="L1456" s="13" t="s">
        <v>5844</v>
      </c>
      <c r="M1456" s="13" t="s">
        <v>5845</v>
      </c>
    </row>
    <row r="1457" customFormat="false" ht="35.05" hidden="false" customHeight="false" outlineLevel="0" collapsed="false">
      <c r="A1457" s="13" t="s">
        <v>4</v>
      </c>
      <c r="B1457" s="13" t="s">
        <v>68</v>
      </c>
      <c r="C1457" s="13" t="n">
        <v>90</v>
      </c>
      <c r="D1457" s="13" t="s">
        <v>5848</v>
      </c>
      <c r="E1457" s="13" t="s">
        <v>5849</v>
      </c>
      <c r="F1457" s="13" t="s">
        <v>5850</v>
      </c>
      <c r="G1457" s="13" t="s">
        <v>4107</v>
      </c>
      <c r="H1457" s="13" t="s">
        <v>5851</v>
      </c>
      <c r="I1457" s="13" t="s">
        <v>82</v>
      </c>
      <c r="J1457" s="13" t="s">
        <v>5716</v>
      </c>
      <c r="K1457" s="13"/>
      <c r="L1457" s="13" t="s">
        <v>5852</v>
      </c>
      <c r="M1457" s="13" t="s">
        <v>5853</v>
      </c>
    </row>
    <row r="1458" customFormat="false" ht="46.25" hidden="false" customHeight="false" outlineLevel="0" collapsed="false">
      <c r="A1458" s="13" t="s">
        <v>4</v>
      </c>
      <c r="B1458" s="13" t="s">
        <v>68</v>
      </c>
      <c r="C1458" s="13" t="n">
        <v>90</v>
      </c>
      <c r="D1458" s="13" t="s">
        <v>5854</v>
      </c>
      <c r="E1458" s="13" t="s">
        <v>5855</v>
      </c>
      <c r="F1458" s="13" t="s">
        <v>5856</v>
      </c>
      <c r="G1458" s="13" t="s">
        <v>5857</v>
      </c>
      <c r="H1458" s="13" t="s">
        <v>5858</v>
      </c>
      <c r="I1458" s="13" t="s">
        <v>74</v>
      </c>
      <c r="J1458" s="13" t="s">
        <v>5859</v>
      </c>
      <c r="K1458" s="13" t="s">
        <v>5860</v>
      </c>
      <c r="L1458" s="13" t="s">
        <v>5861</v>
      </c>
      <c r="M1458" s="13" t="s">
        <v>5862</v>
      </c>
    </row>
    <row r="1459" customFormat="false" ht="35.05" hidden="false" customHeight="false" outlineLevel="0" collapsed="false">
      <c r="A1459" s="13" t="s">
        <v>4</v>
      </c>
      <c r="B1459" s="13" t="s">
        <v>68</v>
      </c>
      <c r="C1459" s="13" t="n">
        <v>104</v>
      </c>
      <c r="D1459" s="13" t="s">
        <v>5863</v>
      </c>
      <c r="E1459" s="13" t="s">
        <v>5864</v>
      </c>
      <c r="F1459" s="13" t="s">
        <v>5865</v>
      </c>
      <c r="G1459" s="13" t="s">
        <v>5866</v>
      </c>
      <c r="H1459" s="13" t="s">
        <v>5867</v>
      </c>
      <c r="I1459" s="13" t="s">
        <v>82</v>
      </c>
      <c r="J1459" s="13" t="s">
        <v>5716</v>
      </c>
      <c r="K1459" s="13"/>
      <c r="L1459" s="13" t="s">
        <v>5868</v>
      </c>
      <c r="M1459" s="13" t="s">
        <v>5869</v>
      </c>
    </row>
    <row r="1460" customFormat="false" ht="35.05" hidden="false" customHeight="false" outlineLevel="0" collapsed="false">
      <c r="A1460" s="13" t="s">
        <v>4</v>
      </c>
      <c r="B1460" s="13" t="s">
        <v>68</v>
      </c>
      <c r="C1460" s="13" t="n">
        <v>104</v>
      </c>
      <c r="D1460" s="13" t="s">
        <v>5863</v>
      </c>
      <c r="E1460" s="13" t="s">
        <v>5870</v>
      </c>
      <c r="F1460" s="13" t="s">
        <v>5871</v>
      </c>
      <c r="G1460" s="13" t="s">
        <v>5872</v>
      </c>
      <c r="H1460" s="13" t="s">
        <v>5873</v>
      </c>
      <c r="I1460" s="13" t="s">
        <v>74</v>
      </c>
      <c r="J1460" s="13" t="s">
        <v>5874</v>
      </c>
      <c r="K1460" s="13" t="s">
        <v>5875</v>
      </c>
      <c r="L1460" s="13" t="s">
        <v>5868</v>
      </c>
      <c r="M1460" s="13" t="s">
        <v>5869</v>
      </c>
    </row>
    <row r="1461" customFormat="false" ht="35.05" hidden="false" customHeight="false" outlineLevel="0" collapsed="false">
      <c r="A1461" s="13" t="s">
        <v>4</v>
      </c>
      <c r="B1461" s="13" t="s">
        <v>68</v>
      </c>
      <c r="C1461" s="13" t="n">
        <v>104</v>
      </c>
      <c r="D1461" s="13" t="s">
        <v>5876</v>
      </c>
      <c r="E1461" s="13" t="s">
        <v>5877</v>
      </c>
      <c r="F1461" s="13" t="s">
        <v>5878</v>
      </c>
      <c r="G1461" s="13" t="s">
        <v>3990</v>
      </c>
      <c r="H1461" s="13" t="s">
        <v>5879</v>
      </c>
      <c r="I1461" s="13" t="s">
        <v>82</v>
      </c>
      <c r="J1461" s="13" t="s">
        <v>5716</v>
      </c>
      <c r="K1461" s="13"/>
      <c r="L1461" s="13" t="s">
        <v>5880</v>
      </c>
      <c r="M1461" s="13" t="s">
        <v>5881</v>
      </c>
    </row>
    <row r="1462" customFormat="false" ht="35.05" hidden="false" customHeight="false" outlineLevel="0" collapsed="false">
      <c r="A1462" s="13" t="s">
        <v>4</v>
      </c>
      <c r="B1462" s="13" t="s">
        <v>68</v>
      </c>
      <c r="C1462" s="13" t="n">
        <v>104</v>
      </c>
      <c r="D1462" s="13" t="s">
        <v>5876</v>
      </c>
      <c r="E1462" s="13" t="s">
        <v>5882</v>
      </c>
      <c r="F1462" s="13" t="s">
        <v>5878</v>
      </c>
      <c r="G1462" s="13" t="s">
        <v>3990</v>
      </c>
      <c r="H1462" s="13" t="s">
        <v>5883</v>
      </c>
      <c r="I1462" s="13" t="s">
        <v>82</v>
      </c>
      <c r="J1462" s="13" t="s">
        <v>5716</v>
      </c>
      <c r="K1462" s="13"/>
      <c r="L1462" s="13" t="s">
        <v>5880</v>
      </c>
      <c r="M1462" s="13" t="s">
        <v>5881</v>
      </c>
    </row>
    <row r="1463" customFormat="false" ht="35.05" hidden="false" customHeight="false" outlineLevel="0" collapsed="false">
      <c r="A1463" s="13" t="s">
        <v>4</v>
      </c>
      <c r="B1463" s="13" t="s">
        <v>68</v>
      </c>
      <c r="C1463" s="13" t="n">
        <v>104</v>
      </c>
      <c r="D1463" s="13" t="s">
        <v>5876</v>
      </c>
      <c r="E1463" s="13" t="s">
        <v>5884</v>
      </c>
      <c r="F1463" s="13" t="s">
        <v>5885</v>
      </c>
      <c r="G1463" s="13" t="s">
        <v>5886</v>
      </c>
      <c r="H1463" s="13" t="s">
        <v>5887</v>
      </c>
      <c r="I1463" s="13" t="s">
        <v>82</v>
      </c>
      <c r="J1463" s="13" t="s">
        <v>5716</v>
      </c>
      <c r="K1463" s="13"/>
      <c r="L1463" s="13" t="s">
        <v>5880</v>
      </c>
      <c r="M1463" s="13" t="s">
        <v>5881</v>
      </c>
    </row>
    <row r="1464" customFormat="false" ht="23.85" hidden="false" customHeight="false" outlineLevel="0" collapsed="false">
      <c r="A1464" s="13" t="s">
        <v>4</v>
      </c>
      <c r="B1464" s="13" t="s">
        <v>68</v>
      </c>
      <c r="C1464" s="13" t="n">
        <v>104</v>
      </c>
      <c r="D1464" s="13" t="s">
        <v>5888</v>
      </c>
      <c r="E1464" s="13" t="s">
        <v>5889</v>
      </c>
      <c r="F1464" s="13" t="s">
        <v>5890</v>
      </c>
      <c r="G1464" s="13" t="s">
        <v>5891</v>
      </c>
      <c r="H1464" s="13" t="s">
        <v>5892</v>
      </c>
      <c r="I1464" s="13" t="s">
        <v>82</v>
      </c>
      <c r="J1464" s="13" t="s">
        <v>5716</v>
      </c>
      <c r="K1464" s="13"/>
      <c r="L1464" s="13" t="s">
        <v>5893</v>
      </c>
      <c r="M1464" s="13" t="s">
        <v>5894</v>
      </c>
    </row>
    <row r="1465" customFormat="false" ht="23.85" hidden="false" customHeight="false" outlineLevel="0" collapsed="false">
      <c r="A1465" s="13" t="s">
        <v>4</v>
      </c>
      <c r="B1465" s="13" t="s">
        <v>68</v>
      </c>
      <c r="C1465" s="13" t="n">
        <v>104</v>
      </c>
      <c r="D1465" s="13" t="s">
        <v>5888</v>
      </c>
      <c r="E1465" s="13" t="s">
        <v>5895</v>
      </c>
      <c r="F1465" s="13" t="s">
        <v>5896</v>
      </c>
      <c r="G1465" s="13" t="s">
        <v>5897</v>
      </c>
      <c r="H1465" s="13" t="s">
        <v>5898</v>
      </c>
      <c r="I1465" s="13" t="s">
        <v>82</v>
      </c>
      <c r="J1465" s="13" t="s">
        <v>5716</v>
      </c>
      <c r="K1465" s="13"/>
      <c r="L1465" s="13" t="s">
        <v>5893</v>
      </c>
      <c r="M1465" s="13" t="s">
        <v>5894</v>
      </c>
    </row>
    <row r="1466" customFormat="false" ht="46.25" hidden="false" customHeight="false" outlineLevel="0" collapsed="false">
      <c r="A1466" s="13" t="s">
        <v>4</v>
      </c>
      <c r="B1466" s="13" t="s">
        <v>68</v>
      </c>
      <c r="C1466" s="13" t="n">
        <v>104</v>
      </c>
      <c r="D1466" s="13" t="s">
        <v>5899</v>
      </c>
      <c r="E1466" s="13" t="s">
        <v>5900</v>
      </c>
      <c r="F1466" s="13" t="s">
        <v>1297</v>
      </c>
      <c r="G1466" s="13" t="s">
        <v>5901</v>
      </c>
      <c r="H1466" s="13" t="s">
        <v>5902</v>
      </c>
      <c r="I1466" s="13" t="s">
        <v>82</v>
      </c>
      <c r="J1466" s="13" t="s">
        <v>5716</v>
      </c>
      <c r="K1466" s="13"/>
      <c r="L1466" s="13" t="s">
        <v>5903</v>
      </c>
      <c r="M1466" s="13" t="s">
        <v>5904</v>
      </c>
    </row>
    <row r="1467" customFormat="false" ht="46.25" hidden="false" customHeight="false" outlineLevel="0" collapsed="false">
      <c r="A1467" s="13" t="s">
        <v>4</v>
      </c>
      <c r="B1467" s="13" t="s">
        <v>68</v>
      </c>
      <c r="C1467" s="13" t="n">
        <v>104</v>
      </c>
      <c r="D1467" s="13" t="s">
        <v>5899</v>
      </c>
      <c r="E1467" s="13" t="s">
        <v>5905</v>
      </c>
      <c r="F1467" s="13" t="s">
        <v>1297</v>
      </c>
      <c r="G1467" s="13" t="s">
        <v>5906</v>
      </c>
      <c r="H1467" s="13" t="s">
        <v>5907</v>
      </c>
      <c r="I1467" s="13" t="s">
        <v>82</v>
      </c>
      <c r="J1467" s="13" t="s">
        <v>5716</v>
      </c>
      <c r="K1467" s="13"/>
      <c r="L1467" s="13" t="s">
        <v>5903</v>
      </c>
      <c r="M1467" s="13" t="s">
        <v>5904</v>
      </c>
    </row>
    <row r="1468" customFormat="false" ht="57.45" hidden="false" customHeight="false" outlineLevel="0" collapsed="false">
      <c r="A1468" s="13" t="s">
        <v>4</v>
      </c>
      <c r="B1468" s="13" t="s">
        <v>68</v>
      </c>
      <c r="C1468" s="13" t="n">
        <v>104</v>
      </c>
      <c r="D1468" s="13" t="s">
        <v>5908</v>
      </c>
      <c r="E1468" s="13" t="s">
        <v>5909</v>
      </c>
      <c r="F1468" s="13" t="s">
        <v>5910</v>
      </c>
      <c r="G1468" s="13" t="s">
        <v>5911</v>
      </c>
      <c r="H1468" s="13" t="s">
        <v>143</v>
      </c>
      <c r="I1468" s="13" t="s">
        <v>74</v>
      </c>
      <c r="J1468" s="13" t="s">
        <v>5912</v>
      </c>
      <c r="K1468" s="13" t="s">
        <v>5913</v>
      </c>
      <c r="L1468" s="13" t="s">
        <v>5914</v>
      </c>
      <c r="M1468" s="13" t="s">
        <v>5915</v>
      </c>
    </row>
    <row r="1469" customFormat="false" ht="57.45" hidden="false" customHeight="false" outlineLevel="0" collapsed="false">
      <c r="A1469" s="13" t="s">
        <v>4</v>
      </c>
      <c r="B1469" s="13" t="s">
        <v>68</v>
      </c>
      <c r="C1469" s="13" t="n">
        <v>104</v>
      </c>
      <c r="D1469" s="13" t="s">
        <v>5908</v>
      </c>
      <c r="E1469" s="13" t="s">
        <v>5916</v>
      </c>
      <c r="F1469" s="13" t="s">
        <v>5917</v>
      </c>
      <c r="G1469" s="13" t="s">
        <v>5918</v>
      </c>
      <c r="H1469" s="13" t="s">
        <v>5919</v>
      </c>
      <c r="I1469" s="13" t="s">
        <v>82</v>
      </c>
      <c r="J1469" s="13" t="s">
        <v>5716</v>
      </c>
      <c r="K1469" s="13"/>
      <c r="L1469" s="13" t="s">
        <v>5914</v>
      </c>
      <c r="M1469" s="13" t="s">
        <v>5915</v>
      </c>
    </row>
    <row r="1470" customFormat="false" ht="23.85" hidden="false" customHeight="false" outlineLevel="0" collapsed="false">
      <c r="A1470" s="13" t="s">
        <v>4</v>
      </c>
      <c r="B1470" s="13" t="s">
        <v>68</v>
      </c>
      <c r="C1470" s="13" t="n">
        <v>104</v>
      </c>
      <c r="D1470" s="13" t="s">
        <v>5920</v>
      </c>
      <c r="E1470" s="13" t="s">
        <v>5921</v>
      </c>
      <c r="F1470" s="13" t="s">
        <v>1297</v>
      </c>
      <c r="G1470" s="13" t="s">
        <v>5922</v>
      </c>
      <c r="H1470" s="13" t="s">
        <v>5923</v>
      </c>
      <c r="I1470" s="13" t="s">
        <v>82</v>
      </c>
      <c r="J1470" s="13" t="s">
        <v>5716</v>
      </c>
      <c r="K1470" s="13"/>
      <c r="L1470" s="13" t="s">
        <v>5924</v>
      </c>
      <c r="M1470" s="13" t="s">
        <v>5925</v>
      </c>
    </row>
    <row r="1471" customFormat="false" ht="23.85" hidden="false" customHeight="false" outlineLevel="0" collapsed="false">
      <c r="A1471" s="13" t="s">
        <v>4</v>
      </c>
      <c r="B1471" s="13" t="s">
        <v>68</v>
      </c>
      <c r="C1471" s="13" t="n">
        <v>104</v>
      </c>
      <c r="D1471" s="13" t="s">
        <v>5926</v>
      </c>
      <c r="E1471" s="13" t="s">
        <v>5927</v>
      </c>
      <c r="F1471" s="13" t="s">
        <v>1297</v>
      </c>
      <c r="G1471" s="13" t="s">
        <v>5922</v>
      </c>
      <c r="H1471" s="13" t="s">
        <v>5928</v>
      </c>
      <c r="I1471" s="13" t="s">
        <v>82</v>
      </c>
      <c r="J1471" s="13" t="s">
        <v>5716</v>
      </c>
      <c r="K1471" s="13"/>
      <c r="L1471" s="13" t="s">
        <v>5929</v>
      </c>
      <c r="M1471" s="13" t="s">
        <v>5930</v>
      </c>
    </row>
    <row r="1472" customFormat="false" ht="35.05" hidden="false" customHeight="false" outlineLevel="0" collapsed="false">
      <c r="A1472" s="13" t="s">
        <v>4</v>
      </c>
      <c r="B1472" s="13" t="s">
        <v>68</v>
      </c>
      <c r="C1472" s="13" t="n">
        <v>104</v>
      </c>
      <c r="D1472" s="13" t="s">
        <v>5931</v>
      </c>
      <c r="E1472" s="13" t="s">
        <v>5932</v>
      </c>
      <c r="F1472" s="13" t="s">
        <v>5885</v>
      </c>
      <c r="G1472" s="13" t="s">
        <v>5933</v>
      </c>
      <c r="H1472" s="13" t="s">
        <v>5934</v>
      </c>
      <c r="I1472" s="13" t="s">
        <v>82</v>
      </c>
      <c r="J1472" s="13" t="s">
        <v>5716</v>
      </c>
      <c r="K1472" s="13"/>
      <c r="L1472" s="13" t="s">
        <v>5935</v>
      </c>
      <c r="M1472" s="13" t="s">
        <v>5936</v>
      </c>
    </row>
    <row r="1473" customFormat="false" ht="35.05" hidden="false" customHeight="false" outlineLevel="0" collapsed="false">
      <c r="A1473" s="13" t="s">
        <v>4</v>
      </c>
      <c r="B1473" s="13" t="s">
        <v>68</v>
      </c>
      <c r="C1473" s="13" t="n">
        <v>104</v>
      </c>
      <c r="D1473" s="13" t="s">
        <v>5931</v>
      </c>
      <c r="E1473" s="13" t="s">
        <v>5937</v>
      </c>
      <c r="F1473" s="13" t="s">
        <v>5885</v>
      </c>
      <c r="G1473" s="13" t="s">
        <v>5938</v>
      </c>
      <c r="H1473" s="13" t="s">
        <v>5939</v>
      </c>
      <c r="I1473" s="13" t="s">
        <v>82</v>
      </c>
      <c r="J1473" s="13" t="s">
        <v>5716</v>
      </c>
      <c r="K1473" s="13"/>
      <c r="L1473" s="13" t="s">
        <v>5935</v>
      </c>
      <c r="M1473" s="13" t="s">
        <v>5936</v>
      </c>
    </row>
    <row r="1474" customFormat="false" ht="46.25" hidden="false" customHeight="false" outlineLevel="0" collapsed="false">
      <c r="A1474" s="13" t="s">
        <v>4</v>
      </c>
      <c r="B1474" s="13" t="s">
        <v>68</v>
      </c>
      <c r="C1474" s="13" t="n">
        <v>104</v>
      </c>
      <c r="D1474" s="13" t="s">
        <v>5931</v>
      </c>
      <c r="E1474" s="13" t="s">
        <v>5940</v>
      </c>
      <c r="F1474" s="13" t="s">
        <v>5910</v>
      </c>
      <c r="G1474" s="13" t="s">
        <v>1412</v>
      </c>
      <c r="H1474" s="13" t="s">
        <v>5941</v>
      </c>
      <c r="I1474" s="13" t="s">
        <v>74</v>
      </c>
      <c r="J1474" s="13" t="s">
        <v>5912</v>
      </c>
      <c r="K1474" s="13" t="s">
        <v>5913</v>
      </c>
      <c r="L1474" s="13" t="s">
        <v>5935</v>
      </c>
      <c r="M1474" s="13" t="s">
        <v>5936</v>
      </c>
    </row>
    <row r="1475" customFormat="false" ht="46.25" hidden="false" customHeight="false" outlineLevel="0" collapsed="false">
      <c r="A1475" s="13" t="s">
        <v>4</v>
      </c>
      <c r="B1475" s="13" t="s">
        <v>68</v>
      </c>
      <c r="C1475" s="13" t="n">
        <v>104</v>
      </c>
      <c r="D1475" s="13" t="s">
        <v>5942</v>
      </c>
      <c r="E1475" s="13" t="s">
        <v>5943</v>
      </c>
      <c r="F1475" s="13" t="s">
        <v>5910</v>
      </c>
      <c r="G1475" s="13" t="s">
        <v>257</v>
      </c>
      <c r="H1475" s="13" t="s">
        <v>5944</v>
      </c>
      <c r="I1475" s="13" t="s">
        <v>74</v>
      </c>
      <c r="J1475" s="13" t="s">
        <v>5912</v>
      </c>
      <c r="K1475" s="13" t="s">
        <v>5913</v>
      </c>
      <c r="L1475" s="13" t="s">
        <v>5945</v>
      </c>
      <c r="M1475" s="13" t="s">
        <v>5946</v>
      </c>
    </row>
    <row r="1476" customFormat="false" ht="46.25" hidden="false" customHeight="false" outlineLevel="0" collapsed="false">
      <c r="A1476" s="13" t="s">
        <v>4</v>
      </c>
      <c r="B1476" s="13" t="s">
        <v>68</v>
      </c>
      <c r="C1476" s="13" t="n">
        <v>104</v>
      </c>
      <c r="D1476" s="13" t="s">
        <v>5942</v>
      </c>
      <c r="E1476" s="13" t="s">
        <v>5947</v>
      </c>
      <c r="F1476" s="13" t="s">
        <v>5944</v>
      </c>
      <c r="G1476" s="13" t="s">
        <v>5948</v>
      </c>
      <c r="H1476" s="13" t="s">
        <v>5949</v>
      </c>
      <c r="I1476" s="13" t="s">
        <v>82</v>
      </c>
      <c r="J1476" s="13" t="s">
        <v>5716</v>
      </c>
      <c r="K1476" s="13"/>
      <c r="L1476" s="13" t="s">
        <v>5945</v>
      </c>
      <c r="M1476" s="13" t="s">
        <v>5946</v>
      </c>
    </row>
    <row r="1477" customFormat="false" ht="46.25" hidden="false" customHeight="false" outlineLevel="0" collapsed="false">
      <c r="A1477" s="13" t="s">
        <v>4</v>
      </c>
      <c r="B1477" s="13" t="s">
        <v>68</v>
      </c>
      <c r="C1477" s="13" t="n">
        <v>104</v>
      </c>
      <c r="D1477" s="13" t="s">
        <v>5942</v>
      </c>
      <c r="E1477" s="13" t="s">
        <v>5950</v>
      </c>
      <c r="F1477" s="13" t="s">
        <v>5910</v>
      </c>
      <c r="G1477" s="13" t="s">
        <v>1412</v>
      </c>
      <c r="H1477" s="13" t="s">
        <v>5951</v>
      </c>
      <c r="I1477" s="13" t="s">
        <v>74</v>
      </c>
      <c r="J1477" s="13" t="s">
        <v>5912</v>
      </c>
      <c r="K1477" s="13" t="s">
        <v>5913</v>
      </c>
      <c r="L1477" s="13" t="s">
        <v>5945</v>
      </c>
      <c r="M1477" s="13" t="s">
        <v>5946</v>
      </c>
    </row>
    <row r="1478" customFormat="false" ht="46.25" hidden="false" customHeight="false" outlineLevel="0" collapsed="false">
      <c r="A1478" s="13" t="s">
        <v>4</v>
      </c>
      <c r="B1478" s="13" t="s">
        <v>68</v>
      </c>
      <c r="C1478" s="13" t="n">
        <v>104</v>
      </c>
      <c r="D1478" s="13" t="s">
        <v>5952</v>
      </c>
      <c r="E1478" s="13" t="s">
        <v>5953</v>
      </c>
      <c r="F1478" s="13" t="s">
        <v>5910</v>
      </c>
      <c r="G1478" s="13" t="s">
        <v>5954</v>
      </c>
      <c r="H1478" s="13" t="s">
        <v>143</v>
      </c>
      <c r="I1478" s="13" t="s">
        <v>74</v>
      </c>
      <c r="J1478" s="13" t="s">
        <v>5912</v>
      </c>
      <c r="K1478" s="13" t="s">
        <v>5913</v>
      </c>
      <c r="L1478" s="13" t="s">
        <v>5955</v>
      </c>
      <c r="M1478" s="13" t="s">
        <v>5956</v>
      </c>
    </row>
    <row r="1479" customFormat="false" ht="46.25" hidden="false" customHeight="false" outlineLevel="0" collapsed="false">
      <c r="A1479" s="13" t="s">
        <v>4</v>
      </c>
      <c r="B1479" s="13" t="s">
        <v>68</v>
      </c>
      <c r="C1479" s="13" t="n">
        <v>104</v>
      </c>
      <c r="D1479" s="13" t="s">
        <v>5952</v>
      </c>
      <c r="E1479" s="13" t="s">
        <v>5957</v>
      </c>
      <c r="F1479" s="13" t="s">
        <v>143</v>
      </c>
      <c r="G1479" s="13" t="s">
        <v>5958</v>
      </c>
      <c r="H1479" s="13" t="s">
        <v>1297</v>
      </c>
      <c r="I1479" s="13" t="s">
        <v>82</v>
      </c>
      <c r="J1479" s="13" t="s">
        <v>5716</v>
      </c>
      <c r="K1479" s="13"/>
      <c r="L1479" s="13" t="s">
        <v>5955</v>
      </c>
      <c r="M1479" s="13" t="s">
        <v>5956</v>
      </c>
    </row>
    <row r="1480" customFormat="false" ht="35.05" hidden="false" customHeight="false" outlineLevel="0" collapsed="false">
      <c r="A1480" s="13" t="s">
        <v>4</v>
      </c>
      <c r="B1480" s="13" t="s">
        <v>68</v>
      </c>
      <c r="C1480" s="13" t="n">
        <v>104</v>
      </c>
      <c r="D1480" s="13" t="s">
        <v>5959</v>
      </c>
      <c r="E1480" s="13" t="s">
        <v>5960</v>
      </c>
      <c r="F1480" s="13" t="s">
        <v>5961</v>
      </c>
      <c r="G1480" s="13" t="s">
        <v>762</v>
      </c>
      <c r="H1480" s="13" t="s">
        <v>5962</v>
      </c>
      <c r="I1480" s="13" t="s">
        <v>82</v>
      </c>
      <c r="J1480" s="13" t="s">
        <v>5716</v>
      </c>
      <c r="K1480" s="13"/>
      <c r="L1480" s="13" t="s">
        <v>5963</v>
      </c>
      <c r="M1480" s="13" t="s">
        <v>5964</v>
      </c>
    </row>
    <row r="1481" customFormat="false" ht="35.05" hidden="false" customHeight="false" outlineLevel="0" collapsed="false">
      <c r="A1481" s="13" t="s">
        <v>4</v>
      </c>
      <c r="B1481" s="13" t="s">
        <v>68</v>
      </c>
      <c r="C1481" s="13" t="n">
        <v>104</v>
      </c>
      <c r="D1481" s="13" t="s">
        <v>5959</v>
      </c>
      <c r="E1481" s="13" t="s">
        <v>5965</v>
      </c>
      <c r="F1481" s="13" t="s">
        <v>5961</v>
      </c>
      <c r="G1481" s="13" t="s">
        <v>5966</v>
      </c>
      <c r="H1481" s="13" t="s">
        <v>5967</v>
      </c>
      <c r="I1481" s="13" t="s">
        <v>82</v>
      </c>
      <c r="J1481" s="13" t="s">
        <v>5716</v>
      </c>
      <c r="K1481" s="13"/>
      <c r="L1481" s="13" t="s">
        <v>5963</v>
      </c>
      <c r="M1481" s="13" t="s">
        <v>5964</v>
      </c>
    </row>
    <row r="1482" customFormat="false" ht="191.75" hidden="false" customHeight="false" outlineLevel="0" collapsed="false">
      <c r="A1482" s="13" t="s">
        <v>4</v>
      </c>
      <c r="B1482" s="13" t="s">
        <v>68</v>
      </c>
      <c r="C1482" s="13" t="n">
        <v>104</v>
      </c>
      <c r="D1482" s="13" t="s">
        <v>5968</v>
      </c>
      <c r="E1482" s="13" t="s">
        <v>5969</v>
      </c>
      <c r="F1482" s="13" t="s">
        <v>5910</v>
      </c>
      <c r="G1482" s="13" t="s">
        <v>5970</v>
      </c>
      <c r="H1482" s="13" t="s">
        <v>5971</v>
      </c>
      <c r="I1482" s="13" t="s">
        <v>82</v>
      </c>
      <c r="J1482" s="13" t="s">
        <v>5716</v>
      </c>
      <c r="K1482" s="13"/>
      <c r="L1482" s="13" t="s">
        <v>5972</v>
      </c>
      <c r="M1482" s="13" t="s">
        <v>5973</v>
      </c>
    </row>
    <row r="1483" customFormat="false" ht="191.75" hidden="false" customHeight="false" outlineLevel="0" collapsed="false">
      <c r="A1483" s="13" t="s">
        <v>4</v>
      </c>
      <c r="B1483" s="13" t="s">
        <v>68</v>
      </c>
      <c r="C1483" s="13" t="n">
        <v>104</v>
      </c>
      <c r="D1483" s="13" t="s">
        <v>5968</v>
      </c>
      <c r="E1483" s="13" t="s">
        <v>5974</v>
      </c>
      <c r="F1483" s="13" t="s">
        <v>5910</v>
      </c>
      <c r="G1483" s="13" t="s">
        <v>5975</v>
      </c>
      <c r="H1483" s="13" t="s">
        <v>5976</v>
      </c>
      <c r="I1483" s="13" t="s">
        <v>82</v>
      </c>
      <c r="J1483" s="13" t="s">
        <v>5716</v>
      </c>
      <c r="K1483" s="13"/>
      <c r="L1483" s="13" t="s">
        <v>5972</v>
      </c>
      <c r="M1483" s="13" t="s">
        <v>5973</v>
      </c>
    </row>
    <row r="1484" customFormat="false" ht="191.75" hidden="false" customHeight="false" outlineLevel="0" collapsed="false">
      <c r="A1484" s="13" t="s">
        <v>4</v>
      </c>
      <c r="B1484" s="13" t="s">
        <v>68</v>
      </c>
      <c r="C1484" s="13" t="n">
        <v>104</v>
      </c>
      <c r="D1484" s="13" t="s">
        <v>5968</v>
      </c>
      <c r="E1484" s="13" t="s">
        <v>5977</v>
      </c>
      <c r="F1484" s="13" t="s">
        <v>5910</v>
      </c>
      <c r="G1484" s="13" t="s">
        <v>5978</v>
      </c>
      <c r="H1484" s="13" t="s">
        <v>5979</v>
      </c>
      <c r="I1484" s="13" t="s">
        <v>82</v>
      </c>
      <c r="J1484" s="13" t="s">
        <v>5716</v>
      </c>
      <c r="K1484" s="13"/>
      <c r="L1484" s="13" t="s">
        <v>5972</v>
      </c>
      <c r="M1484" s="13" t="s">
        <v>5973</v>
      </c>
    </row>
    <row r="1485" customFormat="false" ht="191.75" hidden="false" customHeight="false" outlineLevel="0" collapsed="false">
      <c r="A1485" s="13" t="s">
        <v>4</v>
      </c>
      <c r="B1485" s="13" t="s">
        <v>68</v>
      </c>
      <c r="C1485" s="13" t="n">
        <v>104</v>
      </c>
      <c r="D1485" s="13" t="s">
        <v>5968</v>
      </c>
      <c r="E1485" s="13" t="s">
        <v>5980</v>
      </c>
      <c r="F1485" s="13" t="s">
        <v>5910</v>
      </c>
      <c r="G1485" s="13" t="s">
        <v>5981</v>
      </c>
      <c r="H1485" s="13" t="s">
        <v>5982</v>
      </c>
      <c r="I1485" s="13" t="s">
        <v>82</v>
      </c>
      <c r="J1485" s="13" t="s">
        <v>5716</v>
      </c>
      <c r="K1485" s="13"/>
      <c r="L1485" s="13" t="s">
        <v>5972</v>
      </c>
      <c r="M1485" s="13" t="s">
        <v>5973</v>
      </c>
    </row>
    <row r="1486" customFormat="false" ht="79.85" hidden="false" customHeight="false" outlineLevel="0" collapsed="false">
      <c r="A1486" s="13" t="s">
        <v>4</v>
      </c>
      <c r="B1486" s="13" t="s">
        <v>68</v>
      </c>
      <c r="C1486" s="13" t="n">
        <v>117</v>
      </c>
      <c r="D1486" s="13" t="s">
        <v>5983</v>
      </c>
      <c r="E1486" s="13" t="s">
        <v>5984</v>
      </c>
      <c r="F1486" s="13" t="s">
        <v>5985</v>
      </c>
      <c r="G1486" s="13" t="s">
        <v>5986</v>
      </c>
      <c r="H1486" s="13" t="s">
        <v>299</v>
      </c>
      <c r="I1486" s="13" t="s">
        <v>82</v>
      </c>
      <c r="J1486" s="13" t="s">
        <v>5716</v>
      </c>
      <c r="K1486" s="13"/>
      <c r="L1486" s="13" t="s">
        <v>5987</v>
      </c>
      <c r="M1486" s="13" t="s">
        <v>5988</v>
      </c>
    </row>
    <row r="1487" customFormat="false" ht="79.85" hidden="false" customHeight="false" outlineLevel="0" collapsed="false">
      <c r="A1487" s="13" t="s">
        <v>4</v>
      </c>
      <c r="B1487" s="13" t="s">
        <v>68</v>
      </c>
      <c r="C1487" s="13" t="n">
        <v>117</v>
      </c>
      <c r="D1487" s="13" t="s">
        <v>5983</v>
      </c>
      <c r="E1487" s="13" t="s">
        <v>5989</v>
      </c>
      <c r="F1487" s="13" t="s">
        <v>299</v>
      </c>
      <c r="G1487" s="13" t="s">
        <v>5990</v>
      </c>
      <c r="H1487" s="13" t="s">
        <v>861</v>
      </c>
      <c r="I1487" s="13" t="s">
        <v>82</v>
      </c>
      <c r="J1487" s="13" t="s">
        <v>5716</v>
      </c>
      <c r="K1487" s="13"/>
      <c r="L1487" s="13" t="s">
        <v>5987</v>
      </c>
      <c r="M1487" s="13" t="s">
        <v>5988</v>
      </c>
    </row>
    <row r="1488" customFormat="false" ht="79.85" hidden="false" customHeight="false" outlineLevel="0" collapsed="false">
      <c r="A1488" s="13" t="s">
        <v>4</v>
      </c>
      <c r="B1488" s="13" t="s">
        <v>68</v>
      </c>
      <c r="C1488" s="13" t="n">
        <v>117</v>
      </c>
      <c r="D1488" s="13" t="s">
        <v>5983</v>
      </c>
      <c r="E1488" s="13" t="s">
        <v>5991</v>
      </c>
      <c r="F1488" s="13" t="s">
        <v>299</v>
      </c>
      <c r="G1488" s="13" t="s">
        <v>5990</v>
      </c>
      <c r="H1488" s="13" t="s">
        <v>5992</v>
      </c>
      <c r="I1488" s="13" t="s">
        <v>114</v>
      </c>
      <c r="J1488" s="13" t="s">
        <v>5993</v>
      </c>
      <c r="K1488" s="13" t="s">
        <v>5994</v>
      </c>
      <c r="L1488" s="13" t="s">
        <v>5987</v>
      </c>
      <c r="M1488" s="13" t="s">
        <v>5988</v>
      </c>
    </row>
    <row r="1489" customFormat="false" ht="79.85" hidden="false" customHeight="false" outlineLevel="0" collapsed="false">
      <c r="A1489" s="13" t="s">
        <v>4</v>
      </c>
      <c r="B1489" s="13" t="s">
        <v>68</v>
      </c>
      <c r="C1489" s="13" t="n">
        <v>117</v>
      </c>
      <c r="D1489" s="13" t="s">
        <v>5983</v>
      </c>
      <c r="E1489" s="13" t="s">
        <v>5995</v>
      </c>
      <c r="F1489" s="13" t="s">
        <v>5996</v>
      </c>
      <c r="G1489" s="13" t="s">
        <v>5997</v>
      </c>
      <c r="H1489" s="13" t="s">
        <v>299</v>
      </c>
      <c r="I1489" s="13" t="s">
        <v>82</v>
      </c>
      <c r="J1489" s="13" t="s">
        <v>5716</v>
      </c>
      <c r="K1489" s="13"/>
      <c r="L1489" s="13" t="s">
        <v>5987</v>
      </c>
      <c r="M1489" s="13" t="s">
        <v>5988</v>
      </c>
    </row>
    <row r="1490" customFormat="false" ht="79.85" hidden="false" customHeight="false" outlineLevel="0" collapsed="false">
      <c r="A1490" s="13" t="s">
        <v>4</v>
      </c>
      <c r="B1490" s="13" t="s">
        <v>68</v>
      </c>
      <c r="C1490" s="13" t="n">
        <v>117</v>
      </c>
      <c r="D1490" s="13" t="s">
        <v>5998</v>
      </c>
      <c r="E1490" s="13" t="s">
        <v>5999</v>
      </c>
      <c r="F1490" s="13" t="s">
        <v>6000</v>
      </c>
      <c r="G1490" s="13" t="s">
        <v>6001</v>
      </c>
      <c r="H1490" s="13" t="s">
        <v>299</v>
      </c>
      <c r="I1490" s="13" t="s">
        <v>82</v>
      </c>
      <c r="J1490" s="13" t="s">
        <v>5716</v>
      </c>
      <c r="K1490" s="13"/>
      <c r="L1490" s="13" t="s">
        <v>6002</v>
      </c>
      <c r="M1490" s="13" t="s">
        <v>6003</v>
      </c>
    </row>
    <row r="1491" customFormat="false" ht="79.85" hidden="false" customHeight="false" outlineLevel="0" collapsed="false">
      <c r="A1491" s="13" t="s">
        <v>4</v>
      </c>
      <c r="B1491" s="13" t="s">
        <v>68</v>
      </c>
      <c r="C1491" s="13" t="n">
        <v>117</v>
      </c>
      <c r="D1491" s="13" t="s">
        <v>5998</v>
      </c>
      <c r="E1491" s="13" t="s">
        <v>6004</v>
      </c>
      <c r="F1491" s="13" t="s">
        <v>6005</v>
      </c>
      <c r="G1491" s="13" t="s">
        <v>6006</v>
      </c>
      <c r="H1491" s="13" t="s">
        <v>6000</v>
      </c>
      <c r="I1491" s="13" t="s">
        <v>114</v>
      </c>
      <c r="J1491" s="13" t="s">
        <v>6007</v>
      </c>
      <c r="K1491" s="13" t="s">
        <v>6008</v>
      </c>
      <c r="L1491" s="13" t="s">
        <v>6002</v>
      </c>
      <c r="M1491" s="13" t="s">
        <v>6003</v>
      </c>
    </row>
    <row r="1492" customFormat="false" ht="79.85" hidden="false" customHeight="false" outlineLevel="0" collapsed="false">
      <c r="A1492" s="13" t="s">
        <v>4</v>
      </c>
      <c r="B1492" s="13" t="s">
        <v>68</v>
      </c>
      <c r="C1492" s="13" t="n">
        <v>117</v>
      </c>
      <c r="D1492" s="13" t="s">
        <v>5998</v>
      </c>
      <c r="E1492" s="13" t="s">
        <v>6009</v>
      </c>
      <c r="F1492" s="13" t="s">
        <v>182</v>
      </c>
      <c r="G1492" s="13" t="s">
        <v>6010</v>
      </c>
      <c r="H1492" s="13" t="s">
        <v>413</v>
      </c>
      <c r="I1492" s="13" t="s">
        <v>82</v>
      </c>
      <c r="J1492" s="13" t="s">
        <v>5716</v>
      </c>
      <c r="K1492" s="13"/>
      <c r="L1492" s="13" t="s">
        <v>6002</v>
      </c>
      <c r="M1492" s="13" t="s">
        <v>6003</v>
      </c>
    </row>
    <row r="1493" customFormat="false" ht="79.85" hidden="false" customHeight="false" outlineLevel="0" collapsed="false">
      <c r="A1493" s="13" t="s">
        <v>4</v>
      </c>
      <c r="B1493" s="13" t="s">
        <v>68</v>
      </c>
      <c r="C1493" s="13" t="n">
        <v>117</v>
      </c>
      <c r="D1493" s="13" t="s">
        <v>5998</v>
      </c>
      <c r="E1493" s="13" t="s">
        <v>6011</v>
      </c>
      <c r="F1493" s="13" t="s">
        <v>182</v>
      </c>
      <c r="G1493" s="13" t="s">
        <v>6012</v>
      </c>
      <c r="H1493" s="13" t="s">
        <v>6013</v>
      </c>
      <c r="I1493" s="13" t="s">
        <v>82</v>
      </c>
      <c r="J1493" s="13" t="s">
        <v>5716</v>
      </c>
      <c r="K1493" s="13"/>
      <c r="L1493" s="13" t="s">
        <v>6002</v>
      </c>
      <c r="M1493" s="13" t="s">
        <v>6003</v>
      </c>
    </row>
    <row r="1494" customFormat="false" ht="46.25" hidden="false" customHeight="false" outlineLevel="0" collapsed="false">
      <c r="A1494" s="13" t="s">
        <v>4</v>
      </c>
      <c r="B1494" s="13" t="s">
        <v>68</v>
      </c>
      <c r="C1494" s="13" t="n">
        <v>117</v>
      </c>
      <c r="D1494" s="13" t="s">
        <v>6014</v>
      </c>
      <c r="E1494" s="13" t="s">
        <v>6015</v>
      </c>
      <c r="F1494" s="13" t="s">
        <v>299</v>
      </c>
      <c r="G1494" s="13" t="s">
        <v>6016</v>
      </c>
      <c r="H1494" s="13" t="s">
        <v>6017</v>
      </c>
      <c r="I1494" s="13" t="s">
        <v>82</v>
      </c>
      <c r="J1494" s="13" t="s">
        <v>5716</v>
      </c>
      <c r="K1494" s="13"/>
      <c r="L1494" s="13" t="s">
        <v>6018</v>
      </c>
      <c r="M1494" s="13" t="s">
        <v>6019</v>
      </c>
    </row>
    <row r="1495" customFormat="false" ht="46.25" hidden="false" customHeight="false" outlineLevel="0" collapsed="false">
      <c r="A1495" s="13" t="s">
        <v>4</v>
      </c>
      <c r="B1495" s="13" t="s">
        <v>68</v>
      </c>
      <c r="C1495" s="13" t="n">
        <v>117</v>
      </c>
      <c r="D1495" s="13" t="s">
        <v>6014</v>
      </c>
      <c r="E1495" s="13" t="s">
        <v>6020</v>
      </c>
      <c r="F1495" s="13" t="s">
        <v>299</v>
      </c>
      <c r="G1495" s="13" t="s">
        <v>6021</v>
      </c>
      <c r="H1495" s="13" t="s">
        <v>6022</v>
      </c>
      <c r="I1495" s="13" t="s">
        <v>82</v>
      </c>
      <c r="J1495" s="13" t="s">
        <v>5716</v>
      </c>
      <c r="K1495" s="13"/>
      <c r="L1495" s="13" t="s">
        <v>6018</v>
      </c>
      <c r="M1495" s="13" t="s">
        <v>6019</v>
      </c>
    </row>
    <row r="1496" customFormat="false" ht="158.2" hidden="false" customHeight="false" outlineLevel="0" collapsed="false">
      <c r="A1496" s="13" t="s">
        <v>4</v>
      </c>
      <c r="B1496" s="13" t="s">
        <v>68</v>
      </c>
      <c r="C1496" s="13" t="n">
        <v>117</v>
      </c>
      <c r="D1496" s="13" t="s">
        <v>6023</v>
      </c>
      <c r="E1496" s="13" t="s">
        <v>6024</v>
      </c>
      <c r="F1496" s="13" t="s">
        <v>299</v>
      </c>
      <c r="G1496" s="13" t="s">
        <v>6025</v>
      </c>
      <c r="H1496" s="13" t="s">
        <v>6026</v>
      </c>
      <c r="I1496" s="13" t="s">
        <v>82</v>
      </c>
      <c r="J1496" s="13" t="s">
        <v>5716</v>
      </c>
      <c r="K1496" s="13"/>
      <c r="L1496" s="13" t="s">
        <v>6027</v>
      </c>
      <c r="M1496" s="13" t="s">
        <v>6028</v>
      </c>
    </row>
    <row r="1497" customFormat="false" ht="158.2" hidden="false" customHeight="false" outlineLevel="0" collapsed="false">
      <c r="A1497" s="13" t="s">
        <v>4</v>
      </c>
      <c r="B1497" s="13" t="s">
        <v>68</v>
      </c>
      <c r="C1497" s="13" t="n">
        <v>117</v>
      </c>
      <c r="D1497" s="13" t="s">
        <v>6023</v>
      </c>
      <c r="E1497" s="13" t="s">
        <v>6029</v>
      </c>
      <c r="F1497" s="13" t="s">
        <v>299</v>
      </c>
      <c r="G1497" s="13" t="s">
        <v>6030</v>
      </c>
      <c r="H1497" s="13" t="s">
        <v>399</v>
      </c>
      <c r="I1497" s="13" t="s">
        <v>82</v>
      </c>
      <c r="J1497" s="13" t="s">
        <v>5716</v>
      </c>
      <c r="K1497" s="13"/>
      <c r="L1497" s="13" t="s">
        <v>6027</v>
      </c>
      <c r="M1497" s="13" t="s">
        <v>6028</v>
      </c>
    </row>
    <row r="1498" customFormat="false" ht="158.2" hidden="false" customHeight="false" outlineLevel="0" collapsed="false">
      <c r="A1498" s="13" t="s">
        <v>4</v>
      </c>
      <c r="B1498" s="13" t="s">
        <v>68</v>
      </c>
      <c r="C1498" s="13" t="n">
        <v>117</v>
      </c>
      <c r="D1498" s="13" t="s">
        <v>6023</v>
      </c>
      <c r="E1498" s="13" t="s">
        <v>6031</v>
      </c>
      <c r="F1498" s="13" t="s">
        <v>299</v>
      </c>
      <c r="G1498" s="13" t="s">
        <v>6032</v>
      </c>
      <c r="H1498" s="13" t="s">
        <v>6033</v>
      </c>
      <c r="I1498" s="13" t="s">
        <v>82</v>
      </c>
      <c r="J1498" s="13" t="s">
        <v>5716</v>
      </c>
      <c r="K1498" s="13"/>
      <c r="L1498" s="13" t="s">
        <v>6027</v>
      </c>
      <c r="M1498" s="13" t="s">
        <v>6028</v>
      </c>
    </row>
    <row r="1499" customFormat="false" ht="158.2" hidden="false" customHeight="false" outlineLevel="0" collapsed="false">
      <c r="A1499" s="13" t="s">
        <v>4</v>
      </c>
      <c r="B1499" s="13" t="s">
        <v>68</v>
      </c>
      <c r="C1499" s="13" t="n">
        <v>117</v>
      </c>
      <c r="D1499" s="13" t="s">
        <v>6023</v>
      </c>
      <c r="E1499" s="13" t="s">
        <v>6034</v>
      </c>
      <c r="F1499" s="13" t="s">
        <v>6033</v>
      </c>
      <c r="G1499" s="13" t="s">
        <v>6035</v>
      </c>
      <c r="H1499" s="13" t="s">
        <v>6036</v>
      </c>
      <c r="I1499" s="13" t="s">
        <v>82</v>
      </c>
      <c r="J1499" s="13" t="s">
        <v>5716</v>
      </c>
      <c r="K1499" s="13"/>
      <c r="L1499" s="13" t="s">
        <v>6027</v>
      </c>
      <c r="M1499" s="13" t="s">
        <v>6028</v>
      </c>
    </row>
    <row r="1500" customFormat="false" ht="158.2" hidden="false" customHeight="false" outlineLevel="0" collapsed="false">
      <c r="A1500" s="13" t="s">
        <v>4</v>
      </c>
      <c r="B1500" s="13" t="s">
        <v>68</v>
      </c>
      <c r="C1500" s="13" t="n">
        <v>117</v>
      </c>
      <c r="D1500" s="13" t="s">
        <v>6023</v>
      </c>
      <c r="E1500" s="13" t="s">
        <v>6037</v>
      </c>
      <c r="F1500" s="13" t="s">
        <v>6033</v>
      </c>
      <c r="G1500" s="13" t="s">
        <v>6038</v>
      </c>
      <c r="H1500" s="13" t="s">
        <v>6039</v>
      </c>
      <c r="I1500" s="13" t="s">
        <v>82</v>
      </c>
      <c r="J1500" s="13" t="s">
        <v>5716</v>
      </c>
      <c r="K1500" s="13"/>
      <c r="L1500" s="13" t="s">
        <v>6027</v>
      </c>
      <c r="M1500" s="13" t="s">
        <v>6028</v>
      </c>
    </row>
    <row r="1501" customFormat="false" ht="158.2" hidden="false" customHeight="false" outlineLevel="0" collapsed="false">
      <c r="A1501" s="13" t="s">
        <v>4</v>
      </c>
      <c r="B1501" s="13" t="s">
        <v>68</v>
      </c>
      <c r="C1501" s="13" t="n">
        <v>117</v>
      </c>
      <c r="D1501" s="13" t="s">
        <v>6023</v>
      </c>
      <c r="E1501" s="13" t="s">
        <v>6040</v>
      </c>
      <c r="F1501" s="13" t="s">
        <v>6036</v>
      </c>
      <c r="G1501" s="13" t="s">
        <v>6041</v>
      </c>
      <c r="H1501" s="13" t="s">
        <v>299</v>
      </c>
      <c r="I1501" s="13" t="s">
        <v>82</v>
      </c>
      <c r="J1501" s="13" t="s">
        <v>5716</v>
      </c>
      <c r="K1501" s="13"/>
      <c r="L1501" s="13" t="s">
        <v>6027</v>
      </c>
      <c r="M1501" s="13" t="s">
        <v>6028</v>
      </c>
    </row>
    <row r="1502" customFormat="false" ht="158.2" hidden="false" customHeight="false" outlineLevel="0" collapsed="false">
      <c r="A1502" s="13" t="s">
        <v>4</v>
      </c>
      <c r="B1502" s="13" t="s">
        <v>68</v>
      </c>
      <c r="C1502" s="13" t="n">
        <v>117</v>
      </c>
      <c r="D1502" s="13" t="s">
        <v>6023</v>
      </c>
      <c r="E1502" s="13" t="s">
        <v>6042</v>
      </c>
      <c r="F1502" s="13" t="s">
        <v>6039</v>
      </c>
      <c r="G1502" s="13" t="s">
        <v>6043</v>
      </c>
      <c r="H1502" s="13" t="s">
        <v>299</v>
      </c>
      <c r="I1502" s="13" t="s">
        <v>82</v>
      </c>
      <c r="J1502" s="13" t="s">
        <v>5716</v>
      </c>
      <c r="K1502" s="13"/>
      <c r="L1502" s="13" t="s">
        <v>6027</v>
      </c>
      <c r="M1502" s="13" t="s">
        <v>6028</v>
      </c>
    </row>
    <row r="1503" customFormat="false" ht="281.3" hidden="false" customHeight="false" outlineLevel="0" collapsed="false">
      <c r="A1503" s="13" t="s">
        <v>4</v>
      </c>
      <c r="B1503" s="13" t="s">
        <v>68</v>
      </c>
      <c r="C1503" s="13" t="n">
        <v>117</v>
      </c>
      <c r="D1503" s="13" t="s">
        <v>6044</v>
      </c>
      <c r="E1503" s="13" t="s">
        <v>6045</v>
      </c>
      <c r="F1503" s="13" t="s">
        <v>6046</v>
      </c>
      <c r="G1503" s="13" t="s">
        <v>6047</v>
      </c>
      <c r="H1503" s="13" t="s">
        <v>182</v>
      </c>
      <c r="I1503" s="13" t="s">
        <v>82</v>
      </c>
      <c r="J1503" s="13" t="s">
        <v>5716</v>
      </c>
      <c r="K1503" s="13"/>
      <c r="L1503" s="13" t="s">
        <v>6048</v>
      </c>
      <c r="M1503" s="13" t="s">
        <v>6049</v>
      </c>
    </row>
    <row r="1504" customFormat="false" ht="281.3" hidden="false" customHeight="false" outlineLevel="0" collapsed="false">
      <c r="A1504" s="13" t="s">
        <v>4</v>
      </c>
      <c r="B1504" s="13" t="s">
        <v>68</v>
      </c>
      <c r="C1504" s="13" t="n">
        <v>117</v>
      </c>
      <c r="D1504" s="13" t="s">
        <v>6044</v>
      </c>
      <c r="E1504" s="13" t="s">
        <v>6050</v>
      </c>
      <c r="F1504" s="13" t="s">
        <v>299</v>
      </c>
      <c r="G1504" s="13" t="s">
        <v>554</v>
      </c>
      <c r="H1504" s="13" t="s">
        <v>6046</v>
      </c>
      <c r="I1504" s="13" t="s">
        <v>82</v>
      </c>
      <c r="J1504" s="13" t="s">
        <v>5716</v>
      </c>
      <c r="K1504" s="13"/>
      <c r="L1504" s="13" t="s">
        <v>6048</v>
      </c>
      <c r="M1504" s="13" t="s">
        <v>6049</v>
      </c>
    </row>
    <row r="1505" customFormat="false" ht="281.3" hidden="false" customHeight="false" outlineLevel="0" collapsed="false">
      <c r="A1505" s="13" t="s">
        <v>4</v>
      </c>
      <c r="B1505" s="13" t="s">
        <v>68</v>
      </c>
      <c r="C1505" s="13" t="n">
        <v>117</v>
      </c>
      <c r="D1505" s="13" t="s">
        <v>6044</v>
      </c>
      <c r="E1505" s="13" t="s">
        <v>6051</v>
      </c>
      <c r="F1505" s="13" t="s">
        <v>6046</v>
      </c>
      <c r="G1505" s="13" t="s">
        <v>5970</v>
      </c>
      <c r="H1505" s="13" t="s">
        <v>6052</v>
      </c>
      <c r="I1505" s="13" t="s">
        <v>82</v>
      </c>
      <c r="J1505" s="13" t="s">
        <v>5716</v>
      </c>
      <c r="K1505" s="13"/>
      <c r="L1505" s="13" t="s">
        <v>6048</v>
      </c>
      <c r="M1505" s="13" t="s">
        <v>6049</v>
      </c>
    </row>
    <row r="1506" customFormat="false" ht="281.3" hidden="false" customHeight="false" outlineLevel="0" collapsed="false">
      <c r="A1506" s="13" t="s">
        <v>4</v>
      </c>
      <c r="B1506" s="13" t="s">
        <v>68</v>
      </c>
      <c r="C1506" s="13" t="n">
        <v>117</v>
      </c>
      <c r="D1506" s="13" t="s">
        <v>6044</v>
      </c>
      <c r="E1506" s="13" t="s">
        <v>6053</v>
      </c>
      <c r="F1506" s="13" t="s">
        <v>6046</v>
      </c>
      <c r="G1506" s="13" t="s">
        <v>5970</v>
      </c>
      <c r="H1506" s="13" t="s">
        <v>6054</v>
      </c>
      <c r="I1506" s="13" t="s">
        <v>82</v>
      </c>
      <c r="J1506" s="13" t="s">
        <v>5716</v>
      </c>
      <c r="K1506" s="13"/>
      <c r="L1506" s="13" t="s">
        <v>6048</v>
      </c>
      <c r="M1506" s="13" t="s">
        <v>6049</v>
      </c>
    </row>
    <row r="1507" customFormat="false" ht="281.3" hidden="false" customHeight="false" outlineLevel="0" collapsed="false">
      <c r="A1507" s="13" t="s">
        <v>4</v>
      </c>
      <c r="B1507" s="13" t="s">
        <v>68</v>
      </c>
      <c r="C1507" s="13" t="n">
        <v>117</v>
      </c>
      <c r="D1507" s="13" t="s">
        <v>6044</v>
      </c>
      <c r="E1507" s="13" t="s">
        <v>6055</v>
      </c>
      <c r="F1507" s="13" t="s">
        <v>299</v>
      </c>
      <c r="G1507" s="13" t="s">
        <v>6056</v>
      </c>
      <c r="H1507" s="13" t="s">
        <v>6057</v>
      </c>
      <c r="I1507" s="13" t="s">
        <v>82</v>
      </c>
      <c r="J1507" s="13" t="s">
        <v>5716</v>
      </c>
      <c r="K1507" s="13"/>
      <c r="L1507" s="13" t="s">
        <v>6048</v>
      </c>
      <c r="M1507" s="13" t="s">
        <v>6049</v>
      </c>
    </row>
    <row r="1508" customFormat="false" ht="281.3" hidden="false" customHeight="false" outlineLevel="0" collapsed="false">
      <c r="A1508" s="13" t="s">
        <v>4</v>
      </c>
      <c r="B1508" s="13" t="s">
        <v>68</v>
      </c>
      <c r="C1508" s="13" t="n">
        <v>117</v>
      </c>
      <c r="D1508" s="13" t="s">
        <v>6044</v>
      </c>
      <c r="E1508" s="13" t="s">
        <v>6058</v>
      </c>
      <c r="F1508" s="13" t="s">
        <v>6057</v>
      </c>
      <c r="G1508" s="13" t="s">
        <v>6059</v>
      </c>
      <c r="H1508" s="13" t="s">
        <v>6060</v>
      </c>
      <c r="I1508" s="13" t="s">
        <v>82</v>
      </c>
      <c r="J1508" s="13" t="s">
        <v>5716</v>
      </c>
      <c r="K1508" s="13"/>
      <c r="L1508" s="13" t="s">
        <v>6048</v>
      </c>
      <c r="M1508" s="13" t="s">
        <v>6049</v>
      </c>
    </row>
    <row r="1509" customFormat="false" ht="281.3" hidden="false" customHeight="false" outlineLevel="0" collapsed="false">
      <c r="A1509" s="13" t="s">
        <v>4</v>
      </c>
      <c r="B1509" s="13" t="s">
        <v>68</v>
      </c>
      <c r="C1509" s="13" t="n">
        <v>117</v>
      </c>
      <c r="D1509" s="13" t="s">
        <v>6044</v>
      </c>
      <c r="E1509" s="13" t="s">
        <v>6061</v>
      </c>
      <c r="F1509" s="13" t="s">
        <v>6057</v>
      </c>
      <c r="G1509" s="13" t="s">
        <v>6062</v>
      </c>
      <c r="H1509" s="13" t="s">
        <v>413</v>
      </c>
      <c r="I1509" s="13" t="s">
        <v>82</v>
      </c>
      <c r="J1509" s="13" t="s">
        <v>5716</v>
      </c>
      <c r="K1509" s="13"/>
      <c r="L1509" s="13" t="s">
        <v>6048</v>
      </c>
      <c r="M1509" s="13" t="s">
        <v>6049</v>
      </c>
    </row>
    <row r="1510" customFormat="false" ht="91" hidden="false" customHeight="false" outlineLevel="0" collapsed="false">
      <c r="A1510" s="13" t="s">
        <v>4</v>
      </c>
      <c r="B1510" s="13" t="s">
        <v>68</v>
      </c>
      <c r="C1510" s="13" t="n">
        <v>143</v>
      </c>
      <c r="D1510" s="13" t="s">
        <v>6063</v>
      </c>
      <c r="E1510" s="13" t="s">
        <v>6064</v>
      </c>
      <c r="F1510" s="13" t="s">
        <v>6065</v>
      </c>
      <c r="G1510" s="13" t="s">
        <v>3840</v>
      </c>
      <c r="H1510" s="13" t="s">
        <v>6066</v>
      </c>
      <c r="I1510" s="13" t="s">
        <v>82</v>
      </c>
      <c r="J1510" s="13" t="s">
        <v>5716</v>
      </c>
      <c r="K1510" s="13"/>
      <c r="L1510" s="13" t="s">
        <v>6067</v>
      </c>
      <c r="M1510" s="13" t="s">
        <v>6068</v>
      </c>
    </row>
    <row r="1511" customFormat="false" ht="91" hidden="false" customHeight="false" outlineLevel="0" collapsed="false">
      <c r="A1511" s="13" t="s">
        <v>4</v>
      </c>
      <c r="B1511" s="13" t="s">
        <v>68</v>
      </c>
      <c r="C1511" s="13" t="n">
        <v>143</v>
      </c>
      <c r="D1511" s="13" t="s">
        <v>6063</v>
      </c>
      <c r="E1511" s="13" t="s">
        <v>6069</v>
      </c>
      <c r="F1511" s="13" t="s">
        <v>6065</v>
      </c>
      <c r="G1511" s="13" t="s">
        <v>196</v>
      </c>
      <c r="H1511" s="13" t="s">
        <v>6070</v>
      </c>
      <c r="I1511" s="13" t="s">
        <v>82</v>
      </c>
      <c r="J1511" s="13" t="s">
        <v>5716</v>
      </c>
      <c r="K1511" s="13"/>
      <c r="L1511" s="13" t="s">
        <v>6067</v>
      </c>
      <c r="M1511" s="13" t="s">
        <v>6068</v>
      </c>
    </row>
    <row r="1512" customFormat="false" ht="91" hidden="false" customHeight="false" outlineLevel="0" collapsed="false">
      <c r="A1512" s="13" t="s">
        <v>4</v>
      </c>
      <c r="B1512" s="13" t="s">
        <v>68</v>
      </c>
      <c r="C1512" s="13" t="n">
        <v>143</v>
      </c>
      <c r="D1512" s="13" t="s">
        <v>6063</v>
      </c>
      <c r="E1512" s="13" t="s">
        <v>6071</v>
      </c>
      <c r="F1512" s="13" t="s">
        <v>6065</v>
      </c>
      <c r="G1512" s="13" t="s">
        <v>196</v>
      </c>
      <c r="H1512" s="13" t="s">
        <v>6072</v>
      </c>
      <c r="I1512" s="13" t="s">
        <v>82</v>
      </c>
      <c r="J1512" s="13" t="s">
        <v>5716</v>
      </c>
      <c r="K1512" s="13"/>
      <c r="L1512" s="13" t="s">
        <v>6067</v>
      </c>
      <c r="M1512" s="13" t="s">
        <v>6068</v>
      </c>
    </row>
    <row r="1513" customFormat="false" ht="91" hidden="false" customHeight="false" outlineLevel="0" collapsed="false">
      <c r="A1513" s="13" t="s">
        <v>4</v>
      </c>
      <c r="B1513" s="13" t="s">
        <v>68</v>
      </c>
      <c r="C1513" s="13" t="n">
        <v>143</v>
      </c>
      <c r="D1513" s="13" t="s">
        <v>6063</v>
      </c>
      <c r="E1513" s="13" t="s">
        <v>6073</v>
      </c>
      <c r="F1513" s="13" t="s">
        <v>6070</v>
      </c>
      <c r="G1513" s="13" t="s">
        <v>6074</v>
      </c>
      <c r="H1513" s="13" t="s">
        <v>6075</v>
      </c>
      <c r="I1513" s="13" t="s">
        <v>82</v>
      </c>
      <c r="J1513" s="13" t="s">
        <v>5716</v>
      </c>
      <c r="K1513" s="13"/>
      <c r="L1513" s="13" t="s">
        <v>6067</v>
      </c>
      <c r="M1513" s="13" t="s">
        <v>6068</v>
      </c>
    </row>
    <row r="1514" customFormat="false" ht="91" hidden="false" customHeight="false" outlineLevel="0" collapsed="false">
      <c r="A1514" s="13" t="s">
        <v>4</v>
      </c>
      <c r="B1514" s="13" t="s">
        <v>68</v>
      </c>
      <c r="C1514" s="13" t="n">
        <v>143</v>
      </c>
      <c r="D1514" s="13" t="s">
        <v>6063</v>
      </c>
      <c r="E1514" s="13" t="s">
        <v>6076</v>
      </c>
      <c r="F1514" s="13" t="s">
        <v>6072</v>
      </c>
      <c r="G1514" s="13" t="s">
        <v>6077</v>
      </c>
      <c r="H1514" s="13" t="s">
        <v>6078</v>
      </c>
      <c r="I1514" s="13" t="s">
        <v>82</v>
      </c>
      <c r="J1514" s="13" t="s">
        <v>5716</v>
      </c>
      <c r="K1514" s="13"/>
      <c r="L1514" s="13" t="s">
        <v>6067</v>
      </c>
      <c r="M1514" s="13" t="s">
        <v>6068</v>
      </c>
    </row>
    <row r="1515" customFormat="false" ht="91" hidden="false" customHeight="false" outlineLevel="0" collapsed="false">
      <c r="A1515" s="13" t="s">
        <v>4</v>
      </c>
      <c r="B1515" s="13" t="s">
        <v>68</v>
      </c>
      <c r="C1515" s="13" t="n">
        <v>143</v>
      </c>
      <c r="D1515" s="13" t="s">
        <v>6079</v>
      </c>
      <c r="E1515" s="13" t="s">
        <v>6080</v>
      </c>
      <c r="F1515" s="13" t="s">
        <v>6070</v>
      </c>
      <c r="G1515" s="13" t="s">
        <v>6081</v>
      </c>
      <c r="H1515" s="13" t="s">
        <v>6082</v>
      </c>
      <c r="I1515" s="13" t="s">
        <v>82</v>
      </c>
      <c r="J1515" s="13" t="s">
        <v>5716</v>
      </c>
      <c r="K1515" s="13"/>
      <c r="L1515" s="13" t="s">
        <v>6083</v>
      </c>
      <c r="M1515" s="13" t="s">
        <v>6084</v>
      </c>
    </row>
    <row r="1516" customFormat="false" ht="91" hidden="false" customHeight="false" outlineLevel="0" collapsed="false">
      <c r="A1516" s="13" t="s">
        <v>4</v>
      </c>
      <c r="B1516" s="13" t="s">
        <v>68</v>
      </c>
      <c r="C1516" s="13" t="n">
        <v>143</v>
      </c>
      <c r="D1516" s="13" t="s">
        <v>6079</v>
      </c>
      <c r="E1516" s="13" t="s">
        <v>6085</v>
      </c>
      <c r="F1516" s="13" t="s">
        <v>6072</v>
      </c>
      <c r="G1516" s="13" t="s">
        <v>6081</v>
      </c>
      <c r="H1516" s="13" t="s">
        <v>6082</v>
      </c>
      <c r="I1516" s="13" t="s">
        <v>82</v>
      </c>
      <c r="J1516" s="13" t="s">
        <v>5716</v>
      </c>
      <c r="K1516" s="13"/>
      <c r="L1516" s="13" t="s">
        <v>6083</v>
      </c>
      <c r="M1516" s="13" t="s">
        <v>6084</v>
      </c>
    </row>
    <row r="1517" customFormat="false" ht="91" hidden="false" customHeight="false" outlineLevel="0" collapsed="false">
      <c r="A1517" s="13" t="s">
        <v>4</v>
      </c>
      <c r="B1517" s="13" t="s">
        <v>68</v>
      </c>
      <c r="C1517" s="13" t="n">
        <v>143</v>
      </c>
      <c r="D1517" s="13" t="s">
        <v>6079</v>
      </c>
      <c r="E1517" s="13" t="s">
        <v>6086</v>
      </c>
      <c r="F1517" s="13" t="s">
        <v>6087</v>
      </c>
      <c r="G1517" s="13" t="s">
        <v>6088</v>
      </c>
      <c r="H1517" s="13" t="s">
        <v>6089</v>
      </c>
      <c r="I1517" s="13" t="s">
        <v>82</v>
      </c>
      <c r="J1517" s="13" t="s">
        <v>5716</v>
      </c>
      <c r="K1517" s="13"/>
      <c r="L1517" s="13" t="s">
        <v>6083</v>
      </c>
      <c r="M1517" s="13" t="s">
        <v>6084</v>
      </c>
    </row>
    <row r="1518" customFormat="false" ht="35.05" hidden="false" customHeight="false" outlineLevel="0" collapsed="false">
      <c r="A1518" s="13" t="s">
        <v>4</v>
      </c>
      <c r="B1518" s="13" t="s">
        <v>68</v>
      </c>
      <c r="C1518" s="13" t="n">
        <v>143</v>
      </c>
      <c r="D1518" s="13" t="s">
        <v>6090</v>
      </c>
      <c r="E1518" s="13" t="s">
        <v>6091</v>
      </c>
      <c r="F1518" s="13" t="s">
        <v>6092</v>
      </c>
      <c r="G1518" s="13" t="s">
        <v>6093</v>
      </c>
      <c r="H1518" s="13" t="s">
        <v>6082</v>
      </c>
      <c r="I1518" s="13" t="s">
        <v>82</v>
      </c>
      <c r="J1518" s="13" t="s">
        <v>5716</v>
      </c>
      <c r="K1518" s="13"/>
      <c r="L1518" s="13" t="s">
        <v>6094</v>
      </c>
      <c r="M1518" s="13" t="s">
        <v>6095</v>
      </c>
    </row>
    <row r="1519" customFormat="false" ht="35.05" hidden="false" customHeight="false" outlineLevel="0" collapsed="false">
      <c r="A1519" s="13" t="s">
        <v>4</v>
      </c>
      <c r="B1519" s="13" t="s">
        <v>68</v>
      </c>
      <c r="C1519" s="13" t="n">
        <v>143</v>
      </c>
      <c r="D1519" s="13" t="s">
        <v>6090</v>
      </c>
      <c r="E1519" s="13" t="s">
        <v>6096</v>
      </c>
      <c r="F1519" s="13" t="s">
        <v>3496</v>
      </c>
      <c r="G1519" s="13" t="s">
        <v>6097</v>
      </c>
      <c r="H1519" s="13" t="s">
        <v>6082</v>
      </c>
      <c r="I1519" s="13" t="s">
        <v>82</v>
      </c>
      <c r="J1519" s="13" t="s">
        <v>5716</v>
      </c>
      <c r="K1519" s="13"/>
      <c r="L1519" s="13" t="s">
        <v>6094</v>
      </c>
      <c r="M1519" s="13" t="s">
        <v>6095</v>
      </c>
    </row>
    <row r="1520" customFormat="false" ht="147" hidden="false" customHeight="false" outlineLevel="0" collapsed="false">
      <c r="A1520" s="13" t="s">
        <v>4</v>
      </c>
      <c r="B1520" s="13" t="s">
        <v>68</v>
      </c>
      <c r="C1520" s="13" t="n">
        <v>143</v>
      </c>
      <c r="D1520" s="13" t="s">
        <v>6098</v>
      </c>
      <c r="E1520" s="13" t="s">
        <v>6099</v>
      </c>
      <c r="F1520" s="13" t="s">
        <v>6070</v>
      </c>
      <c r="G1520" s="13" t="s">
        <v>6100</v>
      </c>
      <c r="H1520" s="13" t="s">
        <v>6101</v>
      </c>
      <c r="I1520" s="13" t="s">
        <v>82</v>
      </c>
      <c r="J1520" s="13" t="s">
        <v>5716</v>
      </c>
      <c r="K1520" s="13"/>
      <c r="L1520" s="13" t="s">
        <v>6102</v>
      </c>
      <c r="M1520" s="13" t="s">
        <v>6103</v>
      </c>
    </row>
    <row r="1521" customFormat="false" ht="147" hidden="false" customHeight="false" outlineLevel="0" collapsed="false">
      <c r="A1521" s="13" t="s">
        <v>4</v>
      </c>
      <c r="B1521" s="13" t="s">
        <v>68</v>
      </c>
      <c r="C1521" s="13" t="n">
        <v>143</v>
      </c>
      <c r="D1521" s="13" t="s">
        <v>6098</v>
      </c>
      <c r="E1521" s="13" t="s">
        <v>6104</v>
      </c>
      <c r="F1521" s="13" t="s">
        <v>6065</v>
      </c>
      <c r="G1521" s="13" t="s">
        <v>6105</v>
      </c>
      <c r="H1521" s="13" t="s">
        <v>6106</v>
      </c>
      <c r="I1521" s="13" t="s">
        <v>82</v>
      </c>
      <c r="J1521" s="13" t="s">
        <v>5716</v>
      </c>
      <c r="K1521" s="13"/>
      <c r="L1521" s="13" t="s">
        <v>6102</v>
      </c>
      <c r="M1521" s="13" t="s">
        <v>6103</v>
      </c>
    </row>
    <row r="1522" customFormat="false" ht="147" hidden="false" customHeight="false" outlineLevel="0" collapsed="false">
      <c r="A1522" s="13" t="s">
        <v>4</v>
      </c>
      <c r="B1522" s="13" t="s">
        <v>68</v>
      </c>
      <c r="C1522" s="13" t="n">
        <v>143</v>
      </c>
      <c r="D1522" s="13" t="s">
        <v>6098</v>
      </c>
      <c r="E1522" s="13" t="s">
        <v>6107</v>
      </c>
      <c r="F1522" s="13" t="s">
        <v>6070</v>
      </c>
      <c r="G1522" s="13" t="s">
        <v>6108</v>
      </c>
      <c r="H1522" s="13" t="s">
        <v>3496</v>
      </c>
      <c r="I1522" s="13" t="s">
        <v>82</v>
      </c>
      <c r="J1522" s="13" t="s">
        <v>5716</v>
      </c>
      <c r="K1522" s="13"/>
      <c r="L1522" s="13" t="s">
        <v>6102</v>
      </c>
      <c r="M1522" s="13" t="s">
        <v>6103</v>
      </c>
    </row>
    <row r="1523" customFormat="false" ht="147" hidden="false" customHeight="false" outlineLevel="0" collapsed="false">
      <c r="A1523" s="13" t="s">
        <v>4</v>
      </c>
      <c r="B1523" s="13" t="s">
        <v>68</v>
      </c>
      <c r="C1523" s="13" t="n">
        <v>143</v>
      </c>
      <c r="D1523" s="13" t="s">
        <v>6098</v>
      </c>
      <c r="E1523" s="13" t="s">
        <v>6109</v>
      </c>
      <c r="F1523" s="13" t="s">
        <v>6070</v>
      </c>
      <c r="G1523" s="13" t="s">
        <v>6110</v>
      </c>
      <c r="H1523" s="13" t="s">
        <v>3496</v>
      </c>
      <c r="I1523" s="13" t="s">
        <v>82</v>
      </c>
      <c r="J1523" s="13" t="s">
        <v>5716</v>
      </c>
      <c r="K1523" s="13"/>
      <c r="L1523" s="13" t="s">
        <v>6102</v>
      </c>
      <c r="M1523" s="13" t="s">
        <v>6103</v>
      </c>
    </row>
    <row r="1524" customFormat="false" ht="147" hidden="false" customHeight="false" outlineLevel="0" collapsed="false">
      <c r="A1524" s="13" t="s">
        <v>4</v>
      </c>
      <c r="B1524" s="13" t="s">
        <v>68</v>
      </c>
      <c r="C1524" s="13" t="n">
        <v>143</v>
      </c>
      <c r="D1524" s="13" t="s">
        <v>6111</v>
      </c>
      <c r="E1524" s="13" t="s">
        <v>6112</v>
      </c>
      <c r="F1524" s="13" t="s">
        <v>6113</v>
      </c>
      <c r="G1524" s="13" t="s">
        <v>6114</v>
      </c>
      <c r="H1524" s="13" t="s">
        <v>6115</v>
      </c>
      <c r="I1524" s="13" t="s">
        <v>82</v>
      </c>
      <c r="J1524" s="13" t="s">
        <v>5716</v>
      </c>
      <c r="K1524" s="13"/>
      <c r="L1524" s="13" t="s">
        <v>6116</v>
      </c>
      <c r="M1524" s="13" t="s">
        <v>6117</v>
      </c>
    </row>
    <row r="1525" customFormat="false" ht="147" hidden="false" customHeight="false" outlineLevel="0" collapsed="false">
      <c r="A1525" s="13" t="s">
        <v>4</v>
      </c>
      <c r="B1525" s="13" t="s">
        <v>68</v>
      </c>
      <c r="C1525" s="13" t="n">
        <v>143</v>
      </c>
      <c r="D1525" s="13" t="s">
        <v>6111</v>
      </c>
      <c r="E1525" s="13" t="s">
        <v>6118</v>
      </c>
      <c r="F1525" s="13" t="s">
        <v>299</v>
      </c>
      <c r="G1525" s="13" t="s">
        <v>1466</v>
      </c>
      <c r="H1525" s="13" t="s">
        <v>6119</v>
      </c>
      <c r="I1525" s="13" t="s">
        <v>82</v>
      </c>
      <c r="J1525" s="13" t="s">
        <v>5716</v>
      </c>
      <c r="K1525" s="13"/>
      <c r="L1525" s="13" t="s">
        <v>6116</v>
      </c>
      <c r="M1525" s="13" t="s">
        <v>6117</v>
      </c>
    </row>
    <row r="1526" customFormat="false" ht="147" hidden="false" customHeight="false" outlineLevel="0" collapsed="false">
      <c r="A1526" s="13" t="s">
        <v>4</v>
      </c>
      <c r="B1526" s="13" t="s">
        <v>68</v>
      </c>
      <c r="C1526" s="13" t="n">
        <v>143</v>
      </c>
      <c r="D1526" s="13" t="s">
        <v>6111</v>
      </c>
      <c r="E1526" s="13" t="s">
        <v>6120</v>
      </c>
      <c r="F1526" s="13" t="s">
        <v>299</v>
      </c>
      <c r="G1526" s="13" t="s">
        <v>6121</v>
      </c>
      <c r="H1526" s="13" t="s">
        <v>6122</v>
      </c>
      <c r="I1526" s="13" t="s">
        <v>82</v>
      </c>
      <c r="J1526" s="13" t="s">
        <v>5716</v>
      </c>
      <c r="K1526" s="13"/>
      <c r="L1526" s="13" t="s">
        <v>6116</v>
      </c>
      <c r="M1526" s="13" t="s">
        <v>6117</v>
      </c>
    </row>
    <row r="1527" customFormat="false" ht="147" hidden="false" customHeight="false" outlineLevel="0" collapsed="false">
      <c r="A1527" s="13" t="s">
        <v>4</v>
      </c>
      <c r="B1527" s="13" t="s">
        <v>68</v>
      </c>
      <c r="C1527" s="13" t="n">
        <v>143</v>
      </c>
      <c r="D1527" s="13" t="s">
        <v>6111</v>
      </c>
      <c r="E1527" s="13" t="s">
        <v>6123</v>
      </c>
      <c r="F1527" s="13" t="s">
        <v>299</v>
      </c>
      <c r="G1527" s="13" t="s">
        <v>6121</v>
      </c>
      <c r="H1527" s="13" t="s">
        <v>6124</v>
      </c>
      <c r="I1527" s="13" t="s">
        <v>82</v>
      </c>
      <c r="J1527" s="13" t="s">
        <v>5716</v>
      </c>
      <c r="K1527" s="13"/>
      <c r="L1527" s="13" t="s">
        <v>6116</v>
      </c>
      <c r="M1527" s="13" t="s">
        <v>6117</v>
      </c>
    </row>
    <row r="1528" customFormat="false" ht="147" hidden="false" customHeight="false" outlineLevel="0" collapsed="false">
      <c r="A1528" s="13" t="s">
        <v>4</v>
      </c>
      <c r="B1528" s="13" t="s">
        <v>68</v>
      </c>
      <c r="C1528" s="13" t="n">
        <v>143</v>
      </c>
      <c r="D1528" s="13" t="s">
        <v>6111</v>
      </c>
      <c r="E1528" s="13" t="s">
        <v>6125</v>
      </c>
      <c r="F1528" s="13" t="s">
        <v>6113</v>
      </c>
      <c r="G1528" s="13" t="s">
        <v>6126</v>
      </c>
      <c r="H1528" s="13" t="s">
        <v>299</v>
      </c>
      <c r="I1528" s="13" t="s">
        <v>82</v>
      </c>
      <c r="J1528" s="13" t="s">
        <v>5716</v>
      </c>
      <c r="K1528" s="13"/>
      <c r="L1528" s="13" t="s">
        <v>6116</v>
      </c>
      <c r="M1528" s="13" t="s">
        <v>6117</v>
      </c>
    </row>
    <row r="1529" customFormat="false" ht="147" hidden="false" customHeight="false" outlineLevel="0" collapsed="false">
      <c r="A1529" s="13" t="s">
        <v>4</v>
      </c>
      <c r="B1529" s="13" t="s">
        <v>68</v>
      </c>
      <c r="C1529" s="13" t="n">
        <v>143</v>
      </c>
      <c r="D1529" s="13" t="s">
        <v>6111</v>
      </c>
      <c r="E1529" s="13" t="s">
        <v>6127</v>
      </c>
      <c r="F1529" s="13" t="s">
        <v>182</v>
      </c>
      <c r="G1529" s="13" t="s">
        <v>6128</v>
      </c>
      <c r="H1529" s="13" t="s">
        <v>6129</v>
      </c>
      <c r="I1529" s="13" t="s">
        <v>82</v>
      </c>
      <c r="J1529" s="13" t="s">
        <v>5716</v>
      </c>
      <c r="K1529" s="13"/>
      <c r="L1529" s="13" t="s">
        <v>6116</v>
      </c>
      <c r="M1529" s="13" t="s">
        <v>6117</v>
      </c>
    </row>
    <row r="1530" customFormat="false" ht="147" hidden="false" customHeight="false" outlineLevel="0" collapsed="false">
      <c r="A1530" s="13" t="s">
        <v>4</v>
      </c>
      <c r="B1530" s="13" t="s">
        <v>68</v>
      </c>
      <c r="C1530" s="13" t="n">
        <v>143</v>
      </c>
      <c r="D1530" s="13" t="s">
        <v>6111</v>
      </c>
      <c r="E1530" s="13" t="s">
        <v>6130</v>
      </c>
      <c r="F1530" s="13" t="s">
        <v>182</v>
      </c>
      <c r="G1530" s="13" t="s">
        <v>6128</v>
      </c>
      <c r="H1530" s="13" t="s">
        <v>440</v>
      </c>
      <c r="I1530" s="13" t="s">
        <v>82</v>
      </c>
      <c r="J1530" s="13" t="s">
        <v>5716</v>
      </c>
      <c r="K1530" s="13"/>
      <c r="L1530" s="13" t="s">
        <v>6116</v>
      </c>
      <c r="M1530" s="13" t="s">
        <v>6117</v>
      </c>
    </row>
    <row r="1531" customFormat="false" ht="46.25" hidden="false" customHeight="false" outlineLevel="0" collapsed="false">
      <c r="A1531" s="13" t="s">
        <v>4</v>
      </c>
      <c r="B1531" s="13" t="s">
        <v>68</v>
      </c>
      <c r="C1531" s="13" t="n">
        <v>150</v>
      </c>
      <c r="D1531" s="13" t="s">
        <v>6131</v>
      </c>
      <c r="E1531" s="13" t="s">
        <v>6132</v>
      </c>
      <c r="F1531" s="13" t="s">
        <v>6133</v>
      </c>
      <c r="G1531" s="13" t="s">
        <v>6134</v>
      </c>
      <c r="H1531" s="13" t="s">
        <v>900</v>
      </c>
      <c r="I1531" s="13" t="s">
        <v>82</v>
      </c>
      <c r="J1531" s="13" t="s">
        <v>5716</v>
      </c>
      <c r="K1531" s="13"/>
      <c r="L1531" s="13" t="s">
        <v>6135</v>
      </c>
      <c r="M1531" s="13" t="s">
        <v>6136</v>
      </c>
    </row>
    <row r="1532" customFormat="false" ht="46.25" hidden="false" customHeight="false" outlineLevel="0" collapsed="false">
      <c r="A1532" s="13" t="s">
        <v>4</v>
      </c>
      <c r="B1532" s="13" t="s">
        <v>68</v>
      </c>
      <c r="C1532" s="13" t="n">
        <v>150</v>
      </c>
      <c r="D1532" s="13" t="s">
        <v>6131</v>
      </c>
      <c r="E1532" s="13" t="s">
        <v>6137</v>
      </c>
      <c r="F1532" s="13" t="s">
        <v>6133</v>
      </c>
      <c r="G1532" s="13" t="s">
        <v>6138</v>
      </c>
      <c r="H1532" s="13" t="s">
        <v>900</v>
      </c>
      <c r="I1532" s="13" t="s">
        <v>82</v>
      </c>
      <c r="J1532" s="13" t="s">
        <v>5716</v>
      </c>
      <c r="K1532" s="13"/>
      <c r="L1532" s="13" t="s">
        <v>6135</v>
      </c>
      <c r="M1532" s="13" t="s">
        <v>6136</v>
      </c>
    </row>
    <row r="1533" customFormat="false" ht="23.85" hidden="false" customHeight="false" outlineLevel="0" collapsed="false">
      <c r="A1533" s="13" t="s">
        <v>4</v>
      </c>
      <c r="B1533" s="13" t="s">
        <v>68</v>
      </c>
      <c r="C1533" s="13" t="n">
        <v>150</v>
      </c>
      <c r="D1533" s="13" t="s">
        <v>6139</v>
      </c>
      <c r="E1533" s="13" t="s">
        <v>6140</v>
      </c>
      <c r="F1533" s="13" t="s">
        <v>6133</v>
      </c>
      <c r="G1533" s="13" t="s">
        <v>371</v>
      </c>
      <c r="H1533" s="13" t="s">
        <v>6141</v>
      </c>
      <c r="I1533" s="13" t="s">
        <v>82</v>
      </c>
      <c r="J1533" s="13" t="s">
        <v>5716</v>
      </c>
      <c r="K1533" s="13"/>
      <c r="L1533" s="13" t="s">
        <v>6142</v>
      </c>
      <c r="M1533" s="13" t="s">
        <v>6143</v>
      </c>
    </row>
    <row r="1534" customFormat="false" ht="35.05" hidden="false" customHeight="false" outlineLevel="0" collapsed="false">
      <c r="A1534" s="13" t="s">
        <v>4</v>
      </c>
      <c r="B1534" s="13" t="s">
        <v>68</v>
      </c>
      <c r="C1534" s="13" t="n">
        <v>150</v>
      </c>
      <c r="D1534" s="13" t="s">
        <v>6144</v>
      </c>
      <c r="E1534" s="13" t="s">
        <v>6145</v>
      </c>
      <c r="F1534" s="13" t="s">
        <v>806</v>
      </c>
      <c r="G1534" s="13" t="s">
        <v>6146</v>
      </c>
      <c r="H1534" s="13" t="s">
        <v>6147</v>
      </c>
      <c r="I1534" s="13" t="s">
        <v>82</v>
      </c>
      <c r="J1534" s="13" t="s">
        <v>5716</v>
      </c>
      <c r="K1534" s="13"/>
      <c r="L1534" s="13" t="s">
        <v>6148</v>
      </c>
      <c r="M1534" s="13" t="s">
        <v>6149</v>
      </c>
    </row>
    <row r="1535" customFormat="false" ht="35.05" hidden="false" customHeight="false" outlineLevel="0" collapsed="false">
      <c r="A1535" s="13" t="s">
        <v>4</v>
      </c>
      <c r="B1535" s="13" t="s">
        <v>68</v>
      </c>
      <c r="C1535" s="13" t="n">
        <v>150</v>
      </c>
      <c r="D1535" s="13" t="s">
        <v>6144</v>
      </c>
      <c r="E1535" s="13" t="s">
        <v>6150</v>
      </c>
      <c r="F1535" s="13" t="s">
        <v>6147</v>
      </c>
      <c r="G1535" s="13" t="s">
        <v>6151</v>
      </c>
      <c r="H1535" s="13" t="s">
        <v>6152</v>
      </c>
      <c r="I1535" s="13" t="s">
        <v>82</v>
      </c>
      <c r="J1535" s="13" t="s">
        <v>5716</v>
      </c>
      <c r="K1535" s="13"/>
      <c r="L1535" s="13" t="s">
        <v>6148</v>
      </c>
      <c r="M1535" s="13" t="s">
        <v>6149</v>
      </c>
    </row>
    <row r="1536" customFormat="false" ht="23.85" hidden="false" customHeight="false" outlineLevel="0" collapsed="false">
      <c r="A1536" s="13" t="s">
        <v>4</v>
      </c>
      <c r="B1536" s="13" t="s">
        <v>68</v>
      </c>
      <c r="C1536" s="13" t="n">
        <v>150</v>
      </c>
      <c r="D1536" s="13" t="s">
        <v>6153</v>
      </c>
      <c r="E1536" s="13" t="s">
        <v>6154</v>
      </c>
      <c r="F1536" s="13" t="s">
        <v>806</v>
      </c>
      <c r="G1536" s="13" t="s">
        <v>6155</v>
      </c>
      <c r="H1536" s="13" t="s">
        <v>3912</v>
      </c>
      <c r="I1536" s="13" t="s">
        <v>82</v>
      </c>
      <c r="J1536" s="13" t="s">
        <v>5716</v>
      </c>
      <c r="K1536" s="13"/>
      <c r="L1536" s="13" t="s">
        <v>6156</v>
      </c>
      <c r="M1536" s="13" t="s">
        <v>6157</v>
      </c>
    </row>
    <row r="1537" customFormat="false" ht="23.85" hidden="false" customHeight="false" outlineLevel="0" collapsed="false">
      <c r="A1537" s="13" t="s">
        <v>4</v>
      </c>
      <c r="B1537" s="13" t="s">
        <v>68</v>
      </c>
      <c r="C1537" s="13" t="n">
        <v>150</v>
      </c>
      <c r="D1537" s="13" t="s">
        <v>6153</v>
      </c>
      <c r="E1537" s="13" t="s">
        <v>6158</v>
      </c>
      <c r="F1537" s="13" t="s">
        <v>6159</v>
      </c>
      <c r="G1537" s="13" t="s">
        <v>6160</v>
      </c>
      <c r="H1537" s="13" t="s">
        <v>6161</v>
      </c>
      <c r="I1537" s="13" t="s">
        <v>82</v>
      </c>
      <c r="J1537" s="13" t="s">
        <v>5716</v>
      </c>
      <c r="K1537" s="13"/>
      <c r="L1537" s="13" t="s">
        <v>6156</v>
      </c>
      <c r="M1537" s="13" t="s">
        <v>6157</v>
      </c>
    </row>
    <row r="1538" customFormat="false" ht="23.85" hidden="false" customHeight="false" outlineLevel="0" collapsed="false">
      <c r="A1538" s="13" t="s">
        <v>4</v>
      </c>
      <c r="B1538" s="13" t="s">
        <v>68</v>
      </c>
      <c r="C1538" s="13" t="n">
        <v>150</v>
      </c>
      <c r="D1538" s="13" t="s">
        <v>6162</v>
      </c>
      <c r="E1538" s="13" t="s">
        <v>6163</v>
      </c>
      <c r="F1538" s="13" t="s">
        <v>6159</v>
      </c>
      <c r="G1538" s="13" t="s">
        <v>579</v>
      </c>
      <c r="H1538" s="13" t="s">
        <v>6164</v>
      </c>
      <c r="I1538" s="13" t="s">
        <v>82</v>
      </c>
      <c r="J1538" s="13" t="s">
        <v>5716</v>
      </c>
      <c r="K1538" s="13"/>
      <c r="L1538" s="13" t="s">
        <v>6165</v>
      </c>
      <c r="M1538" s="13" t="s">
        <v>6166</v>
      </c>
    </row>
    <row r="1539" customFormat="false" ht="35.05" hidden="false" customHeight="false" outlineLevel="0" collapsed="false">
      <c r="A1539" s="13" t="s">
        <v>4</v>
      </c>
      <c r="B1539" s="13" t="s">
        <v>68</v>
      </c>
      <c r="C1539" s="13" t="n">
        <v>150</v>
      </c>
      <c r="D1539" s="13" t="s">
        <v>6167</v>
      </c>
      <c r="E1539" s="13" t="s">
        <v>6168</v>
      </c>
      <c r="F1539" s="13" t="s">
        <v>6141</v>
      </c>
      <c r="G1539" s="13" t="s">
        <v>6169</v>
      </c>
      <c r="H1539" s="13" t="s">
        <v>6170</v>
      </c>
      <c r="I1539" s="13" t="s">
        <v>74</v>
      </c>
      <c r="J1539" s="13" t="s">
        <v>6171</v>
      </c>
      <c r="K1539" s="13" t="s">
        <v>6172</v>
      </c>
      <c r="L1539" s="13" t="s">
        <v>6173</v>
      </c>
      <c r="M1539" s="13" t="s">
        <v>6174</v>
      </c>
    </row>
    <row r="1540" customFormat="false" ht="35.05" hidden="false" customHeight="false" outlineLevel="0" collapsed="false">
      <c r="A1540" s="13" t="s">
        <v>4</v>
      </c>
      <c r="B1540" s="13" t="s">
        <v>68</v>
      </c>
      <c r="C1540" s="13" t="n">
        <v>150</v>
      </c>
      <c r="D1540" s="13" t="s">
        <v>6167</v>
      </c>
      <c r="E1540" s="13" t="s">
        <v>6175</v>
      </c>
      <c r="F1540" s="13" t="s">
        <v>6141</v>
      </c>
      <c r="G1540" s="13" t="s">
        <v>6176</v>
      </c>
      <c r="H1540" s="13" t="s">
        <v>6177</v>
      </c>
      <c r="I1540" s="13" t="s">
        <v>82</v>
      </c>
      <c r="J1540" s="13" t="s">
        <v>5716</v>
      </c>
      <c r="K1540" s="13"/>
      <c r="L1540" s="13" t="s">
        <v>6173</v>
      </c>
      <c r="M1540" s="13" t="s">
        <v>6174</v>
      </c>
    </row>
    <row r="1541" customFormat="false" ht="23.85" hidden="false" customHeight="false" outlineLevel="0" collapsed="false">
      <c r="A1541" s="13" t="s">
        <v>4</v>
      </c>
      <c r="B1541" s="13" t="s">
        <v>68</v>
      </c>
      <c r="C1541" s="13" t="n">
        <v>150</v>
      </c>
      <c r="D1541" s="13" t="s">
        <v>6178</v>
      </c>
      <c r="E1541" s="13" t="s">
        <v>6179</v>
      </c>
      <c r="F1541" s="13" t="s">
        <v>806</v>
      </c>
      <c r="G1541" s="13" t="s">
        <v>6180</v>
      </c>
      <c r="H1541" s="13" t="s">
        <v>6181</v>
      </c>
      <c r="I1541" s="13" t="s">
        <v>82</v>
      </c>
      <c r="J1541" s="13" t="s">
        <v>5716</v>
      </c>
      <c r="K1541" s="13"/>
      <c r="L1541" s="13" t="s">
        <v>6182</v>
      </c>
      <c r="M1541" s="13" t="s">
        <v>6183</v>
      </c>
    </row>
    <row r="1542" customFormat="false" ht="23.85" hidden="false" customHeight="false" outlineLevel="0" collapsed="false">
      <c r="A1542" s="13" t="s">
        <v>4</v>
      </c>
      <c r="B1542" s="13" t="s">
        <v>68</v>
      </c>
      <c r="C1542" s="13" t="n">
        <v>150</v>
      </c>
      <c r="D1542" s="13" t="s">
        <v>6178</v>
      </c>
      <c r="E1542" s="13" t="s">
        <v>6184</v>
      </c>
      <c r="F1542" s="13" t="s">
        <v>6181</v>
      </c>
      <c r="G1542" s="13" t="s">
        <v>4009</v>
      </c>
      <c r="H1542" s="13" t="s">
        <v>6185</v>
      </c>
      <c r="I1542" s="13" t="s">
        <v>82</v>
      </c>
      <c r="J1542" s="13" t="s">
        <v>5716</v>
      </c>
      <c r="K1542" s="13"/>
      <c r="L1542" s="13" t="s">
        <v>6182</v>
      </c>
      <c r="M1542" s="13" t="s">
        <v>6183</v>
      </c>
    </row>
    <row r="1543" customFormat="false" ht="23.85" hidden="false" customHeight="false" outlineLevel="0" collapsed="false">
      <c r="A1543" s="13" t="s">
        <v>4</v>
      </c>
      <c r="B1543" s="13" t="s">
        <v>68</v>
      </c>
      <c r="C1543" s="13" t="n">
        <v>150</v>
      </c>
      <c r="D1543" s="13" t="s">
        <v>6186</v>
      </c>
      <c r="E1543" s="13" t="s">
        <v>6187</v>
      </c>
      <c r="F1543" s="13" t="s">
        <v>374</v>
      </c>
      <c r="G1543" s="13" t="s">
        <v>327</v>
      </c>
      <c r="H1543" s="13" t="s">
        <v>6188</v>
      </c>
      <c r="I1543" s="13" t="s">
        <v>82</v>
      </c>
      <c r="J1543" s="13" t="s">
        <v>5716</v>
      </c>
      <c r="K1543" s="13"/>
      <c r="L1543" s="13" t="s">
        <v>6189</v>
      </c>
      <c r="M1543" s="13" t="s">
        <v>6190</v>
      </c>
    </row>
    <row r="1544" customFormat="false" ht="23.85" hidden="false" customHeight="false" outlineLevel="0" collapsed="false">
      <c r="A1544" s="13" t="s">
        <v>4</v>
      </c>
      <c r="B1544" s="13" t="s">
        <v>68</v>
      </c>
      <c r="C1544" s="13" t="n">
        <v>150</v>
      </c>
      <c r="D1544" s="13" t="s">
        <v>6191</v>
      </c>
      <c r="E1544" s="13" t="s">
        <v>6192</v>
      </c>
      <c r="F1544" s="13" t="s">
        <v>374</v>
      </c>
      <c r="G1544" s="13" t="s">
        <v>6193</v>
      </c>
      <c r="H1544" s="13" t="s">
        <v>6194</v>
      </c>
      <c r="I1544" s="13" t="s">
        <v>82</v>
      </c>
      <c r="J1544" s="13" t="s">
        <v>5716</v>
      </c>
      <c r="K1544" s="13"/>
      <c r="L1544" s="13" t="s">
        <v>6195</v>
      </c>
      <c r="M1544" s="13" t="s">
        <v>6196</v>
      </c>
    </row>
    <row r="1545" customFormat="false" ht="68.65" hidden="false" customHeight="false" outlineLevel="0" collapsed="false">
      <c r="A1545" s="13" t="s">
        <v>4</v>
      </c>
      <c r="B1545" s="13" t="s">
        <v>68</v>
      </c>
      <c r="C1545" s="13" t="n">
        <v>150</v>
      </c>
      <c r="D1545" s="13" t="s">
        <v>6197</v>
      </c>
      <c r="E1545" s="13" t="s">
        <v>6198</v>
      </c>
      <c r="F1545" s="13" t="s">
        <v>806</v>
      </c>
      <c r="G1545" s="13" t="s">
        <v>6199</v>
      </c>
      <c r="H1545" s="13" t="s">
        <v>6200</v>
      </c>
      <c r="I1545" s="13" t="s">
        <v>74</v>
      </c>
      <c r="J1545" s="13" t="s">
        <v>6201</v>
      </c>
      <c r="K1545" s="13" t="s">
        <v>6202</v>
      </c>
      <c r="L1545" s="13" t="s">
        <v>6203</v>
      </c>
      <c r="M1545" s="13" t="s">
        <v>6204</v>
      </c>
    </row>
    <row r="1546" customFormat="false" ht="68.65" hidden="false" customHeight="false" outlineLevel="0" collapsed="false">
      <c r="A1546" s="13" t="s">
        <v>4</v>
      </c>
      <c r="B1546" s="13" t="s">
        <v>68</v>
      </c>
      <c r="C1546" s="13" t="n">
        <v>150</v>
      </c>
      <c r="D1546" s="13" t="s">
        <v>6197</v>
      </c>
      <c r="E1546" s="13" t="s">
        <v>6205</v>
      </c>
      <c r="F1546" s="13" t="s">
        <v>6206</v>
      </c>
      <c r="G1546" s="13" t="s">
        <v>6207</v>
      </c>
      <c r="H1546" s="13" t="s">
        <v>6208</v>
      </c>
      <c r="I1546" s="13" t="s">
        <v>82</v>
      </c>
      <c r="J1546" s="13" t="s">
        <v>5716</v>
      </c>
      <c r="K1546" s="13"/>
      <c r="L1546" s="13" t="s">
        <v>6203</v>
      </c>
      <c r="M1546" s="13" t="s">
        <v>6204</v>
      </c>
    </row>
    <row r="1547" customFormat="false" ht="23.85" hidden="false" customHeight="false" outlineLevel="0" collapsed="false">
      <c r="A1547" s="13" t="s">
        <v>4</v>
      </c>
      <c r="B1547" s="13" t="s">
        <v>68</v>
      </c>
      <c r="C1547" s="13" t="n">
        <v>150</v>
      </c>
      <c r="D1547" s="13" t="s">
        <v>6209</v>
      </c>
      <c r="E1547" s="13" t="s">
        <v>6210</v>
      </c>
      <c r="F1547" s="13" t="s">
        <v>6211</v>
      </c>
      <c r="G1547" s="13" t="s">
        <v>6212</v>
      </c>
      <c r="H1547" s="13" t="s">
        <v>6213</v>
      </c>
      <c r="I1547" s="13" t="s">
        <v>82</v>
      </c>
      <c r="J1547" s="13" t="s">
        <v>5716</v>
      </c>
      <c r="K1547" s="13"/>
      <c r="L1547" s="13" t="s">
        <v>6214</v>
      </c>
      <c r="M1547" s="13" t="s">
        <v>6215</v>
      </c>
    </row>
    <row r="1548" customFormat="false" ht="57.45" hidden="false" customHeight="false" outlineLevel="0" collapsed="false">
      <c r="A1548" s="13" t="s">
        <v>4</v>
      </c>
      <c r="B1548" s="13" t="s">
        <v>68</v>
      </c>
      <c r="C1548" s="13" t="n">
        <v>150</v>
      </c>
      <c r="D1548" s="13" t="s">
        <v>6216</v>
      </c>
      <c r="E1548" s="13" t="s">
        <v>6217</v>
      </c>
      <c r="F1548" s="13" t="s">
        <v>428</v>
      </c>
      <c r="G1548" s="13" t="s">
        <v>6218</v>
      </c>
      <c r="H1548" s="13" t="s">
        <v>6219</v>
      </c>
      <c r="I1548" s="13" t="s">
        <v>82</v>
      </c>
      <c r="J1548" s="13" t="s">
        <v>5716</v>
      </c>
      <c r="K1548" s="13"/>
      <c r="L1548" s="13" t="s">
        <v>6220</v>
      </c>
      <c r="M1548" s="13" t="s">
        <v>6221</v>
      </c>
    </row>
    <row r="1549" customFormat="false" ht="57.45" hidden="false" customHeight="false" outlineLevel="0" collapsed="false">
      <c r="A1549" s="13" t="s">
        <v>4</v>
      </c>
      <c r="B1549" s="13" t="s">
        <v>68</v>
      </c>
      <c r="C1549" s="13" t="n">
        <v>150</v>
      </c>
      <c r="D1549" s="13" t="s">
        <v>6216</v>
      </c>
      <c r="E1549" s="13" t="s">
        <v>6222</v>
      </c>
      <c r="F1549" s="13" t="s">
        <v>6223</v>
      </c>
      <c r="G1549" s="13" t="s">
        <v>6224</v>
      </c>
      <c r="H1549" s="13" t="s">
        <v>6219</v>
      </c>
      <c r="I1549" s="13" t="s">
        <v>82</v>
      </c>
      <c r="J1549" s="13" t="s">
        <v>5716</v>
      </c>
      <c r="K1549" s="13"/>
      <c r="L1549" s="13" t="s">
        <v>6220</v>
      </c>
      <c r="M1549" s="13" t="s">
        <v>6221</v>
      </c>
    </row>
    <row r="1550" customFormat="false" ht="23.85" hidden="false" customHeight="false" outlineLevel="0" collapsed="false">
      <c r="A1550" s="13" t="s">
        <v>4</v>
      </c>
      <c r="B1550" s="13" t="s">
        <v>68</v>
      </c>
      <c r="C1550" s="13" t="n">
        <v>150</v>
      </c>
      <c r="D1550" s="13" t="s">
        <v>6225</v>
      </c>
      <c r="E1550" s="13" t="s">
        <v>6226</v>
      </c>
      <c r="F1550" s="13" t="s">
        <v>6223</v>
      </c>
      <c r="G1550" s="13" t="s">
        <v>6227</v>
      </c>
      <c r="H1550" s="13" t="s">
        <v>182</v>
      </c>
      <c r="I1550" s="13" t="s">
        <v>82</v>
      </c>
      <c r="J1550" s="13" t="s">
        <v>5716</v>
      </c>
      <c r="K1550" s="13"/>
      <c r="L1550" s="13" t="s">
        <v>6228</v>
      </c>
      <c r="M1550" s="13" t="s">
        <v>6229</v>
      </c>
    </row>
    <row r="1551" customFormat="false" ht="23.85" hidden="false" customHeight="false" outlineLevel="0" collapsed="false">
      <c r="A1551" s="13" t="s">
        <v>4</v>
      </c>
      <c r="B1551" s="13" t="s">
        <v>68</v>
      </c>
      <c r="C1551" s="13" t="n">
        <v>150</v>
      </c>
      <c r="D1551" s="13" t="s">
        <v>6230</v>
      </c>
      <c r="E1551" s="13" t="s">
        <v>6231</v>
      </c>
      <c r="F1551" s="13" t="s">
        <v>6232</v>
      </c>
      <c r="G1551" s="13" t="s">
        <v>6233</v>
      </c>
      <c r="H1551" s="13" t="s">
        <v>6234</v>
      </c>
      <c r="I1551" s="13" t="s">
        <v>82</v>
      </c>
      <c r="J1551" s="13" t="s">
        <v>5716</v>
      </c>
      <c r="K1551" s="13"/>
      <c r="L1551" s="13" t="s">
        <v>6235</v>
      </c>
      <c r="M1551" s="13" t="s">
        <v>6236</v>
      </c>
    </row>
    <row r="1552" customFormat="false" ht="247.75" hidden="false" customHeight="false" outlineLevel="0" collapsed="false">
      <c r="A1552" s="13" t="s">
        <v>4</v>
      </c>
      <c r="B1552" s="13" t="s">
        <v>68</v>
      </c>
      <c r="C1552" s="13" t="n">
        <v>150</v>
      </c>
      <c r="D1552" s="13" t="s">
        <v>6237</v>
      </c>
      <c r="E1552" s="13" t="s">
        <v>6238</v>
      </c>
      <c r="F1552" s="13" t="s">
        <v>6239</v>
      </c>
      <c r="G1552" s="13" t="s">
        <v>6240</v>
      </c>
      <c r="H1552" s="13" t="s">
        <v>299</v>
      </c>
      <c r="I1552" s="13" t="s">
        <v>82</v>
      </c>
      <c r="J1552" s="13" t="s">
        <v>5716</v>
      </c>
      <c r="K1552" s="13"/>
      <c r="L1552" s="13" t="s">
        <v>6241</v>
      </c>
      <c r="M1552" s="13" t="s">
        <v>6242</v>
      </c>
    </row>
    <row r="1553" customFormat="false" ht="247.75" hidden="false" customHeight="false" outlineLevel="0" collapsed="false">
      <c r="A1553" s="13" t="s">
        <v>4</v>
      </c>
      <c r="B1553" s="13" t="s">
        <v>68</v>
      </c>
      <c r="C1553" s="13" t="n">
        <v>150</v>
      </c>
      <c r="D1553" s="13" t="s">
        <v>6237</v>
      </c>
      <c r="E1553" s="13" t="s">
        <v>6243</v>
      </c>
      <c r="F1553" s="13" t="s">
        <v>6239</v>
      </c>
      <c r="G1553" s="13" t="s">
        <v>6244</v>
      </c>
      <c r="H1553" s="13" t="s">
        <v>6245</v>
      </c>
      <c r="I1553" s="13" t="s">
        <v>82</v>
      </c>
      <c r="J1553" s="13" t="s">
        <v>5716</v>
      </c>
      <c r="K1553" s="13"/>
      <c r="L1553" s="13" t="s">
        <v>6241</v>
      </c>
      <c r="M1553" s="13" t="s">
        <v>6242</v>
      </c>
    </row>
    <row r="1554" customFormat="false" ht="247.75" hidden="false" customHeight="false" outlineLevel="0" collapsed="false">
      <c r="A1554" s="13" t="s">
        <v>4</v>
      </c>
      <c r="B1554" s="13" t="s">
        <v>68</v>
      </c>
      <c r="C1554" s="13" t="n">
        <v>150</v>
      </c>
      <c r="D1554" s="13" t="s">
        <v>6237</v>
      </c>
      <c r="E1554" s="13" t="s">
        <v>6246</v>
      </c>
      <c r="F1554" s="13" t="s">
        <v>6239</v>
      </c>
      <c r="G1554" s="13" t="s">
        <v>6247</v>
      </c>
      <c r="H1554" s="13" t="s">
        <v>6248</v>
      </c>
      <c r="I1554" s="13" t="s">
        <v>82</v>
      </c>
      <c r="J1554" s="13" t="s">
        <v>5716</v>
      </c>
      <c r="K1554" s="13"/>
      <c r="L1554" s="13" t="s">
        <v>6241</v>
      </c>
      <c r="M1554" s="13" t="s">
        <v>6242</v>
      </c>
    </row>
    <row r="1555" customFormat="false" ht="35.05" hidden="false" customHeight="false" outlineLevel="0" collapsed="false">
      <c r="A1555" s="13" t="s">
        <v>4</v>
      </c>
      <c r="B1555" s="13" t="s">
        <v>68</v>
      </c>
      <c r="C1555" s="13" t="n">
        <v>155</v>
      </c>
      <c r="D1555" s="13" t="s">
        <v>6249</v>
      </c>
      <c r="E1555" s="13" t="s">
        <v>6250</v>
      </c>
      <c r="F1555" s="13" t="s">
        <v>6223</v>
      </c>
      <c r="G1555" s="13" t="s">
        <v>6251</v>
      </c>
      <c r="H1555" s="13" t="s">
        <v>182</v>
      </c>
      <c r="I1555" s="13" t="s">
        <v>82</v>
      </c>
      <c r="J1555" s="13" t="s">
        <v>5716</v>
      </c>
      <c r="K1555" s="13"/>
      <c r="L1555" s="13" t="s">
        <v>6252</v>
      </c>
      <c r="M1555" s="13" t="s">
        <v>6253</v>
      </c>
    </row>
    <row r="1556" customFormat="false" ht="46.25" hidden="false" customHeight="false" outlineLevel="0" collapsed="false">
      <c r="A1556" s="13" t="s">
        <v>4</v>
      </c>
      <c r="B1556" s="13" t="s">
        <v>68</v>
      </c>
      <c r="C1556" s="13" t="n">
        <v>155</v>
      </c>
      <c r="D1556" s="13" t="s">
        <v>6254</v>
      </c>
      <c r="E1556" s="13" t="s">
        <v>6255</v>
      </c>
      <c r="F1556" s="13" t="s">
        <v>6223</v>
      </c>
      <c r="G1556" s="13" t="s">
        <v>6256</v>
      </c>
      <c r="H1556" s="13" t="s">
        <v>182</v>
      </c>
      <c r="I1556" s="13" t="s">
        <v>114</v>
      </c>
      <c r="J1556" s="13" t="s">
        <v>6257</v>
      </c>
      <c r="K1556" s="13" t="s">
        <v>6258</v>
      </c>
      <c r="L1556" s="13" t="s">
        <v>6259</v>
      </c>
      <c r="M1556" s="13" t="s">
        <v>6260</v>
      </c>
    </row>
    <row r="1557" customFormat="false" ht="68.65" hidden="false" customHeight="false" outlineLevel="0" collapsed="false">
      <c r="A1557" s="13" t="s">
        <v>4</v>
      </c>
      <c r="B1557" s="13" t="s">
        <v>68</v>
      </c>
      <c r="C1557" s="13" t="n">
        <v>155</v>
      </c>
      <c r="D1557" s="13" t="s">
        <v>6261</v>
      </c>
      <c r="E1557" s="13" t="s">
        <v>6262</v>
      </c>
      <c r="F1557" s="13" t="s">
        <v>6223</v>
      </c>
      <c r="G1557" s="13" t="s">
        <v>6263</v>
      </c>
      <c r="H1557" s="13" t="s">
        <v>182</v>
      </c>
      <c r="I1557" s="13" t="s">
        <v>82</v>
      </c>
      <c r="J1557" s="13" t="s">
        <v>5716</v>
      </c>
      <c r="K1557" s="13"/>
      <c r="L1557" s="13" t="s">
        <v>6264</v>
      </c>
      <c r="M1557" s="13" t="s">
        <v>6265</v>
      </c>
    </row>
    <row r="1558" customFormat="false" ht="35.05" hidden="false" customHeight="false" outlineLevel="0" collapsed="false">
      <c r="A1558" s="13" t="s">
        <v>4</v>
      </c>
      <c r="B1558" s="13" t="s">
        <v>68</v>
      </c>
      <c r="C1558" s="13" t="n">
        <v>155</v>
      </c>
      <c r="D1558" s="13" t="s">
        <v>6266</v>
      </c>
      <c r="E1558" s="13" t="s">
        <v>6267</v>
      </c>
      <c r="F1558" s="13" t="s">
        <v>182</v>
      </c>
      <c r="G1558" s="13" t="s">
        <v>6268</v>
      </c>
      <c r="H1558" s="13" t="s">
        <v>3353</v>
      </c>
      <c r="I1558" s="13" t="s">
        <v>114</v>
      </c>
      <c r="J1558" s="13" t="s">
        <v>6269</v>
      </c>
      <c r="K1558" s="13" t="s">
        <v>6270</v>
      </c>
      <c r="L1558" s="13" t="s">
        <v>6271</v>
      </c>
      <c r="M1558" s="13" t="s">
        <v>6272</v>
      </c>
    </row>
    <row r="1559" customFormat="false" ht="57.45" hidden="false" customHeight="false" outlineLevel="0" collapsed="false">
      <c r="A1559" s="13" t="s">
        <v>4</v>
      </c>
      <c r="B1559" s="13" t="s">
        <v>68</v>
      </c>
      <c r="C1559" s="13" t="n">
        <v>155</v>
      </c>
      <c r="D1559" s="13" t="s">
        <v>6273</v>
      </c>
      <c r="E1559" s="13" t="s">
        <v>6274</v>
      </c>
      <c r="F1559" s="13" t="s">
        <v>6275</v>
      </c>
      <c r="G1559" s="13" t="s">
        <v>6276</v>
      </c>
      <c r="H1559" s="13" t="s">
        <v>182</v>
      </c>
      <c r="I1559" s="13" t="s">
        <v>82</v>
      </c>
      <c r="J1559" s="13" t="s">
        <v>5716</v>
      </c>
      <c r="K1559" s="13"/>
      <c r="L1559" s="13" t="s">
        <v>6277</v>
      </c>
      <c r="M1559" s="13" t="s">
        <v>6278</v>
      </c>
    </row>
    <row r="1560" customFormat="false" ht="57.45" hidden="false" customHeight="false" outlineLevel="0" collapsed="false">
      <c r="A1560" s="13" t="s">
        <v>4</v>
      </c>
      <c r="B1560" s="13" t="s">
        <v>68</v>
      </c>
      <c r="C1560" s="13" t="n">
        <v>155</v>
      </c>
      <c r="D1560" s="13" t="s">
        <v>6273</v>
      </c>
      <c r="E1560" s="13" t="s">
        <v>6279</v>
      </c>
      <c r="F1560" s="13" t="s">
        <v>6275</v>
      </c>
      <c r="G1560" s="13" t="s">
        <v>6280</v>
      </c>
      <c r="H1560" s="13" t="s">
        <v>6281</v>
      </c>
      <c r="I1560" s="13" t="s">
        <v>82</v>
      </c>
      <c r="J1560" s="13" t="s">
        <v>5716</v>
      </c>
      <c r="K1560" s="13"/>
      <c r="L1560" s="13" t="s">
        <v>6277</v>
      </c>
      <c r="M1560" s="13" t="s">
        <v>6278</v>
      </c>
    </row>
    <row r="1561" customFormat="false" ht="57.45" hidden="false" customHeight="false" outlineLevel="0" collapsed="false">
      <c r="A1561" s="13" t="s">
        <v>4</v>
      </c>
      <c r="B1561" s="13" t="s">
        <v>68</v>
      </c>
      <c r="C1561" s="13" t="n">
        <v>155</v>
      </c>
      <c r="D1561" s="13" t="s">
        <v>6273</v>
      </c>
      <c r="E1561" s="13" t="s">
        <v>6282</v>
      </c>
      <c r="F1561" s="13" t="s">
        <v>6283</v>
      </c>
      <c r="G1561" s="13" t="s">
        <v>6284</v>
      </c>
      <c r="H1561" s="13" t="s">
        <v>6275</v>
      </c>
      <c r="I1561" s="13" t="s">
        <v>82</v>
      </c>
      <c r="J1561" s="13" t="s">
        <v>5716</v>
      </c>
      <c r="K1561" s="13"/>
      <c r="L1561" s="13" t="s">
        <v>6277</v>
      </c>
      <c r="M1561" s="13" t="s">
        <v>6278</v>
      </c>
    </row>
    <row r="1562" customFormat="false" ht="46.25" hidden="false" customHeight="false" outlineLevel="0" collapsed="false">
      <c r="A1562" s="13" t="s">
        <v>4</v>
      </c>
      <c r="B1562" s="13" t="s">
        <v>68</v>
      </c>
      <c r="C1562" s="13" t="n">
        <v>155</v>
      </c>
      <c r="D1562" s="13" t="s">
        <v>6285</v>
      </c>
      <c r="E1562" s="13" t="s">
        <v>6286</v>
      </c>
      <c r="F1562" s="13" t="s">
        <v>806</v>
      </c>
      <c r="G1562" s="13" t="s">
        <v>6287</v>
      </c>
      <c r="H1562" s="13" t="s">
        <v>1520</v>
      </c>
      <c r="I1562" s="13" t="s">
        <v>82</v>
      </c>
      <c r="J1562" s="13" t="s">
        <v>5716</v>
      </c>
      <c r="K1562" s="13"/>
      <c r="L1562" s="13" t="s">
        <v>6288</v>
      </c>
      <c r="M1562" s="13" t="s">
        <v>6289</v>
      </c>
    </row>
    <row r="1563" customFormat="false" ht="46.25" hidden="false" customHeight="false" outlineLevel="0" collapsed="false">
      <c r="A1563" s="13" t="s">
        <v>4</v>
      </c>
      <c r="B1563" s="13" t="s">
        <v>68</v>
      </c>
      <c r="C1563" s="13" t="n">
        <v>155</v>
      </c>
      <c r="D1563" s="13" t="s">
        <v>6285</v>
      </c>
      <c r="E1563" s="13" t="s">
        <v>6290</v>
      </c>
      <c r="F1563" s="13" t="s">
        <v>806</v>
      </c>
      <c r="G1563" s="13" t="s">
        <v>6291</v>
      </c>
      <c r="H1563" s="13" t="s">
        <v>6292</v>
      </c>
      <c r="I1563" s="13" t="s">
        <v>82</v>
      </c>
      <c r="J1563" s="13" t="s">
        <v>5716</v>
      </c>
      <c r="K1563" s="13"/>
      <c r="L1563" s="13" t="s">
        <v>6288</v>
      </c>
      <c r="M1563" s="13" t="s">
        <v>6289</v>
      </c>
    </row>
    <row r="1564" customFormat="false" ht="102.2" hidden="false" customHeight="false" outlineLevel="0" collapsed="false">
      <c r="A1564" s="13" t="s">
        <v>4</v>
      </c>
      <c r="B1564" s="13" t="s">
        <v>68</v>
      </c>
      <c r="C1564" s="13" t="n">
        <v>155</v>
      </c>
      <c r="D1564" s="13" t="s">
        <v>6293</v>
      </c>
      <c r="E1564" s="13" t="s">
        <v>6294</v>
      </c>
      <c r="F1564" s="13" t="s">
        <v>806</v>
      </c>
      <c r="G1564" s="13" t="s">
        <v>6295</v>
      </c>
      <c r="H1564" s="13" t="s">
        <v>6296</v>
      </c>
      <c r="I1564" s="13" t="s">
        <v>82</v>
      </c>
      <c r="J1564" s="13" t="s">
        <v>5716</v>
      </c>
      <c r="K1564" s="13"/>
      <c r="L1564" s="13" t="s">
        <v>6297</v>
      </c>
      <c r="M1564" s="13" t="s">
        <v>6298</v>
      </c>
    </row>
    <row r="1565" customFormat="false" ht="102.2" hidden="false" customHeight="false" outlineLevel="0" collapsed="false">
      <c r="A1565" s="13" t="s">
        <v>4</v>
      </c>
      <c r="B1565" s="13" t="s">
        <v>68</v>
      </c>
      <c r="C1565" s="13" t="n">
        <v>155</v>
      </c>
      <c r="D1565" s="13" t="s">
        <v>6293</v>
      </c>
      <c r="E1565" s="13" t="s">
        <v>6299</v>
      </c>
      <c r="F1565" s="13" t="s">
        <v>806</v>
      </c>
      <c r="G1565" s="13" t="s">
        <v>6300</v>
      </c>
      <c r="H1565" s="13" t="s">
        <v>6301</v>
      </c>
      <c r="I1565" s="13" t="s">
        <v>82</v>
      </c>
      <c r="J1565" s="13" t="s">
        <v>5716</v>
      </c>
      <c r="K1565" s="13"/>
      <c r="L1565" s="13" t="s">
        <v>6297</v>
      </c>
      <c r="M1565" s="13" t="s">
        <v>6298</v>
      </c>
    </row>
    <row r="1566" customFormat="false" ht="102.2" hidden="false" customHeight="false" outlineLevel="0" collapsed="false">
      <c r="A1566" s="13" t="s">
        <v>4</v>
      </c>
      <c r="B1566" s="13" t="s">
        <v>68</v>
      </c>
      <c r="C1566" s="13" t="n">
        <v>155</v>
      </c>
      <c r="D1566" s="13" t="s">
        <v>6293</v>
      </c>
      <c r="E1566" s="13" t="s">
        <v>6302</v>
      </c>
      <c r="F1566" s="13" t="s">
        <v>806</v>
      </c>
      <c r="G1566" s="13" t="s">
        <v>6303</v>
      </c>
      <c r="H1566" s="13" t="s">
        <v>6304</v>
      </c>
      <c r="I1566" s="13" t="s">
        <v>82</v>
      </c>
      <c r="J1566" s="13" t="s">
        <v>5716</v>
      </c>
      <c r="K1566" s="13"/>
      <c r="L1566" s="13" t="s">
        <v>6297</v>
      </c>
      <c r="M1566" s="13" t="s">
        <v>6298</v>
      </c>
    </row>
    <row r="1567" customFormat="false" ht="35.05" hidden="false" customHeight="false" outlineLevel="0" collapsed="false">
      <c r="A1567" s="13" t="s">
        <v>4</v>
      </c>
      <c r="B1567" s="13" t="s">
        <v>68</v>
      </c>
      <c r="C1567" s="13" t="n">
        <v>157</v>
      </c>
      <c r="D1567" s="13" t="s">
        <v>6305</v>
      </c>
      <c r="E1567" s="13" t="s">
        <v>6306</v>
      </c>
      <c r="F1567" s="13" t="s">
        <v>6307</v>
      </c>
      <c r="G1567" s="13" t="s">
        <v>6308</v>
      </c>
      <c r="H1567" s="13" t="s">
        <v>6309</v>
      </c>
      <c r="I1567" s="13" t="s">
        <v>82</v>
      </c>
      <c r="J1567" s="13" t="s">
        <v>5716</v>
      </c>
      <c r="K1567" s="13"/>
      <c r="L1567" s="13" t="s">
        <v>6310</v>
      </c>
      <c r="M1567" s="13" t="s">
        <v>6311</v>
      </c>
    </row>
    <row r="1568" customFormat="false" ht="35.05" hidden="false" customHeight="false" outlineLevel="0" collapsed="false">
      <c r="A1568" s="13" t="s">
        <v>4</v>
      </c>
      <c r="B1568" s="13" t="s">
        <v>68</v>
      </c>
      <c r="C1568" s="13" t="n">
        <v>157</v>
      </c>
      <c r="D1568" s="13" t="s">
        <v>6305</v>
      </c>
      <c r="E1568" s="13" t="s">
        <v>6312</v>
      </c>
      <c r="F1568" s="13" t="s">
        <v>6307</v>
      </c>
      <c r="G1568" s="13" t="s">
        <v>6313</v>
      </c>
      <c r="H1568" s="13" t="s">
        <v>6314</v>
      </c>
      <c r="I1568" s="13" t="s">
        <v>82</v>
      </c>
      <c r="J1568" s="13" t="s">
        <v>5716</v>
      </c>
      <c r="K1568" s="13"/>
      <c r="L1568" s="13" t="s">
        <v>6310</v>
      </c>
      <c r="M1568" s="13" t="s">
        <v>6311</v>
      </c>
    </row>
    <row r="1569" customFormat="false" ht="23.85" hidden="false" customHeight="false" outlineLevel="0" collapsed="false">
      <c r="A1569" s="13" t="s">
        <v>4</v>
      </c>
      <c r="B1569" s="13" t="s">
        <v>68</v>
      </c>
      <c r="C1569" s="13" t="n">
        <v>157</v>
      </c>
      <c r="D1569" s="13" t="s">
        <v>6315</v>
      </c>
      <c r="E1569" s="13" t="s">
        <v>6316</v>
      </c>
      <c r="F1569" s="13" t="s">
        <v>6317</v>
      </c>
      <c r="G1569" s="13" t="s">
        <v>6318</v>
      </c>
      <c r="H1569" s="13" t="s">
        <v>6319</v>
      </c>
      <c r="I1569" s="13" t="s">
        <v>82</v>
      </c>
      <c r="J1569" s="13" t="s">
        <v>5716</v>
      </c>
      <c r="K1569" s="13"/>
      <c r="L1569" s="13" t="s">
        <v>6320</v>
      </c>
      <c r="M1569" s="13" t="s">
        <v>6321</v>
      </c>
    </row>
    <row r="1570" customFormat="false" ht="46.25" hidden="false" customHeight="false" outlineLevel="0" collapsed="false">
      <c r="A1570" s="13" t="s">
        <v>4</v>
      </c>
      <c r="B1570" s="13" t="s">
        <v>68</v>
      </c>
      <c r="C1570" s="13" t="n">
        <v>157</v>
      </c>
      <c r="D1570" s="13" t="s">
        <v>6322</v>
      </c>
      <c r="E1570" s="13" t="s">
        <v>6323</v>
      </c>
      <c r="F1570" s="13" t="s">
        <v>6317</v>
      </c>
      <c r="G1570" s="13" t="s">
        <v>6318</v>
      </c>
      <c r="H1570" s="13" t="s">
        <v>6324</v>
      </c>
      <c r="I1570" s="13" t="s">
        <v>82</v>
      </c>
      <c r="J1570" s="13" t="s">
        <v>5716</v>
      </c>
      <c r="K1570" s="13"/>
      <c r="L1570" s="13" t="s">
        <v>6325</v>
      </c>
      <c r="M1570" s="13" t="s">
        <v>6326</v>
      </c>
    </row>
    <row r="1571" customFormat="false" ht="46.25" hidden="false" customHeight="false" outlineLevel="0" collapsed="false">
      <c r="A1571" s="13" t="s">
        <v>4</v>
      </c>
      <c r="B1571" s="13" t="s">
        <v>68</v>
      </c>
      <c r="C1571" s="13" t="n">
        <v>157</v>
      </c>
      <c r="D1571" s="13" t="s">
        <v>6327</v>
      </c>
      <c r="E1571" s="13" t="s">
        <v>6328</v>
      </c>
      <c r="F1571" s="13" t="s">
        <v>6317</v>
      </c>
      <c r="G1571" s="13" t="s">
        <v>6329</v>
      </c>
      <c r="H1571" s="13" t="s">
        <v>6330</v>
      </c>
      <c r="I1571" s="13" t="s">
        <v>82</v>
      </c>
      <c r="J1571" s="13" t="s">
        <v>5716</v>
      </c>
      <c r="K1571" s="13"/>
      <c r="L1571" s="13" t="s">
        <v>6331</v>
      </c>
      <c r="M1571" s="13" t="s">
        <v>6332</v>
      </c>
    </row>
    <row r="1572" customFormat="false" ht="46.25" hidden="false" customHeight="false" outlineLevel="0" collapsed="false">
      <c r="A1572" s="13" t="s">
        <v>4</v>
      </c>
      <c r="B1572" s="13" t="s">
        <v>68</v>
      </c>
      <c r="C1572" s="13" t="n">
        <v>157</v>
      </c>
      <c r="D1572" s="13" t="s">
        <v>6327</v>
      </c>
      <c r="E1572" s="13" t="s">
        <v>6333</v>
      </c>
      <c r="F1572" s="13" t="s">
        <v>6334</v>
      </c>
      <c r="G1572" s="13" t="s">
        <v>6335</v>
      </c>
      <c r="H1572" s="13" t="s">
        <v>6336</v>
      </c>
      <c r="I1572" s="13" t="s">
        <v>82</v>
      </c>
      <c r="J1572" s="13" t="s">
        <v>5716</v>
      </c>
      <c r="K1572" s="13"/>
      <c r="L1572" s="13" t="s">
        <v>6331</v>
      </c>
      <c r="M1572" s="13" t="s">
        <v>6332</v>
      </c>
    </row>
    <row r="1573" customFormat="false" ht="57.45" hidden="false" customHeight="false" outlineLevel="0" collapsed="false">
      <c r="A1573" s="13" t="s">
        <v>4</v>
      </c>
      <c r="B1573" s="13" t="s">
        <v>68</v>
      </c>
      <c r="C1573" s="13" t="n">
        <v>157</v>
      </c>
      <c r="D1573" s="13" t="s">
        <v>6337</v>
      </c>
      <c r="E1573" s="13" t="s">
        <v>6338</v>
      </c>
      <c r="F1573" s="13" t="s">
        <v>6339</v>
      </c>
      <c r="G1573" s="13" t="s">
        <v>6340</v>
      </c>
      <c r="H1573" s="13" t="s">
        <v>6341</v>
      </c>
      <c r="I1573" s="13" t="s">
        <v>82</v>
      </c>
      <c r="J1573" s="13" t="s">
        <v>5716</v>
      </c>
      <c r="K1573" s="13"/>
      <c r="L1573" s="13" t="s">
        <v>6342</v>
      </c>
      <c r="M1573" s="13" t="s">
        <v>6343</v>
      </c>
    </row>
    <row r="1574" customFormat="false" ht="35.05" hidden="false" customHeight="false" outlineLevel="0" collapsed="false">
      <c r="A1574" s="13" t="s">
        <v>4</v>
      </c>
      <c r="B1574" s="13" t="s">
        <v>68</v>
      </c>
      <c r="C1574" s="13" t="n">
        <v>157</v>
      </c>
      <c r="D1574" s="13" t="s">
        <v>6344</v>
      </c>
      <c r="E1574" s="13" t="s">
        <v>6345</v>
      </c>
      <c r="F1574" s="13" t="s">
        <v>299</v>
      </c>
      <c r="G1574" s="13" t="s">
        <v>6346</v>
      </c>
      <c r="H1574" s="13" t="s">
        <v>6347</v>
      </c>
      <c r="I1574" s="13" t="s">
        <v>82</v>
      </c>
      <c r="J1574" s="13" t="s">
        <v>5716</v>
      </c>
      <c r="K1574" s="13"/>
      <c r="L1574" s="13" t="s">
        <v>6348</v>
      </c>
      <c r="M1574" s="13" t="s">
        <v>6349</v>
      </c>
    </row>
    <row r="1575" customFormat="false" ht="23.85" hidden="false" customHeight="false" outlineLevel="0" collapsed="false">
      <c r="A1575" s="13" t="s">
        <v>4</v>
      </c>
      <c r="B1575" s="13" t="s">
        <v>68</v>
      </c>
      <c r="C1575" s="13" t="n">
        <v>157</v>
      </c>
      <c r="D1575" s="13" t="s">
        <v>6350</v>
      </c>
      <c r="E1575" s="13" t="s">
        <v>6351</v>
      </c>
      <c r="F1575" s="13" t="s">
        <v>299</v>
      </c>
      <c r="G1575" s="13" t="s">
        <v>6346</v>
      </c>
      <c r="H1575" s="13" t="s">
        <v>6347</v>
      </c>
      <c r="I1575" s="13" t="s">
        <v>82</v>
      </c>
      <c r="J1575" s="13" t="s">
        <v>5716</v>
      </c>
      <c r="K1575" s="13"/>
      <c r="L1575" s="13" t="s">
        <v>6352</v>
      </c>
      <c r="M1575" s="13" t="s">
        <v>6353</v>
      </c>
    </row>
    <row r="1576" customFormat="false" ht="23.85" hidden="false" customHeight="false" outlineLevel="0" collapsed="false">
      <c r="A1576" s="13" t="s">
        <v>4</v>
      </c>
      <c r="B1576" s="13" t="s">
        <v>68</v>
      </c>
      <c r="C1576" s="13" t="n">
        <v>157</v>
      </c>
      <c r="D1576" s="13" t="s">
        <v>6354</v>
      </c>
      <c r="E1576" s="13" t="s">
        <v>6355</v>
      </c>
      <c r="F1576" s="13" t="s">
        <v>299</v>
      </c>
      <c r="G1576" s="13" t="s">
        <v>6346</v>
      </c>
      <c r="H1576" s="13" t="s">
        <v>6347</v>
      </c>
      <c r="I1576" s="13" t="s">
        <v>82</v>
      </c>
      <c r="J1576" s="13" t="s">
        <v>5716</v>
      </c>
      <c r="K1576" s="13"/>
      <c r="L1576" s="13" t="s">
        <v>6356</v>
      </c>
      <c r="M1576" s="13" t="s">
        <v>6357</v>
      </c>
    </row>
    <row r="1577" customFormat="false" ht="23.85" hidden="false" customHeight="false" outlineLevel="0" collapsed="false">
      <c r="A1577" s="13" t="s">
        <v>4</v>
      </c>
      <c r="B1577" s="13" t="s">
        <v>68</v>
      </c>
      <c r="C1577" s="13" t="n">
        <v>157</v>
      </c>
      <c r="D1577" s="13" t="s">
        <v>6358</v>
      </c>
      <c r="E1577" s="13" t="s">
        <v>6359</v>
      </c>
      <c r="F1577" s="13" t="s">
        <v>299</v>
      </c>
      <c r="G1577" s="13" t="s">
        <v>6360</v>
      </c>
      <c r="H1577" s="13" t="s">
        <v>6361</v>
      </c>
      <c r="I1577" s="13" t="s">
        <v>82</v>
      </c>
      <c r="J1577" s="13" t="s">
        <v>5716</v>
      </c>
      <c r="K1577" s="13"/>
      <c r="L1577" s="13" t="s">
        <v>6362</v>
      </c>
      <c r="M1577" s="13" t="s">
        <v>6363</v>
      </c>
    </row>
    <row r="1578" customFormat="false" ht="23.85" hidden="false" customHeight="false" outlineLevel="0" collapsed="false">
      <c r="A1578" s="13" t="s">
        <v>4</v>
      </c>
      <c r="B1578" s="13" t="s">
        <v>68</v>
      </c>
      <c r="C1578" s="13" t="n">
        <v>157</v>
      </c>
      <c r="D1578" s="13" t="s">
        <v>6364</v>
      </c>
      <c r="E1578" s="13" t="s">
        <v>6365</v>
      </c>
      <c r="F1578" s="13" t="s">
        <v>437</v>
      </c>
      <c r="G1578" s="13" t="s">
        <v>3748</v>
      </c>
      <c r="H1578" s="13" t="s">
        <v>6366</v>
      </c>
      <c r="I1578" s="13" t="s">
        <v>82</v>
      </c>
      <c r="J1578" s="13" t="s">
        <v>5716</v>
      </c>
      <c r="K1578" s="13"/>
      <c r="L1578" s="13" t="s">
        <v>6367</v>
      </c>
      <c r="M1578" s="13" t="s">
        <v>6368</v>
      </c>
    </row>
    <row r="1579" customFormat="false" ht="247.75" hidden="false" customHeight="false" outlineLevel="0" collapsed="false">
      <c r="A1579" s="13" t="s">
        <v>4</v>
      </c>
      <c r="B1579" s="13" t="s">
        <v>68</v>
      </c>
      <c r="C1579" s="13" t="n">
        <v>157</v>
      </c>
      <c r="D1579" s="13" t="s">
        <v>6369</v>
      </c>
      <c r="E1579" s="13" t="s">
        <v>6370</v>
      </c>
      <c r="F1579" s="13" t="s">
        <v>437</v>
      </c>
      <c r="G1579" s="13" t="s">
        <v>6371</v>
      </c>
      <c r="H1579" s="13" t="s">
        <v>6372</v>
      </c>
      <c r="I1579" s="13" t="s">
        <v>82</v>
      </c>
      <c r="J1579" s="13" t="s">
        <v>5716</v>
      </c>
      <c r="K1579" s="13"/>
      <c r="L1579" s="13" t="s">
        <v>6373</v>
      </c>
      <c r="M1579" s="13" t="s">
        <v>6374</v>
      </c>
    </row>
    <row r="1580" customFormat="false" ht="247.75" hidden="false" customHeight="false" outlineLevel="0" collapsed="false">
      <c r="A1580" s="13" t="s">
        <v>4</v>
      </c>
      <c r="B1580" s="13" t="s">
        <v>68</v>
      </c>
      <c r="C1580" s="13" t="n">
        <v>157</v>
      </c>
      <c r="D1580" s="13" t="s">
        <v>6369</v>
      </c>
      <c r="E1580" s="13" t="s">
        <v>6375</v>
      </c>
      <c r="F1580" s="13" t="s">
        <v>299</v>
      </c>
      <c r="G1580" s="13" t="s">
        <v>6376</v>
      </c>
      <c r="H1580" s="13" t="s">
        <v>6377</v>
      </c>
      <c r="I1580" s="13" t="s">
        <v>82</v>
      </c>
      <c r="J1580" s="13" t="s">
        <v>5716</v>
      </c>
      <c r="K1580" s="13"/>
      <c r="L1580" s="13" t="s">
        <v>6373</v>
      </c>
      <c r="M1580" s="13" t="s">
        <v>6374</v>
      </c>
    </row>
    <row r="1581" customFormat="false" ht="247.75" hidden="false" customHeight="false" outlineLevel="0" collapsed="false">
      <c r="A1581" s="13" t="s">
        <v>4</v>
      </c>
      <c r="B1581" s="13" t="s">
        <v>68</v>
      </c>
      <c r="C1581" s="13" t="n">
        <v>157</v>
      </c>
      <c r="D1581" s="13" t="s">
        <v>6369</v>
      </c>
      <c r="E1581" s="13" t="s">
        <v>6378</v>
      </c>
      <c r="F1581" s="13" t="s">
        <v>299</v>
      </c>
      <c r="G1581" s="13" t="s">
        <v>6379</v>
      </c>
      <c r="H1581" s="13" t="s">
        <v>6380</v>
      </c>
      <c r="I1581" s="13" t="s">
        <v>82</v>
      </c>
      <c r="J1581" s="13" t="s">
        <v>5716</v>
      </c>
      <c r="K1581" s="13"/>
      <c r="L1581" s="13" t="s">
        <v>6373</v>
      </c>
      <c r="M1581" s="13" t="s">
        <v>6374</v>
      </c>
    </row>
    <row r="1582" customFormat="false" ht="247.75" hidden="false" customHeight="false" outlineLevel="0" collapsed="false">
      <c r="A1582" s="13" t="s">
        <v>4</v>
      </c>
      <c r="B1582" s="13" t="s">
        <v>68</v>
      </c>
      <c r="C1582" s="13" t="n">
        <v>157</v>
      </c>
      <c r="D1582" s="13" t="s">
        <v>6369</v>
      </c>
      <c r="E1582" s="13" t="s">
        <v>6381</v>
      </c>
      <c r="F1582" s="13" t="s">
        <v>299</v>
      </c>
      <c r="G1582" s="13" t="s">
        <v>6382</v>
      </c>
      <c r="H1582" s="13" t="s">
        <v>6380</v>
      </c>
      <c r="I1582" s="13" t="s">
        <v>82</v>
      </c>
      <c r="J1582" s="13" t="s">
        <v>5716</v>
      </c>
      <c r="K1582" s="13"/>
      <c r="L1582" s="13" t="s">
        <v>6373</v>
      </c>
      <c r="M1582" s="13" t="s">
        <v>6374</v>
      </c>
    </row>
    <row r="1583" customFormat="false" ht="247.75" hidden="false" customHeight="false" outlineLevel="0" collapsed="false">
      <c r="A1583" s="13" t="s">
        <v>4</v>
      </c>
      <c r="B1583" s="13" t="s">
        <v>68</v>
      </c>
      <c r="C1583" s="13" t="n">
        <v>157</v>
      </c>
      <c r="D1583" s="13" t="s">
        <v>6369</v>
      </c>
      <c r="E1583" s="13" t="s">
        <v>6383</v>
      </c>
      <c r="F1583" s="13" t="s">
        <v>299</v>
      </c>
      <c r="G1583" s="13" t="s">
        <v>6384</v>
      </c>
      <c r="H1583" s="13" t="s">
        <v>6385</v>
      </c>
      <c r="I1583" s="13" t="s">
        <v>82</v>
      </c>
      <c r="J1583" s="13" t="s">
        <v>5716</v>
      </c>
      <c r="K1583" s="13"/>
      <c r="L1583" s="13" t="s">
        <v>6373</v>
      </c>
      <c r="M1583" s="13" t="s">
        <v>6374</v>
      </c>
    </row>
    <row r="1584" customFormat="false" ht="23.85" hidden="false" customHeight="false" outlineLevel="0" collapsed="false">
      <c r="A1584" s="13" t="s">
        <v>4</v>
      </c>
      <c r="B1584" s="13" t="s">
        <v>68</v>
      </c>
      <c r="C1584" s="13" t="n">
        <v>157</v>
      </c>
      <c r="D1584" s="13" t="s">
        <v>6386</v>
      </c>
      <c r="E1584" s="13" t="s">
        <v>6387</v>
      </c>
      <c r="F1584" s="13" t="s">
        <v>6388</v>
      </c>
      <c r="G1584" s="13" t="s">
        <v>5484</v>
      </c>
      <c r="H1584" s="13" t="s">
        <v>6330</v>
      </c>
      <c r="I1584" s="13" t="s">
        <v>82</v>
      </c>
      <c r="J1584" s="13" t="s">
        <v>5716</v>
      </c>
      <c r="K1584" s="13"/>
      <c r="L1584" s="13" t="s">
        <v>6389</v>
      </c>
      <c r="M1584" s="13" t="s">
        <v>6390</v>
      </c>
    </row>
    <row r="1585" customFormat="false" ht="23.85" hidden="false" customHeight="false" outlineLevel="0" collapsed="false">
      <c r="A1585" s="13" t="s">
        <v>4</v>
      </c>
      <c r="B1585" s="13" t="s">
        <v>68</v>
      </c>
      <c r="C1585" s="13" t="n">
        <v>165</v>
      </c>
      <c r="D1585" s="13" t="s">
        <v>6391</v>
      </c>
      <c r="E1585" s="13" t="s">
        <v>6392</v>
      </c>
      <c r="F1585" s="13" t="s">
        <v>6393</v>
      </c>
      <c r="G1585" s="13" t="s">
        <v>6394</v>
      </c>
      <c r="H1585" s="13" t="s">
        <v>173</v>
      </c>
      <c r="I1585" s="13" t="s">
        <v>82</v>
      </c>
      <c r="J1585" s="13" t="s">
        <v>5716</v>
      </c>
      <c r="K1585" s="13"/>
      <c r="L1585" s="13" t="s">
        <v>6395</v>
      </c>
      <c r="M1585" s="13" t="s">
        <v>6396</v>
      </c>
    </row>
    <row r="1586" customFormat="false" ht="23.85" hidden="false" customHeight="false" outlineLevel="0" collapsed="false">
      <c r="A1586" s="13" t="s">
        <v>4</v>
      </c>
      <c r="B1586" s="13" t="s">
        <v>68</v>
      </c>
      <c r="C1586" s="13" t="n">
        <v>165</v>
      </c>
      <c r="D1586" s="13" t="s">
        <v>6391</v>
      </c>
      <c r="E1586" s="13" t="s">
        <v>6397</v>
      </c>
      <c r="F1586" s="13" t="s">
        <v>6393</v>
      </c>
      <c r="G1586" s="13" t="s">
        <v>6398</v>
      </c>
      <c r="H1586" s="13" t="s">
        <v>6399</v>
      </c>
      <c r="I1586" s="13" t="s">
        <v>82</v>
      </c>
      <c r="J1586" s="13" t="s">
        <v>5716</v>
      </c>
      <c r="K1586" s="13"/>
      <c r="L1586" s="13" t="s">
        <v>6395</v>
      </c>
      <c r="M1586" s="13" t="s">
        <v>6396</v>
      </c>
    </row>
    <row r="1587" customFormat="false" ht="281.3" hidden="false" customHeight="false" outlineLevel="0" collapsed="false">
      <c r="A1587" s="13" t="s">
        <v>4</v>
      </c>
      <c r="B1587" s="13" t="s">
        <v>68</v>
      </c>
      <c r="C1587" s="13" t="n">
        <v>165</v>
      </c>
      <c r="D1587" s="13" t="s">
        <v>6400</v>
      </c>
      <c r="E1587" s="13" t="s">
        <v>6401</v>
      </c>
      <c r="F1587" s="13" t="s">
        <v>173</v>
      </c>
      <c r="G1587" s="13" t="s">
        <v>4227</v>
      </c>
      <c r="H1587" s="13" t="s">
        <v>6393</v>
      </c>
      <c r="I1587" s="13" t="s">
        <v>82</v>
      </c>
      <c r="J1587" s="13" t="s">
        <v>5716</v>
      </c>
      <c r="K1587" s="13"/>
      <c r="L1587" s="13" t="s">
        <v>6402</v>
      </c>
      <c r="M1587" s="13" t="s">
        <v>6403</v>
      </c>
    </row>
    <row r="1588" customFormat="false" ht="281.3" hidden="false" customHeight="false" outlineLevel="0" collapsed="false">
      <c r="A1588" s="13" t="s">
        <v>4</v>
      </c>
      <c r="B1588" s="13" t="s">
        <v>68</v>
      </c>
      <c r="C1588" s="13" t="n">
        <v>165</v>
      </c>
      <c r="D1588" s="13" t="s">
        <v>6400</v>
      </c>
      <c r="E1588" s="13" t="s">
        <v>6404</v>
      </c>
      <c r="F1588" s="13" t="s">
        <v>6393</v>
      </c>
      <c r="G1588" s="13" t="s">
        <v>6405</v>
      </c>
      <c r="H1588" s="13" t="s">
        <v>173</v>
      </c>
      <c r="I1588" s="13" t="s">
        <v>82</v>
      </c>
      <c r="J1588" s="13" t="s">
        <v>5716</v>
      </c>
      <c r="K1588" s="13"/>
      <c r="L1588" s="13" t="s">
        <v>6402</v>
      </c>
      <c r="M1588" s="13" t="s">
        <v>6403</v>
      </c>
    </row>
    <row r="1589" customFormat="false" ht="281.3" hidden="false" customHeight="false" outlineLevel="0" collapsed="false">
      <c r="A1589" s="13" t="s">
        <v>4</v>
      </c>
      <c r="B1589" s="13" t="s">
        <v>68</v>
      </c>
      <c r="C1589" s="13" t="n">
        <v>165</v>
      </c>
      <c r="D1589" s="13" t="s">
        <v>6400</v>
      </c>
      <c r="E1589" s="13" t="s">
        <v>6406</v>
      </c>
      <c r="F1589" s="13" t="s">
        <v>6393</v>
      </c>
      <c r="G1589" s="13" t="s">
        <v>6407</v>
      </c>
      <c r="H1589" s="13" t="s">
        <v>6223</v>
      </c>
      <c r="I1589" s="13" t="s">
        <v>82</v>
      </c>
      <c r="J1589" s="13" t="s">
        <v>5716</v>
      </c>
      <c r="K1589" s="13"/>
      <c r="L1589" s="13" t="s">
        <v>6402</v>
      </c>
      <c r="M1589" s="13" t="s">
        <v>6403</v>
      </c>
    </row>
    <row r="1590" customFormat="false" ht="281.3" hidden="false" customHeight="false" outlineLevel="0" collapsed="false">
      <c r="A1590" s="13" t="s">
        <v>4</v>
      </c>
      <c r="B1590" s="13" t="s">
        <v>68</v>
      </c>
      <c r="C1590" s="13" t="n">
        <v>165</v>
      </c>
      <c r="D1590" s="13" t="s">
        <v>6400</v>
      </c>
      <c r="E1590" s="13" t="s">
        <v>6408</v>
      </c>
      <c r="F1590" s="13" t="s">
        <v>173</v>
      </c>
      <c r="G1590" s="13" t="s">
        <v>6409</v>
      </c>
      <c r="H1590" s="13" t="s">
        <v>6393</v>
      </c>
      <c r="I1590" s="13" t="s">
        <v>82</v>
      </c>
      <c r="J1590" s="13" t="s">
        <v>5716</v>
      </c>
      <c r="K1590" s="13"/>
      <c r="L1590" s="13" t="s">
        <v>6402</v>
      </c>
      <c r="M1590" s="13" t="s">
        <v>6403</v>
      </c>
    </row>
    <row r="1591" customFormat="false" ht="281.3" hidden="false" customHeight="false" outlineLevel="0" collapsed="false">
      <c r="A1591" s="13" t="s">
        <v>4</v>
      </c>
      <c r="B1591" s="13" t="s">
        <v>68</v>
      </c>
      <c r="C1591" s="13" t="n">
        <v>165</v>
      </c>
      <c r="D1591" s="13" t="s">
        <v>6400</v>
      </c>
      <c r="E1591" s="13" t="s">
        <v>6410</v>
      </c>
      <c r="F1591" s="13" t="s">
        <v>6223</v>
      </c>
      <c r="G1591" s="13" t="s">
        <v>6411</v>
      </c>
      <c r="H1591" s="13" t="s">
        <v>6412</v>
      </c>
      <c r="I1591" s="13" t="s">
        <v>82</v>
      </c>
      <c r="J1591" s="13" t="s">
        <v>5716</v>
      </c>
      <c r="K1591" s="13"/>
      <c r="L1591" s="13" t="s">
        <v>6402</v>
      </c>
      <c r="M1591" s="13" t="s">
        <v>6403</v>
      </c>
    </row>
    <row r="1592" customFormat="false" ht="23.85" hidden="false" customHeight="false" outlineLevel="0" collapsed="false">
      <c r="A1592" s="13" t="s">
        <v>4</v>
      </c>
      <c r="B1592" s="13" t="s">
        <v>68</v>
      </c>
      <c r="C1592" s="13" t="n">
        <v>165</v>
      </c>
      <c r="D1592" s="13" t="s">
        <v>6413</v>
      </c>
      <c r="E1592" s="13" t="s">
        <v>6414</v>
      </c>
      <c r="F1592" s="13" t="s">
        <v>173</v>
      </c>
      <c r="G1592" s="13" t="s">
        <v>6415</v>
      </c>
      <c r="H1592" s="13" t="s">
        <v>6223</v>
      </c>
      <c r="I1592" s="13" t="s">
        <v>82</v>
      </c>
      <c r="J1592" s="13" t="s">
        <v>5716</v>
      </c>
      <c r="K1592" s="13"/>
      <c r="L1592" s="13" t="s">
        <v>6416</v>
      </c>
      <c r="M1592" s="13" t="s">
        <v>6417</v>
      </c>
    </row>
    <row r="1593" customFormat="false" ht="57.45" hidden="false" customHeight="false" outlineLevel="0" collapsed="false">
      <c r="A1593" s="13" t="s">
        <v>4</v>
      </c>
      <c r="B1593" s="13" t="s">
        <v>68</v>
      </c>
      <c r="C1593" s="13" t="n">
        <v>165</v>
      </c>
      <c r="D1593" s="13" t="s">
        <v>6418</v>
      </c>
      <c r="E1593" s="13" t="s">
        <v>6419</v>
      </c>
      <c r="F1593" s="13" t="s">
        <v>173</v>
      </c>
      <c r="G1593" s="13" t="s">
        <v>6420</v>
      </c>
      <c r="H1593" s="13" t="s">
        <v>6393</v>
      </c>
      <c r="I1593" s="13" t="s">
        <v>82</v>
      </c>
      <c r="J1593" s="13" t="s">
        <v>5716</v>
      </c>
      <c r="K1593" s="13"/>
      <c r="L1593" s="13" t="s">
        <v>6421</v>
      </c>
      <c r="M1593" s="13" t="s">
        <v>6422</v>
      </c>
    </row>
    <row r="1594" customFormat="false" ht="57.45" hidden="false" customHeight="false" outlineLevel="0" collapsed="false">
      <c r="A1594" s="13" t="s">
        <v>4</v>
      </c>
      <c r="B1594" s="13" t="s">
        <v>68</v>
      </c>
      <c r="C1594" s="13" t="n">
        <v>165</v>
      </c>
      <c r="D1594" s="13" t="s">
        <v>6418</v>
      </c>
      <c r="E1594" s="13" t="s">
        <v>6423</v>
      </c>
      <c r="F1594" s="13" t="s">
        <v>173</v>
      </c>
      <c r="G1594" s="13" t="s">
        <v>6424</v>
      </c>
      <c r="H1594" s="13" t="s">
        <v>6223</v>
      </c>
      <c r="I1594" s="13" t="s">
        <v>82</v>
      </c>
      <c r="J1594" s="13" t="s">
        <v>5716</v>
      </c>
      <c r="K1594" s="13"/>
      <c r="L1594" s="13" t="s">
        <v>6421</v>
      </c>
      <c r="M1594" s="13" t="s">
        <v>6422</v>
      </c>
    </row>
    <row r="1595" customFormat="false" ht="23.85" hidden="false" customHeight="false" outlineLevel="0" collapsed="false">
      <c r="A1595" s="13" t="s">
        <v>4</v>
      </c>
      <c r="B1595" s="13" t="s">
        <v>68</v>
      </c>
      <c r="C1595" s="13" t="n">
        <v>165</v>
      </c>
      <c r="D1595" s="13" t="s">
        <v>6425</v>
      </c>
      <c r="E1595" s="13" t="s">
        <v>6426</v>
      </c>
      <c r="F1595" s="13" t="s">
        <v>173</v>
      </c>
      <c r="G1595" s="13" t="s">
        <v>1556</v>
      </c>
      <c r="H1595" s="13" t="s">
        <v>6393</v>
      </c>
      <c r="I1595" s="13" t="s">
        <v>82</v>
      </c>
      <c r="J1595" s="13" t="s">
        <v>5716</v>
      </c>
      <c r="K1595" s="13"/>
      <c r="L1595" s="13" t="s">
        <v>6427</v>
      </c>
      <c r="M1595" s="13" t="s">
        <v>6428</v>
      </c>
    </row>
    <row r="1596" customFormat="false" ht="23.85" hidden="false" customHeight="false" outlineLevel="0" collapsed="false">
      <c r="A1596" s="13" t="s">
        <v>4</v>
      </c>
      <c r="B1596" s="13" t="s">
        <v>68</v>
      </c>
      <c r="C1596" s="13" t="n">
        <v>165</v>
      </c>
      <c r="D1596" s="13" t="s">
        <v>6425</v>
      </c>
      <c r="E1596" s="13" t="s">
        <v>6429</v>
      </c>
      <c r="F1596" s="13" t="s">
        <v>6393</v>
      </c>
      <c r="G1596" s="13" t="s">
        <v>1759</v>
      </c>
      <c r="H1596" s="13" t="s">
        <v>437</v>
      </c>
      <c r="I1596" s="13" t="s">
        <v>82</v>
      </c>
      <c r="J1596" s="13" t="s">
        <v>5716</v>
      </c>
      <c r="K1596" s="13"/>
      <c r="L1596" s="13" t="s">
        <v>6427</v>
      </c>
      <c r="M1596" s="13" t="s">
        <v>6428</v>
      </c>
    </row>
    <row r="1597" customFormat="false" ht="35.05" hidden="false" customHeight="false" outlineLevel="0" collapsed="false">
      <c r="A1597" s="13" t="s">
        <v>4</v>
      </c>
      <c r="B1597" s="13" t="s">
        <v>68</v>
      </c>
      <c r="C1597" s="13" t="n">
        <v>165</v>
      </c>
      <c r="D1597" s="13" t="s">
        <v>6425</v>
      </c>
      <c r="E1597" s="13" t="s">
        <v>6430</v>
      </c>
      <c r="F1597" s="13" t="s">
        <v>173</v>
      </c>
      <c r="G1597" s="13" t="s">
        <v>6431</v>
      </c>
      <c r="H1597" s="13" t="s">
        <v>6399</v>
      </c>
      <c r="I1597" s="13" t="s">
        <v>114</v>
      </c>
      <c r="J1597" s="13" t="s">
        <v>6432</v>
      </c>
      <c r="K1597" s="13" t="s">
        <v>6433</v>
      </c>
      <c r="L1597" s="13" t="s">
        <v>6427</v>
      </c>
      <c r="M1597" s="13" t="s">
        <v>6428</v>
      </c>
    </row>
    <row r="1598" customFormat="false" ht="102.2" hidden="false" customHeight="false" outlineLevel="0" collapsed="false">
      <c r="A1598" s="13" t="s">
        <v>4</v>
      </c>
      <c r="B1598" s="13" t="s">
        <v>68</v>
      </c>
      <c r="C1598" s="13" t="n">
        <v>213</v>
      </c>
      <c r="D1598" s="13" t="s">
        <v>6434</v>
      </c>
      <c r="E1598" s="13" t="s">
        <v>6435</v>
      </c>
      <c r="F1598" s="13" t="s">
        <v>6436</v>
      </c>
      <c r="G1598" s="13" t="s">
        <v>6437</v>
      </c>
      <c r="H1598" s="13" t="s">
        <v>6438</v>
      </c>
      <c r="I1598" s="13" t="s">
        <v>82</v>
      </c>
      <c r="J1598" s="13" t="s">
        <v>5716</v>
      </c>
      <c r="K1598" s="13"/>
      <c r="L1598" s="13" t="s">
        <v>6439</v>
      </c>
      <c r="M1598" s="13" t="s">
        <v>6440</v>
      </c>
    </row>
    <row r="1599" customFormat="false" ht="102.2" hidden="false" customHeight="false" outlineLevel="0" collapsed="false">
      <c r="A1599" s="13" t="s">
        <v>4</v>
      </c>
      <c r="B1599" s="13" t="s">
        <v>68</v>
      </c>
      <c r="C1599" s="13" t="n">
        <v>213</v>
      </c>
      <c r="D1599" s="13" t="s">
        <v>6434</v>
      </c>
      <c r="E1599" s="13" t="s">
        <v>6441</v>
      </c>
      <c r="F1599" s="13" t="s">
        <v>6436</v>
      </c>
      <c r="G1599" s="13" t="s">
        <v>6442</v>
      </c>
      <c r="H1599" s="13" t="s">
        <v>6443</v>
      </c>
      <c r="I1599" s="13" t="s">
        <v>82</v>
      </c>
      <c r="J1599" s="13" t="s">
        <v>5716</v>
      </c>
      <c r="K1599" s="13"/>
      <c r="L1599" s="13" t="s">
        <v>6439</v>
      </c>
      <c r="M1599" s="13" t="s">
        <v>6440</v>
      </c>
    </row>
    <row r="1600" customFormat="false" ht="46.25" hidden="false" customHeight="false" outlineLevel="0" collapsed="false">
      <c r="A1600" s="13" t="s">
        <v>4</v>
      </c>
      <c r="B1600" s="13" t="s">
        <v>68</v>
      </c>
      <c r="C1600" s="13" t="n">
        <v>213</v>
      </c>
      <c r="D1600" s="13" t="s">
        <v>6444</v>
      </c>
      <c r="E1600" s="13" t="s">
        <v>6445</v>
      </c>
      <c r="F1600" s="13" t="s">
        <v>299</v>
      </c>
      <c r="G1600" s="13" t="s">
        <v>6446</v>
      </c>
      <c r="H1600" s="13" t="s">
        <v>6447</v>
      </c>
      <c r="I1600" s="13" t="s">
        <v>82</v>
      </c>
      <c r="J1600" s="13" t="s">
        <v>5716</v>
      </c>
      <c r="K1600" s="13"/>
      <c r="L1600" s="13" t="s">
        <v>6448</v>
      </c>
      <c r="M1600" s="13" t="s">
        <v>6449</v>
      </c>
    </row>
    <row r="1601" customFormat="false" ht="57.45" hidden="false" customHeight="false" outlineLevel="0" collapsed="false">
      <c r="A1601" s="13" t="s">
        <v>4</v>
      </c>
      <c r="B1601" s="13" t="s">
        <v>68</v>
      </c>
      <c r="C1601" s="13" t="n">
        <v>213</v>
      </c>
      <c r="D1601" s="13" t="s">
        <v>6450</v>
      </c>
      <c r="E1601" s="13" t="s">
        <v>6451</v>
      </c>
      <c r="F1601" s="13" t="s">
        <v>299</v>
      </c>
      <c r="G1601" s="13" t="s">
        <v>6452</v>
      </c>
      <c r="H1601" s="13" t="s">
        <v>6453</v>
      </c>
      <c r="I1601" s="13" t="s">
        <v>82</v>
      </c>
      <c r="J1601" s="13" t="s">
        <v>5716</v>
      </c>
      <c r="K1601" s="13"/>
      <c r="L1601" s="13" t="s">
        <v>6454</v>
      </c>
      <c r="M1601" s="13" t="s">
        <v>6455</v>
      </c>
    </row>
    <row r="1602" customFormat="false" ht="57.45" hidden="false" customHeight="false" outlineLevel="0" collapsed="false">
      <c r="A1602" s="13" t="s">
        <v>4</v>
      </c>
      <c r="B1602" s="13" t="s">
        <v>68</v>
      </c>
      <c r="C1602" s="13" t="n">
        <v>213</v>
      </c>
      <c r="D1602" s="13" t="s">
        <v>6450</v>
      </c>
      <c r="E1602" s="13" t="s">
        <v>6456</v>
      </c>
      <c r="F1602" s="13" t="s">
        <v>6457</v>
      </c>
      <c r="G1602" s="13" t="s">
        <v>6458</v>
      </c>
      <c r="H1602" s="13" t="s">
        <v>221</v>
      </c>
      <c r="I1602" s="13" t="s">
        <v>82</v>
      </c>
      <c r="J1602" s="13" t="s">
        <v>5716</v>
      </c>
      <c r="K1602" s="13"/>
      <c r="L1602" s="13" t="s">
        <v>6454</v>
      </c>
      <c r="M1602" s="13" t="s">
        <v>6455</v>
      </c>
    </row>
    <row r="1603" customFormat="false" ht="214.15" hidden="false" customHeight="false" outlineLevel="0" collapsed="false">
      <c r="A1603" s="13" t="s">
        <v>4</v>
      </c>
      <c r="B1603" s="13" t="s">
        <v>68</v>
      </c>
      <c r="C1603" s="13" t="n">
        <v>213</v>
      </c>
      <c r="D1603" s="13" t="s">
        <v>6459</v>
      </c>
      <c r="E1603" s="13" t="s">
        <v>6460</v>
      </c>
      <c r="F1603" s="13" t="s">
        <v>806</v>
      </c>
      <c r="G1603" s="13" t="s">
        <v>220</v>
      </c>
      <c r="H1603" s="13" t="s">
        <v>6461</v>
      </c>
      <c r="I1603" s="13" t="s">
        <v>82</v>
      </c>
      <c r="J1603" s="13" t="s">
        <v>5716</v>
      </c>
      <c r="K1603" s="13"/>
      <c r="L1603" s="13" t="s">
        <v>6462</v>
      </c>
      <c r="M1603" s="13" t="s">
        <v>6463</v>
      </c>
    </row>
    <row r="1604" customFormat="false" ht="214.15" hidden="false" customHeight="false" outlineLevel="0" collapsed="false">
      <c r="A1604" s="13" t="s">
        <v>4</v>
      </c>
      <c r="B1604" s="13" t="s">
        <v>68</v>
      </c>
      <c r="C1604" s="13" t="n">
        <v>213</v>
      </c>
      <c r="D1604" s="13" t="s">
        <v>6459</v>
      </c>
      <c r="E1604" s="13" t="s">
        <v>6464</v>
      </c>
      <c r="F1604" s="13" t="s">
        <v>806</v>
      </c>
      <c r="G1604" s="13" t="s">
        <v>6465</v>
      </c>
      <c r="H1604" s="13" t="s">
        <v>6466</v>
      </c>
      <c r="I1604" s="13" t="s">
        <v>82</v>
      </c>
      <c r="J1604" s="13" t="s">
        <v>5716</v>
      </c>
      <c r="K1604" s="13"/>
      <c r="L1604" s="13" t="s">
        <v>6462</v>
      </c>
      <c r="M1604" s="13" t="s">
        <v>6463</v>
      </c>
    </row>
    <row r="1605" customFormat="false" ht="214.15" hidden="false" customHeight="false" outlineLevel="0" collapsed="false">
      <c r="A1605" s="13" t="s">
        <v>4</v>
      </c>
      <c r="B1605" s="13" t="s">
        <v>68</v>
      </c>
      <c r="C1605" s="13" t="n">
        <v>213</v>
      </c>
      <c r="D1605" s="13" t="s">
        <v>6459</v>
      </c>
      <c r="E1605" s="13" t="s">
        <v>6467</v>
      </c>
      <c r="F1605" s="13" t="s">
        <v>806</v>
      </c>
      <c r="G1605" s="13" t="s">
        <v>736</v>
      </c>
      <c r="H1605" s="13" t="s">
        <v>6468</v>
      </c>
      <c r="I1605" s="13" t="s">
        <v>82</v>
      </c>
      <c r="J1605" s="13" t="s">
        <v>5716</v>
      </c>
      <c r="K1605" s="13"/>
      <c r="L1605" s="13" t="s">
        <v>6462</v>
      </c>
      <c r="M1605" s="13" t="s">
        <v>6463</v>
      </c>
    </row>
    <row r="1606" customFormat="false" ht="214.15" hidden="false" customHeight="false" outlineLevel="0" collapsed="false">
      <c r="A1606" s="13" t="s">
        <v>4</v>
      </c>
      <c r="B1606" s="13" t="s">
        <v>68</v>
      </c>
      <c r="C1606" s="13" t="n">
        <v>213</v>
      </c>
      <c r="D1606" s="13" t="s">
        <v>6459</v>
      </c>
      <c r="E1606" s="13" t="s">
        <v>6469</v>
      </c>
      <c r="F1606" s="13" t="s">
        <v>806</v>
      </c>
      <c r="G1606" s="13" t="s">
        <v>6470</v>
      </c>
      <c r="H1606" s="13" t="s">
        <v>6471</v>
      </c>
      <c r="I1606" s="13" t="s">
        <v>82</v>
      </c>
      <c r="J1606" s="13" t="s">
        <v>5716</v>
      </c>
      <c r="K1606" s="13"/>
      <c r="L1606" s="13" t="s">
        <v>6462</v>
      </c>
      <c r="M1606" s="13" t="s">
        <v>6463</v>
      </c>
    </row>
    <row r="1607" customFormat="false" ht="214.15" hidden="false" customHeight="false" outlineLevel="0" collapsed="false">
      <c r="A1607" s="13" t="s">
        <v>4</v>
      </c>
      <c r="B1607" s="13" t="s">
        <v>68</v>
      </c>
      <c r="C1607" s="13" t="n">
        <v>213</v>
      </c>
      <c r="D1607" s="13" t="s">
        <v>6459</v>
      </c>
      <c r="E1607" s="13" t="s">
        <v>6472</v>
      </c>
      <c r="F1607" s="13" t="s">
        <v>806</v>
      </c>
      <c r="G1607" s="13" t="s">
        <v>6473</v>
      </c>
      <c r="H1607" s="13" t="s">
        <v>6474</v>
      </c>
      <c r="I1607" s="13" t="s">
        <v>82</v>
      </c>
      <c r="J1607" s="13" t="s">
        <v>5716</v>
      </c>
      <c r="K1607" s="13"/>
      <c r="L1607" s="13" t="s">
        <v>6462</v>
      </c>
      <c r="M1607" s="13" t="s">
        <v>6463</v>
      </c>
    </row>
    <row r="1608" customFormat="false" ht="79.85" hidden="false" customHeight="false" outlineLevel="0" collapsed="false">
      <c r="A1608" s="13" t="s">
        <v>4</v>
      </c>
      <c r="B1608" s="13" t="s">
        <v>68</v>
      </c>
      <c r="C1608" s="13" t="n">
        <v>258</v>
      </c>
      <c r="D1608" s="13" t="s">
        <v>6475</v>
      </c>
      <c r="E1608" s="13" t="s">
        <v>6476</v>
      </c>
      <c r="F1608" s="13" t="s">
        <v>806</v>
      </c>
      <c r="G1608" s="13" t="s">
        <v>6477</v>
      </c>
      <c r="H1608" s="13" t="s">
        <v>173</v>
      </c>
      <c r="I1608" s="13" t="s">
        <v>82</v>
      </c>
      <c r="J1608" s="13" t="s">
        <v>5716</v>
      </c>
      <c r="K1608" s="13"/>
      <c r="L1608" s="13" t="s">
        <v>6478</v>
      </c>
      <c r="M1608" s="13" t="s">
        <v>6479</v>
      </c>
    </row>
    <row r="1609" customFormat="false" ht="79.85" hidden="false" customHeight="false" outlineLevel="0" collapsed="false">
      <c r="A1609" s="13" t="s">
        <v>4</v>
      </c>
      <c r="B1609" s="13" t="s">
        <v>68</v>
      </c>
      <c r="C1609" s="13" t="n">
        <v>258</v>
      </c>
      <c r="D1609" s="13" t="s">
        <v>6475</v>
      </c>
      <c r="E1609" s="13" t="s">
        <v>6480</v>
      </c>
      <c r="F1609" s="13" t="s">
        <v>173</v>
      </c>
      <c r="G1609" s="13" t="s">
        <v>6481</v>
      </c>
      <c r="H1609" s="13" t="s">
        <v>6482</v>
      </c>
      <c r="I1609" s="13" t="s">
        <v>82</v>
      </c>
      <c r="J1609" s="13" t="s">
        <v>5716</v>
      </c>
      <c r="K1609" s="13"/>
      <c r="L1609" s="13" t="s">
        <v>6478</v>
      </c>
      <c r="M1609" s="13" t="s">
        <v>6479</v>
      </c>
    </row>
    <row r="1610" customFormat="false" ht="79.85" hidden="false" customHeight="false" outlineLevel="0" collapsed="false">
      <c r="A1610" s="13" t="s">
        <v>4</v>
      </c>
      <c r="B1610" s="13" t="s">
        <v>68</v>
      </c>
      <c r="C1610" s="13" t="n">
        <v>258</v>
      </c>
      <c r="D1610" s="13" t="s">
        <v>6475</v>
      </c>
      <c r="E1610" s="13" t="s">
        <v>6483</v>
      </c>
      <c r="F1610" s="13" t="s">
        <v>806</v>
      </c>
      <c r="G1610" s="13" t="s">
        <v>6484</v>
      </c>
      <c r="H1610" s="13" t="s">
        <v>6485</v>
      </c>
      <c r="I1610" s="13" t="s">
        <v>82</v>
      </c>
      <c r="J1610" s="13" t="s">
        <v>5716</v>
      </c>
      <c r="K1610" s="13"/>
      <c r="L1610" s="13" t="s">
        <v>6478</v>
      </c>
      <c r="M1610" s="13" t="s">
        <v>6479</v>
      </c>
    </row>
    <row r="1611" customFormat="false" ht="79.85" hidden="false" customHeight="false" outlineLevel="0" collapsed="false">
      <c r="A1611" s="13" t="s">
        <v>4</v>
      </c>
      <c r="B1611" s="13" t="s">
        <v>68</v>
      </c>
      <c r="C1611" s="13" t="n">
        <v>258</v>
      </c>
      <c r="D1611" s="13" t="s">
        <v>6475</v>
      </c>
      <c r="E1611" s="13" t="s">
        <v>6486</v>
      </c>
      <c r="F1611" s="13" t="s">
        <v>806</v>
      </c>
      <c r="G1611" s="13" t="s">
        <v>6487</v>
      </c>
      <c r="H1611" s="13" t="s">
        <v>966</v>
      </c>
      <c r="I1611" s="13" t="s">
        <v>82</v>
      </c>
      <c r="J1611" s="13" t="s">
        <v>5716</v>
      </c>
      <c r="K1611" s="13"/>
      <c r="L1611" s="13" t="s">
        <v>6478</v>
      </c>
      <c r="M1611" s="13" t="s">
        <v>6479</v>
      </c>
    </row>
    <row r="1612" customFormat="false" ht="68.65" hidden="false" customHeight="false" outlineLevel="0" collapsed="false">
      <c r="A1612" s="13" t="s">
        <v>4</v>
      </c>
      <c r="B1612" s="13" t="s">
        <v>68</v>
      </c>
      <c r="C1612" s="13" t="n">
        <v>258</v>
      </c>
      <c r="D1612" s="13" t="s">
        <v>6488</v>
      </c>
      <c r="E1612" s="13" t="s">
        <v>6489</v>
      </c>
      <c r="F1612" s="13" t="s">
        <v>173</v>
      </c>
      <c r="G1612" s="13" t="s">
        <v>6490</v>
      </c>
      <c r="H1612" s="13" t="s">
        <v>6491</v>
      </c>
      <c r="I1612" s="13" t="s">
        <v>82</v>
      </c>
      <c r="J1612" s="13" t="s">
        <v>5716</v>
      </c>
      <c r="K1612" s="13"/>
      <c r="L1612" s="13" t="s">
        <v>6492</v>
      </c>
      <c r="M1612" s="13" t="s">
        <v>6493</v>
      </c>
    </row>
    <row r="1613" customFormat="false" ht="35.05" hidden="false" customHeight="false" outlineLevel="0" collapsed="false">
      <c r="A1613" s="13" t="s">
        <v>4</v>
      </c>
      <c r="B1613" s="13" t="s">
        <v>68</v>
      </c>
      <c r="C1613" s="13" t="n">
        <v>258</v>
      </c>
      <c r="D1613" s="13" t="s">
        <v>6494</v>
      </c>
      <c r="E1613" s="13" t="s">
        <v>6495</v>
      </c>
      <c r="F1613" s="13" t="s">
        <v>173</v>
      </c>
      <c r="G1613" s="13" t="s">
        <v>6496</v>
      </c>
      <c r="H1613" s="13" t="s">
        <v>6497</v>
      </c>
      <c r="I1613" s="13" t="s">
        <v>82</v>
      </c>
      <c r="J1613" s="13" t="s">
        <v>5716</v>
      </c>
      <c r="K1613" s="13"/>
      <c r="L1613" s="13" t="s">
        <v>6498</v>
      </c>
      <c r="M1613" s="13" t="s">
        <v>6499</v>
      </c>
    </row>
    <row r="1614" customFormat="false" ht="79.85" hidden="false" customHeight="false" outlineLevel="0" collapsed="false">
      <c r="A1614" s="13" t="s">
        <v>4</v>
      </c>
      <c r="B1614" s="13" t="s">
        <v>68</v>
      </c>
      <c r="C1614" s="13" t="n">
        <v>258</v>
      </c>
      <c r="D1614" s="13" t="s">
        <v>6500</v>
      </c>
      <c r="E1614" s="13" t="s">
        <v>6501</v>
      </c>
      <c r="F1614" s="13" t="s">
        <v>6502</v>
      </c>
      <c r="G1614" s="13" t="s">
        <v>6503</v>
      </c>
      <c r="H1614" s="13" t="s">
        <v>6504</v>
      </c>
      <c r="I1614" s="13" t="s">
        <v>82</v>
      </c>
      <c r="J1614" s="13" t="s">
        <v>5716</v>
      </c>
      <c r="K1614" s="13"/>
      <c r="L1614" s="13" t="s">
        <v>6505</v>
      </c>
      <c r="M1614" s="13" t="s">
        <v>6506</v>
      </c>
    </row>
    <row r="1615" customFormat="false" ht="79.85" hidden="false" customHeight="false" outlineLevel="0" collapsed="false">
      <c r="A1615" s="13" t="s">
        <v>4</v>
      </c>
      <c r="B1615" s="13" t="s">
        <v>68</v>
      </c>
      <c r="C1615" s="13" t="n">
        <v>258</v>
      </c>
      <c r="D1615" s="13" t="s">
        <v>6500</v>
      </c>
      <c r="E1615" s="13" t="s">
        <v>6507</v>
      </c>
      <c r="F1615" s="13" t="s">
        <v>5856</v>
      </c>
      <c r="G1615" s="13" t="s">
        <v>6508</v>
      </c>
      <c r="H1615" s="13" t="s">
        <v>6509</v>
      </c>
      <c r="I1615" s="13" t="s">
        <v>82</v>
      </c>
      <c r="J1615" s="13" t="s">
        <v>5716</v>
      </c>
      <c r="K1615" s="13"/>
      <c r="L1615" s="13" t="s">
        <v>6505</v>
      </c>
      <c r="M1615" s="13" t="s">
        <v>6506</v>
      </c>
    </row>
    <row r="1616" customFormat="false" ht="79.85" hidden="false" customHeight="false" outlineLevel="0" collapsed="false">
      <c r="A1616" s="13" t="s">
        <v>4</v>
      </c>
      <c r="B1616" s="13" t="s">
        <v>68</v>
      </c>
      <c r="C1616" s="13" t="n">
        <v>258</v>
      </c>
      <c r="D1616" s="13" t="s">
        <v>6500</v>
      </c>
      <c r="E1616" s="13" t="s">
        <v>6510</v>
      </c>
      <c r="F1616" s="13" t="s">
        <v>6511</v>
      </c>
      <c r="G1616" s="13" t="s">
        <v>6360</v>
      </c>
      <c r="H1616" s="13" t="s">
        <v>6512</v>
      </c>
      <c r="I1616" s="13" t="s">
        <v>82</v>
      </c>
      <c r="J1616" s="13" t="s">
        <v>5716</v>
      </c>
      <c r="K1616" s="13"/>
      <c r="L1616" s="13" t="s">
        <v>6505</v>
      </c>
      <c r="M1616" s="13" t="s">
        <v>6506</v>
      </c>
    </row>
    <row r="1617" customFormat="false" ht="79.85" hidden="false" customHeight="false" outlineLevel="0" collapsed="false">
      <c r="A1617" s="13" t="s">
        <v>4</v>
      </c>
      <c r="B1617" s="13" t="s">
        <v>68</v>
      </c>
      <c r="C1617" s="13" t="n">
        <v>258</v>
      </c>
      <c r="D1617" s="13" t="s">
        <v>6513</v>
      </c>
      <c r="E1617" s="13" t="s">
        <v>6514</v>
      </c>
      <c r="F1617" s="13" t="s">
        <v>173</v>
      </c>
      <c r="G1617" s="13" t="s">
        <v>6515</v>
      </c>
      <c r="H1617" s="13" t="s">
        <v>6516</v>
      </c>
      <c r="I1617" s="13" t="s">
        <v>82</v>
      </c>
      <c r="J1617" s="13" t="s">
        <v>5716</v>
      </c>
      <c r="K1617" s="13"/>
      <c r="L1617" s="13" t="s">
        <v>6517</v>
      </c>
      <c r="M1617" s="13" t="s">
        <v>6518</v>
      </c>
    </row>
    <row r="1618" customFormat="false" ht="79.85" hidden="false" customHeight="false" outlineLevel="0" collapsed="false">
      <c r="A1618" s="13" t="s">
        <v>4</v>
      </c>
      <c r="B1618" s="13" t="s">
        <v>68</v>
      </c>
      <c r="C1618" s="13" t="n">
        <v>258</v>
      </c>
      <c r="D1618" s="13" t="s">
        <v>6513</v>
      </c>
      <c r="E1618" s="13" t="s">
        <v>6519</v>
      </c>
      <c r="F1618" s="13" t="s">
        <v>173</v>
      </c>
      <c r="G1618" s="13" t="s">
        <v>6520</v>
      </c>
      <c r="H1618" s="13" t="s">
        <v>6521</v>
      </c>
      <c r="I1618" s="13" t="s">
        <v>82</v>
      </c>
      <c r="J1618" s="13" t="s">
        <v>5716</v>
      </c>
      <c r="K1618" s="13"/>
      <c r="L1618" s="13" t="s">
        <v>6517</v>
      </c>
      <c r="M1618" s="13" t="s">
        <v>6518</v>
      </c>
    </row>
    <row r="1619" customFormat="false" ht="79.85" hidden="false" customHeight="false" outlineLevel="0" collapsed="false">
      <c r="A1619" s="13" t="s">
        <v>4</v>
      </c>
      <c r="B1619" s="13" t="s">
        <v>68</v>
      </c>
      <c r="C1619" s="13" t="n">
        <v>258</v>
      </c>
      <c r="D1619" s="13" t="s">
        <v>6513</v>
      </c>
      <c r="E1619" s="13" t="s">
        <v>6522</v>
      </c>
      <c r="F1619" s="13" t="s">
        <v>173</v>
      </c>
      <c r="G1619" s="13" t="s">
        <v>6523</v>
      </c>
      <c r="H1619" s="13" t="s">
        <v>6524</v>
      </c>
      <c r="I1619" s="13" t="s">
        <v>82</v>
      </c>
      <c r="J1619" s="13" t="s">
        <v>5716</v>
      </c>
      <c r="K1619" s="13"/>
      <c r="L1619" s="13" t="s">
        <v>6517</v>
      </c>
      <c r="M1619" s="13" t="s">
        <v>6518</v>
      </c>
    </row>
    <row r="1620" customFormat="false" ht="79.85" hidden="false" customHeight="false" outlineLevel="0" collapsed="false">
      <c r="A1620" s="13" t="s">
        <v>4</v>
      </c>
      <c r="B1620" s="13" t="s">
        <v>68</v>
      </c>
      <c r="C1620" s="13" t="n">
        <v>258</v>
      </c>
      <c r="D1620" s="13" t="s">
        <v>6513</v>
      </c>
      <c r="E1620" s="13" t="s">
        <v>6525</v>
      </c>
      <c r="F1620" s="13" t="s">
        <v>173</v>
      </c>
      <c r="G1620" s="13" t="s">
        <v>6526</v>
      </c>
      <c r="H1620" s="13" t="s">
        <v>6527</v>
      </c>
      <c r="I1620" s="13" t="s">
        <v>82</v>
      </c>
      <c r="J1620" s="13" t="s">
        <v>5716</v>
      </c>
      <c r="K1620" s="13"/>
      <c r="L1620" s="13" t="s">
        <v>6517</v>
      </c>
      <c r="M1620" s="13" t="s">
        <v>6518</v>
      </c>
    </row>
    <row r="1621" customFormat="false" ht="23.85" hidden="false" customHeight="false" outlineLevel="0" collapsed="false">
      <c r="A1621" s="13" t="s">
        <v>4</v>
      </c>
      <c r="B1621" s="13" t="s">
        <v>68</v>
      </c>
      <c r="C1621" s="13" t="n">
        <v>258</v>
      </c>
      <c r="D1621" s="13" t="s">
        <v>6528</v>
      </c>
      <c r="E1621" s="13" t="s">
        <v>6529</v>
      </c>
      <c r="F1621" s="13" t="s">
        <v>173</v>
      </c>
      <c r="G1621" s="13" t="s">
        <v>6346</v>
      </c>
      <c r="H1621" s="13" t="s">
        <v>6530</v>
      </c>
      <c r="I1621" s="13" t="s">
        <v>82</v>
      </c>
      <c r="J1621" s="13" t="s">
        <v>5716</v>
      </c>
      <c r="K1621" s="13"/>
      <c r="L1621" s="13" t="s">
        <v>6531</v>
      </c>
      <c r="M1621" s="13" t="s">
        <v>6532</v>
      </c>
    </row>
    <row r="1622" customFormat="false" ht="135.8" hidden="false" customHeight="false" outlineLevel="0" collapsed="false">
      <c r="A1622" s="13" t="s">
        <v>4</v>
      </c>
      <c r="B1622" s="13" t="s">
        <v>68</v>
      </c>
      <c r="C1622" s="13" t="n">
        <v>258</v>
      </c>
      <c r="D1622" s="13" t="s">
        <v>6533</v>
      </c>
      <c r="E1622" s="13" t="s">
        <v>6534</v>
      </c>
      <c r="F1622" s="13" t="s">
        <v>173</v>
      </c>
      <c r="G1622" s="13" t="s">
        <v>6535</v>
      </c>
      <c r="H1622" s="13" t="s">
        <v>6536</v>
      </c>
      <c r="I1622" s="13" t="s">
        <v>82</v>
      </c>
      <c r="J1622" s="13" t="s">
        <v>5716</v>
      </c>
      <c r="K1622" s="13"/>
      <c r="L1622" s="13" t="s">
        <v>6537</v>
      </c>
      <c r="M1622" s="13" t="s">
        <v>6538</v>
      </c>
    </row>
    <row r="1623" customFormat="false" ht="135.8" hidden="false" customHeight="false" outlineLevel="0" collapsed="false">
      <c r="A1623" s="13" t="s">
        <v>4</v>
      </c>
      <c r="B1623" s="13" t="s">
        <v>68</v>
      </c>
      <c r="C1623" s="13" t="n">
        <v>258</v>
      </c>
      <c r="D1623" s="13" t="s">
        <v>6533</v>
      </c>
      <c r="E1623" s="13" t="s">
        <v>6539</v>
      </c>
      <c r="F1623" s="13" t="s">
        <v>173</v>
      </c>
      <c r="G1623" s="13" t="s">
        <v>6535</v>
      </c>
      <c r="H1623" s="13" t="s">
        <v>6540</v>
      </c>
      <c r="I1623" s="13" t="s">
        <v>82</v>
      </c>
      <c r="J1623" s="13" t="s">
        <v>5716</v>
      </c>
      <c r="K1623" s="13"/>
      <c r="L1623" s="13" t="s">
        <v>6537</v>
      </c>
      <c r="M1623" s="13" t="s">
        <v>6538</v>
      </c>
    </row>
    <row r="1624" customFormat="false" ht="135.8" hidden="false" customHeight="false" outlineLevel="0" collapsed="false">
      <c r="A1624" s="13" t="s">
        <v>4</v>
      </c>
      <c r="B1624" s="13" t="s">
        <v>68</v>
      </c>
      <c r="C1624" s="13" t="n">
        <v>258</v>
      </c>
      <c r="D1624" s="13" t="s">
        <v>6533</v>
      </c>
      <c r="E1624" s="13" t="s">
        <v>6541</v>
      </c>
      <c r="F1624" s="13" t="s">
        <v>173</v>
      </c>
      <c r="G1624" s="13" t="s">
        <v>6535</v>
      </c>
      <c r="H1624" s="13" t="s">
        <v>6542</v>
      </c>
      <c r="I1624" s="13" t="s">
        <v>82</v>
      </c>
      <c r="J1624" s="13" t="s">
        <v>5716</v>
      </c>
      <c r="K1624" s="13"/>
      <c r="L1624" s="13" t="s">
        <v>6537</v>
      </c>
      <c r="M1624" s="13" t="s">
        <v>6538</v>
      </c>
    </row>
    <row r="1625" customFormat="false" ht="135.8" hidden="false" customHeight="false" outlineLevel="0" collapsed="false">
      <c r="A1625" s="13" t="s">
        <v>4</v>
      </c>
      <c r="B1625" s="13" t="s">
        <v>68</v>
      </c>
      <c r="C1625" s="13" t="n">
        <v>258</v>
      </c>
      <c r="D1625" s="13" t="s">
        <v>6533</v>
      </c>
      <c r="E1625" s="13" t="s">
        <v>6543</v>
      </c>
      <c r="F1625" s="13" t="s">
        <v>173</v>
      </c>
      <c r="G1625" s="13" t="s">
        <v>6535</v>
      </c>
      <c r="H1625" s="13" t="s">
        <v>6544</v>
      </c>
      <c r="I1625" s="13" t="s">
        <v>82</v>
      </c>
      <c r="J1625" s="13" t="s">
        <v>5716</v>
      </c>
      <c r="K1625" s="13"/>
      <c r="L1625" s="13" t="s">
        <v>6537</v>
      </c>
      <c r="M1625" s="13" t="s">
        <v>6538</v>
      </c>
    </row>
    <row r="1626" customFormat="false" ht="135.8" hidden="false" customHeight="false" outlineLevel="0" collapsed="false">
      <c r="A1626" s="13" t="s">
        <v>4</v>
      </c>
      <c r="B1626" s="13" t="s">
        <v>68</v>
      </c>
      <c r="C1626" s="13" t="n">
        <v>258</v>
      </c>
      <c r="D1626" s="13" t="s">
        <v>6533</v>
      </c>
      <c r="E1626" s="13" t="s">
        <v>6545</v>
      </c>
      <c r="F1626" s="13" t="s">
        <v>173</v>
      </c>
      <c r="G1626" s="13" t="s">
        <v>6535</v>
      </c>
      <c r="H1626" s="13" t="s">
        <v>6546</v>
      </c>
      <c r="I1626" s="13" t="s">
        <v>82</v>
      </c>
      <c r="J1626" s="13" t="s">
        <v>5716</v>
      </c>
      <c r="K1626" s="13"/>
      <c r="L1626" s="13" t="s">
        <v>6537</v>
      </c>
      <c r="M1626" s="13" t="s">
        <v>6538</v>
      </c>
    </row>
    <row r="1627" customFormat="false" ht="135.8" hidden="false" customHeight="false" outlineLevel="0" collapsed="false">
      <c r="A1627" s="13" t="s">
        <v>4</v>
      </c>
      <c r="B1627" s="13" t="s">
        <v>68</v>
      </c>
      <c r="C1627" s="13" t="n">
        <v>258</v>
      </c>
      <c r="D1627" s="13" t="s">
        <v>6533</v>
      </c>
      <c r="E1627" s="13" t="s">
        <v>6547</v>
      </c>
      <c r="F1627" s="13" t="s">
        <v>173</v>
      </c>
      <c r="G1627" s="13" t="s">
        <v>6535</v>
      </c>
      <c r="H1627" s="13" t="s">
        <v>6548</v>
      </c>
      <c r="I1627" s="13" t="s">
        <v>82</v>
      </c>
      <c r="J1627" s="13" t="s">
        <v>5716</v>
      </c>
      <c r="K1627" s="13"/>
      <c r="L1627" s="13" t="s">
        <v>6537</v>
      </c>
      <c r="M1627" s="13" t="s">
        <v>6538</v>
      </c>
    </row>
    <row r="1628" customFormat="false" ht="135.8" hidden="false" customHeight="false" outlineLevel="0" collapsed="false">
      <c r="A1628" s="13" t="s">
        <v>4</v>
      </c>
      <c r="B1628" s="13" t="s">
        <v>68</v>
      </c>
      <c r="C1628" s="13" t="n">
        <v>258</v>
      </c>
      <c r="D1628" s="13" t="s">
        <v>6533</v>
      </c>
      <c r="E1628" s="13" t="s">
        <v>6549</v>
      </c>
      <c r="F1628" s="13" t="s">
        <v>173</v>
      </c>
      <c r="G1628" s="13" t="s">
        <v>6535</v>
      </c>
      <c r="H1628" s="13" t="s">
        <v>6550</v>
      </c>
      <c r="I1628" s="13" t="s">
        <v>82</v>
      </c>
      <c r="J1628" s="13" t="s">
        <v>5716</v>
      </c>
      <c r="K1628" s="13"/>
      <c r="L1628" s="13" t="s">
        <v>6537</v>
      </c>
      <c r="M1628" s="13" t="s">
        <v>6538</v>
      </c>
    </row>
    <row r="1629" customFormat="false" ht="135.8" hidden="false" customHeight="false" outlineLevel="0" collapsed="false">
      <c r="A1629" s="13" t="s">
        <v>4</v>
      </c>
      <c r="B1629" s="13" t="s">
        <v>68</v>
      </c>
      <c r="C1629" s="13" t="n">
        <v>258</v>
      </c>
      <c r="D1629" s="13" t="s">
        <v>6533</v>
      </c>
      <c r="E1629" s="13" t="s">
        <v>6551</v>
      </c>
      <c r="F1629" s="13" t="s">
        <v>173</v>
      </c>
      <c r="G1629" s="13" t="s">
        <v>6535</v>
      </c>
      <c r="H1629" s="13" t="s">
        <v>6552</v>
      </c>
      <c r="I1629" s="13" t="s">
        <v>82</v>
      </c>
      <c r="J1629" s="13" t="s">
        <v>5716</v>
      </c>
      <c r="K1629" s="13"/>
      <c r="L1629" s="13" t="s">
        <v>6537</v>
      </c>
      <c r="M1629" s="13" t="s">
        <v>6538</v>
      </c>
    </row>
    <row r="1630" customFormat="false" ht="135.8" hidden="false" customHeight="false" outlineLevel="0" collapsed="false">
      <c r="A1630" s="13" t="s">
        <v>4</v>
      </c>
      <c r="B1630" s="13" t="s">
        <v>68</v>
      </c>
      <c r="C1630" s="13" t="n">
        <v>258</v>
      </c>
      <c r="D1630" s="13" t="s">
        <v>6533</v>
      </c>
      <c r="E1630" s="13" t="s">
        <v>6553</v>
      </c>
      <c r="F1630" s="13" t="s">
        <v>173</v>
      </c>
      <c r="G1630" s="13" t="s">
        <v>6535</v>
      </c>
      <c r="H1630" s="13" t="s">
        <v>6554</v>
      </c>
      <c r="I1630" s="13" t="s">
        <v>82</v>
      </c>
      <c r="J1630" s="13" t="s">
        <v>5716</v>
      </c>
      <c r="K1630" s="13"/>
      <c r="L1630" s="13" t="s">
        <v>6537</v>
      </c>
      <c r="M1630" s="13" t="s">
        <v>6538</v>
      </c>
    </row>
    <row r="1631" customFormat="false" ht="135.8" hidden="false" customHeight="false" outlineLevel="0" collapsed="false">
      <c r="A1631" s="13" t="s">
        <v>4</v>
      </c>
      <c r="B1631" s="13" t="s">
        <v>68</v>
      </c>
      <c r="C1631" s="13" t="n">
        <v>258</v>
      </c>
      <c r="D1631" s="13" t="s">
        <v>6533</v>
      </c>
      <c r="E1631" s="13" t="s">
        <v>6555</v>
      </c>
      <c r="F1631" s="13" t="s">
        <v>173</v>
      </c>
      <c r="G1631" s="13" t="s">
        <v>6535</v>
      </c>
      <c r="H1631" s="13" t="s">
        <v>6556</v>
      </c>
      <c r="I1631" s="13" t="s">
        <v>82</v>
      </c>
      <c r="J1631" s="13" t="s">
        <v>5716</v>
      </c>
      <c r="K1631" s="13"/>
      <c r="L1631" s="13" t="s">
        <v>6537</v>
      </c>
      <c r="M1631" s="13" t="s">
        <v>6538</v>
      </c>
    </row>
    <row r="1632" customFormat="false" ht="135.8" hidden="false" customHeight="false" outlineLevel="0" collapsed="false">
      <c r="A1632" s="13" t="s">
        <v>4</v>
      </c>
      <c r="B1632" s="13" t="s">
        <v>68</v>
      </c>
      <c r="C1632" s="13" t="n">
        <v>258</v>
      </c>
      <c r="D1632" s="13" t="s">
        <v>6533</v>
      </c>
      <c r="E1632" s="13" t="s">
        <v>6557</v>
      </c>
      <c r="F1632" s="13" t="s">
        <v>173</v>
      </c>
      <c r="G1632" s="13" t="s">
        <v>6535</v>
      </c>
      <c r="H1632" s="13" t="s">
        <v>6558</v>
      </c>
      <c r="I1632" s="13" t="s">
        <v>82</v>
      </c>
      <c r="J1632" s="13" t="s">
        <v>5716</v>
      </c>
      <c r="K1632" s="13"/>
      <c r="L1632" s="13" t="s">
        <v>6537</v>
      </c>
      <c r="M1632" s="13" t="s">
        <v>6538</v>
      </c>
    </row>
    <row r="1633" customFormat="false" ht="135.8" hidden="false" customHeight="false" outlineLevel="0" collapsed="false">
      <c r="A1633" s="13" t="s">
        <v>4</v>
      </c>
      <c r="B1633" s="13" t="s">
        <v>68</v>
      </c>
      <c r="C1633" s="13" t="n">
        <v>258</v>
      </c>
      <c r="D1633" s="13" t="s">
        <v>6533</v>
      </c>
      <c r="E1633" s="13" t="s">
        <v>6559</v>
      </c>
      <c r="F1633" s="13" t="s">
        <v>173</v>
      </c>
      <c r="G1633" s="13" t="s">
        <v>6560</v>
      </c>
      <c r="H1633" s="13" t="s">
        <v>6561</v>
      </c>
      <c r="I1633" s="13" t="s">
        <v>82</v>
      </c>
      <c r="J1633" s="13" t="s">
        <v>5716</v>
      </c>
      <c r="K1633" s="13"/>
      <c r="L1633" s="13" t="s">
        <v>6537</v>
      </c>
      <c r="M1633" s="13" t="s">
        <v>6538</v>
      </c>
    </row>
    <row r="1634" customFormat="false" ht="135.8" hidden="false" customHeight="false" outlineLevel="0" collapsed="false">
      <c r="A1634" s="13" t="s">
        <v>4</v>
      </c>
      <c r="B1634" s="13" t="s">
        <v>68</v>
      </c>
      <c r="C1634" s="13" t="n">
        <v>258</v>
      </c>
      <c r="D1634" s="13" t="s">
        <v>6533</v>
      </c>
      <c r="E1634" s="13" t="s">
        <v>6562</v>
      </c>
      <c r="F1634" s="13" t="s">
        <v>173</v>
      </c>
      <c r="G1634" s="13" t="s">
        <v>6563</v>
      </c>
      <c r="H1634" s="13" t="s">
        <v>6564</v>
      </c>
      <c r="I1634" s="13" t="s">
        <v>82</v>
      </c>
      <c r="J1634" s="13" t="s">
        <v>5716</v>
      </c>
      <c r="K1634" s="13"/>
      <c r="L1634" s="13" t="s">
        <v>6537</v>
      </c>
      <c r="M1634" s="13" t="s">
        <v>6538</v>
      </c>
    </row>
    <row r="1635" customFormat="false" ht="180.55" hidden="false" customHeight="false" outlineLevel="0" collapsed="false">
      <c r="A1635" s="13" t="s">
        <v>4</v>
      </c>
      <c r="B1635" s="13" t="s">
        <v>68</v>
      </c>
      <c r="C1635" s="13" t="n">
        <v>291</v>
      </c>
      <c r="D1635" s="13" t="s">
        <v>6565</v>
      </c>
      <c r="E1635" s="13" t="s">
        <v>6566</v>
      </c>
      <c r="F1635" s="13" t="s">
        <v>6567</v>
      </c>
      <c r="G1635" s="13" t="s">
        <v>6568</v>
      </c>
      <c r="H1635" s="13" t="s">
        <v>6569</v>
      </c>
      <c r="I1635" s="13" t="s">
        <v>82</v>
      </c>
      <c r="J1635" s="13" t="s">
        <v>5716</v>
      </c>
      <c r="K1635" s="13"/>
      <c r="L1635" s="13" t="s">
        <v>6570</v>
      </c>
      <c r="M1635" s="13" t="s">
        <v>6571</v>
      </c>
    </row>
    <row r="1636" customFormat="false" ht="180.55" hidden="false" customHeight="false" outlineLevel="0" collapsed="false">
      <c r="A1636" s="13" t="s">
        <v>4</v>
      </c>
      <c r="B1636" s="13" t="s">
        <v>68</v>
      </c>
      <c r="C1636" s="13" t="n">
        <v>291</v>
      </c>
      <c r="D1636" s="13" t="s">
        <v>6565</v>
      </c>
      <c r="E1636" s="13" t="s">
        <v>6572</v>
      </c>
      <c r="F1636" s="13" t="s">
        <v>6573</v>
      </c>
      <c r="G1636" s="13" t="s">
        <v>6568</v>
      </c>
      <c r="H1636" s="13" t="s">
        <v>6574</v>
      </c>
      <c r="I1636" s="13" t="s">
        <v>82</v>
      </c>
      <c r="J1636" s="13" t="s">
        <v>5716</v>
      </c>
      <c r="K1636" s="13"/>
      <c r="L1636" s="13" t="s">
        <v>6570</v>
      </c>
      <c r="M1636" s="13" t="s">
        <v>6571</v>
      </c>
    </row>
    <row r="1637" customFormat="false" ht="180.55" hidden="false" customHeight="false" outlineLevel="0" collapsed="false">
      <c r="A1637" s="13" t="s">
        <v>4</v>
      </c>
      <c r="B1637" s="13" t="s">
        <v>68</v>
      </c>
      <c r="C1637" s="13" t="n">
        <v>291</v>
      </c>
      <c r="D1637" s="13" t="s">
        <v>6565</v>
      </c>
      <c r="E1637" s="13" t="s">
        <v>6575</v>
      </c>
      <c r="F1637" s="13" t="s">
        <v>806</v>
      </c>
      <c r="G1637" s="13" t="s">
        <v>5990</v>
      </c>
      <c r="H1637" s="13" t="s">
        <v>861</v>
      </c>
      <c r="I1637" s="13" t="s">
        <v>82</v>
      </c>
      <c r="J1637" s="13" t="s">
        <v>5716</v>
      </c>
      <c r="K1637" s="13"/>
      <c r="L1637" s="13" t="s">
        <v>6570</v>
      </c>
      <c r="M1637" s="13" t="s">
        <v>6571</v>
      </c>
    </row>
    <row r="1638" customFormat="false" ht="180.55" hidden="false" customHeight="false" outlineLevel="0" collapsed="false">
      <c r="A1638" s="13" t="s">
        <v>4</v>
      </c>
      <c r="B1638" s="13" t="s">
        <v>68</v>
      </c>
      <c r="C1638" s="13" t="n">
        <v>291</v>
      </c>
      <c r="D1638" s="13" t="s">
        <v>6565</v>
      </c>
      <c r="E1638" s="13" t="s">
        <v>6576</v>
      </c>
      <c r="F1638" s="13" t="s">
        <v>806</v>
      </c>
      <c r="G1638" s="13" t="s">
        <v>6577</v>
      </c>
      <c r="H1638" s="13" t="s">
        <v>6578</v>
      </c>
      <c r="I1638" s="13" t="s">
        <v>82</v>
      </c>
      <c r="J1638" s="13" t="s">
        <v>5716</v>
      </c>
      <c r="K1638" s="13"/>
      <c r="L1638" s="13" t="s">
        <v>6570</v>
      </c>
      <c r="M1638" s="13" t="s">
        <v>6571</v>
      </c>
    </row>
    <row r="1639" customFormat="false" ht="180.55" hidden="false" customHeight="false" outlineLevel="0" collapsed="false">
      <c r="A1639" s="13" t="s">
        <v>4</v>
      </c>
      <c r="B1639" s="13" t="s">
        <v>68</v>
      </c>
      <c r="C1639" s="13" t="n">
        <v>291</v>
      </c>
      <c r="D1639" s="13" t="s">
        <v>6565</v>
      </c>
      <c r="E1639" s="13" t="s">
        <v>6579</v>
      </c>
      <c r="F1639" s="13" t="s">
        <v>806</v>
      </c>
      <c r="G1639" s="13" t="s">
        <v>6580</v>
      </c>
      <c r="H1639" s="13" t="s">
        <v>6581</v>
      </c>
      <c r="I1639" s="13" t="s">
        <v>82</v>
      </c>
      <c r="J1639" s="13" t="s">
        <v>5716</v>
      </c>
      <c r="K1639" s="13"/>
      <c r="L1639" s="13" t="s">
        <v>6570</v>
      </c>
      <c r="M1639" s="13" t="s">
        <v>6571</v>
      </c>
    </row>
    <row r="1640" customFormat="false" ht="180.55" hidden="false" customHeight="false" outlineLevel="0" collapsed="false">
      <c r="A1640" s="13" t="s">
        <v>4</v>
      </c>
      <c r="B1640" s="13" t="s">
        <v>68</v>
      </c>
      <c r="C1640" s="13" t="n">
        <v>291</v>
      </c>
      <c r="D1640" s="13" t="s">
        <v>6565</v>
      </c>
      <c r="E1640" s="13" t="s">
        <v>6582</v>
      </c>
      <c r="F1640" s="13" t="s">
        <v>806</v>
      </c>
      <c r="G1640" s="13" t="s">
        <v>6583</v>
      </c>
      <c r="H1640" s="13" t="s">
        <v>6584</v>
      </c>
      <c r="I1640" s="13" t="s">
        <v>82</v>
      </c>
      <c r="J1640" s="13" t="s">
        <v>5716</v>
      </c>
      <c r="K1640" s="13"/>
      <c r="L1640" s="13" t="s">
        <v>6570</v>
      </c>
      <c r="M1640" s="13" t="s">
        <v>6571</v>
      </c>
    </row>
    <row r="1641" customFormat="false" ht="91" hidden="false" customHeight="false" outlineLevel="0" collapsed="false">
      <c r="A1641" s="13" t="s">
        <v>4</v>
      </c>
      <c r="B1641" s="13" t="s">
        <v>68</v>
      </c>
      <c r="C1641" s="13" t="n">
        <v>291</v>
      </c>
      <c r="D1641" s="13" t="s">
        <v>6585</v>
      </c>
      <c r="E1641" s="13" t="s">
        <v>6586</v>
      </c>
      <c r="F1641" s="13" t="s">
        <v>806</v>
      </c>
      <c r="G1641" s="13" t="s">
        <v>6580</v>
      </c>
      <c r="H1641" s="13" t="s">
        <v>6581</v>
      </c>
      <c r="I1641" s="13" t="s">
        <v>82</v>
      </c>
      <c r="J1641" s="13" t="s">
        <v>5716</v>
      </c>
      <c r="K1641" s="13"/>
      <c r="L1641" s="13" t="s">
        <v>6587</v>
      </c>
      <c r="M1641" s="13" t="s">
        <v>6588</v>
      </c>
    </row>
    <row r="1642" customFormat="false" ht="91" hidden="false" customHeight="false" outlineLevel="0" collapsed="false">
      <c r="A1642" s="13" t="s">
        <v>4</v>
      </c>
      <c r="B1642" s="13" t="s">
        <v>68</v>
      </c>
      <c r="C1642" s="13" t="n">
        <v>291</v>
      </c>
      <c r="D1642" s="13" t="s">
        <v>6585</v>
      </c>
      <c r="E1642" s="13" t="s">
        <v>6589</v>
      </c>
      <c r="F1642" s="13" t="s">
        <v>806</v>
      </c>
      <c r="G1642" s="13" t="s">
        <v>6583</v>
      </c>
      <c r="H1642" s="13" t="s">
        <v>6590</v>
      </c>
      <c r="I1642" s="13" t="s">
        <v>82</v>
      </c>
      <c r="J1642" s="13" t="s">
        <v>5716</v>
      </c>
      <c r="K1642" s="13"/>
      <c r="L1642" s="13" t="s">
        <v>6587</v>
      </c>
      <c r="M1642" s="13" t="s">
        <v>6588</v>
      </c>
    </row>
    <row r="1643" customFormat="false" ht="91" hidden="false" customHeight="false" outlineLevel="0" collapsed="false">
      <c r="A1643" s="13" t="s">
        <v>4</v>
      </c>
      <c r="B1643" s="13" t="s">
        <v>68</v>
      </c>
      <c r="C1643" s="13" t="n">
        <v>291</v>
      </c>
      <c r="D1643" s="13" t="s">
        <v>6591</v>
      </c>
      <c r="E1643" s="13" t="s">
        <v>6592</v>
      </c>
      <c r="F1643" s="13" t="s">
        <v>806</v>
      </c>
      <c r="G1643" s="13" t="s">
        <v>6580</v>
      </c>
      <c r="H1643" s="13" t="s">
        <v>6581</v>
      </c>
      <c r="I1643" s="13" t="s">
        <v>82</v>
      </c>
      <c r="J1643" s="13" t="s">
        <v>5716</v>
      </c>
      <c r="K1643" s="13"/>
      <c r="L1643" s="13" t="s">
        <v>6593</v>
      </c>
      <c r="M1643" s="13" t="s">
        <v>6594</v>
      </c>
    </row>
    <row r="1644" customFormat="false" ht="91" hidden="false" customHeight="false" outlineLevel="0" collapsed="false">
      <c r="A1644" s="13" t="s">
        <v>4</v>
      </c>
      <c r="B1644" s="13" t="s">
        <v>68</v>
      </c>
      <c r="C1644" s="13" t="n">
        <v>291</v>
      </c>
      <c r="D1644" s="13" t="s">
        <v>6591</v>
      </c>
      <c r="E1644" s="13" t="s">
        <v>6595</v>
      </c>
      <c r="F1644" s="13" t="s">
        <v>806</v>
      </c>
      <c r="G1644" s="13" t="s">
        <v>6583</v>
      </c>
      <c r="H1644" s="13" t="s">
        <v>6596</v>
      </c>
      <c r="I1644" s="13" t="s">
        <v>82</v>
      </c>
      <c r="J1644" s="13" t="s">
        <v>5716</v>
      </c>
      <c r="K1644" s="13"/>
      <c r="L1644" s="13" t="s">
        <v>6593</v>
      </c>
      <c r="M1644" s="13" t="s">
        <v>6594</v>
      </c>
    </row>
    <row r="1645" customFormat="false" ht="79.85" hidden="false" customHeight="false" outlineLevel="0" collapsed="false">
      <c r="A1645" s="13" t="s">
        <v>4</v>
      </c>
      <c r="B1645" s="13" t="s">
        <v>68</v>
      </c>
      <c r="C1645" s="13" t="n">
        <v>291</v>
      </c>
      <c r="D1645" s="13" t="s">
        <v>6597</v>
      </c>
      <c r="E1645" s="13" t="s">
        <v>6598</v>
      </c>
      <c r="F1645" s="13" t="s">
        <v>806</v>
      </c>
      <c r="G1645" s="13" t="s">
        <v>6580</v>
      </c>
      <c r="H1645" s="13" t="s">
        <v>6581</v>
      </c>
      <c r="I1645" s="13" t="s">
        <v>82</v>
      </c>
      <c r="J1645" s="13" t="s">
        <v>5716</v>
      </c>
      <c r="K1645" s="13"/>
      <c r="L1645" s="13" t="s">
        <v>6599</v>
      </c>
      <c r="M1645" s="13" t="s">
        <v>6600</v>
      </c>
    </row>
    <row r="1646" customFormat="false" ht="79.85" hidden="false" customHeight="false" outlineLevel="0" collapsed="false">
      <c r="A1646" s="13" t="s">
        <v>4</v>
      </c>
      <c r="B1646" s="13" t="s">
        <v>68</v>
      </c>
      <c r="C1646" s="13" t="n">
        <v>291</v>
      </c>
      <c r="D1646" s="13" t="s">
        <v>6597</v>
      </c>
      <c r="E1646" s="13" t="s">
        <v>6601</v>
      </c>
      <c r="F1646" s="13" t="s">
        <v>806</v>
      </c>
      <c r="G1646" s="13" t="s">
        <v>6583</v>
      </c>
      <c r="H1646" s="13" t="s">
        <v>6602</v>
      </c>
      <c r="I1646" s="13" t="s">
        <v>82</v>
      </c>
      <c r="J1646" s="13" t="s">
        <v>5716</v>
      </c>
      <c r="K1646" s="13"/>
      <c r="L1646" s="13" t="s">
        <v>6599</v>
      </c>
      <c r="M1646" s="13" t="s">
        <v>6600</v>
      </c>
    </row>
    <row r="1647" customFormat="false" ht="35.05" hidden="false" customHeight="false" outlineLevel="0" collapsed="false">
      <c r="A1647" s="13" t="s">
        <v>4</v>
      </c>
      <c r="B1647" s="13" t="s">
        <v>68</v>
      </c>
      <c r="C1647" s="13" t="n">
        <v>291</v>
      </c>
      <c r="D1647" s="13" t="s">
        <v>6603</v>
      </c>
      <c r="E1647" s="13" t="s">
        <v>6604</v>
      </c>
      <c r="F1647" s="13" t="s">
        <v>806</v>
      </c>
      <c r="G1647" s="13" t="s">
        <v>6605</v>
      </c>
      <c r="H1647" s="13" t="s">
        <v>6606</v>
      </c>
      <c r="I1647" s="13" t="s">
        <v>82</v>
      </c>
      <c r="J1647" s="13" t="s">
        <v>5716</v>
      </c>
      <c r="K1647" s="13"/>
      <c r="L1647" s="13" t="s">
        <v>6607</v>
      </c>
      <c r="M1647" s="13" t="s">
        <v>6608</v>
      </c>
    </row>
    <row r="1648" customFormat="false" ht="102.2" hidden="false" customHeight="false" outlineLevel="0" collapsed="false">
      <c r="A1648" s="13" t="s">
        <v>4</v>
      </c>
      <c r="B1648" s="13" t="s">
        <v>68</v>
      </c>
      <c r="C1648" s="13" t="n">
        <v>291</v>
      </c>
      <c r="D1648" s="13" t="s">
        <v>6609</v>
      </c>
      <c r="E1648" s="13" t="s">
        <v>6610</v>
      </c>
      <c r="F1648" s="13" t="s">
        <v>806</v>
      </c>
      <c r="G1648" s="13" t="s">
        <v>6611</v>
      </c>
      <c r="H1648" s="13" t="s">
        <v>6581</v>
      </c>
      <c r="I1648" s="13" t="s">
        <v>82</v>
      </c>
      <c r="J1648" s="13" t="s">
        <v>5716</v>
      </c>
      <c r="K1648" s="13"/>
      <c r="L1648" s="13" t="s">
        <v>6612</v>
      </c>
      <c r="M1648" s="13" t="s">
        <v>6613</v>
      </c>
    </row>
    <row r="1649" customFormat="false" ht="102.2" hidden="false" customHeight="false" outlineLevel="0" collapsed="false">
      <c r="A1649" s="13" t="s">
        <v>4</v>
      </c>
      <c r="B1649" s="13" t="s">
        <v>68</v>
      </c>
      <c r="C1649" s="13" t="n">
        <v>291</v>
      </c>
      <c r="D1649" s="13" t="s">
        <v>6609</v>
      </c>
      <c r="E1649" s="13" t="s">
        <v>6614</v>
      </c>
      <c r="F1649" s="13" t="s">
        <v>806</v>
      </c>
      <c r="G1649" s="13" t="s">
        <v>6615</v>
      </c>
      <c r="H1649" s="13" t="s">
        <v>6616</v>
      </c>
      <c r="I1649" s="13" t="s">
        <v>82</v>
      </c>
      <c r="J1649" s="13" t="s">
        <v>5716</v>
      </c>
      <c r="K1649" s="13"/>
      <c r="L1649" s="13" t="s">
        <v>6612</v>
      </c>
      <c r="M1649" s="13" t="s">
        <v>6613</v>
      </c>
    </row>
    <row r="1650" customFormat="false" ht="102.2" hidden="false" customHeight="false" outlineLevel="0" collapsed="false">
      <c r="A1650" s="13" t="s">
        <v>4</v>
      </c>
      <c r="B1650" s="13" t="s">
        <v>68</v>
      </c>
      <c r="C1650" s="13" t="n">
        <v>291</v>
      </c>
      <c r="D1650" s="13" t="s">
        <v>6609</v>
      </c>
      <c r="E1650" s="13" t="s">
        <v>6617</v>
      </c>
      <c r="F1650" s="13" t="s">
        <v>6581</v>
      </c>
      <c r="G1650" s="13" t="s">
        <v>6618</v>
      </c>
      <c r="H1650" s="13" t="s">
        <v>6619</v>
      </c>
      <c r="I1650" s="13" t="s">
        <v>82</v>
      </c>
      <c r="J1650" s="13" t="s">
        <v>5716</v>
      </c>
      <c r="K1650" s="13"/>
      <c r="L1650" s="13" t="s">
        <v>6612</v>
      </c>
      <c r="M1650" s="13" t="s">
        <v>6613</v>
      </c>
    </row>
    <row r="1651" customFormat="false" ht="147" hidden="false" customHeight="false" outlineLevel="0" collapsed="false">
      <c r="A1651" s="13" t="s">
        <v>4</v>
      </c>
      <c r="B1651" s="13" t="s">
        <v>68</v>
      </c>
      <c r="C1651" s="13" t="n">
        <v>310</v>
      </c>
      <c r="D1651" s="13" t="s">
        <v>6620</v>
      </c>
      <c r="E1651" s="13" t="s">
        <v>6621</v>
      </c>
      <c r="F1651" s="13" t="s">
        <v>6622</v>
      </c>
      <c r="G1651" s="13" t="s">
        <v>5970</v>
      </c>
      <c r="H1651" s="13" t="s">
        <v>6623</v>
      </c>
      <c r="I1651" s="13" t="s">
        <v>82</v>
      </c>
      <c r="J1651" s="13" t="s">
        <v>5716</v>
      </c>
      <c r="K1651" s="13"/>
      <c r="L1651" s="13" t="s">
        <v>6624</v>
      </c>
      <c r="M1651" s="13" t="s">
        <v>6625</v>
      </c>
    </row>
    <row r="1652" customFormat="false" ht="147" hidden="false" customHeight="false" outlineLevel="0" collapsed="false">
      <c r="A1652" s="13" t="s">
        <v>4</v>
      </c>
      <c r="B1652" s="13" t="s">
        <v>68</v>
      </c>
      <c r="C1652" s="13" t="n">
        <v>310</v>
      </c>
      <c r="D1652" s="13" t="s">
        <v>6620</v>
      </c>
      <c r="E1652" s="13" t="s">
        <v>6626</v>
      </c>
      <c r="F1652" s="13" t="s">
        <v>6627</v>
      </c>
      <c r="G1652" s="13" t="s">
        <v>6628</v>
      </c>
      <c r="H1652" s="13" t="s">
        <v>6629</v>
      </c>
      <c r="I1652" s="13" t="s">
        <v>82</v>
      </c>
      <c r="J1652" s="13" t="s">
        <v>5716</v>
      </c>
      <c r="K1652" s="13"/>
      <c r="L1652" s="13" t="s">
        <v>6624</v>
      </c>
      <c r="M1652" s="13" t="s">
        <v>6625</v>
      </c>
    </row>
    <row r="1653" customFormat="false" ht="147" hidden="false" customHeight="false" outlineLevel="0" collapsed="false">
      <c r="A1653" s="13" t="s">
        <v>4</v>
      </c>
      <c r="B1653" s="13" t="s">
        <v>68</v>
      </c>
      <c r="C1653" s="13" t="n">
        <v>310</v>
      </c>
      <c r="D1653" s="13" t="s">
        <v>6620</v>
      </c>
      <c r="E1653" s="13" t="s">
        <v>6630</v>
      </c>
      <c r="F1653" s="13" t="s">
        <v>6627</v>
      </c>
      <c r="G1653" s="13" t="s">
        <v>6631</v>
      </c>
      <c r="H1653" s="13" t="s">
        <v>6632</v>
      </c>
      <c r="I1653" s="13" t="s">
        <v>82</v>
      </c>
      <c r="J1653" s="13" t="s">
        <v>5716</v>
      </c>
      <c r="K1653" s="13"/>
      <c r="L1653" s="13" t="s">
        <v>6624</v>
      </c>
      <c r="M1653" s="13" t="s">
        <v>6625</v>
      </c>
    </row>
    <row r="1654" customFormat="false" ht="147" hidden="false" customHeight="false" outlineLevel="0" collapsed="false">
      <c r="A1654" s="13" t="s">
        <v>4</v>
      </c>
      <c r="B1654" s="13" t="s">
        <v>68</v>
      </c>
      <c r="C1654" s="13" t="n">
        <v>310</v>
      </c>
      <c r="D1654" s="13" t="s">
        <v>6620</v>
      </c>
      <c r="E1654" s="13" t="s">
        <v>6633</v>
      </c>
      <c r="F1654" s="13" t="s">
        <v>6627</v>
      </c>
      <c r="G1654" s="13" t="s">
        <v>196</v>
      </c>
      <c r="H1654" s="13" t="s">
        <v>6634</v>
      </c>
      <c r="I1654" s="13" t="s">
        <v>82</v>
      </c>
      <c r="J1654" s="13" t="s">
        <v>5716</v>
      </c>
      <c r="K1654" s="13"/>
      <c r="L1654" s="13" t="s">
        <v>6624</v>
      </c>
      <c r="M1654" s="13" t="s">
        <v>6625</v>
      </c>
    </row>
    <row r="1655" customFormat="false" ht="102.2" hidden="false" customHeight="false" outlineLevel="0" collapsed="false">
      <c r="A1655" s="13" t="s">
        <v>4</v>
      </c>
      <c r="B1655" s="13" t="s">
        <v>68</v>
      </c>
      <c r="C1655" s="13" t="n">
        <v>310</v>
      </c>
      <c r="D1655" s="13" t="s">
        <v>6635</v>
      </c>
      <c r="E1655" s="13" t="s">
        <v>6636</v>
      </c>
      <c r="F1655" s="13" t="s">
        <v>6637</v>
      </c>
      <c r="G1655" s="13" t="s">
        <v>6638</v>
      </c>
      <c r="H1655" s="13" t="s">
        <v>6639</v>
      </c>
      <c r="I1655" s="13" t="s">
        <v>82</v>
      </c>
      <c r="J1655" s="13" t="s">
        <v>5716</v>
      </c>
      <c r="K1655" s="13"/>
      <c r="L1655" s="13" t="s">
        <v>6640</v>
      </c>
      <c r="M1655" s="13" t="s">
        <v>6641</v>
      </c>
    </row>
    <row r="1656" customFormat="false" ht="102.2" hidden="false" customHeight="false" outlineLevel="0" collapsed="false">
      <c r="A1656" s="13" t="s">
        <v>4</v>
      </c>
      <c r="B1656" s="13" t="s">
        <v>68</v>
      </c>
      <c r="C1656" s="13" t="n">
        <v>310</v>
      </c>
      <c r="D1656" s="13" t="s">
        <v>6635</v>
      </c>
      <c r="E1656" s="13" t="s">
        <v>6642</v>
      </c>
      <c r="F1656" s="13" t="s">
        <v>6639</v>
      </c>
      <c r="G1656" s="13" t="s">
        <v>6643</v>
      </c>
      <c r="H1656" s="13" t="s">
        <v>6644</v>
      </c>
      <c r="I1656" s="13" t="s">
        <v>82</v>
      </c>
      <c r="J1656" s="13" t="s">
        <v>5716</v>
      </c>
      <c r="K1656" s="13"/>
      <c r="L1656" s="13" t="s">
        <v>6640</v>
      </c>
      <c r="M1656" s="13" t="s">
        <v>6641</v>
      </c>
    </row>
    <row r="1657" customFormat="false" ht="23.85" hidden="false" customHeight="false" outlineLevel="0" collapsed="false">
      <c r="A1657" s="13" t="s">
        <v>4</v>
      </c>
      <c r="B1657" s="13" t="s">
        <v>68</v>
      </c>
      <c r="C1657" s="13" t="n">
        <v>310</v>
      </c>
      <c r="D1657" s="13" t="s">
        <v>6645</v>
      </c>
      <c r="E1657" s="13" t="s">
        <v>6646</v>
      </c>
      <c r="F1657" s="13" t="s">
        <v>663</v>
      </c>
      <c r="G1657" s="13" t="s">
        <v>454</v>
      </c>
      <c r="H1657" s="13" t="s">
        <v>6647</v>
      </c>
      <c r="I1657" s="13" t="s">
        <v>82</v>
      </c>
      <c r="J1657" s="13" t="s">
        <v>5716</v>
      </c>
      <c r="K1657" s="13"/>
      <c r="L1657" s="13" t="s">
        <v>6648</v>
      </c>
      <c r="M1657" s="13" t="s">
        <v>6649</v>
      </c>
    </row>
    <row r="1658" customFormat="false" ht="23.85" hidden="false" customHeight="false" outlineLevel="0" collapsed="false">
      <c r="A1658" s="13" t="s">
        <v>4</v>
      </c>
      <c r="B1658" s="13" t="s">
        <v>68</v>
      </c>
      <c r="C1658" s="13" t="n">
        <v>310</v>
      </c>
      <c r="D1658" s="13" t="s">
        <v>6645</v>
      </c>
      <c r="E1658" s="13" t="s">
        <v>6650</v>
      </c>
      <c r="F1658" s="13" t="s">
        <v>663</v>
      </c>
      <c r="G1658" s="13" t="s">
        <v>6651</v>
      </c>
      <c r="H1658" s="13" t="s">
        <v>6652</v>
      </c>
      <c r="I1658" s="13" t="s">
        <v>82</v>
      </c>
      <c r="J1658" s="13" t="s">
        <v>5716</v>
      </c>
      <c r="K1658" s="13"/>
      <c r="L1658" s="13" t="s">
        <v>6648</v>
      </c>
      <c r="M1658" s="13" t="s">
        <v>6649</v>
      </c>
    </row>
    <row r="1659" customFormat="false" ht="23.85" hidden="false" customHeight="false" outlineLevel="0" collapsed="false">
      <c r="A1659" s="13" t="s">
        <v>4</v>
      </c>
      <c r="B1659" s="13" t="s">
        <v>68</v>
      </c>
      <c r="C1659" s="13" t="n">
        <v>310</v>
      </c>
      <c r="D1659" s="13" t="s">
        <v>6653</v>
      </c>
      <c r="E1659" s="13" t="s">
        <v>6654</v>
      </c>
      <c r="F1659" s="13" t="s">
        <v>1272</v>
      </c>
      <c r="G1659" s="13" t="s">
        <v>6655</v>
      </c>
      <c r="H1659" s="13" t="s">
        <v>6656</v>
      </c>
      <c r="I1659" s="13" t="s">
        <v>82</v>
      </c>
      <c r="J1659" s="13" t="s">
        <v>5716</v>
      </c>
      <c r="K1659" s="13"/>
      <c r="L1659" s="13" t="s">
        <v>6657</v>
      </c>
      <c r="M1659" s="13" t="s">
        <v>6658</v>
      </c>
    </row>
    <row r="1660" customFormat="false" ht="23.85" hidden="false" customHeight="false" outlineLevel="0" collapsed="false">
      <c r="A1660" s="13" t="s">
        <v>4</v>
      </c>
      <c r="B1660" s="13" t="s">
        <v>68</v>
      </c>
      <c r="C1660" s="13" t="n">
        <v>310</v>
      </c>
      <c r="D1660" s="13" t="s">
        <v>6659</v>
      </c>
      <c r="E1660" s="13" t="s">
        <v>6660</v>
      </c>
      <c r="F1660" s="13" t="s">
        <v>6661</v>
      </c>
      <c r="G1660" s="13" t="s">
        <v>3748</v>
      </c>
      <c r="H1660" s="13" t="s">
        <v>6662</v>
      </c>
      <c r="I1660" s="13" t="s">
        <v>82</v>
      </c>
      <c r="J1660" s="13" t="s">
        <v>5716</v>
      </c>
      <c r="K1660" s="13"/>
      <c r="L1660" s="13" t="s">
        <v>6663</v>
      </c>
      <c r="M1660" s="13" t="s">
        <v>6664</v>
      </c>
    </row>
    <row r="1661" customFormat="false" ht="426.85" hidden="false" customHeight="false" outlineLevel="0" collapsed="false">
      <c r="A1661" s="13" t="s">
        <v>4</v>
      </c>
      <c r="B1661" s="13" t="s">
        <v>68</v>
      </c>
      <c r="C1661" s="13" t="n">
        <v>310</v>
      </c>
      <c r="D1661" s="13" t="s">
        <v>6665</v>
      </c>
      <c r="E1661" s="13" t="s">
        <v>6666</v>
      </c>
      <c r="F1661" s="13" t="s">
        <v>663</v>
      </c>
      <c r="G1661" s="13" t="s">
        <v>6667</v>
      </c>
      <c r="H1661" s="13" t="s">
        <v>6668</v>
      </c>
      <c r="I1661" s="13" t="s">
        <v>82</v>
      </c>
      <c r="J1661" s="13" t="s">
        <v>5716</v>
      </c>
      <c r="K1661" s="13"/>
      <c r="L1661" s="13" t="s">
        <v>6669</v>
      </c>
      <c r="M1661" s="13" t="s">
        <v>6670</v>
      </c>
    </row>
    <row r="1662" customFormat="false" ht="426.85" hidden="false" customHeight="false" outlineLevel="0" collapsed="false">
      <c r="A1662" s="13" t="s">
        <v>4</v>
      </c>
      <c r="B1662" s="13" t="s">
        <v>68</v>
      </c>
      <c r="C1662" s="13" t="n">
        <v>310</v>
      </c>
      <c r="D1662" s="13" t="s">
        <v>6665</v>
      </c>
      <c r="E1662" s="13" t="s">
        <v>6671</v>
      </c>
      <c r="F1662" s="13" t="s">
        <v>663</v>
      </c>
      <c r="G1662" s="13" t="s">
        <v>6672</v>
      </c>
      <c r="H1662" s="13" t="s">
        <v>6673</v>
      </c>
      <c r="I1662" s="13" t="s">
        <v>82</v>
      </c>
      <c r="J1662" s="13" t="s">
        <v>5716</v>
      </c>
      <c r="K1662" s="13"/>
      <c r="L1662" s="13" t="s">
        <v>6669</v>
      </c>
      <c r="M1662" s="13" t="s">
        <v>6670</v>
      </c>
    </row>
    <row r="1663" customFormat="false" ht="426.85" hidden="false" customHeight="false" outlineLevel="0" collapsed="false">
      <c r="A1663" s="13" t="s">
        <v>4</v>
      </c>
      <c r="B1663" s="13" t="s">
        <v>68</v>
      </c>
      <c r="C1663" s="13" t="n">
        <v>310</v>
      </c>
      <c r="D1663" s="13" t="s">
        <v>6665</v>
      </c>
      <c r="E1663" s="13" t="s">
        <v>6674</v>
      </c>
      <c r="F1663" s="13" t="s">
        <v>6661</v>
      </c>
      <c r="G1663" s="13" t="s">
        <v>6675</v>
      </c>
      <c r="H1663" s="13" t="s">
        <v>6676</v>
      </c>
      <c r="I1663" s="13" t="s">
        <v>82</v>
      </c>
      <c r="J1663" s="13" t="s">
        <v>5716</v>
      </c>
      <c r="K1663" s="13"/>
      <c r="L1663" s="13" t="s">
        <v>6669</v>
      </c>
      <c r="M1663" s="13" t="s">
        <v>6670</v>
      </c>
    </row>
    <row r="1664" customFormat="false" ht="426.85" hidden="false" customHeight="false" outlineLevel="0" collapsed="false">
      <c r="A1664" s="13" t="s">
        <v>4</v>
      </c>
      <c r="B1664" s="13" t="s">
        <v>68</v>
      </c>
      <c r="C1664" s="13" t="n">
        <v>310</v>
      </c>
      <c r="D1664" s="13" t="s">
        <v>6665</v>
      </c>
      <c r="E1664" s="13" t="s">
        <v>6677</v>
      </c>
      <c r="F1664" s="13" t="s">
        <v>6661</v>
      </c>
      <c r="G1664" s="13" t="s">
        <v>6678</v>
      </c>
      <c r="H1664" s="13" t="s">
        <v>6679</v>
      </c>
      <c r="I1664" s="13" t="s">
        <v>82</v>
      </c>
      <c r="J1664" s="13" t="s">
        <v>5716</v>
      </c>
      <c r="K1664" s="13"/>
      <c r="L1664" s="13" t="s">
        <v>6669</v>
      </c>
      <c r="M1664" s="13" t="s">
        <v>6670</v>
      </c>
    </row>
    <row r="1665" customFormat="false" ht="426.85" hidden="false" customHeight="false" outlineLevel="0" collapsed="false">
      <c r="A1665" s="13" t="s">
        <v>4</v>
      </c>
      <c r="B1665" s="13" t="s">
        <v>68</v>
      </c>
      <c r="C1665" s="13" t="n">
        <v>310</v>
      </c>
      <c r="D1665" s="13" t="s">
        <v>6665</v>
      </c>
      <c r="E1665" s="13" t="s">
        <v>6680</v>
      </c>
      <c r="F1665" s="13" t="s">
        <v>6681</v>
      </c>
      <c r="G1665" s="13" t="s">
        <v>6682</v>
      </c>
      <c r="H1665" s="13" t="s">
        <v>6683</v>
      </c>
      <c r="I1665" s="13" t="s">
        <v>82</v>
      </c>
      <c r="J1665" s="13" t="s">
        <v>5716</v>
      </c>
      <c r="K1665" s="13"/>
      <c r="L1665" s="13" t="s">
        <v>6669</v>
      </c>
      <c r="M1665" s="13" t="s">
        <v>6670</v>
      </c>
    </row>
    <row r="1666" customFormat="false" ht="426.85" hidden="false" customHeight="false" outlineLevel="0" collapsed="false">
      <c r="A1666" s="13" t="s">
        <v>4</v>
      </c>
      <c r="B1666" s="13" t="s">
        <v>68</v>
      </c>
      <c r="C1666" s="13" t="n">
        <v>310</v>
      </c>
      <c r="D1666" s="13" t="s">
        <v>6665</v>
      </c>
      <c r="E1666" s="13" t="s">
        <v>6684</v>
      </c>
      <c r="F1666" s="13" t="s">
        <v>6681</v>
      </c>
      <c r="G1666" s="13" t="s">
        <v>6685</v>
      </c>
      <c r="H1666" s="13" t="s">
        <v>6686</v>
      </c>
      <c r="I1666" s="13" t="s">
        <v>82</v>
      </c>
      <c r="J1666" s="13" t="s">
        <v>5716</v>
      </c>
      <c r="K1666" s="13"/>
      <c r="L1666" s="13" t="s">
        <v>6669</v>
      </c>
      <c r="M1666" s="13" t="s">
        <v>6670</v>
      </c>
    </row>
    <row r="1667" customFormat="false" ht="426.85" hidden="false" customHeight="false" outlineLevel="0" collapsed="false">
      <c r="A1667" s="13" t="s">
        <v>4</v>
      </c>
      <c r="B1667" s="13" t="s">
        <v>68</v>
      </c>
      <c r="C1667" s="13" t="n">
        <v>310</v>
      </c>
      <c r="D1667" s="13" t="s">
        <v>6665</v>
      </c>
      <c r="E1667" s="13" t="s">
        <v>6687</v>
      </c>
      <c r="F1667" s="13" t="s">
        <v>663</v>
      </c>
      <c r="G1667" s="13" t="s">
        <v>454</v>
      </c>
      <c r="H1667" s="13" t="s">
        <v>6688</v>
      </c>
      <c r="I1667" s="13" t="s">
        <v>82</v>
      </c>
      <c r="J1667" s="13" t="s">
        <v>5716</v>
      </c>
      <c r="K1667" s="13"/>
      <c r="L1667" s="13" t="s">
        <v>6669</v>
      </c>
      <c r="M1667" s="13" t="s">
        <v>6670</v>
      </c>
    </row>
    <row r="1668" customFormat="false" ht="102.2" hidden="false" customHeight="false" outlineLevel="0" collapsed="false">
      <c r="A1668" s="13" t="s">
        <v>4</v>
      </c>
      <c r="B1668" s="13" t="s">
        <v>68</v>
      </c>
      <c r="C1668" s="13" t="n">
        <v>313</v>
      </c>
      <c r="D1668" s="13" t="s">
        <v>6689</v>
      </c>
      <c r="E1668" s="13" t="s">
        <v>6690</v>
      </c>
      <c r="F1668" s="13" t="s">
        <v>6691</v>
      </c>
      <c r="G1668" s="13" t="s">
        <v>6692</v>
      </c>
      <c r="H1668" s="13" t="s">
        <v>6693</v>
      </c>
      <c r="I1668" s="13" t="s">
        <v>82</v>
      </c>
      <c r="J1668" s="13" t="s">
        <v>5716</v>
      </c>
      <c r="K1668" s="13"/>
      <c r="L1668" s="13" t="s">
        <v>6694</v>
      </c>
      <c r="M1668" s="13" t="s">
        <v>6695</v>
      </c>
    </row>
    <row r="1669" customFormat="false" ht="102.2" hidden="false" customHeight="false" outlineLevel="0" collapsed="false">
      <c r="A1669" s="13" t="s">
        <v>4</v>
      </c>
      <c r="B1669" s="13" t="s">
        <v>68</v>
      </c>
      <c r="C1669" s="13" t="n">
        <v>313</v>
      </c>
      <c r="D1669" s="13" t="s">
        <v>6689</v>
      </c>
      <c r="E1669" s="13" t="s">
        <v>6696</v>
      </c>
      <c r="F1669" s="13" t="s">
        <v>6691</v>
      </c>
      <c r="G1669" s="13" t="s">
        <v>6697</v>
      </c>
      <c r="H1669" s="13" t="s">
        <v>806</v>
      </c>
      <c r="I1669" s="13" t="s">
        <v>82</v>
      </c>
      <c r="J1669" s="13" t="s">
        <v>5716</v>
      </c>
      <c r="K1669" s="13"/>
      <c r="L1669" s="13" t="s">
        <v>6694</v>
      </c>
      <c r="M1669" s="13" t="s">
        <v>6695</v>
      </c>
    </row>
    <row r="1670" customFormat="false" ht="102.2" hidden="false" customHeight="false" outlineLevel="0" collapsed="false">
      <c r="A1670" s="13" t="s">
        <v>4</v>
      </c>
      <c r="B1670" s="13" t="s">
        <v>68</v>
      </c>
      <c r="C1670" s="13" t="n">
        <v>313</v>
      </c>
      <c r="D1670" s="13" t="s">
        <v>6689</v>
      </c>
      <c r="E1670" s="13" t="s">
        <v>6698</v>
      </c>
      <c r="F1670" s="13" t="s">
        <v>6691</v>
      </c>
      <c r="G1670" s="13" t="s">
        <v>6699</v>
      </c>
      <c r="H1670" s="13" t="s">
        <v>6700</v>
      </c>
      <c r="I1670" s="13" t="s">
        <v>82</v>
      </c>
      <c r="J1670" s="13" t="s">
        <v>5716</v>
      </c>
      <c r="K1670" s="13"/>
      <c r="L1670" s="13" t="s">
        <v>6694</v>
      </c>
      <c r="M1670" s="13" t="s">
        <v>6695</v>
      </c>
    </row>
    <row r="1671" customFormat="false" ht="102.2" hidden="false" customHeight="false" outlineLevel="0" collapsed="false">
      <c r="A1671" s="13" t="s">
        <v>4</v>
      </c>
      <c r="B1671" s="13" t="s">
        <v>68</v>
      </c>
      <c r="C1671" s="13" t="n">
        <v>313</v>
      </c>
      <c r="D1671" s="13" t="s">
        <v>6689</v>
      </c>
      <c r="E1671" s="13" t="s">
        <v>6701</v>
      </c>
      <c r="F1671" s="13" t="s">
        <v>6691</v>
      </c>
      <c r="G1671" s="13" t="s">
        <v>6702</v>
      </c>
      <c r="H1671" s="13" t="s">
        <v>6703</v>
      </c>
      <c r="I1671" s="13" t="s">
        <v>82</v>
      </c>
      <c r="J1671" s="13" t="s">
        <v>5716</v>
      </c>
      <c r="K1671" s="13"/>
      <c r="L1671" s="13" t="s">
        <v>6694</v>
      </c>
      <c r="M1671" s="13" t="s">
        <v>6695</v>
      </c>
    </row>
    <row r="1672" customFormat="false" ht="91" hidden="false" customHeight="false" outlineLevel="0" collapsed="false">
      <c r="A1672" s="13" t="s">
        <v>4</v>
      </c>
      <c r="B1672" s="13" t="s">
        <v>68</v>
      </c>
      <c r="C1672" s="13" t="n">
        <v>313</v>
      </c>
      <c r="D1672" s="13" t="s">
        <v>6704</v>
      </c>
      <c r="E1672" s="13" t="s">
        <v>6705</v>
      </c>
      <c r="F1672" s="13" t="s">
        <v>806</v>
      </c>
      <c r="G1672" s="13" t="s">
        <v>2177</v>
      </c>
      <c r="H1672" s="13" t="s">
        <v>6706</v>
      </c>
      <c r="I1672" s="13" t="s">
        <v>82</v>
      </c>
      <c r="J1672" s="13" t="s">
        <v>5716</v>
      </c>
      <c r="K1672" s="13"/>
      <c r="L1672" s="13" t="s">
        <v>6707</v>
      </c>
      <c r="M1672" s="13" t="s">
        <v>6708</v>
      </c>
    </row>
    <row r="1673" customFormat="false" ht="91" hidden="false" customHeight="false" outlineLevel="0" collapsed="false">
      <c r="A1673" s="13" t="s">
        <v>4</v>
      </c>
      <c r="B1673" s="13" t="s">
        <v>68</v>
      </c>
      <c r="C1673" s="13" t="n">
        <v>313</v>
      </c>
      <c r="D1673" s="13" t="s">
        <v>6704</v>
      </c>
      <c r="E1673" s="13" t="s">
        <v>6709</v>
      </c>
      <c r="F1673" s="13" t="s">
        <v>806</v>
      </c>
      <c r="G1673" s="13" t="s">
        <v>6710</v>
      </c>
      <c r="H1673" s="13" t="s">
        <v>6711</v>
      </c>
      <c r="I1673" s="13" t="s">
        <v>82</v>
      </c>
      <c r="J1673" s="13" t="s">
        <v>5716</v>
      </c>
      <c r="K1673" s="13"/>
      <c r="L1673" s="13" t="s">
        <v>6707</v>
      </c>
      <c r="M1673" s="13" t="s">
        <v>6708</v>
      </c>
    </row>
    <row r="1674" customFormat="false" ht="91" hidden="false" customHeight="false" outlineLevel="0" collapsed="false">
      <c r="A1674" s="13" t="s">
        <v>4</v>
      </c>
      <c r="B1674" s="13" t="s">
        <v>68</v>
      </c>
      <c r="C1674" s="13" t="n">
        <v>313</v>
      </c>
      <c r="D1674" s="13" t="s">
        <v>6704</v>
      </c>
      <c r="E1674" s="13" t="s">
        <v>6712</v>
      </c>
      <c r="F1674" s="13" t="s">
        <v>806</v>
      </c>
      <c r="G1674" s="13" t="s">
        <v>6710</v>
      </c>
      <c r="H1674" s="13" t="s">
        <v>6713</v>
      </c>
      <c r="I1674" s="13" t="s">
        <v>82</v>
      </c>
      <c r="J1674" s="13" t="s">
        <v>5716</v>
      </c>
      <c r="K1674" s="13"/>
      <c r="L1674" s="13" t="s">
        <v>6707</v>
      </c>
      <c r="M1674" s="13" t="s">
        <v>6708</v>
      </c>
    </row>
    <row r="1675" customFormat="false" ht="91" hidden="false" customHeight="false" outlineLevel="0" collapsed="false">
      <c r="A1675" s="13" t="s">
        <v>4</v>
      </c>
      <c r="B1675" s="13" t="s">
        <v>68</v>
      </c>
      <c r="C1675" s="13" t="n">
        <v>313</v>
      </c>
      <c r="D1675" s="13" t="s">
        <v>6704</v>
      </c>
      <c r="E1675" s="13" t="s">
        <v>6714</v>
      </c>
      <c r="F1675" s="13" t="s">
        <v>806</v>
      </c>
      <c r="G1675" s="13" t="s">
        <v>6710</v>
      </c>
      <c r="H1675" s="13" t="s">
        <v>6715</v>
      </c>
      <c r="I1675" s="13" t="s">
        <v>82</v>
      </c>
      <c r="J1675" s="13" t="s">
        <v>5716</v>
      </c>
      <c r="K1675" s="13"/>
      <c r="L1675" s="13" t="s">
        <v>6707</v>
      </c>
      <c r="M1675" s="13" t="s">
        <v>6708</v>
      </c>
    </row>
    <row r="1676" customFormat="false" ht="91" hidden="false" customHeight="false" outlineLevel="0" collapsed="false">
      <c r="A1676" s="13" t="s">
        <v>4</v>
      </c>
      <c r="B1676" s="13" t="s">
        <v>68</v>
      </c>
      <c r="C1676" s="13" t="n">
        <v>313</v>
      </c>
      <c r="D1676" s="13" t="s">
        <v>6704</v>
      </c>
      <c r="E1676" s="13" t="s">
        <v>6716</v>
      </c>
      <c r="F1676" s="13" t="s">
        <v>806</v>
      </c>
      <c r="G1676" s="13" t="s">
        <v>6710</v>
      </c>
      <c r="H1676" s="13" t="s">
        <v>6717</v>
      </c>
      <c r="I1676" s="13" t="s">
        <v>82</v>
      </c>
      <c r="J1676" s="13" t="s">
        <v>5716</v>
      </c>
      <c r="K1676" s="13"/>
      <c r="L1676" s="13" t="s">
        <v>6707</v>
      </c>
      <c r="M1676" s="13" t="s">
        <v>6708</v>
      </c>
    </row>
    <row r="1677" customFormat="false" ht="102.2" hidden="false" customHeight="false" outlineLevel="0" collapsed="false">
      <c r="A1677" s="13" t="s">
        <v>4</v>
      </c>
      <c r="B1677" s="13" t="s">
        <v>68</v>
      </c>
      <c r="C1677" s="13" t="n">
        <v>313</v>
      </c>
      <c r="D1677" s="13" t="s">
        <v>6718</v>
      </c>
      <c r="E1677" s="13" t="s">
        <v>6719</v>
      </c>
      <c r="F1677" s="13" t="s">
        <v>806</v>
      </c>
      <c r="G1677" s="13" t="s">
        <v>554</v>
      </c>
      <c r="H1677" s="13" t="s">
        <v>6720</v>
      </c>
      <c r="I1677" s="13" t="s">
        <v>82</v>
      </c>
      <c r="J1677" s="13" t="s">
        <v>5716</v>
      </c>
      <c r="K1677" s="13"/>
      <c r="L1677" s="13" t="s">
        <v>6721</v>
      </c>
      <c r="M1677" s="13" t="s">
        <v>6722</v>
      </c>
    </row>
    <row r="1678" customFormat="false" ht="102.2" hidden="false" customHeight="false" outlineLevel="0" collapsed="false">
      <c r="A1678" s="13" t="s">
        <v>4</v>
      </c>
      <c r="B1678" s="13" t="s">
        <v>68</v>
      </c>
      <c r="C1678" s="13" t="n">
        <v>313</v>
      </c>
      <c r="D1678" s="13" t="s">
        <v>6718</v>
      </c>
      <c r="E1678" s="13" t="s">
        <v>6723</v>
      </c>
      <c r="F1678" s="13" t="s">
        <v>806</v>
      </c>
      <c r="G1678" s="13" t="s">
        <v>6724</v>
      </c>
      <c r="H1678" s="13" t="s">
        <v>6725</v>
      </c>
      <c r="I1678" s="13" t="s">
        <v>82</v>
      </c>
      <c r="J1678" s="13" t="s">
        <v>5716</v>
      </c>
      <c r="K1678" s="13"/>
      <c r="L1678" s="13" t="s">
        <v>6721</v>
      </c>
      <c r="M1678" s="13" t="s">
        <v>6722</v>
      </c>
    </row>
    <row r="1679" customFormat="false" ht="102.2" hidden="false" customHeight="false" outlineLevel="0" collapsed="false">
      <c r="A1679" s="13" t="s">
        <v>4</v>
      </c>
      <c r="B1679" s="13" t="s">
        <v>68</v>
      </c>
      <c r="C1679" s="13" t="n">
        <v>313</v>
      </c>
      <c r="D1679" s="13" t="s">
        <v>6718</v>
      </c>
      <c r="E1679" s="13" t="s">
        <v>6726</v>
      </c>
      <c r="F1679" s="13" t="s">
        <v>806</v>
      </c>
      <c r="G1679" s="13" t="s">
        <v>6724</v>
      </c>
      <c r="H1679" s="13" t="s">
        <v>959</v>
      </c>
      <c r="I1679" s="13" t="s">
        <v>82</v>
      </c>
      <c r="J1679" s="13" t="s">
        <v>5716</v>
      </c>
      <c r="K1679" s="13"/>
      <c r="L1679" s="13" t="s">
        <v>6721</v>
      </c>
      <c r="M1679" s="13" t="s">
        <v>6722</v>
      </c>
    </row>
    <row r="1680" customFormat="false" ht="102.2" hidden="false" customHeight="false" outlineLevel="0" collapsed="false">
      <c r="A1680" s="13" t="s">
        <v>4</v>
      </c>
      <c r="B1680" s="13" t="s">
        <v>68</v>
      </c>
      <c r="C1680" s="13" t="n">
        <v>313</v>
      </c>
      <c r="D1680" s="13" t="s">
        <v>6718</v>
      </c>
      <c r="E1680" s="13" t="s">
        <v>6727</v>
      </c>
      <c r="F1680" s="13" t="s">
        <v>806</v>
      </c>
      <c r="G1680" s="13" t="s">
        <v>6728</v>
      </c>
      <c r="H1680" s="13" t="s">
        <v>6729</v>
      </c>
      <c r="I1680" s="13" t="s">
        <v>82</v>
      </c>
      <c r="J1680" s="13" t="s">
        <v>5716</v>
      </c>
      <c r="K1680" s="13"/>
      <c r="L1680" s="13" t="s">
        <v>6721</v>
      </c>
      <c r="M1680" s="13" t="s">
        <v>6722</v>
      </c>
    </row>
    <row r="1681" customFormat="false" ht="102.2" hidden="false" customHeight="false" outlineLevel="0" collapsed="false">
      <c r="A1681" s="13" t="s">
        <v>4</v>
      </c>
      <c r="B1681" s="13" t="s">
        <v>68</v>
      </c>
      <c r="C1681" s="13" t="n">
        <v>313</v>
      </c>
      <c r="D1681" s="13" t="s">
        <v>6718</v>
      </c>
      <c r="E1681" s="13" t="s">
        <v>6730</v>
      </c>
      <c r="F1681" s="13" t="s">
        <v>806</v>
      </c>
      <c r="G1681" s="13" t="s">
        <v>6731</v>
      </c>
      <c r="H1681" s="13" t="s">
        <v>6732</v>
      </c>
      <c r="I1681" s="13" t="s">
        <v>82</v>
      </c>
      <c r="J1681" s="13" t="s">
        <v>5716</v>
      </c>
      <c r="K1681" s="13"/>
      <c r="L1681" s="13" t="s">
        <v>6721</v>
      </c>
      <c r="M1681" s="13" t="s">
        <v>6722</v>
      </c>
    </row>
    <row r="1682" customFormat="false" ht="102.2" hidden="false" customHeight="false" outlineLevel="0" collapsed="false">
      <c r="A1682" s="13" t="s">
        <v>4</v>
      </c>
      <c r="B1682" s="13" t="s">
        <v>68</v>
      </c>
      <c r="C1682" s="13" t="n">
        <v>313</v>
      </c>
      <c r="D1682" s="13" t="s">
        <v>6718</v>
      </c>
      <c r="E1682" s="13" t="s">
        <v>6733</v>
      </c>
      <c r="F1682" s="13" t="s">
        <v>806</v>
      </c>
      <c r="G1682" s="13" t="s">
        <v>6734</v>
      </c>
      <c r="H1682" s="13" t="s">
        <v>6732</v>
      </c>
      <c r="I1682" s="13" t="s">
        <v>82</v>
      </c>
      <c r="J1682" s="13" t="s">
        <v>5716</v>
      </c>
      <c r="K1682" s="13"/>
      <c r="L1682" s="13" t="s">
        <v>6721</v>
      </c>
      <c r="M1682" s="13" t="s">
        <v>6722</v>
      </c>
    </row>
    <row r="1683" customFormat="false" ht="202.95" hidden="false" customHeight="false" outlineLevel="0" collapsed="false">
      <c r="A1683" s="13" t="s">
        <v>4</v>
      </c>
      <c r="B1683" s="13" t="s">
        <v>68</v>
      </c>
      <c r="C1683" s="13" t="n">
        <v>313</v>
      </c>
      <c r="D1683" s="13" t="s">
        <v>6735</v>
      </c>
      <c r="E1683" s="13" t="s">
        <v>6736</v>
      </c>
      <c r="F1683" s="13" t="s">
        <v>6691</v>
      </c>
      <c r="G1683" s="13" t="s">
        <v>6477</v>
      </c>
      <c r="H1683" s="13" t="s">
        <v>6737</v>
      </c>
      <c r="I1683" s="13" t="s">
        <v>82</v>
      </c>
      <c r="J1683" s="13" t="s">
        <v>5716</v>
      </c>
      <c r="K1683" s="13"/>
      <c r="L1683" s="13" t="s">
        <v>6738</v>
      </c>
      <c r="M1683" s="13" t="s">
        <v>6739</v>
      </c>
    </row>
    <row r="1684" customFormat="false" ht="202.95" hidden="false" customHeight="false" outlineLevel="0" collapsed="false">
      <c r="A1684" s="13" t="s">
        <v>4</v>
      </c>
      <c r="B1684" s="13" t="s">
        <v>68</v>
      </c>
      <c r="C1684" s="13" t="n">
        <v>313</v>
      </c>
      <c r="D1684" s="13" t="s">
        <v>6735</v>
      </c>
      <c r="E1684" s="13" t="s">
        <v>6740</v>
      </c>
      <c r="F1684" s="13" t="s">
        <v>6741</v>
      </c>
      <c r="G1684" s="13" t="s">
        <v>6742</v>
      </c>
      <c r="H1684" s="13" t="s">
        <v>6743</v>
      </c>
      <c r="I1684" s="13" t="s">
        <v>82</v>
      </c>
      <c r="J1684" s="13" t="s">
        <v>5716</v>
      </c>
      <c r="K1684" s="13"/>
      <c r="L1684" s="13" t="s">
        <v>6738</v>
      </c>
      <c r="M1684" s="13" t="s">
        <v>6739</v>
      </c>
    </row>
    <row r="1685" customFormat="false" ht="202.95" hidden="false" customHeight="false" outlineLevel="0" collapsed="false">
      <c r="A1685" s="13" t="s">
        <v>4</v>
      </c>
      <c r="B1685" s="13" t="s">
        <v>68</v>
      </c>
      <c r="C1685" s="13" t="n">
        <v>313</v>
      </c>
      <c r="D1685" s="13" t="s">
        <v>6735</v>
      </c>
      <c r="E1685" s="13" t="s">
        <v>6744</v>
      </c>
      <c r="F1685" s="13" t="s">
        <v>6691</v>
      </c>
      <c r="G1685" s="13" t="s">
        <v>6745</v>
      </c>
      <c r="H1685" s="13" t="s">
        <v>6746</v>
      </c>
      <c r="I1685" s="13" t="s">
        <v>82</v>
      </c>
      <c r="J1685" s="13" t="s">
        <v>5716</v>
      </c>
      <c r="K1685" s="13"/>
      <c r="L1685" s="13" t="s">
        <v>6738</v>
      </c>
      <c r="M1685" s="13" t="s">
        <v>6739</v>
      </c>
    </row>
    <row r="1686" customFormat="false" ht="202.95" hidden="false" customHeight="false" outlineLevel="0" collapsed="false">
      <c r="A1686" s="13" t="s">
        <v>4</v>
      </c>
      <c r="B1686" s="13" t="s">
        <v>68</v>
      </c>
      <c r="C1686" s="13" t="n">
        <v>313</v>
      </c>
      <c r="D1686" s="13" t="s">
        <v>6735</v>
      </c>
      <c r="E1686" s="13" t="s">
        <v>6747</v>
      </c>
      <c r="F1686" s="13" t="s">
        <v>6691</v>
      </c>
      <c r="G1686" s="13" t="s">
        <v>6745</v>
      </c>
      <c r="H1686" s="13" t="s">
        <v>6748</v>
      </c>
      <c r="I1686" s="13" t="s">
        <v>82</v>
      </c>
      <c r="J1686" s="13" t="s">
        <v>5716</v>
      </c>
      <c r="K1686" s="13"/>
      <c r="L1686" s="13" t="s">
        <v>6738</v>
      </c>
      <c r="M1686" s="13" t="s">
        <v>6739</v>
      </c>
    </row>
    <row r="1687" customFormat="false" ht="202.95" hidden="false" customHeight="false" outlineLevel="0" collapsed="false">
      <c r="A1687" s="13" t="s">
        <v>4</v>
      </c>
      <c r="B1687" s="13" t="s">
        <v>68</v>
      </c>
      <c r="C1687" s="13" t="n">
        <v>313</v>
      </c>
      <c r="D1687" s="13" t="s">
        <v>6735</v>
      </c>
      <c r="E1687" s="13" t="s">
        <v>6749</v>
      </c>
      <c r="F1687" s="13" t="s">
        <v>6691</v>
      </c>
      <c r="G1687" s="13" t="s">
        <v>6745</v>
      </c>
      <c r="H1687" s="13" t="s">
        <v>6750</v>
      </c>
      <c r="I1687" s="13" t="s">
        <v>82</v>
      </c>
      <c r="J1687" s="13" t="s">
        <v>5716</v>
      </c>
      <c r="K1687" s="13"/>
      <c r="L1687" s="13" t="s">
        <v>6738</v>
      </c>
      <c r="M1687" s="13" t="s">
        <v>6739</v>
      </c>
    </row>
    <row r="1688" customFormat="false" ht="202.95" hidden="false" customHeight="false" outlineLevel="0" collapsed="false">
      <c r="A1688" s="13" t="s">
        <v>4</v>
      </c>
      <c r="B1688" s="13" t="s">
        <v>68</v>
      </c>
      <c r="C1688" s="13" t="n">
        <v>313</v>
      </c>
      <c r="D1688" s="13" t="s">
        <v>6735</v>
      </c>
      <c r="E1688" s="13" t="s">
        <v>6751</v>
      </c>
      <c r="F1688" s="13" t="s">
        <v>6741</v>
      </c>
      <c r="G1688" s="13" t="s">
        <v>6752</v>
      </c>
      <c r="H1688" s="13" t="s">
        <v>6753</v>
      </c>
      <c r="I1688" s="13" t="s">
        <v>82</v>
      </c>
      <c r="J1688" s="13" t="s">
        <v>5716</v>
      </c>
      <c r="K1688" s="13"/>
      <c r="L1688" s="13" t="s">
        <v>6738</v>
      </c>
      <c r="M1688" s="13" t="s">
        <v>6739</v>
      </c>
    </row>
    <row r="1689" customFormat="false" ht="202.95" hidden="false" customHeight="false" outlineLevel="0" collapsed="false">
      <c r="A1689" s="13" t="s">
        <v>4</v>
      </c>
      <c r="B1689" s="13" t="s">
        <v>68</v>
      </c>
      <c r="C1689" s="13" t="n">
        <v>313</v>
      </c>
      <c r="D1689" s="13" t="s">
        <v>6735</v>
      </c>
      <c r="E1689" s="13" t="s">
        <v>6754</v>
      </c>
      <c r="F1689" s="13" t="s">
        <v>6741</v>
      </c>
      <c r="G1689" s="13" t="s">
        <v>6755</v>
      </c>
      <c r="H1689" s="13" t="s">
        <v>6756</v>
      </c>
      <c r="I1689" s="13" t="s">
        <v>82</v>
      </c>
      <c r="J1689" s="13" t="s">
        <v>5716</v>
      </c>
      <c r="K1689" s="13"/>
      <c r="L1689" s="13" t="s">
        <v>6738</v>
      </c>
      <c r="M1689" s="13" t="s">
        <v>6739</v>
      </c>
    </row>
    <row r="1690" customFormat="false" ht="202.95" hidden="false" customHeight="false" outlineLevel="0" collapsed="false">
      <c r="A1690" s="13" t="s">
        <v>4</v>
      </c>
      <c r="B1690" s="13" t="s">
        <v>68</v>
      </c>
      <c r="C1690" s="13" t="n">
        <v>313</v>
      </c>
      <c r="D1690" s="13" t="s">
        <v>6735</v>
      </c>
      <c r="E1690" s="13" t="s">
        <v>6757</v>
      </c>
      <c r="F1690" s="13" t="s">
        <v>6758</v>
      </c>
      <c r="G1690" s="13" t="s">
        <v>6335</v>
      </c>
      <c r="H1690" s="13" t="s">
        <v>6741</v>
      </c>
      <c r="I1690" s="13" t="s">
        <v>82</v>
      </c>
      <c r="J1690" s="13" t="s">
        <v>5716</v>
      </c>
      <c r="K1690" s="13"/>
      <c r="L1690" s="13" t="s">
        <v>6738</v>
      </c>
      <c r="M1690" s="13" t="s">
        <v>6739</v>
      </c>
    </row>
    <row r="1691" customFormat="false" ht="303.7" hidden="false" customHeight="false" outlineLevel="0" collapsed="false">
      <c r="A1691" s="13" t="s">
        <v>4</v>
      </c>
      <c r="B1691" s="13" t="s">
        <v>68</v>
      </c>
      <c r="C1691" s="13" t="n">
        <v>313</v>
      </c>
      <c r="D1691" s="13" t="s">
        <v>6759</v>
      </c>
      <c r="E1691" s="13" t="s">
        <v>6760</v>
      </c>
      <c r="F1691" s="13" t="s">
        <v>6761</v>
      </c>
      <c r="G1691" s="13" t="s">
        <v>3951</v>
      </c>
      <c r="H1691" s="13" t="s">
        <v>6762</v>
      </c>
      <c r="I1691" s="13" t="s">
        <v>82</v>
      </c>
      <c r="J1691" s="13" t="s">
        <v>5716</v>
      </c>
      <c r="K1691" s="13"/>
      <c r="L1691" s="13" t="s">
        <v>6763</v>
      </c>
      <c r="M1691" s="13" t="s">
        <v>6764</v>
      </c>
    </row>
    <row r="1692" customFormat="false" ht="303.7" hidden="false" customHeight="false" outlineLevel="0" collapsed="false">
      <c r="A1692" s="13" t="s">
        <v>4</v>
      </c>
      <c r="B1692" s="13" t="s">
        <v>68</v>
      </c>
      <c r="C1692" s="13" t="n">
        <v>313</v>
      </c>
      <c r="D1692" s="13" t="s">
        <v>6759</v>
      </c>
      <c r="E1692" s="13" t="s">
        <v>6765</v>
      </c>
      <c r="F1692" s="13" t="s">
        <v>6762</v>
      </c>
      <c r="G1692" s="13" t="s">
        <v>6766</v>
      </c>
      <c r="H1692" s="13" t="s">
        <v>6761</v>
      </c>
      <c r="I1692" s="13" t="s">
        <v>82</v>
      </c>
      <c r="J1692" s="13" t="s">
        <v>5716</v>
      </c>
      <c r="K1692" s="13"/>
      <c r="L1692" s="13" t="s">
        <v>6763</v>
      </c>
      <c r="M1692" s="13" t="s">
        <v>6764</v>
      </c>
    </row>
    <row r="1693" customFormat="false" ht="303.7" hidden="false" customHeight="false" outlineLevel="0" collapsed="false">
      <c r="A1693" s="13" t="s">
        <v>4</v>
      </c>
      <c r="B1693" s="13" t="s">
        <v>68</v>
      </c>
      <c r="C1693" s="13" t="n">
        <v>313</v>
      </c>
      <c r="D1693" s="13" t="s">
        <v>6759</v>
      </c>
      <c r="E1693" s="13" t="s">
        <v>6767</v>
      </c>
      <c r="F1693" s="13" t="s">
        <v>6768</v>
      </c>
      <c r="G1693" s="13" t="s">
        <v>6769</v>
      </c>
      <c r="H1693" s="13" t="s">
        <v>6761</v>
      </c>
      <c r="I1693" s="13" t="s">
        <v>82</v>
      </c>
      <c r="J1693" s="13" t="s">
        <v>5716</v>
      </c>
      <c r="K1693" s="13"/>
      <c r="L1693" s="13" t="s">
        <v>6763</v>
      </c>
      <c r="M1693" s="13" t="s">
        <v>6764</v>
      </c>
    </row>
    <row r="1694" customFormat="false" ht="303.7" hidden="false" customHeight="false" outlineLevel="0" collapsed="false">
      <c r="A1694" s="13" t="s">
        <v>4</v>
      </c>
      <c r="B1694" s="13" t="s">
        <v>68</v>
      </c>
      <c r="C1694" s="13" t="n">
        <v>313</v>
      </c>
      <c r="D1694" s="13" t="s">
        <v>6759</v>
      </c>
      <c r="E1694" s="13" t="s">
        <v>6770</v>
      </c>
      <c r="F1694" s="13" t="s">
        <v>6771</v>
      </c>
      <c r="G1694" s="13" t="s">
        <v>5970</v>
      </c>
      <c r="H1694" s="13" t="s">
        <v>6772</v>
      </c>
      <c r="I1694" s="13" t="s">
        <v>82</v>
      </c>
      <c r="J1694" s="13" t="s">
        <v>5716</v>
      </c>
      <c r="K1694" s="13"/>
      <c r="L1694" s="13" t="s">
        <v>6763</v>
      </c>
      <c r="M1694" s="13" t="s">
        <v>6764</v>
      </c>
    </row>
    <row r="1695" customFormat="false" ht="303.7" hidden="false" customHeight="false" outlineLevel="0" collapsed="false">
      <c r="A1695" s="13" t="s">
        <v>4</v>
      </c>
      <c r="B1695" s="13" t="s">
        <v>68</v>
      </c>
      <c r="C1695" s="13" t="n">
        <v>313</v>
      </c>
      <c r="D1695" s="13" t="s">
        <v>6759</v>
      </c>
      <c r="E1695" s="13" t="s">
        <v>6773</v>
      </c>
      <c r="F1695" s="13" t="s">
        <v>6771</v>
      </c>
      <c r="G1695" s="13" t="s">
        <v>6774</v>
      </c>
      <c r="H1695" s="13" t="s">
        <v>6741</v>
      </c>
      <c r="I1695" s="13" t="s">
        <v>82</v>
      </c>
      <c r="J1695" s="13" t="s">
        <v>5716</v>
      </c>
      <c r="K1695" s="13"/>
      <c r="L1695" s="13" t="s">
        <v>6763</v>
      </c>
      <c r="M1695" s="13" t="s">
        <v>6764</v>
      </c>
    </row>
    <row r="1696" customFormat="false" ht="303.7" hidden="false" customHeight="false" outlineLevel="0" collapsed="false">
      <c r="A1696" s="13" t="s">
        <v>4</v>
      </c>
      <c r="B1696" s="13" t="s">
        <v>68</v>
      </c>
      <c r="C1696" s="13" t="n">
        <v>313</v>
      </c>
      <c r="D1696" s="13" t="s">
        <v>6759</v>
      </c>
      <c r="E1696" s="13" t="s">
        <v>6775</v>
      </c>
      <c r="F1696" s="13" t="s">
        <v>6746</v>
      </c>
      <c r="G1696" s="13" t="s">
        <v>6776</v>
      </c>
      <c r="H1696" s="13" t="s">
        <v>6741</v>
      </c>
      <c r="I1696" s="13" t="s">
        <v>82</v>
      </c>
      <c r="J1696" s="13" t="s">
        <v>5716</v>
      </c>
      <c r="K1696" s="13"/>
      <c r="L1696" s="13" t="s">
        <v>6763</v>
      </c>
      <c r="M1696" s="13" t="s">
        <v>6764</v>
      </c>
    </row>
    <row r="1697" customFormat="false" ht="303.7" hidden="false" customHeight="false" outlineLevel="0" collapsed="false">
      <c r="A1697" s="13" t="s">
        <v>4</v>
      </c>
      <c r="B1697" s="13" t="s">
        <v>68</v>
      </c>
      <c r="C1697" s="13" t="n">
        <v>313</v>
      </c>
      <c r="D1697" s="13" t="s">
        <v>6759</v>
      </c>
      <c r="E1697" s="13" t="s">
        <v>6777</v>
      </c>
      <c r="F1697" s="13" t="s">
        <v>6778</v>
      </c>
      <c r="G1697" s="13" t="s">
        <v>6776</v>
      </c>
      <c r="H1697" s="13" t="s">
        <v>6741</v>
      </c>
      <c r="I1697" s="13" t="s">
        <v>82</v>
      </c>
      <c r="J1697" s="13" t="s">
        <v>5716</v>
      </c>
      <c r="K1697" s="13"/>
      <c r="L1697" s="13" t="s">
        <v>6763</v>
      </c>
      <c r="M1697" s="13" t="s">
        <v>6764</v>
      </c>
    </row>
    <row r="1698" customFormat="false" ht="303.7" hidden="false" customHeight="false" outlineLevel="0" collapsed="false">
      <c r="A1698" s="13" t="s">
        <v>4</v>
      </c>
      <c r="B1698" s="13" t="s">
        <v>68</v>
      </c>
      <c r="C1698" s="13" t="n">
        <v>313</v>
      </c>
      <c r="D1698" s="13" t="s">
        <v>6759</v>
      </c>
      <c r="E1698" s="13" t="s">
        <v>6779</v>
      </c>
      <c r="F1698" s="13" t="s">
        <v>6780</v>
      </c>
      <c r="G1698" s="13" t="s">
        <v>6776</v>
      </c>
      <c r="H1698" s="13" t="s">
        <v>6741</v>
      </c>
      <c r="I1698" s="13" t="s">
        <v>82</v>
      </c>
      <c r="J1698" s="13" t="s">
        <v>5716</v>
      </c>
      <c r="K1698" s="13"/>
      <c r="L1698" s="13" t="s">
        <v>6763</v>
      </c>
      <c r="M1698" s="13" t="s">
        <v>6764</v>
      </c>
    </row>
    <row r="1699" customFormat="false" ht="57.45" hidden="false" customHeight="false" outlineLevel="0" collapsed="false">
      <c r="A1699" s="13" t="s">
        <v>4</v>
      </c>
      <c r="B1699" s="13" t="s">
        <v>68</v>
      </c>
      <c r="C1699" s="13" t="n">
        <v>323</v>
      </c>
      <c r="D1699" s="13" t="s">
        <v>6781</v>
      </c>
      <c r="E1699" s="13" t="s">
        <v>6782</v>
      </c>
      <c r="F1699" s="13" t="s">
        <v>1439</v>
      </c>
      <c r="G1699" s="13" t="s">
        <v>6783</v>
      </c>
      <c r="H1699" s="13" t="s">
        <v>6784</v>
      </c>
      <c r="I1699" s="13" t="s">
        <v>82</v>
      </c>
      <c r="J1699" s="13" t="s">
        <v>5716</v>
      </c>
      <c r="K1699" s="13"/>
      <c r="L1699" s="13" t="s">
        <v>6785</v>
      </c>
      <c r="M1699" s="13" t="s">
        <v>6786</v>
      </c>
    </row>
    <row r="1700" customFormat="false" ht="57.45" hidden="false" customHeight="false" outlineLevel="0" collapsed="false">
      <c r="A1700" s="13" t="s">
        <v>4</v>
      </c>
      <c r="B1700" s="13" t="s">
        <v>68</v>
      </c>
      <c r="C1700" s="13" t="n">
        <v>323</v>
      </c>
      <c r="D1700" s="13" t="s">
        <v>6781</v>
      </c>
      <c r="E1700" s="13" t="s">
        <v>6787</v>
      </c>
      <c r="F1700" s="13" t="s">
        <v>1439</v>
      </c>
      <c r="G1700" s="13" t="s">
        <v>6788</v>
      </c>
      <c r="H1700" s="13" t="s">
        <v>6784</v>
      </c>
      <c r="I1700" s="13" t="s">
        <v>82</v>
      </c>
      <c r="J1700" s="13" t="s">
        <v>5716</v>
      </c>
      <c r="K1700" s="13"/>
      <c r="L1700" s="13" t="s">
        <v>6785</v>
      </c>
      <c r="M1700" s="13" t="s">
        <v>6786</v>
      </c>
    </row>
    <row r="1701" customFormat="false" ht="35.05" hidden="false" customHeight="false" outlineLevel="0" collapsed="false">
      <c r="A1701" s="13" t="s">
        <v>4</v>
      </c>
      <c r="B1701" s="13" t="s">
        <v>68</v>
      </c>
      <c r="C1701" s="13" t="n">
        <v>323</v>
      </c>
      <c r="D1701" s="13" t="s">
        <v>6789</v>
      </c>
      <c r="E1701" s="13" t="s">
        <v>6790</v>
      </c>
      <c r="F1701" s="13" t="s">
        <v>1439</v>
      </c>
      <c r="G1701" s="13" t="s">
        <v>6731</v>
      </c>
      <c r="H1701" s="13" t="s">
        <v>6791</v>
      </c>
      <c r="I1701" s="13" t="s">
        <v>82</v>
      </c>
      <c r="J1701" s="13" t="s">
        <v>5716</v>
      </c>
      <c r="K1701" s="13"/>
      <c r="L1701" s="13" t="s">
        <v>6792</v>
      </c>
      <c r="M1701" s="13" t="s">
        <v>6793</v>
      </c>
    </row>
    <row r="1702" customFormat="false" ht="35.05" hidden="false" customHeight="false" outlineLevel="0" collapsed="false">
      <c r="A1702" s="13" t="s">
        <v>4</v>
      </c>
      <c r="B1702" s="13" t="s">
        <v>68</v>
      </c>
      <c r="C1702" s="13" t="n">
        <v>323</v>
      </c>
      <c r="D1702" s="13" t="s">
        <v>6789</v>
      </c>
      <c r="E1702" s="13" t="s">
        <v>6794</v>
      </c>
      <c r="F1702" s="13" t="s">
        <v>1439</v>
      </c>
      <c r="G1702" s="13" t="s">
        <v>6795</v>
      </c>
      <c r="H1702" s="13" t="s">
        <v>6796</v>
      </c>
      <c r="I1702" s="13" t="s">
        <v>82</v>
      </c>
      <c r="J1702" s="13" t="s">
        <v>5716</v>
      </c>
      <c r="K1702" s="13"/>
      <c r="L1702" s="13" t="s">
        <v>6792</v>
      </c>
      <c r="M1702" s="13" t="s">
        <v>6793</v>
      </c>
    </row>
    <row r="1703" customFormat="false" ht="57.45" hidden="false" customHeight="false" outlineLevel="0" collapsed="false">
      <c r="A1703" s="13" t="s">
        <v>4</v>
      </c>
      <c r="B1703" s="13" t="s">
        <v>68</v>
      </c>
      <c r="C1703" s="13" t="n">
        <v>323</v>
      </c>
      <c r="D1703" s="13" t="s">
        <v>6797</v>
      </c>
      <c r="E1703" s="13" t="s">
        <v>6798</v>
      </c>
      <c r="F1703" s="13" t="s">
        <v>1439</v>
      </c>
      <c r="G1703" s="13" t="s">
        <v>6799</v>
      </c>
      <c r="H1703" s="13" t="s">
        <v>6800</v>
      </c>
      <c r="I1703" s="13" t="s">
        <v>82</v>
      </c>
      <c r="J1703" s="13" t="s">
        <v>5716</v>
      </c>
      <c r="K1703" s="13"/>
      <c r="L1703" s="13" t="s">
        <v>6801</v>
      </c>
      <c r="M1703" s="13" t="s">
        <v>6802</v>
      </c>
    </row>
    <row r="1704" customFormat="false" ht="57.45" hidden="false" customHeight="false" outlineLevel="0" collapsed="false">
      <c r="A1704" s="13" t="s">
        <v>4</v>
      </c>
      <c r="B1704" s="13" t="s">
        <v>68</v>
      </c>
      <c r="C1704" s="13" t="n">
        <v>323</v>
      </c>
      <c r="D1704" s="13" t="s">
        <v>6797</v>
      </c>
      <c r="E1704" s="13" t="s">
        <v>6803</v>
      </c>
      <c r="F1704" s="13" t="s">
        <v>1439</v>
      </c>
      <c r="G1704" s="13" t="s">
        <v>6804</v>
      </c>
      <c r="H1704" s="13" t="s">
        <v>6805</v>
      </c>
      <c r="I1704" s="13" t="s">
        <v>82</v>
      </c>
      <c r="J1704" s="13" t="s">
        <v>5716</v>
      </c>
      <c r="K1704" s="13"/>
      <c r="L1704" s="13" t="s">
        <v>6801</v>
      </c>
      <c r="M1704" s="13" t="s">
        <v>6802</v>
      </c>
    </row>
    <row r="1705" customFormat="false" ht="46.25" hidden="false" customHeight="false" outlineLevel="0" collapsed="false">
      <c r="A1705" s="13" t="s">
        <v>4</v>
      </c>
      <c r="B1705" s="13" t="s">
        <v>68</v>
      </c>
      <c r="C1705" s="13" t="n">
        <v>323</v>
      </c>
      <c r="D1705" s="13" t="s">
        <v>6806</v>
      </c>
      <c r="E1705" s="13" t="s">
        <v>6807</v>
      </c>
      <c r="F1705" s="13" t="s">
        <v>1439</v>
      </c>
      <c r="G1705" s="13" t="s">
        <v>1556</v>
      </c>
      <c r="H1705" s="13" t="s">
        <v>982</v>
      </c>
      <c r="I1705" s="13" t="s">
        <v>82</v>
      </c>
      <c r="J1705" s="13" t="s">
        <v>5716</v>
      </c>
      <c r="K1705" s="13"/>
      <c r="L1705" s="13" t="s">
        <v>6808</v>
      </c>
      <c r="M1705" s="13" t="s">
        <v>6809</v>
      </c>
    </row>
    <row r="1706" customFormat="false" ht="46.25" hidden="false" customHeight="false" outlineLevel="0" collapsed="false">
      <c r="A1706" s="13" t="s">
        <v>4</v>
      </c>
      <c r="B1706" s="13" t="s">
        <v>68</v>
      </c>
      <c r="C1706" s="13" t="n">
        <v>323</v>
      </c>
      <c r="D1706" s="13" t="s">
        <v>6806</v>
      </c>
      <c r="E1706" s="13" t="s">
        <v>6810</v>
      </c>
      <c r="F1706" s="13" t="s">
        <v>1439</v>
      </c>
      <c r="G1706" s="13" t="s">
        <v>1556</v>
      </c>
      <c r="H1706" s="13" t="s">
        <v>1763</v>
      </c>
      <c r="I1706" s="13" t="s">
        <v>82</v>
      </c>
      <c r="J1706" s="13" t="s">
        <v>5716</v>
      </c>
      <c r="K1706" s="13"/>
      <c r="L1706" s="13" t="s">
        <v>6808</v>
      </c>
      <c r="M1706" s="13" t="s">
        <v>6809</v>
      </c>
    </row>
    <row r="1707" customFormat="false" ht="46.25" hidden="false" customHeight="false" outlineLevel="0" collapsed="false">
      <c r="A1707" s="13" t="s">
        <v>4</v>
      </c>
      <c r="B1707" s="13" t="s">
        <v>68</v>
      </c>
      <c r="C1707" s="13" t="n">
        <v>323</v>
      </c>
      <c r="D1707" s="13" t="s">
        <v>6806</v>
      </c>
      <c r="E1707" s="13" t="s">
        <v>6811</v>
      </c>
      <c r="F1707" s="13" t="s">
        <v>1439</v>
      </c>
      <c r="G1707" s="13" t="s">
        <v>1556</v>
      </c>
      <c r="H1707" s="13" t="s">
        <v>1770</v>
      </c>
      <c r="I1707" s="13" t="s">
        <v>82</v>
      </c>
      <c r="J1707" s="13" t="s">
        <v>5716</v>
      </c>
      <c r="K1707" s="13"/>
      <c r="L1707" s="13" t="s">
        <v>6808</v>
      </c>
      <c r="M1707" s="13" t="s">
        <v>6809</v>
      </c>
    </row>
    <row r="1708" customFormat="false" ht="35.05" hidden="false" customHeight="false" outlineLevel="0" collapsed="false">
      <c r="A1708" s="13" t="s">
        <v>4</v>
      </c>
      <c r="B1708" s="13" t="s">
        <v>68</v>
      </c>
      <c r="C1708" s="13" t="n">
        <v>323</v>
      </c>
      <c r="D1708" s="13" t="s">
        <v>6812</v>
      </c>
      <c r="E1708" s="13" t="s">
        <v>6813</v>
      </c>
      <c r="F1708" s="13" t="s">
        <v>6814</v>
      </c>
      <c r="G1708" s="13" t="s">
        <v>6815</v>
      </c>
      <c r="H1708" s="13" t="s">
        <v>6816</v>
      </c>
      <c r="I1708" s="13" t="s">
        <v>82</v>
      </c>
      <c r="J1708" s="13" t="s">
        <v>5716</v>
      </c>
      <c r="K1708" s="13"/>
      <c r="L1708" s="13" t="s">
        <v>6817</v>
      </c>
      <c r="M1708" s="13" t="s">
        <v>6818</v>
      </c>
    </row>
    <row r="1709" customFormat="false" ht="482.8" hidden="false" customHeight="false" outlineLevel="0" collapsed="false">
      <c r="A1709" s="13" t="s">
        <v>4</v>
      </c>
      <c r="B1709" s="13" t="s">
        <v>68</v>
      </c>
      <c r="C1709" s="13" t="n">
        <v>323</v>
      </c>
      <c r="D1709" s="13" t="s">
        <v>6819</v>
      </c>
      <c r="E1709" s="13" t="s">
        <v>6820</v>
      </c>
      <c r="F1709" s="13" t="s">
        <v>6821</v>
      </c>
      <c r="G1709" s="13" t="s">
        <v>6822</v>
      </c>
      <c r="H1709" s="13" t="s">
        <v>6823</v>
      </c>
      <c r="I1709" s="13" t="s">
        <v>82</v>
      </c>
      <c r="J1709" s="13" t="s">
        <v>5716</v>
      </c>
      <c r="K1709" s="13"/>
      <c r="L1709" s="13" t="s">
        <v>6824</v>
      </c>
      <c r="M1709" s="13" t="s">
        <v>6825</v>
      </c>
    </row>
    <row r="1710" customFormat="false" ht="482.8" hidden="false" customHeight="false" outlineLevel="0" collapsed="false">
      <c r="A1710" s="13" t="s">
        <v>4</v>
      </c>
      <c r="B1710" s="13" t="s">
        <v>68</v>
      </c>
      <c r="C1710" s="13" t="n">
        <v>323</v>
      </c>
      <c r="D1710" s="13" t="s">
        <v>6819</v>
      </c>
      <c r="E1710" s="13" t="s">
        <v>6826</v>
      </c>
      <c r="F1710" s="13" t="s">
        <v>6823</v>
      </c>
      <c r="G1710" s="13" t="s">
        <v>6827</v>
      </c>
      <c r="H1710" s="13" t="s">
        <v>6821</v>
      </c>
      <c r="I1710" s="13" t="s">
        <v>82</v>
      </c>
      <c r="J1710" s="13" t="s">
        <v>5716</v>
      </c>
      <c r="K1710" s="13"/>
      <c r="L1710" s="13" t="s">
        <v>6824</v>
      </c>
      <c r="M1710" s="13" t="s">
        <v>6825</v>
      </c>
    </row>
    <row r="1711" customFormat="false" ht="482.8" hidden="false" customHeight="false" outlineLevel="0" collapsed="false">
      <c r="A1711" s="13" t="s">
        <v>4</v>
      </c>
      <c r="B1711" s="13" t="s">
        <v>68</v>
      </c>
      <c r="C1711" s="13" t="n">
        <v>323</v>
      </c>
      <c r="D1711" s="13" t="s">
        <v>6819</v>
      </c>
      <c r="E1711" s="13" t="s">
        <v>6828</v>
      </c>
      <c r="F1711" s="13" t="s">
        <v>6823</v>
      </c>
      <c r="G1711" s="13" t="s">
        <v>6829</v>
      </c>
      <c r="H1711" s="13" t="s">
        <v>6821</v>
      </c>
      <c r="I1711" s="13" t="s">
        <v>82</v>
      </c>
      <c r="J1711" s="13" t="s">
        <v>5716</v>
      </c>
      <c r="K1711" s="13"/>
      <c r="L1711" s="13" t="s">
        <v>6824</v>
      </c>
      <c r="M1711" s="13" t="s">
        <v>6825</v>
      </c>
    </row>
    <row r="1712" customFormat="false" ht="482.8" hidden="false" customHeight="false" outlineLevel="0" collapsed="false">
      <c r="A1712" s="13" t="s">
        <v>4</v>
      </c>
      <c r="B1712" s="13" t="s">
        <v>68</v>
      </c>
      <c r="C1712" s="13" t="n">
        <v>323</v>
      </c>
      <c r="D1712" s="13" t="s">
        <v>6819</v>
      </c>
      <c r="E1712" s="13" t="s">
        <v>6830</v>
      </c>
      <c r="F1712" s="13" t="s">
        <v>6823</v>
      </c>
      <c r="G1712" s="13" t="s">
        <v>6831</v>
      </c>
      <c r="H1712" s="13" t="s">
        <v>1439</v>
      </c>
      <c r="I1712" s="13" t="s">
        <v>82</v>
      </c>
      <c r="J1712" s="13" t="s">
        <v>5716</v>
      </c>
      <c r="K1712" s="13"/>
      <c r="L1712" s="13" t="s">
        <v>6824</v>
      </c>
      <c r="M1712" s="13" t="s">
        <v>6825</v>
      </c>
    </row>
    <row r="1713" customFormat="false" ht="482.8" hidden="false" customHeight="false" outlineLevel="0" collapsed="false">
      <c r="A1713" s="13" t="s">
        <v>4</v>
      </c>
      <c r="B1713" s="13" t="s">
        <v>68</v>
      </c>
      <c r="C1713" s="13" t="n">
        <v>323</v>
      </c>
      <c r="D1713" s="13" t="s">
        <v>6819</v>
      </c>
      <c r="E1713" s="13" t="s">
        <v>6832</v>
      </c>
      <c r="F1713" s="13" t="s">
        <v>1439</v>
      </c>
      <c r="G1713" s="13" t="s">
        <v>4227</v>
      </c>
      <c r="H1713" s="13" t="s">
        <v>6821</v>
      </c>
      <c r="I1713" s="13" t="s">
        <v>82</v>
      </c>
      <c r="J1713" s="13" t="s">
        <v>5716</v>
      </c>
      <c r="K1713" s="13"/>
      <c r="L1713" s="13" t="s">
        <v>6824</v>
      </c>
      <c r="M1713" s="13" t="s">
        <v>6825</v>
      </c>
    </row>
    <row r="1714" customFormat="false" ht="482.8" hidden="false" customHeight="false" outlineLevel="0" collapsed="false">
      <c r="A1714" s="13" t="s">
        <v>4</v>
      </c>
      <c r="B1714" s="13" t="s">
        <v>68</v>
      </c>
      <c r="C1714" s="13" t="n">
        <v>323</v>
      </c>
      <c r="D1714" s="13" t="s">
        <v>6819</v>
      </c>
      <c r="E1714" s="13" t="s">
        <v>6833</v>
      </c>
      <c r="F1714" s="13" t="s">
        <v>1439</v>
      </c>
      <c r="G1714" s="13" t="s">
        <v>6834</v>
      </c>
      <c r="H1714" s="13" t="s">
        <v>6821</v>
      </c>
      <c r="I1714" s="13" t="s">
        <v>82</v>
      </c>
      <c r="J1714" s="13" t="s">
        <v>5716</v>
      </c>
      <c r="K1714" s="13"/>
      <c r="L1714" s="13" t="s">
        <v>6824</v>
      </c>
      <c r="M1714" s="13" t="s">
        <v>6825</v>
      </c>
    </row>
    <row r="1715" customFormat="false" ht="482.8" hidden="false" customHeight="false" outlineLevel="0" collapsed="false">
      <c r="A1715" s="13" t="s">
        <v>4</v>
      </c>
      <c r="B1715" s="13" t="s">
        <v>68</v>
      </c>
      <c r="C1715" s="13" t="n">
        <v>323</v>
      </c>
      <c r="D1715" s="13" t="s">
        <v>6819</v>
      </c>
      <c r="E1715" s="13" t="s">
        <v>6835</v>
      </c>
      <c r="F1715" s="13" t="s">
        <v>6836</v>
      </c>
      <c r="G1715" s="13" t="s">
        <v>6837</v>
      </c>
      <c r="H1715" s="13" t="s">
        <v>6821</v>
      </c>
      <c r="I1715" s="13" t="s">
        <v>74</v>
      </c>
      <c r="J1715" s="13" t="s">
        <v>6838</v>
      </c>
      <c r="K1715" s="13" t="s">
        <v>6839</v>
      </c>
      <c r="L1715" s="13" t="s">
        <v>6824</v>
      </c>
      <c r="M1715" s="13" t="s">
        <v>6825</v>
      </c>
    </row>
    <row r="1716" customFormat="false" ht="124.6" hidden="false" customHeight="false" outlineLevel="0" collapsed="false">
      <c r="A1716" s="13" t="s">
        <v>4</v>
      </c>
      <c r="B1716" s="13" t="s">
        <v>68</v>
      </c>
      <c r="C1716" s="13" t="n">
        <v>336</v>
      </c>
      <c r="D1716" s="13" t="s">
        <v>6840</v>
      </c>
      <c r="E1716" s="13" t="s">
        <v>6841</v>
      </c>
      <c r="F1716" s="13" t="s">
        <v>6842</v>
      </c>
      <c r="G1716" s="13" t="s">
        <v>6843</v>
      </c>
      <c r="H1716" s="13" t="s">
        <v>6844</v>
      </c>
      <c r="I1716" s="13" t="s">
        <v>82</v>
      </c>
      <c r="J1716" s="13" t="s">
        <v>5716</v>
      </c>
      <c r="K1716" s="13"/>
      <c r="L1716" s="13" t="s">
        <v>6845</v>
      </c>
      <c r="M1716" s="13" t="s">
        <v>6846</v>
      </c>
    </row>
    <row r="1717" customFormat="false" ht="124.6" hidden="false" customHeight="false" outlineLevel="0" collapsed="false">
      <c r="A1717" s="13" t="s">
        <v>4</v>
      </c>
      <c r="B1717" s="13" t="s">
        <v>68</v>
      </c>
      <c r="C1717" s="13" t="n">
        <v>336</v>
      </c>
      <c r="D1717" s="13" t="s">
        <v>6840</v>
      </c>
      <c r="E1717" s="13" t="s">
        <v>6847</v>
      </c>
      <c r="F1717" s="13" t="s">
        <v>6842</v>
      </c>
      <c r="G1717" s="13" t="s">
        <v>554</v>
      </c>
      <c r="H1717" s="13" t="s">
        <v>6848</v>
      </c>
      <c r="I1717" s="13" t="s">
        <v>82</v>
      </c>
      <c r="J1717" s="13" t="s">
        <v>5716</v>
      </c>
      <c r="K1717" s="13"/>
      <c r="L1717" s="13" t="s">
        <v>6845</v>
      </c>
      <c r="M1717" s="13" t="s">
        <v>6846</v>
      </c>
    </row>
    <row r="1718" customFormat="false" ht="124.6" hidden="false" customHeight="false" outlineLevel="0" collapsed="false">
      <c r="A1718" s="13" t="s">
        <v>4</v>
      </c>
      <c r="B1718" s="13" t="s">
        <v>68</v>
      </c>
      <c r="C1718" s="13" t="n">
        <v>336</v>
      </c>
      <c r="D1718" s="13" t="s">
        <v>6840</v>
      </c>
      <c r="E1718" s="13" t="s">
        <v>6849</v>
      </c>
      <c r="F1718" s="13" t="s">
        <v>6848</v>
      </c>
      <c r="G1718" s="13" t="s">
        <v>1685</v>
      </c>
      <c r="H1718" s="13" t="s">
        <v>6850</v>
      </c>
      <c r="I1718" s="13" t="s">
        <v>82</v>
      </c>
      <c r="J1718" s="13" t="s">
        <v>5716</v>
      </c>
      <c r="K1718" s="13"/>
      <c r="L1718" s="13" t="s">
        <v>6845</v>
      </c>
      <c r="M1718" s="13" t="s">
        <v>6846</v>
      </c>
    </row>
    <row r="1719" customFormat="false" ht="124.6" hidden="false" customHeight="false" outlineLevel="0" collapsed="false">
      <c r="A1719" s="13" t="s">
        <v>4</v>
      </c>
      <c r="B1719" s="13" t="s">
        <v>68</v>
      </c>
      <c r="C1719" s="13" t="n">
        <v>336</v>
      </c>
      <c r="D1719" s="13" t="s">
        <v>6840</v>
      </c>
      <c r="E1719" s="13" t="s">
        <v>6851</v>
      </c>
      <c r="F1719" s="13" t="s">
        <v>6842</v>
      </c>
      <c r="G1719" s="13" t="s">
        <v>6852</v>
      </c>
      <c r="H1719" s="13" t="s">
        <v>6848</v>
      </c>
      <c r="I1719" s="13" t="s">
        <v>82</v>
      </c>
      <c r="J1719" s="13" t="s">
        <v>5716</v>
      </c>
      <c r="K1719" s="13"/>
      <c r="L1719" s="13" t="s">
        <v>6845</v>
      </c>
      <c r="M1719" s="13" t="s">
        <v>6846</v>
      </c>
    </row>
    <row r="1720" customFormat="false" ht="158.2" hidden="false" customHeight="false" outlineLevel="0" collapsed="false">
      <c r="A1720" s="13" t="s">
        <v>4</v>
      </c>
      <c r="B1720" s="13" t="s">
        <v>68</v>
      </c>
      <c r="C1720" s="13" t="n">
        <v>336</v>
      </c>
      <c r="D1720" s="13" t="s">
        <v>6853</v>
      </c>
      <c r="E1720" s="13" t="s">
        <v>6854</v>
      </c>
      <c r="F1720" s="13" t="s">
        <v>6848</v>
      </c>
      <c r="G1720" s="13" t="s">
        <v>6855</v>
      </c>
      <c r="H1720" s="13" t="s">
        <v>6842</v>
      </c>
      <c r="I1720" s="13" t="s">
        <v>82</v>
      </c>
      <c r="J1720" s="13" t="s">
        <v>5716</v>
      </c>
      <c r="K1720" s="13"/>
      <c r="L1720" s="13" t="s">
        <v>6856</v>
      </c>
      <c r="M1720" s="13" t="s">
        <v>6857</v>
      </c>
    </row>
    <row r="1721" customFormat="false" ht="158.2" hidden="false" customHeight="false" outlineLevel="0" collapsed="false">
      <c r="A1721" s="13" t="s">
        <v>4</v>
      </c>
      <c r="B1721" s="13" t="s">
        <v>68</v>
      </c>
      <c r="C1721" s="13" t="n">
        <v>336</v>
      </c>
      <c r="D1721" s="13" t="s">
        <v>6853</v>
      </c>
      <c r="E1721" s="13" t="s">
        <v>6858</v>
      </c>
      <c r="F1721" s="13" t="s">
        <v>6848</v>
      </c>
      <c r="G1721" s="13" t="s">
        <v>6859</v>
      </c>
      <c r="H1721" s="13" t="s">
        <v>6860</v>
      </c>
      <c r="I1721" s="13" t="s">
        <v>82</v>
      </c>
      <c r="J1721" s="13" t="s">
        <v>5716</v>
      </c>
      <c r="K1721" s="13"/>
      <c r="L1721" s="13" t="s">
        <v>6856</v>
      </c>
      <c r="M1721" s="13" t="s">
        <v>6857</v>
      </c>
    </row>
    <row r="1722" customFormat="false" ht="158.2" hidden="false" customHeight="false" outlineLevel="0" collapsed="false">
      <c r="A1722" s="13" t="s">
        <v>4</v>
      </c>
      <c r="B1722" s="13" t="s">
        <v>68</v>
      </c>
      <c r="C1722" s="13" t="n">
        <v>336</v>
      </c>
      <c r="D1722" s="13" t="s">
        <v>6853</v>
      </c>
      <c r="E1722" s="13" t="s">
        <v>6861</v>
      </c>
      <c r="F1722" s="13" t="s">
        <v>1380</v>
      </c>
      <c r="G1722" s="13" t="s">
        <v>6862</v>
      </c>
      <c r="H1722" s="13" t="s">
        <v>6848</v>
      </c>
      <c r="I1722" s="13" t="s">
        <v>82</v>
      </c>
      <c r="J1722" s="13" t="s">
        <v>5716</v>
      </c>
      <c r="K1722" s="13"/>
      <c r="L1722" s="13" t="s">
        <v>6856</v>
      </c>
      <c r="M1722" s="13" t="s">
        <v>6857</v>
      </c>
    </row>
    <row r="1723" customFormat="false" ht="158.2" hidden="false" customHeight="false" outlineLevel="0" collapsed="false">
      <c r="A1723" s="13" t="s">
        <v>4</v>
      </c>
      <c r="B1723" s="13" t="s">
        <v>68</v>
      </c>
      <c r="C1723" s="13" t="n">
        <v>336</v>
      </c>
      <c r="D1723" s="13" t="s">
        <v>6853</v>
      </c>
      <c r="E1723" s="13" t="s">
        <v>6863</v>
      </c>
      <c r="F1723" s="13" t="s">
        <v>6848</v>
      </c>
      <c r="G1723" s="13" t="s">
        <v>6864</v>
      </c>
      <c r="H1723" s="13" t="s">
        <v>6865</v>
      </c>
      <c r="I1723" s="13" t="s">
        <v>82</v>
      </c>
      <c r="J1723" s="13" t="s">
        <v>5716</v>
      </c>
      <c r="K1723" s="13"/>
      <c r="L1723" s="13" t="s">
        <v>6856</v>
      </c>
      <c r="M1723" s="13" t="s">
        <v>6857</v>
      </c>
    </row>
    <row r="1724" customFormat="false" ht="124.6" hidden="false" customHeight="false" outlineLevel="0" collapsed="false">
      <c r="A1724" s="13" t="s">
        <v>4</v>
      </c>
      <c r="B1724" s="13" t="s">
        <v>68</v>
      </c>
      <c r="C1724" s="13" t="n">
        <v>336</v>
      </c>
      <c r="D1724" s="13" t="s">
        <v>6866</v>
      </c>
      <c r="E1724" s="13" t="s">
        <v>6867</v>
      </c>
      <c r="F1724" s="13" t="s">
        <v>6842</v>
      </c>
      <c r="G1724" s="13" t="s">
        <v>6868</v>
      </c>
      <c r="H1724" s="13" t="s">
        <v>6848</v>
      </c>
      <c r="I1724" s="13" t="s">
        <v>82</v>
      </c>
      <c r="J1724" s="13" t="s">
        <v>5716</v>
      </c>
      <c r="K1724" s="13"/>
      <c r="L1724" s="13" t="s">
        <v>6869</v>
      </c>
      <c r="M1724" s="13" t="s">
        <v>6870</v>
      </c>
    </row>
    <row r="1725" customFormat="false" ht="124.6" hidden="false" customHeight="false" outlineLevel="0" collapsed="false">
      <c r="A1725" s="13" t="s">
        <v>4</v>
      </c>
      <c r="B1725" s="13" t="s">
        <v>68</v>
      </c>
      <c r="C1725" s="13" t="n">
        <v>336</v>
      </c>
      <c r="D1725" s="13" t="s">
        <v>6866</v>
      </c>
      <c r="E1725" s="13" t="s">
        <v>6871</v>
      </c>
      <c r="F1725" s="13" t="s">
        <v>3353</v>
      </c>
      <c r="G1725" s="13" t="s">
        <v>261</v>
      </c>
      <c r="H1725" s="13" t="s">
        <v>6872</v>
      </c>
      <c r="I1725" s="13" t="s">
        <v>82</v>
      </c>
      <c r="J1725" s="13" t="s">
        <v>5716</v>
      </c>
      <c r="K1725" s="13"/>
      <c r="L1725" s="13" t="s">
        <v>6869</v>
      </c>
      <c r="M1725" s="13" t="s">
        <v>6870</v>
      </c>
    </row>
    <row r="1726" customFormat="false" ht="124.6" hidden="false" customHeight="false" outlineLevel="0" collapsed="false">
      <c r="A1726" s="13" t="s">
        <v>4</v>
      </c>
      <c r="B1726" s="13" t="s">
        <v>68</v>
      </c>
      <c r="C1726" s="13" t="n">
        <v>336</v>
      </c>
      <c r="D1726" s="13" t="s">
        <v>6866</v>
      </c>
      <c r="E1726" s="13" t="s">
        <v>6873</v>
      </c>
      <c r="F1726" s="13" t="s">
        <v>3353</v>
      </c>
      <c r="G1726" s="13" t="s">
        <v>261</v>
      </c>
      <c r="H1726" s="13" t="s">
        <v>6874</v>
      </c>
      <c r="I1726" s="13" t="s">
        <v>82</v>
      </c>
      <c r="J1726" s="13" t="s">
        <v>5716</v>
      </c>
      <c r="K1726" s="13"/>
      <c r="L1726" s="13" t="s">
        <v>6869</v>
      </c>
      <c r="M1726" s="13" t="s">
        <v>6870</v>
      </c>
    </row>
    <row r="1727" customFormat="false" ht="124.6" hidden="false" customHeight="false" outlineLevel="0" collapsed="false">
      <c r="A1727" s="13" t="s">
        <v>4</v>
      </c>
      <c r="B1727" s="13" t="s">
        <v>68</v>
      </c>
      <c r="C1727" s="13" t="n">
        <v>336</v>
      </c>
      <c r="D1727" s="13" t="s">
        <v>6866</v>
      </c>
      <c r="E1727" s="13" t="s">
        <v>6875</v>
      </c>
      <c r="F1727" s="13" t="s">
        <v>1380</v>
      </c>
      <c r="G1727" s="13" t="s">
        <v>1054</v>
      </c>
      <c r="H1727" s="13" t="s">
        <v>6876</v>
      </c>
      <c r="I1727" s="13" t="s">
        <v>82</v>
      </c>
      <c r="J1727" s="13" t="s">
        <v>5716</v>
      </c>
      <c r="K1727" s="13"/>
      <c r="L1727" s="13" t="s">
        <v>6869</v>
      </c>
      <c r="M1727" s="13" t="s">
        <v>6870</v>
      </c>
    </row>
    <row r="1728" customFormat="false" ht="91" hidden="false" customHeight="false" outlineLevel="0" collapsed="false">
      <c r="A1728" s="13" t="s">
        <v>4</v>
      </c>
      <c r="B1728" s="13" t="s">
        <v>68</v>
      </c>
      <c r="C1728" s="13" t="n">
        <v>336</v>
      </c>
      <c r="D1728" s="13" t="s">
        <v>6877</v>
      </c>
      <c r="E1728" s="13" t="s">
        <v>6878</v>
      </c>
      <c r="F1728" s="13" t="s">
        <v>6842</v>
      </c>
      <c r="G1728" s="13" t="s">
        <v>642</v>
      </c>
      <c r="H1728" s="13" t="s">
        <v>6879</v>
      </c>
      <c r="I1728" s="13" t="s">
        <v>82</v>
      </c>
      <c r="J1728" s="13" t="s">
        <v>5716</v>
      </c>
      <c r="K1728" s="13"/>
      <c r="L1728" s="13" t="s">
        <v>6880</v>
      </c>
      <c r="M1728" s="13" t="s">
        <v>6881</v>
      </c>
    </row>
    <row r="1729" customFormat="false" ht="91" hidden="false" customHeight="false" outlineLevel="0" collapsed="false">
      <c r="A1729" s="13" t="s">
        <v>4</v>
      </c>
      <c r="B1729" s="13" t="s">
        <v>68</v>
      </c>
      <c r="C1729" s="13" t="n">
        <v>336</v>
      </c>
      <c r="D1729" s="13" t="s">
        <v>6877</v>
      </c>
      <c r="E1729" s="13" t="s">
        <v>6882</v>
      </c>
      <c r="F1729" s="13" t="s">
        <v>6842</v>
      </c>
      <c r="G1729" s="13" t="s">
        <v>6883</v>
      </c>
      <c r="H1729" s="13" t="s">
        <v>6884</v>
      </c>
      <c r="I1729" s="13" t="s">
        <v>82</v>
      </c>
      <c r="J1729" s="13" t="s">
        <v>5716</v>
      </c>
      <c r="K1729" s="13"/>
      <c r="L1729" s="13" t="s">
        <v>6880</v>
      </c>
      <c r="M1729" s="13" t="s">
        <v>6881</v>
      </c>
    </row>
    <row r="1730" customFormat="false" ht="91" hidden="false" customHeight="false" outlineLevel="0" collapsed="false">
      <c r="A1730" s="13" t="s">
        <v>4</v>
      </c>
      <c r="B1730" s="13" t="s">
        <v>68</v>
      </c>
      <c r="C1730" s="13" t="n">
        <v>336</v>
      </c>
      <c r="D1730" s="13" t="s">
        <v>6877</v>
      </c>
      <c r="E1730" s="13" t="s">
        <v>6885</v>
      </c>
      <c r="F1730" s="13" t="s">
        <v>6848</v>
      </c>
      <c r="G1730" s="13" t="s">
        <v>6886</v>
      </c>
      <c r="H1730" s="13" t="s">
        <v>6887</v>
      </c>
      <c r="I1730" s="13" t="s">
        <v>82</v>
      </c>
      <c r="J1730" s="13" t="s">
        <v>5716</v>
      </c>
      <c r="K1730" s="13"/>
      <c r="L1730" s="13" t="s">
        <v>6880</v>
      </c>
      <c r="M1730" s="13" t="s">
        <v>6881</v>
      </c>
    </row>
    <row r="1731" customFormat="false" ht="91" hidden="false" customHeight="false" outlineLevel="0" collapsed="false">
      <c r="A1731" s="13" t="s">
        <v>4</v>
      </c>
      <c r="B1731" s="13" t="s">
        <v>68</v>
      </c>
      <c r="C1731" s="13" t="n">
        <v>336</v>
      </c>
      <c r="D1731" s="13" t="s">
        <v>6877</v>
      </c>
      <c r="E1731" s="13" t="s">
        <v>6888</v>
      </c>
      <c r="F1731" s="13" t="s">
        <v>6889</v>
      </c>
      <c r="G1731" s="13" t="s">
        <v>6890</v>
      </c>
      <c r="H1731" s="13" t="s">
        <v>6891</v>
      </c>
      <c r="I1731" s="13" t="s">
        <v>82</v>
      </c>
      <c r="J1731" s="13" t="s">
        <v>5716</v>
      </c>
      <c r="K1731" s="13"/>
      <c r="L1731" s="13" t="s">
        <v>6880</v>
      </c>
      <c r="M1731" s="13" t="s">
        <v>6881</v>
      </c>
    </row>
    <row r="1732" customFormat="false" ht="68.65" hidden="false" customHeight="false" outlineLevel="0" collapsed="false">
      <c r="A1732" s="13" t="s">
        <v>4</v>
      </c>
      <c r="B1732" s="13" t="s">
        <v>68</v>
      </c>
      <c r="C1732" s="13" t="n">
        <v>339</v>
      </c>
      <c r="D1732" s="13" t="s">
        <v>6892</v>
      </c>
      <c r="E1732" s="13" t="s">
        <v>6893</v>
      </c>
      <c r="F1732" s="13" t="s">
        <v>6894</v>
      </c>
      <c r="G1732" s="13" t="s">
        <v>6895</v>
      </c>
      <c r="H1732" s="13" t="s">
        <v>6896</v>
      </c>
      <c r="I1732" s="13" t="s">
        <v>114</v>
      </c>
      <c r="J1732" s="13" t="s">
        <v>6897</v>
      </c>
      <c r="K1732" s="13" t="s">
        <v>6898</v>
      </c>
      <c r="L1732" s="13" t="s">
        <v>6899</v>
      </c>
      <c r="M1732" s="13" t="s">
        <v>6900</v>
      </c>
    </row>
    <row r="1733" customFormat="false" ht="68.65" hidden="false" customHeight="false" outlineLevel="0" collapsed="false">
      <c r="A1733" s="13" t="s">
        <v>4</v>
      </c>
      <c r="B1733" s="13" t="s">
        <v>68</v>
      </c>
      <c r="C1733" s="13" t="n">
        <v>339</v>
      </c>
      <c r="D1733" s="13" t="s">
        <v>6892</v>
      </c>
      <c r="E1733" s="13" t="s">
        <v>6901</v>
      </c>
      <c r="F1733" s="13" t="s">
        <v>6894</v>
      </c>
      <c r="G1733" s="13" t="s">
        <v>6902</v>
      </c>
      <c r="H1733" s="13" t="s">
        <v>6903</v>
      </c>
      <c r="I1733" s="13" t="s">
        <v>82</v>
      </c>
      <c r="J1733" s="13" t="s">
        <v>5716</v>
      </c>
      <c r="K1733" s="13"/>
      <c r="L1733" s="13" t="s">
        <v>6899</v>
      </c>
      <c r="M1733" s="13" t="s">
        <v>6900</v>
      </c>
    </row>
    <row r="1734" customFormat="false" ht="68.65" hidden="false" customHeight="false" outlineLevel="0" collapsed="false">
      <c r="A1734" s="13" t="s">
        <v>4</v>
      </c>
      <c r="B1734" s="13" t="s">
        <v>68</v>
      </c>
      <c r="C1734" s="13" t="n">
        <v>339</v>
      </c>
      <c r="D1734" s="13" t="s">
        <v>6892</v>
      </c>
      <c r="E1734" s="13" t="s">
        <v>6904</v>
      </c>
      <c r="F1734" s="13" t="s">
        <v>6894</v>
      </c>
      <c r="G1734" s="13" t="s">
        <v>6905</v>
      </c>
      <c r="H1734" s="13" t="s">
        <v>6906</v>
      </c>
      <c r="I1734" s="13" t="s">
        <v>82</v>
      </c>
      <c r="J1734" s="13" t="s">
        <v>5716</v>
      </c>
      <c r="K1734" s="13"/>
      <c r="L1734" s="13" t="s">
        <v>6899</v>
      </c>
      <c r="M1734" s="13" t="s">
        <v>6900</v>
      </c>
    </row>
    <row r="1735" customFormat="false" ht="314.9" hidden="false" customHeight="false" outlineLevel="0" collapsed="false">
      <c r="A1735" s="13" t="s">
        <v>4</v>
      </c>
      <c r="B1735" s="13" t="s">
        <v>68</v>
      </c>
      <c r="C1735" s="13" t="n">
        <v>339</v>
      </c>
      <c r="D1735" s="13" t="s">
        <v>6907</v>
      </c>
      <c r="E1735" s="13" t="s">
        <v>6908</v>
      </c>
      <c r="F1735" s="13" t="s">
        <v>806</v>
      </c>
      <c r="G1735" s="13" t="s">
        <v>6909</v>
      </c>
      <c r="H1735" s="13" t="s">
        <v>6910</v>
      </c>
      <c r="I1735" s="13" t="s">
        <v>82</v>
      </c>
      <c r="J1735" s="13" t="s">
        <v>5716</v>
      </c>
      <c r="K1735" s="13"/>
      <c r="L1735" s="13" t="s">
        <v>6911</v>
      </c>
      <c r="M1735" s="13" t="s">
        <v>6912</v>
      </c>
    </row>
    <row r="1736" customFormat="false" ht="314.9" hidden="false" customHeight="false" outlineLevel="0" collapsed="false">
      <c r="A1736" s="13" t="s">
        <v>4</v>
      </c>
      <c r="B1736" s="13" t="s">
        <v>68</v>
      </c>
      <c r="C1736" s="13" t="n">
        <v>339</v>
      </c>
      <c r="D1736" s="13" t="s">
        <v>6907</v>
      </c>
      <c r="E1736" s="13" t="s">
        <v>6913</v>
      </c>
      <c r="F1736" s="13" t="s">
        <v>6910</v>
      </c>
      <c r="G1736" s="13" t="s">
        <v>6914</v>
      </c>
      <c r="H1736" s="13" t="s">
        <v>6915</v>
      </c>
      <c r="I1736" s="13" t="s">
        <v>82</v>
      </c>
      <c r="J1736" s="13" t="s">
        <v>5716</v>
      </c>
      <c r="K1736" s="13"/>
      <c r="L1736" s="13" t="s">
        <v>6911</v>
      </c>
      <c r="M1736" s="13" t="s">
        <v>6912</v>
      </c>
    </row>
    <row r="1737" customFormat="false" ht="314.9" hidden="false" customHeight="false" outlineLevel="0" collapsed="false">
      <c r="A1737" s="13" t="s">
        <v>4</v>
      </c>
      <c r="B1737" s="13" t="s">
        <v>68</v>
      </c>
      <c r="C1737" s="13" t="n">
        <v>339</v>
      </c>
      <c r="D1737" s="13" t="s">
        <v>6907</v>
      </c>
      <c r="E1737" s="13" t="s">
        <v>6916</v>
      </c>
      <c r="F1737" s="13" t="s">
        <v>6910</v>
      </c>
      <c r="G1737" s="13" t="s">
        <v>6917</v>
      </c>
      <c r="H1737" s="13" t="s">
        <v>6918</v>
      </c>
      <c r="I1737" s="13" t="s">
        <v>82</v>
      </c>
      <c r="J1737" s="13" t="s">
        <v>5716</v>
      </c>
      <c r="K1737" s="13"/>
      <c r="L1737" s="13" t="s">
        <v>6911</v>
      </c>
      <c r="M1737" s="13" t="s">
        <v>6912</v>
      </c>
    </row>
    <row r="1738" customFormat="false" ht="314.9" hidden="false" customHeight="false" outlineLevel="0" collapsed="false">
      <c r="A1738" s="13" t="s">
        <v>4</v>
      </c>
      <c r="B1738" s="13" t="s">
        <v>68</v>
      </c>
      <c r="C1738" s="13" t="n">
        <v>339</v>
      </c>
      <c r="D1738" s="13" t="s">
        <v>6907</v>
      </c>
      <c r="E1738" s="13" t="s">
        <v>6919</v>
      </c>
      <c r="F1738" s="13" t="s">
        <v>6910</v>
      </c>
      <c r="G1738" s="13" t="s">
        <v>6920</v>
      </c>
      <c r="H1738" s="13" t="s">
        <v>6921</v>
      </c>
      <c r="I1738" s="13" t="s">
        <v>82</v>
      </c>
      <c r="J1738" s="13" t="s">
        <v>5716</v>
      </c>
      <c r="K1738" s="13"/>
      <c r="L1738" s="13" t="s">
        <v>6911</v>
      </c>
      <c r="M1738" s="13" t="s">
        <v>6912</v>
      </c>
    </row>
    <row r="1739" customFormat="false" ht="314.9" hidden="false" customHeight="false" outlineLevel="0" collapsed="false">
      <c r="A1739" s="13" t="s">
        <v>4</v>
      </c>
      <c r="B1739" s="13" t="s">
        <v>68</v>
      </c>
      <c r="C1739" s="13" t="n">
        <v>339</v>
      </c>
      <c r="D1739" s="13" t="s">
        <v>6907</v>
      </c>
      <c r="E1739" s="13" t="s">
        <v>6922</v>
      </c>
      <c r="F1739" s="13" t="s">
        <v>6910</v>
      </c>
      <c r="G1739" s="13" t="s">
        <v>6923</v>
      </c>
      <c r="H1739" s="13" t="s">
        <v>6924</v>
      </c>
      <c r="I1739" s="13" t="s">
        <v>82</v>
      </c>
      <c r="J1739" s="13" t="s">
        <v>5716</v>
      </c>
      <c r="K1739" s="13"/>
      <c r="L1739" s="13" t="s">
        <v>6911</v>
      </c>
      <c r="M1739" s="13" t="s">
        <v>6912</v>
      </c>
    </row>
    <row r="1740" customFormat="false" ht="102.2" hidden="false" customHeight="false" outlineLevel="0" collapsed="false">
      <c r="A1740" s="13" t="s">
        <v>4</v>
      </c>
      <c r="B1740" s="13" t="s">
        <v>68</v>
      </c>
      <c r="C1740" s="13" t="n">
        <v>339</v>
      </c>
      <c r="D1740" s="13" t="s">
        <v>6925</v>
      </c>
      <c r="E1740" s="13" t="s">
        <v>6926</v>
      </c>
      <c r="F1740" s="13" t="s">
        <v>6927</v>
      </c>
      <c r="G1740" s="13" t="s">
        <v>1740</v>
      </c>
      <c r="H1740" s="13" t="s">
        <v>6928</v>
      </c>
      <c r="I1740" s="13" t="s">
        <v>82</v>
      </c>
      <c r="J1740" s="13" t="s">
        <v>5716</v>
      </c>
      <c r="K1740" s="13"/>
      <c r="L1740" s="13" t="s">
        <v>6929</v>
      </c>
      <c r="M1740" s="13" t="s">
        <v>6930</v>
      </c>
    </row>
    <row r="1741" customFormat="false" ht="102.2" hidden="false" customHeight="false" outlineLevel="0" collapsed="false">
      <c r="A1741" s="13" t="s">
        <v>4</v>
      </c>
      <c r="B1741" s="13" t="s">
        <v>68</v>
      </c>
      <c r="C1741" s="13" t="n">
        <v>339</v>
      </c>
      <c r="D1741" s="13" t="s">
        <v>6925</v>
      </c>
      <c r="E1741" s="13" t="s">
        <v>6931</v>
      </c>
      <c r="F1741" s="13" t="s">
        <v>6932</v>
      </c>
      <c r="G1741" s="13" t="s">
        <v>257</v>
      </c>
      <c r="H1741" s="13" t="s">
        <v>1380</v>
      </c>
      <c r="I1741" s="13" t="s">
        <v>82</v>
      </c>
      <c r="J1741" s="13" t="s">
        <v>5716</v>
      </c>
      <c r="K1741" s="13"/>
      <c r="L1741" s="13" t="s">
        <v>6929</v>
      </c>
      <c r="M1741" s="13" t="s">
        <v>6930</v>
      </c>
    </row>
    <row r="1742" customFormat="false" ht="102.2" hidden="false" customHeight="false" outlineLevel="0" collapsed="false">
      <c r="A1742" s="13" t="s">
        <v>4</v>
      </c>
      <c r="B1742" s="13" t="s">
        <v>68</v>
      </c>
      <c r="C1742" s="13" t="n">
        <v>339</v>
      </c>
      <c r="D1742" s="13" t="s">
        <v>6925</v>
      </c>
      <c r="E1742" s="13" t="s">
        <v>6933</v>
      </c>
      <c r="F1742" s="13" t="s">
        <v>1380</v>
      </c>
      <c r="G1742" s="13" t="s">
        <v>6934</v>
      </c>
      <c r="H1742" s="13" t="s">
        <v>6935</v>
      </c>
      <c r="I1742" s="13" t="s">
        <v>82</v>
      </c>
      <c r="J1742" s="13" t="s">
        <v>5716</v>
      </c>
      <c r="K1742" s="13"/>
      <c r="L1742" s="13" t="s">
        <v>6929</v>
      </c>
      <c r="M1742" s="13" t="s">
        <v>6930</v>
      </c>
    </row>
    <row r="1743" customFormat="false" ht="102.2" hidden="false" customHeight="false" outlineLevel="0" collapsed="false">
      <c r="A1743" s="13" t="s">
        <v>4</v>
      </c>
      <c r="B1743" s="13" t="s">
        <v>68</v>
      </c>
      <c r="C1743" s="13" t="n">
        <v>339</v>
      </c>
      <c r="D1743" s="13" t="s">
        <v>6925</v>
      </c>
      <c r="E1743" s="13" t="s">
        <v>6936</v>
      </c>
      <c r="F1743" s="13" t="s">
        <v>6937</v>
      </c>
      <c r="G1743" s="13" t="s">
        <v>1412</v>
      </c>
      <c r="H1743" s="13" t="s">
        <v>6938</v>
      </c>
      <c r="I1743" s="13" t="s">
        <v>82</v>
      </c>
      <c r="J1743" s="13" t="s">
        <v>5716</v>
      </c>
      <c r="K1743" s="13"/>
      <c r="L1743" s="13" t="s">
        <v>6929</v>
      </c>
      <c r="M1743" s="13" t="s">
        <v>6930</v>
      </c>
    </row>
    <row r="1744" customFormat="false" ht="102.2" hidden="false" customHeight="false" outlineLevel="0" collapsed="false">
      <c r="A1744" s="13" t="s">
        <v>4</v>
      </c>
      <c r="B1744" s="13" t="s">
        <v>68</v>
      </c>
      <c r="C1744" s="13" t="n">
        <v>339</v>
      </c>
      <c r="D1744" s="13" t="s">
        <v>6925</v>
      </c>
      <c r="E1744" s="13" t="s">
        <v>6939</v>
      </c>
      <c r="F1744" s="13" t="s">
        <v>1380</v>
      </c>
      <c r="G1744" s="13" t="s">
        <v>6940</v>
      </c>
      <c r="H1744" s="13" t="s">
        <v>6941</v>
      </c>
      <c r="I1744" s="13" t="s">
        <v>74</v>
      </c>
      <c r="J1744" s="13" t="s">
        <v>6942</v>
      </c>
      <c r="K1744" s="13" t="s">
        <v>6943</v>
      </c>
      <c r="L1744" s="13" t="s">
        <v>6929</v>
      </c>
      <c r="M1744" s="13" t="s">
        <v>6930</v>
      </c>
    </row>
    <row r="1745" customFormat="false" ht="46.25" hidden="false" customHeight="false" outlineLevel="0" collapsed="false">
      <c r="A1745" s="13" t="s">
        <v>4</v>
      </c>
      <c r="B1745" s="13" t="s">
        <v>68</v>
      </c>
      <c r="C1745" s="13" t="n">
        <v>408</v>
      </c>
      <c r="D1745" s="13" t="s">
        <v>6944</v>
      </c>
      <c r="E1745" s="13" t="s">
        <v>6945</v>
      </c>
      <c r="F1745" s="13" t="s">
        <v>806</v>
      </c>
      <c r="G1745" s="13" t="s">
        <v>6946</v>
      </c>
      <c r="H1745" s="13" t="s">
        <v>6947</v>
      </c>
      <c r="I1745" s="13" t="s">
        <v>82</v>
      </c>
      <c r="J1745" s="13" t="s">
        <v>5716</v>
      </c>
      <c r="K1745" s="13"/>
      <c r="L1745" s="13" t="s">
        <v>6948</v>
      </c>
      <c r="M1745" s="13" t="s">
        <v>6949</v>
      </c>
    </row>
    <row r="1746" customFormat="false" ht="46.25" hidden="false" customHeight="false" outlineLevel="0" collapsed="false">
      <c r="A1746" s="13" t="s">
        <v>4</v>
      </c>
      <c r="B1746" s="13" t="s">
        <v>68</v>
      </c>
      <c r="C1746" s="13" t="n">
        <v>408</v>
      </c>
      <c r="D1746" s="13" t="s">
        <v>6944</v>
      </c>
      <c r="E1746" s="13" t="s">
        <v>6950</v>
      </c>
      <c r="F1746" s="13" t="s">
        <v>6951</v>
      </c>
      <c r="G1746" s="13" t="s">
        <v>6952</v>
      </c>
      <c r="H1746" s="13" t="s">
        <v>806</v>
      </c>
      <c r="I1746" s="13" t="s">
        <v>82</v>
      </c>
      <c r="J1746" s="13" t="s">
        <v>5716</v>
      </c>
      <c r="K1746" s="13"/>
      <c r="L1746" s="13" t="s">
        <v>6948</v>
      </c>
      <c r="M1746" s="13" t="s">
        <v>6949</v>
      </c>
    </row>
    <row r="1747" customFormat="false" ht="57.45" hidden="false" customHeight="false" outlineLevel="0" collapsed="false">
      <c r="A1747" s="13" t="s">
        <v>4</v>
      </c>
      <c r="B1747" s="13" t="s">
        <v>68</v>
      </c>
      <c r="C1747" s="13" t="n">
        <v>408</v>
      </c>
      <c r="D1747" s="13" t="s">
        <v>6953</v>
      </c>
      <c r="E1747" s="13" t="s">
        <v>6954</v>
      </c>
      <c r="F1747" s="13" t="s">
        <v>806</v>
      </c>
      <c r="G1747" s="13" t="s">
        <v>6946</v>
      </c>
      <c r="H1747" s="13" t="s">
        <v>6955</v>
      </c>
      <c r="I1747" s="13" t="s">
        <v>82</v>
      </c>
      <c r="J1747" s="13" t="s">
        <v>5716</v>
      </c>
      <c r="K1747" s="13"/>
      <c r="L1747" s="13" t="s">
        <v>6956</v>
      </c>
      <c r="M1747" s="13" t="s">
        <v>6957</v>
      </c>
    </row>
    <row r="1748" customFormat="false" ht="57.45" hidden="false" customHeight="false" outlineLevel="0" collapsed="false">
      <c r="A1748" s="13" t="s">
        <v>4</v>
      </c>
      <c r="B1748" s="13" t="s">
        <v>68</v>
      </c>
      <c r="C1748" s="13" t="n">
        <v>408</v>
      </c>
      <c r="D1748" s="13" t="s">
        <v>6953</v>
      </c>
      <c r="E1748" s="13" t="s">
        <v>6958</v>
      </c>
      <c r="F1748" s="13" t="s">
        <v>6951</v>
      </c>
      <c r="G1748" s="13" t="s">
        <v>6952</v>
      </c>
      <c r="H1748" s="13" t="s">
        <v>806</v>
      </c>
      <c r="I1748" s="13" t="s">
        <v>82</v>
      </c>
      <c r="J1748" s="13" t="s">
        <v>5716</v>
      </c>
      <c r="K1748" s="13"/>
      <c r="L1748" s="13" t="s">
        <v>6956</v>
      </c>
      <c r="M1748" s="13" t="s">
        <v>6957</v>
      </c>
    </row>
    <row r="1749" customFormat="false" ht="35.05" hidden="false" customHeight="false" outlineLevel="0" collapsed="false">
      <c r="A1749" s="13" t="s">
        <v>4</v>
      </c>
      <c r="B1749" s="13" t="s">
        <v>68</v>
      </c>
      <c r="C1749" s="13" t="n">
        <v>408</v>
      </c>
      <c r="D1749" s="13" t="s">
        <v>6959</v>
      </c>
      <c r="E1749" s="13" t="s">
        <v>6960</v>
      </c>
      <c r="F1749" s="13" t="s">
        <v>806</v>
      </c>
      <c r="G1749" s="13" t="s">
        <v>6946</v>
      </c>
      <c r="H1749" s="13" t="s">
        <v>6961</v>
      </c>
      <c r="I1749" s="13" t="s">
        <v>82</v>
      </c>
      <c r="J1749" s="13" t="s">
        <v>5716</v>
      </c>
      <c r="K1749" s="13"/>
      <c r="L1749" s="13" t="s">
        <v>6962</v>
      </c>
      <c r="M1749" s="13" t="s">
        <v>6963</v>
      </c>
    </row>
    <row r="1750" customFormat="false" ht="35.05" hidden="false" customHeight="false" outlineLevel="0" collapsed="false">
      <c r="A1750" s="13" t="s">
        <v>4</v>
      </c>
      <c r="B1750" s="13" t="s">
        <v>68</v>
      </c>
      <c r="C1750" s="13" t="n">
        <v>408</v>
      </c>
      <c r="D1750" s="13" t="s">
        <v>6959</v>
      </c>
      <c r="E1750" s="13" t="s">
        <v>6964</v>
      </c>
      <c r="F1750" s="13" t="s">
        <v>6951</v>
      </c>
      <c r="G1750" s="13" t="s">
        <v>6952</v>
      </c>
      <c r="H1750" s="13" t="s">
        <v>806</v>
      </c>
      <c r="I1750" s="13" t="s">
        <v>82</v>
      </c>
      <c r="J1750" s="13" t="s">
        <v>5716</v>
      </c>
      <c r="K1750" s="13"/>
      <c r="L1750" s="13" t="s">
        <v>6962</v>
      </c>
      <c r="M1750" s="13" t="s">
        <v>6963</v>
      </c>
    </row>
    <row r="1751" customFormat="false" ht="68.65" hidden="false" customHeight="false" outlineLevel="0" collapsed="false">
      <c r="A1751" s="13" t="s">
        <v>4</v>
      </c>
      <c r="B1751" s="13" t="s">
        <v>68</v>
      </c>
      <c r="C1751" s="13" t="n">
        <v>408</v>
      </c>
      <c r="D1751" s="13" t="s">
        <v>6965</v>
      </c>
      <c r="E1751" s="13" t="s">
        <v>6966</v>
      </c>
      <c r="F1751" s="13" t="s">
        <v>806</v>
      </c>
      <c r="G1751" s="13" t="s">
        <v>6946</v>
      </c>
      <c r="H1751" s="13" t="s">
        <v>6967</v>
      </c>
      <c r="I1751" s="13" t="s">
        <v>82</v>
      </c>
      <c r="J1751" s="13" t="s">
        <v>5716</v>
      </c>
      <c r="K1751" s="13"/>
      <c r="L1751" s="13" t="s">
        <v>6968</v>
      </c>
      <c r="M1751" s="13" t="s">
        <v>6969</v>
      </c>
    </row>
    <row r="1752" customFormat="false" ht="68.65" hidden="false" customHeight="false" outlineLevel="0" collapsed="false">
      <c r="A1752" s="13" t="s">
        <v>4</v>
      </c>
      <c r="B1752" s="13" t="s">
        <v>68</v>
      </c>
      <c r="C1752" s="13" t="n">
        <v>408</v>
      </c>
      <c r="D1752" s="13" t="s">
        <v>6965</v>
      </c>
      <c r="E1752" s="13" t="s">
        <v>6970</v>
      </c>
      <c r="F1752" s="13" t="s">
        <v>806</v>
      </c>
      <c r="G1752" s="13" t="s">
        <v>6946</v>
      </c>
      <c r="H1752" s="13" t="s">
        <v>6971</v>
      </c>
      <c r="I1752" s="13" t="s">
        <v>82</v>
      </c>
      <c r="J1752" s="13" t="s">
        <v>5716</v>
      </c>
      <c r="K1752" s="13"/>
      <c r="L1752" s="13" t="s">
        <v>6968</v>
      </c>
      <c r="M1752" s="13" t="s">
        <v>6969</v>
      </c>
    </row>
    <row r="1753" customFormat="false" ht="68.65" hidden="false" customHeight="false" outlineLevel="0" collapsed="false">
      <c r="A1753" s="13" t="s">
        <v>4</v>
      </c>
      <c r="B1753" s="13" t="s">
        <v>68</v>
      </c>
      <c r="C1753" s="13" t="n">
        <v>408</v>
      </c>
      <c r="D1753" s="13" t="s">
        <v>6965</v>
      </c>
      <c r="E1753" s="13" t="s">
        <v>6972</v>
      </c>
      <c r="F1753" s="13" t="s">
        <v>806</v>
      </c>
      <c r="G1753" s="13" t="s">
        <v>6946</v>
      </c>
      <c r="H1753" s="13" t="s">
        <v>6973</v>
      </c>
      <c r="I1753" s="13" t="s">
        <v>82</v>
      </c>
      <c r="J1753" s="13" t="s">
        <v>5716</v>
      </c>
      <c r="K1753" s="13"/>
      <c r="L1753" s="13" t="s">
        <v>6968</v>
      </c>
      <c r="M1753" s="13" t="s">
        <v>6969</v>
      </c>
    </row>
    <row r="1754" customFormat="false" ht="68.65" hidden="false" customHeight="false" outlineLevel="0" collapsed="false">
      <c r="A1754" s="13" t="s">
        <v>4</v>
      </c>
      <c r="B1754" s="13" t="s">
        <v>68</v>
      </c>
      <c r="C1754" s="13" t="n">
        <v>408</v>
      </c>
      <c r="D1754" s="13" t="s">
        <v>6965</v>
      </c>
      <c r="E1754" s="13" t="s">
        <v>6974</v>
      </c>
      <c r="F1754" s="13" t="s">
        <v>806</v>
      </c>
      <c r="G1754" s="13" t="s">
        <v>6946</v>
      </c>
      <c r="H1754" s="13" t="s">
        <v>6975</v>
      </c>
      <c r="I1754" s="13" t="s">
        <v>82</v>
      </c>
      <c r="J1754" s="13" t="s">
        <v>5716</v>
      </c>
      <c r="K1754" s="13"/>
      <c r="L1754" s="13" t="s">
        <v>6968</v>
      </c>
      <c r="M1754" s="13" t="s">
        <v>6969</v>
      </c>
    </row>
    <row r="1755" customFormat="false" ht="68.65" hidden="false" customHeight="false" outlineLevel="0" collapsed="false">
      <c r="A1755" s="13" t="s">
        <v>4</v>
      </c>
      <c r="B1755" s="13" t="s">
        <v>68</v>
      </c>
      <c r="C1755" s="13" t="n">
        <v>408</v>
      </c>
      <c r="D1755" s="13" t="s">
        <v>6976</v>
      </c>
      <c r="E1755" s="13" t="s">
        <v>6977</v>
      </c>
      <c r="F1755" s="13" t="s">
        <v>806</v>
      </c>
      <c r="G1755" s="13" t="s">
        <v>6978</v>
      </c>
      <c r="H1755" s="13" t="s">
        <v>6979</v>
      </c>
      <c r="I1755" s="13" t="s">
        <v>82</v>
      </c>
      <c r="J1755" s="13" t="s">
        <v>5716</v>
      </c>
      <c r="K1755" s="13"/>
      <c r="L1755" s="13" t="s">
        <v>6980</v>
      </c>
      <c r="M1755" s="13" t="s">
        <v>6981</v>
      </c>
    </row>
    <row r="1756" customFormat="false" ht="68.65" hidden="false" customHeight="false" outlineLevel="0" collapsed="false">
      <c r="A1756" s="13" t="s">
        <v>4</v>
      </c>
      <c r="B1756" s="13" t="s">
        <v>68</v>
      </c>
      <c r="C1756" s="13" t="n">
        <v>408</v>
      </c>
      <c r="D1756" s="13" t="s">
        <v>6976</v>
      </c>
      <c r="E1756" s="13" t="s">
        <v>6982</v>
      </c>
      <c r="F1756" s="13" t="s">
        <v>806</v>
      </c>
      <c r="G1756" s="13" t="s">
        <v>6978</v>
      </c>
      <c r="H1756" s="13" t="s">
        <v>6983</v>
      </c>
      <c r="I1756" s="13" t="s">
        <v>82</v>
      </c>
      <c r="J1756" s="13" t="s">
        <v>5716</v>
      </c>
      <c r="K1756" s="13"/>
      <c r="L1756" s="13" t="s">
        <v>6980</v>
      </c>
      <c r="M1756" s="13" t="s">
        <v>6981</v>
      </c>
    </row>
    <row r="1757" customFormat="false" ht="68.65" hidden="false" customHeight="false" outlineLevel="0" collapsed="false">
      <c r="A1757" s="13" t="s">
        <v>4</v>
      </c>
      <c r="B1757" s="13" t="s">
        <v>68</v>
      </c>
      <c r="C1757" s="13" t="n">
        <v>408</v>
      </c>
      <c r="D1757" s="13" t="s">
        <v>6976</v>
      </c>
      <c r="E1757" s="13" t="s">
        <v>6984</v>
      </c>
      <c r="F1757" s="13" t="s">
        <v>806</v>
      </c>
      <c r="G1757" s="13" t="s">
        <v>6978</v>
      </c>
      <c r="H1757" s="13" t="s">
        <v>6985</v>
      </c>
      <c r="I1757" s="13" t="s">
        <v>82</v>
      </c>
      <c r="J1757" s="13" t="s">
        <v>5716</v>
      </c>
      <c r="K1757" s="13"/>
      <c r="L1757" s="13" t="s">
        <v>6980</v>
      </c>
      <c r="M1757" s="13" t="s">
        <v>6981</v>
      </c>
    </row>
    <row r="1758" customFormat="false" ht="68.65" hidden="false" customHeight="false" outlineLevel="0" collapsed="false">
      <c r="A1758" s="13" t="s">
        <v>4</v>
      </c>
      <c r="B1758" s="13" t="s">
        <v>68</v>
      </c>
      <c r="C1758" s="13" t="n">
        <v>408</v>
      </c>
      <c r="D1758" s="13" t="s">
        <v>6976</v>
      </c>
      <c r="E1758" s="13" t="s">
        <v>6986</v>
      </c>
      <c r="F1758" s="13" t="s">
        <v>6951</v>
      </c>
      <c r="G1758" s="13" t="s">
        <v>6952</v>
      </c>
      <c r="H1758" s="13" t="s">
        <v>806</v>
      </c>
      <c r="I1758" s="13" t="s">
        <v>82</v>
      </c>
      <c r="J1758" s="13" t="s">
        <v>5716</v>
      </c>
      <c r="K1758" s="13"/>
      <c r="L1758" s="13" t="s">
        <v>6980</v>
      </c>
      <c r="M1758" s="13" t="s">
        <v>6981</v>
      </c>
    </row>
    <row r="1759" customFormat="false" ht="23.85" hidden="false" customHeight="false" outlineLevel="0" collapsed="false">
      <c r="A1759" s="13" t="s">
        <v>4</v>
      </c>
      <c r="B1759" s="13" t="s">
        <v>68</v>
      </c>
      <c r="C1759" s="13" t="n">
        <v>408</v>
      </c>
      <c r="D1759" s="13" t="s">
        <v>6987</v>
      </c>
      <c r="E1759" s="13" t="s">
        <v>6988</v>
      </c>
      <c r="F1759" s="13" t="s">
        <v>806</v>
      </c>
      <c r="G1759" s="13" t="s">
        <v>6978</v>
      </c>
      <c r="H1759" s="13" t="s">
        <v>1909</v>
      </c>
      <c r="I1759" s="13" t="s">
        <v>82</v>
      </c>
      <c r="J1759" s="13" t="s">
        <v>5716</v>
      </c>
      <c r="K1759" s="13"/>
      <c r="L1759" s="13" t="s">
        <v>6989</v>
      </c>
      <c r="M1759" s="13" t="s">
        <v>6990</v>
      </c>
    </row>
    <row r="1760" customFormat="false" ht="23.85" hidden="false" customHeight="false" outlineLevel="0" collapsed="false">
      <c r="A1760" s="13" t="s">
        <v>4</v>
      </c>
      <c r="B1760" s="13" t="s">
        <v>68</v>
      </c>
      <c r="C1760" s="13" t="n">
        <v>408</v>
      </c>
      <c r="D1760" s="13" t="s">
        <v>6987</v>
      </c>
      <c r="E1760" s="13" t="s">
        <v>6991</v>
      </c>
      <c r="F1760" s="13" t="s">
        <v>806</v>
      </c>
      <c r="G1760" s="13" t="s">
        <v>6978</v>
      </c>
      <c r="H1760" s="13" t="s">
        <v>6992</v>
      </c>
      <c r="I1760" s="13" t="s">
        <v>82</v>
      </c>
      <c r="J1760" s="13" t="s">
        <v>5716</v>
      </c>
      <c r="K1760" s="13"/>
      <c r="L1760" s="13" t="s">
        <v>6989</v>
      </c>
      <c r="M1760" s="13" t="s">
        <v>6990</v>
      </c>
    </row>
    <row r="1761" customFormat="false" ht="23.85" hidden="false" customHeight="false" outlineLevel="0" collapsed="false">
      <c r="A1761" s="13" t="s">
        <v>4</v>
      </c>
      <c r="B1761" s="13" t="s">
        <v>68</v>
      </c>
      <c r="C1761" s="13" t="n">
        <v>408</v>
      </c>
      <c r="D1761" s="13" t="s">
        <v>6987</v>
      </c>
      <c r="E1761" s="13" t="s">
        <v>6993</v>
      </c>
      <c r="F1761" s="13" t="s">
        <v>806</v>
      </c>
      <c r="G1761" s="13" t="s">
        <v>6978</v>
      </c>
      <c r="H1761" s="13" t="s">
        <v>6994</v>
      </c>
      <c r="I1761" s="13" t="s">
        <v>82</v>
      </c>
      <c r="J1761" s="13" t="s">
        <v>5716</v>
      </c>
      <c r="K1761" s="13"/>
      <c r="L1761" s="13" t="s">
        <v>6989</v>
      </c>
      <c r="M1761" s="13" t="s">
        <v>6990</v>
      </c>
    </row>
    <row r="1762" customFormat="false" ht="23.85" hidden="false" customHeight="false" outlineLevel="0" collapsed="false">
      <c r="A1762" s="13" t="s">
        <v>4</v>
      </c>
      <c r="B1762" s="13" t="s">
        <v>68</v>
      </c>
      <c r="C1762" s="13" t="n">
        <v>408</v>
      </c>
      <c r="D1762" s="13" t="s">
        <v>6987</v>
      </c>
      <c r="E1762" s="13" t="s">
        <v>6995</v>
      </c>
      <c r="F1762" s="13" t="s">
        <v>806</v>
      </c>
      <c r="G1762" s="13" t="s">
        <v>6978</v>
      </c>
      <c r="H1762" s="13" t="s">
        <v>6996</v>
      </c>
      <c r="I1762" s="13" t="s">
        <v>82</v>
      </c>
      <c r="J1762" s="13" t="s">
        <v>5716</v>
      </c>
      <c r="K1762" s="13"/>
      <c r="L1762" s="13" t="s">
        <v>6989</v>
      </c>
      <c r="M1762" s="13" t="s">
        <v>6990</v>
      </c>
    </row>
    <row r="1763" customFormat="false" ht="113.4" hidden="false" customHeight="false" outlineLevel="0" collapsed="false">
      <c r="A1763" s="13" t="s">
        <v>4</v>
      </c>
      <c r="B1763" s="13" t="s">
        <v>68</v>
      </c>
      <c r="C1763" s="13" t="n">
        <v>408</v>
      </c>
      <c r="D1763" s="13" t="s">
        <v>6997</v>
      </c>
      <c r="E1763" s="13" t="s">
        <v>6998</v>
      </c>
      <c r="F1763" s="13" t="s">
        <v>806</v>
      </c>
      <c r="G1763" s="13" t="s">
        <v>6999</v>
      </c>
      <c r="H1763" s="13" t="s">
        <v>1675</v>
      </c>
      <c r="I1763" s="13" t="s">
        <v>82</v>
      </c>
      <c r="J1763" s="13" t="s">
        <v>5716</v>
      </c>
      <c r="K1763" s="13"/>
      <c r="L1763" s="13" t="s">
        <v>7000</v>
      </c>
      <c r="M1763" s="13" t="s">
        <v>7001</v>
      </c>
    </row>
    <row r="1764" customFormat="false" ht="113.4" hidden="false" customHeight="false" outlineLevel="0" collapsed="false">
      <c r="A1764" s="13" t="s">
        <v>4</v>
      </c>
      <c r="B1764" s="13" t="s">
        <v>68</v>
      </c>
      <c r="C1764" s="13" t="n">
        <v>408</v>
      </c>
      <c r="D1764" s="13" t="s">
        <v>6997</v>
      </c>
      <c r="E1764" s="13" t="s">
        <v>7002</v>
      </c>
      <c r="F1764" s="13" t="s">
        <v>7003</v>
      </c>
      <c r="G1764" s="13" t="s">
        <v>4513</v>
      </c>
      <c r="H1764" s="13" t="s">
        <v>7004</v>
      </c>
      <c r="I1764" s="13" t="s">
        <v>82</v>
      </c>
      <c r="J1764" s="13" t="s">
        <v>5716</v>
      </c>
      <c r="K1764" s="13"/>
      <c r="L1764" s="13" t="s">
        <v>7000</v>
      </c>
      <c r="M1764" s="13" t="s">
        <v>7001</v>
      </c>
    </row>
    <row r="1765" customFormat="false" ht="113.4" hidden="false" customHeight="false" outlineLevel="0" collapsed="false">
      <c r="A1765" s="13" t="s">
        <v>4</v>
      </c>
      <c r="B1765" s="13" t="s">
        <v>68</v>
      </c>
      <c r="C1765" s="13" t="n">
        <v>408</v>
      </c>
      <c r="D1765" s="13" t="s">
        <v>6997</v>
      </c>
      <c r="E1765" s="13" t="s">
        <v>7005</v>
      </c>
      <c r="F1765" s="13" t="s">
        <v>7006</v>
      </c>
      <c r="G1765" s="13" t="s">
        <v>4513</v>
      </c>
      <c r="H1765" s="13" t="s">
        <v>7004</v>
      </c>
      <c r="I1765" s="13" t="s">
        <v>82</v>
      </c>
      <c r="J1765" s="13" t="s">
        <v>5716</v>
      </c>
      <c r="K1765" s="13"/>
      <c r="L1765" s="13" t="s">
        <v>7000</v>
      </c>
      <c r="M1765" s="13" t="s">
        <v>7001</v>
      </c>
    </row>
    <row r="1766" customFormat="false" ht="113.4" hidden="false" customHeight="false" outlineLevel="0" collapsed="false">
      <c r="A1766" s="13" t="s">
        <v>4</v>
      </c>
      <c r="B1766" s="13" t="s">
        <v>68</v>
      </c>
      <c r="C1766" s="13" t="n">
        <v>408</v>
      </c>
      <c r="D1766" s="13" t="s">
        <v>6997</v>
      </c>
      <c r="E1766" s="13" t="s">
        <v>7007</v>
      </c>
      <c r="F1766" s="13" t="s">
        <v>7008</v>
      </c>
      <c r="G1766" s="13" t="s">
        <v>4513</v>
      </c>
      <c r="H1766" s="13" t="s">
        <v>7004</v>
      </c>
      <c r="I1766" s="13" t="s">
        <v>82</v>
      </c>
      <c r="J1766" s="13" t="s">
        <v>5716</v>
      </c>
      <c r="K1766" s="13"/>
      <c r="L1766" s="13" t="s">
        <v>7000</v>
      </c>
      <c r="M1766" s="13" t="s">
        <v>7001</v>
      </c>
    </row>
    <row r="1767" customFormat="false" ht="113.4" hidden="false" customHeight="false" outlineLevel="0" collapsed="false">
      <c r="A1767" s="13" t="s">
        <v>4</v>
      </c>
      <c r="B1767" s="13" t="s">
        <v>68</v>
      </c>
      <c r="C1767" s="13" t="n">
        <v>408</v>
      </c>
      <c r="D1767" s="13" t="s">
        <v>6997</v>
      </c>
      <c r="E1767" s="13" t="s">
        <v>7009</v>
      </c>
      <c r="F1767" s="13" t="s">
        <v>7010</v>
      </c>
      <c r="G1767" s="13" t="s">
        <v>4513</v>
      </c>
      <c r="H1767" s="13" t="s">
        <v>7004</v>
      </c>
      <c r="I1767" s="13" t="s">
        <v>82</v>
      </c>
      <c r="J1767" s="13" t="s">
        <v>5716</v>
      </c>
      <c r="K1767" s="13"/>
      <c r="L1767" s="13" t="s">
        <v>7000</v>
      </c>
      <c r="M1767" s="13" t="s">
        <v>7001</v>
      </c>
    </row>
    <row r="1768" customFormat="false" ht="91" hidden="false" customHeight="false" outlineLevel="0" collapsed="false">
      <c r="A1768" s="13" t="s">
        <v>4</v>
      </c>
      <c r="B1768" s="13" t="s">
        <v>68</v>
      </c>
      <c r="C1768" s="13" t="n">
        <v>408</v>
      </c>
      <c r="D1768" s="13" t="s">
        <v>7011</v>
      </c>
      <c r="E1768" s="13" t="s">
        <v>7012</v>
      </c>
      <c r="F1768" s="13" t="s">
        <v>806</v>
      </c>
      <c r="G1768" s="13" t="s">
        <v>1169</v>
      </c>
      <c r="H1768" s="13" t="s">
        <v>7013</v>
      </c>
      <c r="I1768" s="13" t="s">
        <v>82</v>
      </c>
      <c r="J1768" s="13" t="s">
        <v>5716</v>
      </c>
      <c r="K1768" s="13"/>
      <c r="L1768" s="13" t="s">
        <v>7014</v>
      </c>
      <c r="M1768" s="13" t="s">
        <v>7015</v>
      </c>
    </row>
    <row r="1769" customFormat="false" ht="91" hidden="false" customHeight="false" outlineLevel="0" collapsed="false">
      <c r="A1769" s="13" t="s">
        <v>4</v>
      </c>
      <c r="B1769" s="13" t="s">
        <v>68</v>
      </c>
      <c r="C1769" s="13" t="n">
        <v>408</v>
      </c>
      <c r="D1769" s="13" t="s">
        <v>7011</v>
      </c>
      <c r="E1769" s="13" t="s">
        <v>7016</v>
      </c>
      <c r="F1769" s="13" t="s">
        <v>806</v>
      </c>
      <c r="G1769" s="13" t="s">
        <v>7017</v>
      </c>
      <c r="H1769" s="13" t="s">
        <v>2197</v>
      </c>
      <c r="I1769" s="13" t="s">
        <v>82</v>
      </c>
      <c r="J1769" s="13" t="s">
        <v>5716</v>
      </c>
      <c r="K1769" s="13"/>
      <c r="L1769" s="13" t="s">
        <v>7014</v>
      </c>
      <c r="M1769" s="13" t="s">
        <v>7015</v>
      </c>
    </row>
    <row r="1770" customFormat="false" ht="91" hidden="false" customHeight="false" outlineLevel="0" collapsed="false">
      <c r="A1770" s="13" t="s">
        <v>4</v>
      </c>
      <c r="B1770" s="13" t="s">
        <v>68</v>
      </c>
      <c r="C1770" s="13" t="n">
        <v>408</v>
      </c>
      <c r="D1770" s="13" t="s">
        <v>7011</v>
      </c>
      <c r="E1770" s="13" t="s">
        <v>7018</v>
      </c>
      <c r="F1770" s="13" t="s">
        <v>806</v>
      </c>
      <c r="G1770" s="13" t="s">
        <v>7019</v>
      </c>
      <c r="H1770" s="13" t="s">
        <v>7020</v>
      </c>
      <c r="I1770" s="13" t="s">
        <v>82</v>
      </c>
      <c r="J1770" s="13" t="s">
        <v>5716</v>
      </c>
      <c r="K1770" s="13"/>
      <c r="L1770" s="13" t="s">
        <v>7014</v>
      </c>
      <c r="M1770" s="13" t="s">
        <v>7015</v>
      </c>
    </row>
    <row r="1771" customFormat="false" ht="91" hidden="false" customHeight="false" outlineLevel="0" collapsed="false">
      <c r="A1771" s="13" t="s">
        <v>4</v>
      </c>
      <c r="B1771" s="13" t="s">
        <v>68</v>
      </c>
      <c r="C1771" s="13" t="n">
        <v>408</v>
      </c>
      <c r="D1771" s="13" t="s">
        <v>7011</v>
      </c>
      <c r="E1771" s="13" t="s">
        <v>7021</v>
      </c>
      <c r="F1771" s="13" t="s">
        <v>806</v>
      </c>
      <c r="G1771" s="13" t="s">
        <v>7019</v>
      </c>
      <c r="H1771" s="13" t="s">
        <v>7022</v>
      </c>
      <c r="I1771" s="13" t="s">
        <v>82</v>
      </c>
      <c r="J1771" s="13" t="s">
        <v>5716</v>
      </c>
      <c r="K1771" s="13"/>
      <c r="L1771" s="13" t="s">
        <v>7014</v>
      </c>
      <c r="M1771" s="13" t="s">
        <v>7015</v>
      </c>
    </row>
    <row r="1772" customFormat="false" ht="91" hidden="false" customHeight="false" outlineLevel="0" collapsed="false">
      <c r="A1772" s="13" t="s">
        <v>4</v>
      </c>
      <c r="B1772" s="13" t="s">
        <v>68</v>
      </c>
      <c r="C1772" s="13" t="n">
        <v>408</v>
      </c>
      <c r="D1772" s="13" t="s">
        <v>7011</v>
      </c>
      <c r="E1772" s="13" t="s">
        <v>7023</v>
      </c>
      <c r="F1772" s="13" t="s">
        <v>806</v>
      </c>
      <c r="G1772" s="13" t="s">
        <v>6105</v>
      </c>
      <c r="H1772" s="13" t="s">
        <v>7024</v>
      </c>
      <c r="I1772" s="13" t="s">
        <v>82</v>
      </c>
      <c r="J1772" s="13" t="s">
        <v>5716</v>
      </c>
      <c r="K1772" s="13"/>
      <c r="L1772" s="13" t="s">
        <v>7014</v>
      </c>
      <c r="M1772" s="13" t="s">
        <v>7015</v>
      </c>
    </row>
    <row r="1773" customFormat="false" ht="102.2" hidden="false" customHeight="false" outlineLevel="0" collapsed="false">
      <c r="A1773" s="13" t="s">
        <v>4</v>
      </c>
      <c r="B1773" s="13" t="s">
        <v>68</v>
      </c>
      <c r="C1773" s="13" t="n">
        <v>408</v>
      </c>
      <c r="D1773" s="13" t="s">
        <v>7025</v>
      </c>
      <c r="E1773" s="13" t="s">
        <v>7026</v>
      </c>
      <c r="F1773" s="13" t="s">
        <v>806</v>
      </c>
      <c r="G1773" s="13" t="s">
        <v>7027</v>
      </c>
      <c r="H1773" s="13" t="s">
        <v>7028</v>
      </c>
      <c r="I1773" s="13" t="s">
        <v>82</v>
      </c>
      <c r="J1773" s="13" t="s">
        <v>5716</v>
      </c>
      <c r="K1773" s="13"/>
      <c r="L1773" s="13" t="s">
        <v>7029</v>
      </c>
      <c r="M1773" s="13" t="s">
        <v>7030</v>
      </c>
    </row>
    <row r="1774" customFormat="false" ht="102.2" hidden="false" customHeight="false" outlineLevel="0" collapsed="false">
      <c r="A1774" s="13" t="s">
        <v>4</v>
      </c>
      <c r="B1774" s="13" t="s">
        <v>68</v>
      </c>
      <c r="C1774" s="13" t="n">
        <v>408</v>
      </c>
      <c r="D1774" s="13" t="s">
        <v>7025</v>
      </c>
      <c r="E1774" s="13" t="s">
        <v>7031</v>
      </c>
      <c r="F1774" s="13" t="s">
        <v>806</v>
      </c>
      <c r="G1774" s="13" t="s">
        <v>971</v>
      </c>
      <c r="H1774" s="13" t="s">
        <v>7032</v>
      </c>
      <c r="I1774" s="13" t="s">
        <v>82</v>
      </c>
      <c r="J1774" s="13" t="s">
        <v>5716</v>
      </c>
      <c r="K1774" s="13"/>
      <c r="L1774" s="13" t="s">
        <v>7029</v>
      </c>
      <c r="M1774" s="13" t="s">
        <v>7030</v>
      </c>
    </row>
    <row r="1775" customFormat="false" ht="102.2" hidden="false" customHeight="false" outlineLevel="0" collapsed="false">
      <c r="A1775" s="13" t="s">
        <v>4</v>
      </c>
      <c r="B1775" s="13" t="s">
        <v>68</v>
      </c>
      <c r="C1775" s="13" t="n">
        <v>408</v>
      </c>
      <c r="D1775" s="13" t="s">
        <v>7025</v>
      </c>
      <c r="E1775" s="13" t="s">
        <v>7033</v>
      </c>
      <c r="F1775" s="13" t="s">
        <v>806</v>
      </c>
      <c r="G1775" s="13" t="s">
        <v>971</v>
      </c>
      <c r="H1775" s="13" t="s">
        <v>7034</v>
      </c>
      <c r="I1775" s="13" t="s">
        <v>82</v>
      </c>
      <c r="J1775" s="13" t="s">
        <v>5716</v>
      </c>
      <c r="K1775" s="13"/>
      <c r="L1775" s="13" t="s">
        <v>7029</v>
      </c>
      <c r="M1775" s="13" t="s">
        <v>7030</v>
      </c>
    </row>
    <row r="1776" customFormat="false" ht="102.2" hidden="false" customHeight="false" outlineLevel="0" collapsed="false">
      <c r="A1776" s="13" t="s">
        <v>4</v>
      </c>
      <c r="B1776" s="13" t="s">
        <v>68</v>
      </c>
      <c r="C1776" s="13" t="n">
        <v>408</v>
      </c>
      <c r="D1776" s="13" t="s">
        <v>7025</v>
      </c>
      <c r="E1776" s="13" t="s">
        <v>7035</v>
      </c>
      <c r="F1776" s="13" t="s">
        <v>806</v>
      </c>
      <c r="G1776" s="13" t="s">
        <v>971</v>
      </c>
      <c r="H1776" s="13" t="s">
        <v>7036</v>
      </c>
      <c r="I1776" s="13" t="s">
        <v>82</v>
      </c>
      <c r="J1776" s="13" t="s">
        <v>5716</v>
      </c>
      <c r="K1776" s="13"/>
      <c r="L1776" s="13" t="s">
        <v>7029</v>
      </c>
      <c r="M1776" s="13" t="s">
        <v>7030</v>
      </c>
    </row>
    <row r="1777" customFormat="false" ht="102.2" hidden="false" customHeight="false" outlineLevel="0" collapsed="false">
      <c r="A1777" s="13" t="s">
        <v>4</v>
      </c>
      <c r="B1777" s="13" t="s">
        <v>68</v>
      </c>
      <c r="C1777" s="13" t="n">
        <v>408</v>
      </c>
      <c r="D1777" s="13" t="s">
        <v>7025</v>
      </c>
      <c r="E1777" s="13" t="s">
        <v>7037</v>
      </c>
      <c r="F1777" s="13" t="s">
        <v>806</v>
      </c>
      <c r="G1777" s="13" t="s">
        <v>7019</v>
      </c>
      <c r="H1777" s="13" t="s">
        <v>7020</v>
      </c>
      <c r="I1777" s="13" t="s">
        <v>82</v>
      </c>
      <c r="J1777" s="13" t="s">
        <v>5716</v>
      </c>
      <c r="K1777" s="13"/>
      <c r="L1777" s="13" t="s">
        <v>7029</v>
      </c>
      <c r="M1777" s="13" t="s">
        <v>7030</v>
      </c>
    </row>
    <row r="1778" customFormat="false" ht="35.05" hidden="false" customHeight="false" outlineLevel="0" collapsed="false">
      <c r="A1778" s="13" t="s">
        <v>4</v>
      </c>
      <c r="B1778" s="13" t="s">
        <v>2150</v>
      </c>
      <c r="C1778" s="13" t="n">
        <v>27</v>
      </c>
      <c r="D1778" s="13" t="s">
        <v>7038</v>
      </c>
      <c r="E1778" s="13" t="s">
        <v>7039</v>
      </c>
      <c r="F1778" s="13" t="s">
        <v>7040</v>
      </c>
      <c r="G1778" s="13" t="s">
        <v>2800</v>
      </c>
      <c r="H1778" s="13" t="s">
        <v>1405</v>
      </c>
      <c r="I1778" s="13" t="s">
        <v>74</v>
      </c>
      <c r="J1778" s="13" t="s">
        <v>7041</v>
      </c>
      <c r="K1778" s="13" t="s">
        <v>7042</v>
      </c>
      <c r="L1778" s="13" t="s">
        <v>7043</v>
      </c>
      <c r="M1778" s="13" t="s">
        <v>7044</v>
      </c>
    </row>
    <row r="1779" customFormat="false" ht="46.25" hidden="false" customHeight="false" outlineLevel="0" collapsed="false">
      <c r="A1779" s="13" t="s">
        <v>4</v>
      </c>
      <c r="B1779" s="13" t="s">
        <v>2150</v>
      </c>
      <c r="C1779" s="13" t="n">
        <v>27</v>
      </c>
      <c r="D1779" s="13" t="s">
        <v>7045</v>
      </c>
      <c r="E1779" s="13" t="s">
        <v>7046</v>
      </c>
      <c r="F1779" s="13" t="s">
        <v>1405</v>
      </c>
      <c r="G1779" s="13" t="s">
        <v>257</v>
      </c>
      <c r="H1779" s="13" t="s">
        <v>7047</v>
      </c>
      <c r="I1779" s="13" t="s">
        <v>82</v>
      </c>
      <c r="J1779" s="13" t="s">
        <v>5716</v>
      </c>
      <c r="K1779" s="13"/>
      <c r="L1779" s="13" t="s">
        <v>7048</v>
      </c>
      <c r="M1779" s="13" t="s">
        <v>7049</v>
      </c>
    </row>
    <row r="1780" customFormat="false" ht="46.25" hidden="false" customHeight="false" outlineLevel="0" collapsed="false">
      <c r="A1780" s="13" t="s">
        <v>4</v>
      </c>
      <c r="B1780" s="13" t="s">
        <v>2150</v>
      </c>
      <c r="C1780" s="13" t="n">
        <v>27</v>
      </c>
      <c r="D1780" s="13" t="s">
        <v>7045</v>
      </c>
      <c r="E1780" s="13" t="s">
        <v>7050</v>
      </c>
      <c r="F1780" s="13" t="s">
        <v>7051</v>
      </c>
      <c r="G1780" s="13" t="s">
        <v>1141</v>
      </c>
      <c r="H1780" s="13" t="s">
        <v>7052</v>
      </c>
      <c r="I1780" s="13" t="s">
        <v>82</v>
      </c>
      <c r="J1780" s="13" t="s">
        <v>5716</v>
      </c>
      <c r="K1780" s="13"/>
      <c r="L1780" s="13" t="s">
        <v>7048</v>
      </c>
      <c r="M1780" s="13" t="s">
        <v>7049</v>
      </c>
    </row>
    <row r="1781" customFormat="false" ht="46.25" hidden="false" customHeight="false" outlineLevel="0" collapsed="false">
      <c r="A1781" s="13" t="s">
        <v>4</v>
      </c>
      <c r="B1781" s="13" t="s">
        <v>2150</v>
      </c>
      <c r="C1781" s="13" t="n">
        <v>27</v>
      </c>
      <c r="D1781" s="13" t="s">
        <v>7045</v>
      </c>
      <c r="E1781" s="13" t="s">
        <v>7053</v>
      </c>
      <c r="F1781" s="13" t="s">
        <v>7051</v>
      </c>
      <c r="G1781" s="13" t="s">
        <v>1495</v>
      </c>
      <c r="H1781" s="13" t="s">
        <v>7054</v>
      </c>
      <c r="I1781" s="13" t="s">
        <v>82</v>
      </c>
      <c r="J1781" s="13" t="s">
        <v>5716</v>
      </c>
      <c r="K1781" s="13"/>
      <c r="L1781" s="13" t="s">
        <v>7048</v>
      </c>
      <c r="M1781" s="13" t="s">
        <v>7049</v>
      </c>
    </row>
    <row r="1782" customFormat="false" ht="35.05" hidden="false" customHeight="false" outlineLevel="0" collapsed="false">
      <c r="A1782" s="13" t="s">
        <v>4</v>
      </c>
      <c r="B1782" s="13" t="s">
        <v>2150</v>
      </c>
      <c r="C1782" s="13" t="n">
        <v>27</v>
      </c>
      <c r="D1782" s="13" t="s">
        <v>7055</v>
      </c>
      <c r="E1782" s="13" t="s">
        <v>7056</v>
      </c>
      <c r="F1782" s="13" t="s">
        <v>7057</v>
      </c>
      <c r="G1782" s="13" t="s">
        <v>7058</v>
      </c>
      <c r="H1782" s="13" t="s">
        <v>7059</v>
      </c>
      <c r="I1782" s="13" t="s">
        <v>74</v>
      </c>
      <c r="J1782" s="13" t="s">
        <v>7060</v>
      </c>
      <c r="K1782" s="13" t="s">
        <v>7061</v>
      </c>
      <c r="L1782" s="13" t="s">
        <v>7062</v>
      </c>
      <c r="M1782" s="13" t="s">
        <v>7063</v>
      </c>
    </row>
    <row r="1783" customFormat="false" ht="23.85" hidden="false" customHeight="false" outlineLevel="0" collapsed="false">
      <c r="A1783" s="13" t="s">
        <v>4</v>
      </c>
      <c r="B1783" s="13" t="s">
        <v>2150</v>
      </c>
      <c r="C1783" s="13" t="n">
        <v>27</v>
      </c>
      <c r="D1783" s="13" t="s">
        <v>7064</v>
      </c>
      <c r="E1783" s="13" t="s">
        <v>7065</v>
      </c>
      <c r="F1783" s="13" t="s">
        <v>7040</v>
      </c>
      <c r="G1783" s="13" t="s">
        <v>7066</v>
      </c>
      <c r="H1783" s="13" t="s">
        <v>7067</v>
      </c>
      <c r="I1783" s="13" t="s">
        <v>82</v>
      </c>
      <c r="J1783" s="13" t="s">
        <v>5716</v>
      </c>
      <c r="K1783" s="13"/>
      <c r="L1783" s="13" t="s">
        <v>7068</v>
      </c>
      <c r="M1783" s="13" t="s">
        <v>7069</v>
      </c>
    </row>
    <row r="1784" customFormat="false" ht="91" hidden="false" customHeight="false" outlineLevel="0" collapsed="false">
      <c r="A1784" s="13" t="s">
        <v>4</v>
      </c>
      <c r="B1784" s="13" t="s">
        <v>2150</v>
      </c>
      <c r="C1784" s="13" t="n">
        <v>27</v>
      </c>
      <c r="D1784" s="13" t="s">
        <v>7070</v>
      </c>
      <c r="E1784" s="13" t="s">
        <v>7071</v>
      </c>
      <c r="F1784" s="13" t="s">
        <v>7040</v>
      </c>
      <c r="G1784" s="13" t="s">
        <v>315</v>
      </c>
      <c r="H1784" s="13" t="s">
        <v>7072</v>
      </c>
      <c r="I1784" s="13" t="s">
        <v>82</v>
      </c>
      <c r="J1784" s="13" t="s">
        <v>5716</v>
      </c>
      <c r="K1784" s="13"/>
      <c r="L1784" s="13" t="s">
        <v>7073</v>
      </c>
      <c r="M1784" s="13" t="s">
        <v>7074</v>
      </c>
    </row>
    <row r="1785" customFormat="false" ht="57.45" hidden="false" customHeight="false" outlineLevel="0" collapsed="false">
      <c r="A1785" s="13" t="s">
        <v>4</v>
      </c>
      <c r="B1785" s="13" t="s">
        <v>2150</v>
      </c>
      <c r="C1785" s="13" t="n">
        <v>27</v>
      </c>
      <c r="D1785" s="13" t="s">
        <v>7075</v>
      </c>
      <c r="E1785" s="13" t="s">
        <v>7076</v>
      </c>
      <c r="F1785" s="13" t="s">
        <v>7077</v>
      </c>
      <c r="G1785" s="13" t="s">
        <v>1506</v>
      </c>
      <c r="H1785" s="13" t="s">
        <v>7052</v>
      </c>
      <c r="I1785" s="13" t="s">
        <v>82</v>
      </c>
      <c r="J1785" s="13" t="s">
        <v>5716</v>
      </c>
      <c r="K1785" s="13"/>
      <c r="L1785" s="13" t="s">
        <v>7078</v>
      </c>
      <c r="M1785" s="13" t="s">
        <v>7079</v>
      </c>
    </row>
    <row r="1786" customFormat="false" ht="57.45" hidden="false" customHeight="false" outlineLevel="0" collapsed="false">
      <c r="A1786" s="13" t="s">
        <v>4</v>
      </c>
      <c r="B1786" s="13" t="s">
        <v>2150</v>
      </c>
      <c r="C1786" s="13" t="n">
        <v>27</v>
      </c>
      <c r="D1786" s="13" t="s">
        <v>7075</v>
      </c>
      <c r="E1786" s="13" t="s">
        <v>7080</v>
      </c>
      <c r="F1786" s="13" t="s">
        <v>7077</v>
      </c>
      <c r="G1786" s="13" t="s">
        <v>7081</v>
      </c>
      <c r="H1786" s="13" t="s">
        <v>7082</v>
      </c>
      <c r="I1786" s="13" t="s">
        <v>82</v>
      </c>
      <c r="J1786" s="13" t="s">
        <v>5716</v>
      </c>
      <c r="K1786" s="13"/>
      <c r="L1786" s="13" t="s">
        <v>7078</v>
      </c>
      <c r="M1786" s="13" t="s">
        <v>7079</v>
      </c>
    </row>
    <row r="1787" customFormat="false" ht="23.85" hidden="false" customHeight="false" outlineLevel="0" collapsed="false">
      <c r="A1787" s="13" t="s">
        <v>4</v>
      </c>
      <c r="B1787" s="13" t="s">
        <v>2150</v>
      </c>
      <c r="C1787" s="13" t="n">
        <v>27</v>
      </c>
      <c r="D1787" s="13" t="s">
        <v>7083</v>
      </c>
      <c r="E1787" s="13" t="s">
        <v>7084</v>
      </c>
      <c r="F1787" s="13" t="s">
        <v>7077</v>
      </c>
      <c r="G1787" s="13" t="s">
        <v>7085</v>
      </c>
      <c r="H1787" s="13" t="s">
        <v>1405</v>
      </c>
      <c r="I1787" s="13" t="s">
        <v>82</v>
      </c>
      <c r="J1787" s="13" t="s">
        <v>5716</v>
      </c>
      <c r="K1787" s="13"/>
      <c r="L1787" s="13" t="s">
        <v>7086</v>
      </c>
      <c r="M1787" s="13" t="s">
        <v>7087</v>
      </c>
    </row>
    <row r="1788" customFormat="false" ht="68.65" hidden="false" customHeight="false" outlineLevel="0" collapsed="false">
      <c r="A1788" s="13" t="s">
        <v>4</v>
      </c>
      <c r="B1788" s="13" t="s">
        <v>2150</v>
      </c>
      <c r="C1788" s="13" t="n">
        <v>27</v>
      </c>
      <c r="D1788" s="13" t="s">
        <v>7088</v>
      </c>
      <c r="E1788" s="13" t="s">
        <v>7089</v>
      </c>
      <c r="F1788" s="13" t="s">
        <v>7077</v>
      </c>
      <c r="G1788" s="13" t="s">
        <v>7090</v>
      </c>
      <c r="H1788" s="13" t="s">
        <v>7040</v>
      </c>
      <c r="I1788" s="13" t="s">
        <v>82</v>
      </c>
      <c r="J1788" s="13" t="s">
        <v>5716</v>
      </c>
      <c r="K1788" s="13"/>
      <c r="L1788" s="13" t="s">
        <v>7091</v>
      </c>
      <c r="M1788" s="13" t="s">
        <v>7092</v>
      </c>
    </row>
    <row r="1789" customFormat="false" ht="68.65" hidden="false" customHeight="false" outlineLevel="0" collapsed="false">
      <c r="A1789" s="13" t="s">
        <v>4</v>
      </c>
      <c r="B1789" s="13" t="s">
        <v>2150</v>
      </c>
      <c r="C1789" s="13" t="n">
        <v>27</v>
      </c>
      <c r="D1789" s="13" t="s">
        <v>7088</v>
      </c>
      <c r="E1789" s="13" t="s">
        <v>7093</v>
      </c>
      <c r="F1789" s="13" t="s">
        <v>7077</v>
      </c>
      <c r="G1789" s="13" t="s">
        <v>7094</v>
      </c>
      <c r="H1789" s="13" t="s">
        <v>7095</v>
      </c>
      <c r="I1789" s="13" t="s">
        <v>82</v>
      </c>
      <c r="J1789" s="13" t="s">
        <v>5716</v>
      </c>
      <c r="K1789" s="13"/>
      <c r="L1789" s="13" t="s">
        <v>7091</v>
      </c>
      <c r="M1789" s="13" t="s">
        <v>7092</v>
      </c>
    </row>
    <row r="1790" customFormat="false" ht="46.25" hidden="false" customHeight="false" outlineLevel="0" collapsed="false">
      <c r="A1790" s="13" t="s">
        <v>4</v>
      </c>
      <c r="B1790" s="13" t="s">
        <v>2150</v>
      </c>
      <c r="C1790" s="13" t="n">
        <v>27</v>
      </c>
      <c r="D1790" s="13" t="s">
        <v>7096</v>
      </c>
      <c r="E1790" s="13" t="s">
        <v>7097</v>
      </c>
      <c r="F1790" s="13" t="s">
        <v>7077</v>
      </c>
      <c r="G1790" s="13" t="s">
        <v>7098</v>
      </c>
      <c r="H1790" s="13" t="s">
        <v>7095</v>
      </c>
      <c r="I1790" s="13" t="s">
        <v>82</v>
      </c>
      <c r="J1790" s="13" t="s">
        <v>5716</v>
      </c>
      <c r="K1790" s="13"/>
      <c r="L1790" s="13" t="s">
        <v>7099</v>
      </c>
      <c r="M1790" s="13" t="s">
        <v>7100</v>
      </c>
    </row>
    <row r="1791" customFormat="false" ht="57.45" hidden="false" customHeight="false" outlineLevel="0" collapsed="false">
      <c r="A1791" s="13" t="s">
        <v>4</v>
      </c>
      <c r="B1791" s="13" t="s">
        <v>2150</v>
      </c>
      <c r="C1791" s="13" t="n">
        <v>27</v>
      </c>
      <c r="D1791" s="13" t="s">
        <v>7101</v>
      </c>
      <c r="E1791" s="13" t="s">
        <v>7102</v>
      </c>
      <c r="F1791" s="13" t="s">
        <v>7077</v>
      </c>
      <c r="G1791" s="13" t="s">
        <v>7103</v>
      </c>
      <c r="H1791" s="13" t="s">
        <v>7095</v>
      </c>
      <c r="I1791" s="13" t="s">
        <v>82</v>
      </c>
      <c r="J1791" s="13" t="s">
        <v>5716</v>
      </c>
      <c r="K1791" s="13"/>
      <c r="L1791" s="13" t="s">
        <v>7104</v>
      </c>
      <c r="M1791" s="13" t="s">
        <v>7105</v>
      </c>
    </row>
    <row r="1792" customFormat="false" ht="23.85" hidden="false" customHeight="false" outlineLevel="0" collapsed="false">
      <c r="A1792" s="13" t="s">
        <v>4</v>
      </c>
      <c r="B1792" s="13" t="s">
        <v>2150</v>
      </c>
      <c r="C1792" s="13" t="n">
        <v>27</v>
      </c>
      <c r="D1792" s="13" t="s">
        <v>7106</v>
      </c>
      <c r="E1792" s="13" t="s">
        <v>7107</v>
      </c>
      <c r="F1792" s="13" t="s">
        <v>7077</v>
      </c>
      <c r="G1792" s="13" t="s">
        <v>7108</v>
      </c>
      <c r="H1792" s="13" t="s">
        <v>7095</v>
      </c>
      <c r="I1792" s="13" t="s">
        <v>82</v>
      </c>
      <c r="J1792" s="13" t="s">
        <v>5716</v>
      </c>
      <c r="K1792" s="13"/>
      <c r="L1792" s="13" t="s">
        <v>7109</v>
      </c>
      <c r="M1792" s="13" t="s">
        <v>7110</v>
      </c>
    </row>
    <row r="1793" customFormat="false" ht="23.85" hidden="false" customHeight="false" outlineLevel="0" collapsed="false">
      <c r="A1793" s="13" t="s">
        <v>4</v>
      </c>
      <c r="B1793" s="13" t="s">
        <v>2150</v>
      </c>
      <c r="C1793" s="13" t="n">
        <v>27</v>
      </c>
      <c r="D1793" s="13" t="s">
        <v>7111</v>
      </c>
      <c r="E1793" s="13" t="s">
        <v>7112</v>
      </c>
      <c r="F1793" s="13" t="s">
        <v>7095</v>
      </c>
      <c r="G1793" s="13" t="s">
        <v>4555</v>
      </c>
      <c r="H1793" s="13" t="s">
        <v>7113</v>
      </c>
      <c r="I1793" s="13" t="s">
        <v>82</v>
      </c>
      <c r="J1793" s="13" t="s">
        <v>5716</v>
      </c>
      <c r="K1793" s="13"/>
      <c r="L1793" s="13" t="s">
        <v>7114</v>
      </c>
      <c r="M1793" s="13" t="s">
        <v>7115</v>
      </c>
    </row>
    <row r="1794" customFormat="false" ht="79.85" hidden="false" customHeight="false" outlineLevel="0" collapsed="false">
      <c r="A1794" s="13" t="s">
        <v>4</v>
      </c>
      <c r="B1794" s="13" t="s">
        <v>2150</v>
      </c>
      <c r="C1794" s="13" t="n">
        <v>27</v>
      </c>
      <c r="D1794" s="13" t="s">
        <v>7116</v>
      </c>
      <c r="E1794" s="13" t="s">
        <v>7117</v>
      </c>
      <c r="F1794" s="13" t="s">
        <v>7118</v>
      </c>
      <c r="G1794" s="13" t="s">
        <v>762</v>
      </c>
      <c r="H1794" s="13" t="s">
        <v>7119</v>
      </c>
      <c r="I1794" s="13" t="s">
        <v>82</v>
      </c>
      <c r="J1794" s="13" t="s">
        <v>5716</v>
      </c>
      <c r="K1794" s="13"/>
      <c r="L1794" s="13" t="s">
        <v>7120</v>
      </c>
      <c r="M1794" s="13" t="s">
        <v>7121</v>
      </c>
    </row>
    <row r="1795" customFormat="false" ht="79.85" hidden="false" customHeight="false" outlineLevel="0" collapsed="false">
      <c r="A1795" s="13" t="s">
        <v>4</v>
      </c>
      <c r="B1795" s="13" t="s">
        <v>2150</v>
      </c>
      <c r="C1795" s="13" t="n">
        <v>27</v>
      </c>
      <c r="D1795" s="13" t="s">
        <v>7116</v>
      </c>
      <c r="E1795" s="13" t="s">
        <v>7122</v>
      </c>
      <c r="F1795" s="13" t="s">
        <v>7123</v>
      </c>
      <c r="G1795" s="13" t="s">
        <v>7124</v>
      </c>
      <c r="H1795" s="13" t="s">
        <v>7125</v>
      </c>
      <c r="I1795" s="13" t="s">
        <v>82</v>
      </c>
      <c r="J1795" s="13" t="s">
        <v>5716</v>
      </c>
      <c r="K1795" s="13"/>
      <c r="L1795" s="13" t="s">
        <v>7120</v>
      </c>
      <c r="M1795" s="13" t="s">
        <v>7121</v>
      </c>
    </row>
    <row r="1796" customFormat="false" ht="79.85" hidden="false" customHeight="false" outlineLevel="0" collapsed="false">
      <c r="A1796" s="13" t="s">
        <v>4</v>
      </c>
      <c r="B1796" s="13" t="s">
        <v>2150</v>
      </c>
      <c r="C1796" s="13" t="n">
        <v>27</v>
      </c>
      <c r="D1796" s="13" t="s">
        <v>7116</v>
      </c>
      <c r="E1796" s="13" t="s">
        <v>7126</v>
      </c>
      <c r="F1796" s="13" t="s">
        <v>7123</v>
      </c>
      <c r="G1796" s="13" t="s">
        <v>7127</v>
      </c>
      <c r="H1796" s="13" t="s">
        <v>7077</v>
      </c>
      <c r="I1796" s="13" t="s">
        <v>82</v>
      </c>
      <c r="J1796" s="13" t="s">
        <v>5716</v>
      </c>
      <c r="K1796" s="13"/>
      <c r="L1796" s="13" t="s">
        <v>7120</v>
      </c>
      <c r="M1796" s="13" t="s">
        <v>7121</v>
      </c>
    </row>
    <row r="1797" customFormat="false" ht="23.85" hidden="false" customHeight="false" outlineLevel="0" collapsed="false">
      <c r="A1797" s="13" t="s">
        <v>4</v>
      </c>
      <c r="B1797" s="13" t="s">
        <v>2150</v>
      </c>
      <c r="C1797" s="13" t="n">
        <v>29</v>
      </c>
      <c r="D1797" s="13" t="s">
        <v>7128</v>
      </c>
      <c r="E1797" s="13" t="s">
        <v>7129</v>
      </c>
      <c r="F1797" s="13" t="s">
        <v>7130</v>
      </c>
      <c r="G1797" s="13" t="s">
        <v>7131</v>
      </c>
      <c r="H1797" s="13" t="s">
        <v>7132</v>
      </c>
      <c r="I1797" s="13" t="s">
        <v>82</v>
      </c>
      <c r="J1797" s="13" t="s">
        <v>5716</v>
      </c>
      <c r="K1797" s="13"/>
      <c r="L1797" s="13" t="s">
        <v>7133</v>
      </c>
      <c r="M1797" s="13" t="s">
        <v>7134</v>
      </c>
    </row>
    <row r="1798" customFormat="false" ht="23.85" hidden="false" customHeight="false" outlineLevel="0" collapsed="false">
      <c r="A1798" s="13" t="s">
        <v>4</v>
      </c>
      <c r="B1798" s="13" t="s">
        <v>2150</v>
      </c>
      <c r="C1798" s="13" t="n">
        <v>29</v>
      </c>
      <c r="D1798" s="13" t="s">
        <v>7135</v>
      </c>
      <c r="E1798" s="13" t="s">
        <v>7136</v>
      </c>
      <c r="F1798" s="13" t="s">
        <v>7137</v>
      </c>
      <c r="G1798" s="13" t="s">
        <v>7131</v>
      </c>
      <c r="H1798" s="13" t="s">
        <v>7138</v>
      </c>
      <c r="I1798" s="13" t="s">
        <v>82</v>
      </c>
      <c r="J1798" s="13" t="s">
        <v>5716</v>
      </c>
      <c r="K1798" s="13"/>
      <c r="L1798" s="13" t="s">
        <v>7139</v>
      </c>
      <c r="M1798" s="13" t="s">
        <v>7140</v>
      </c>
    </row>
    <row r="1799" customFormat="false" ht="23.85" hidden="false" customHeight="false" outlineLevel="0" collapsed="false">
      <c r="A1799" s="13" t="s">
        <v>4</v>
      </c>
      <c r="B1799" s="13" t="s">
        <v>2150</v>
      </c>
      <c r="C1799" s="13" t="n">
        <v>29</v>
      </c>
      <c r="D1799" s="13" t="s">
        <v>7141</v>
      </c>
      <c r="E1799" s="13" t="s">
        <v>7142</v>
      </c>
      <c r="F1799" s="13" t="s">
        <v>7143</v>
      </c>
      <c r="G1799" s="13" t="s">
        <v>7131</v>
      </c>
      <c r="H1799" s="13" t="s">
        <v>7138</v>
      </c>
      <c r="I1799" s="13" t="s">
        <v>82</v>
      </c>
      <c r="J1799" s="13" t="s">
        <v>5716</v>
      </c>
      <c r="K1799" s="13"/>
      <c r="L1799" s="13" t="s">
        <v>7144</v>
      </c>
      <c r="M1799" s="13" t="s">
        <v>7145</v>
      </c>
    </row>
    <row r="1800" customFormat="false" ht="23.85" hidden="false" customHeight="false" outlineLevel="0" collapsed="false">
      <c r="A1800" s="13" t="s">
        <v>4</v>
      </c>
      <c r="B1800" s="13" t="s">
        <v>2150</v>
      </c>
      <c r="C1800" s="13" t="n">
        <v>29</v>
      </c>
      <c r="D1800" s="13" t="s">
        <v>7146</v>
      </c>
      <c r="E1800" s="13" t="s">
        <v>7147</v>
      </c>
      <c r="F1800" s="13" t="s">
        <v>7148</v>
      </c>
      <c r="G1800" s="13" t="s">
        <v>7131</v>
      </c>
      <c r="H1800" s="13" t="s">
        <v>7138</v>
      </c>
      <c r="I1800" s="13" t="s">
        <v>82</v>
      </c>
      <c r="J1800" s="13" t="s">
        <v>5716</v>
      </c>
      <c r="K1800" s="13"/>
      <c r="L1800" s="13" t="s">
        <v>7149</v>
      </c>
      <c r="M1800" s="13" t="s">
        <v>7150</v>
      </c>
    </row>
    <row r="1801" customFormat="false" ht="23.85" hidden="false" customHeight="false" outlineLevel="0" collapsed="false">
      <c r="A1801" s="13" t="s">
        <v>4</v>
      </c>
      <c r="B1801" s="13" t="s">
        <v>2150</v>
      </c>
      <c r="C1801" s="13" t="n">
        <v>29</v>
      </c>
      <c r="D1801" s="13" t="s">
        <v>7151</v>
      </c>
      <c r="E1801" s="13" t="s">
        <v>7152</v>
      </c>
      <c r="F1801" s="13" t="s">
        <v>7153</v>
      </c>
      <c r="G1801" s="13" t="s">
        <v>7131</v>
      </c>
      <c r="H1801" s="13" t="s">
        <v>7154</v>
      </c>
      <c r="I1801" s="13" t="s">
        <v>82</v>
      </c>
      <c r="J1801" s="13" t="s">
        <v>5716</v>
      </c>
      <c r="K1801" s="13"/>
      <c r="L1801" s="13" t="s">
        <v>7155</v>
      </c>
      <c r="M1801" s="13" t="s">
        <v>7156</v>
      </c>
    </row>
    <row r="1802" customFormat="false" ht="23.85" hidden="false" customHeight="false" outlineLevel="0" collapsed="false">
      <c r="A1802" s="13" t="s">
        <v>4</v>
      </c>
      <c r="B1802" s="13" t="s">
        <v>2150</v>
      </c>
      <c r="C1802" s="13" t="n">
        <v>29</v>
      </c>
      <c r="D1802" s="13" t="s">
        <v>7157</v>
      </c>
      <c r="E1802" s="13" t="s">
        <v>7158</v>
      </c>
      <c r="F1802" s="13" t="s">
        <v>7159</v>
      </c>
      <c r="G1802" s="13" t="s">
        <v>7160</v>
      </c>
      <c r="H1802" s="13" t="s">
        <v>7161</v>
      </c>
      <c r="I1802" s="13" t="s">
        <v>82</v>
      </c>
      <c r="J1802" s="13" t="s">
        <v>5716</v>
      </c>
      <c r="K1802" s="13"/>
      <c r="L1802" s="13" t="s">
        <v>7162</v>
      </c>
      <c r="M1802" s="13" t="s">
        <v>7163</v>
      </c>
    </row>
    <row r="1803" customFormat="false" ht="23.85" hidden="false" customHeight="false" outlineLevel="0" collapsed="false">
      <c r="A1803" s="13" t="s">
        <v>4</v>
      </c>
      <c r="B1803" s="13" t="s">
        <v>2150</v>
      </c>
      <c r="C1803" s="13" t="n">
        <v>29</v>
      </c>
      <c r="D1803" s="13" t="s">
        <v>7164</v>
      </c>
      <c r="E1803" s="13" t="s">
        <v>7165</v>
      </c>
      <c r="F1803" s="13" t="s">
        <v>7166</v>
      </c>
      <c r="G1803" s="13" t="s">
        <v>7167</v>
      </c>
      <c r="H1803" s="13" t="s">
        <v>7168</v>
      </c>
      <c r="I1803" s="13" t="s">
        <v>82</v>
      </c>
      <c r="J1803" s="13" t="s">
        <v>5716</v>
      </c>
      <c r="K1803" s="13"/>
      <c r="L1803" s="13" t="s">
        <v>7169</v>
      </c>
      <c r="M1803" s="13" t="s">
        <v>7170</v>
      </c>
    </row>
    <row r="1804" customFormat="false" ht="23.85" hidden="false" customHeight="false" outlineLevel="0" collapsed="false">
      <c r="A1804" s="13" t="s">
        <v>4</v>
      </c>
      <c r="B1804" s="13" t="s">
        <v>2150</v>
      </c>
      <c r="C1804" s="13" t="n">
        <v>29</v>
      </c>
      <c r="D1804" s="13" t="s">
        <v>7171</v>
      </c>
      <c r="E1804" s="13" t="s">
        <v>7172</v>
      </c>
      <c r="F1804" s="13" t="s">
        <v>7173</v>
      </c>
      <c r="G1804" s="13" t="s">
        <v>7174</v>
      </c>
      <c r="H1804" s="13" t="s">
        <v>7161</v>
      </c>
      <c r="I1804" s="13" t="s">
        <v>82</v>
      </c>
      <c r="J1804" s="13" t="s">
        <v>5716</v>
      </c>
      <c r="K1804" s="13"/>
      <c r="L1804" s="13" t="s">
        <v>7175</v>
      </c>
      <c r="M1804" s="13" t="s">
        <v>7176</v>
      </c>
    </row>
    <row r="1805" customFormat="false" ht="35.05" hidden="false" customHeight="false" outlineLevel="0" collapsed="false">
      <c r="A1805" s="13" t="s">
        <v>4</v>
      </c>
      <c r="B1805" s="13" t="s">
        <v>2150</v>
      </c>
      <c r="C1805" s="13" t="n">
        <v>29</v>
      </c>
      <c r="D1805" s="13" t="s">
        <v>7177</v>
      </c>
      <c r="E1805" s="13" t="s">
        <v>7178</v>
      </c>
      <c r="F1805" s="13" t="s">
        <v>7179</v>
      </c>
      <c r="G1805" s="13" t="s">
        <v>7180</v>
      </c>
      <c r="H1805" s="13" t="s">
        <v>7181</v>
      </c>
      <c r="I1805" s="13" t="s">
        <v>82</v>
      </c>
      <c r="J1805" s="13" t="s">
        <v>5716</v>
      </c>
      <c r="K1805" s="13"/>
      <c r="L1805" s="13" t="s">
        <v>7182</v>
      </c>
      <c r="M1805" s="13" t="s">
        <v>7183</v>
      </c>
    </row>
    <row r="1806" customFormat="false" ht="35.05" hidden="false" customHeight="false" outlineLevel="0" collapsed="false">
      <c r="A1806" s="13" t="s">
        <v>4</v>
      </c>
      <c r="B1806" s="13" t="s">
        <v>2150</v>
      </c>
      <c r="C1806" s="13" t="n">
        <v>29</v>
      </c>
      <c r="D1806" s="13" t="s">
        <v>7177</v>
      </c>
      <c r="E1806" s="13" t="s">
        <v>7184</v>
      </c>
      <c r="F1806" s="13" t="s">
        <v>7179</v>
      </c>
      <c r="G1806" s="13" t="s">
        <v>7185</v>
      </c>
      <c r="H1806" s="13" t="s">
        <v>7186</v>
      </c>
      <c r="I1806" s="13" t="s">
        <v>82</v>
      </c>
      <c r="J1806" s="13" t="s">
        <v>5716</v>
      </c>
      <c r="K1806" s="13"/>
      <c r="L1806" s="13" t="s">
        <v>7182</v>
      </c>
      <c r="M1806" s="13" t="s">
        <v>7183</v>
      </c>
    </row>
    <row r="1807" customFormat="false" ht="35.05" hidden="false" customHeight="false" outlineLevel="0" collapsed="false">
      <c r="A1807" s="13" t="s">
        <v>4</v>
      </c>
      <c r="B1807" s="13" t="s">
        <v>2150</v>
      </c>
      <c r="C1807" s="13" t="n">
        <v>29</v>
      </c>
      <c r="D1807" s="13" t="s">
        <v>7187</v>
      </c>
      <c r="E1807" s="13" t="s">
        <v>7188</v>
      </c>
      <c r="F1807" s="13" t="s">
        <v>7189</v>
      </c>
      <c r="G1807" s="13" t="s">
        <v>7190</v>
      </c>
      <c r="H1807" s="13" t="s">
        <v>7191</v>
      </c>
      <c r="I1807" s="13" t="s">
        <v>82</v>
      </c>
      <c r="J1807" s="13" t="s">
        <v>5716</v>
      </c>
      <c r="K1807" s="13"/>
      <c r="L1807" s="13" t="s">
        <v>7192</v>
      </c>
      <c r="M1807" s="13" t="s">
        <v>7193</v>
      </c>
    </row>
    <row r="1808" customFormat="false" ht="46.25" hidden="false" customHeight="false" outlineLevel="0" collapsed="false">
      <c r="A1808" s="13" t="s">
        <v>4</v>
      </c>
      <c r="B1808" s="13" t="s">
        <v>2150</v>
      </c>
      <c r="C1808" s="13" t="n">
        <v>29</v>
      </c>
      <c r="D1808" s="13" t="s">
        <v>7194</v>
      </c>
      <c r="E1808" s="13" t="s">
        <v>7195</v>
      </c>
      <c r="F1808" s="13" t="s">
        <v>7196</v>
      </c>
      <c r="G1808" s="13" t="s">
        <v>7197</v>
      </c>
      <c r="H1808" s="13" t="s">
        <v>7191</v>
      </c>
      <c r="I1808" s="13" t="s">
        <v>82</v>
      </c>
      <c r="J1808" s="13" t="s">
        <v>5716</v>
      </c>
      <c r="K1808" s="13"/>
      <c r="L1808" s="13" t="s">
        <v>7198</v>
      </c>
      <c r="M1808" s="13" t="s">
        <v>7199</v>
      </c>
    </row>
    <row r="1809" customFormat="false" ht="23.85" hidden="false" customHeight="false" outlineLevel="0" collapsed="false">
      <c r="A1809" s="13" t="s">
        <v>4</v>
      </c>
      <c r="B1809" s="13" t="s">
        <v>2150</v>
      </c>
      <c r="C1809" s="13" t="n">
        <v>29</v>
      </c>
      <c r="D1809" s="13" t="s">
        <v>7200</v>
      </c>
      <c r="E1809" s="13" t="s">
        <v>7201</v>
      </c>
      <c r="F1809" s="13" t="s">
        <v>7196</v>
      </c>
      <c r="G1809" s="13" t="s">
        <v>5281</v>
      </c>
      <c r="H1809" s="13" t="s">
        <v>7202</v>
      </c>
      <c r="I1809" s="13" t="s">
        <v>82</v>
      </c>
      <c r="J1809" s="13" t="s">
        <v>5716</v>
      </c>
      <c r="K1809" s="13"/>
      <c r="L1809" s="13" t="s">
        <v>7203</v>
      </c>
      <c r="M1809" s="13" t="s">
        <v>7204</v>
      </c>
    </row>
    <row r="1810" customFormat="false" ht="23.85" hidden="false" customHeight="false" outlineLevel="0" collapsed="false">
      <c r="A1810" s="13" t="s">
        <v>4</v>
      </c>
      <c r="B1810" s="13" t="s">
        <v>2150</v>
      </c>
      <c r="C1810" s="13" t="n">
        <v>29</v>
      </c>
      <c r="D1810" s="13" t="s">
        <v>7205</v>
      </c>
      <c r="E1810" s="13" t="s">
        <v>7206</v>
      </c>
      <c r="F1810" s="13" t="s">
        <v>7202</v>
      </c>
      <c r="G1810" s="13" t="s">
        <v>7207</v>
      </c>
      <c r="H1810" s="13" t="s">
        <v>7208</v>
      </c>
      <c r="I1810" s="13" t="s">
        <v>82</v>
      </c>
      <c r="J1810" s="13" t="s">
        <v>5716</v>
      </c>
      <c r="K1810" s="13"/>
      <c r="L1810" s="13" t="s">
        <v>7209</v>
      </c>
      <c r="M1810" s="13" t="s">
        <v>7210</v>
      </c>
    </row>
    <row r="1811" customFormat="false" ht="23.85" hidden="false" customHeight="false" outlineLevel="0" collapsed="false">
      <c r="A1811" s="13" t="s">
        <v>4</v>
      </c>
      <c r="B1811" s="13" t="s">
        <v>2150</v>
      </c>
      <c r="C1811" s="13" t="n">
        <v>29</v>
      </c>
      <c r="D1811" s="13" t="s">
        <v>7211</v>
      </c>
      <c r="E1811" s="13" t="s">
        <v>7212</v>
      </c>
      <c r="F1811" s="13" t="s">
        <v>7213</v>
      </c>
      <c r="G1811" s="13" t="s">
        <v>7214</v>
      </c>
      <c r="H1811" s="13" t="s">
        <v>7202</v>
      </c>
      <c r="I1811" s="13" t="s">
        <v>82</v>
      </c>
      <c r="J1811" s="13" t="s">
        <v>5716</v>
      </c>
      <c r="K1811" s="13"/>
      <c r="L1811" s="13" t="s">
        <v>7215</v>
      </c>
      <c r="M1811" s="13" t="s">
        <v>7216</v>
      </c>
    </row>
    <row r="1812" customFormat="false" ht="23.85" hidden="false" customHeight="false" outlineLevel="0" collapsed="false">
      <c r="A1812" s="13" t="s">
        <v>4</v>
      </c>
      <c r="B1812" s="13" t="s">
        <v>2150</v>
      </c>
      <c r="C1812" s="13" t="n">
        <v>29</v>
      </c>
      <c r="D1812" s="13" t="s">
        <v>7217</v>
      </c>
      <c r="E1812" s="13" t="s">
        <v>7218</v>
      </c>
      <c r="F1812" s="13" t="s">
        <v>7159</v>
      </c>
      <c r="G1812" s="13" t="s">
        <v>7219</v>
      </c>
      <c r="H1812" s="13" t="s">
        <v>7202</v>
      </c>
      <c r="I1812" s="13" t="s">
        <v>82</v>
      </c>
      <c r="J1812" s="13" t="s">
        <v>5716</v>
      </c>
      <c r="K1812" s="13"/>
      <c r="L1812" s="13" t="s">
        <v>7220</v>
      </c>
      <c r="M1812" s="13" t="s">
        <v>7221</v>
      </c>
    </row>
    <row r="1813" customFormat="false" ht="23.85" hidden="false" customHeight="false" outlineLevel="0" collapsed="false">
      <c r="A1813" s="13" t="s">
        <v>4</v>
      </c>
      <c r="B1813" s="13" t="s">
        <v>2150</v>
      </c>
      <c r="C1813" s="13" t="n">
        <v>29</v>
      </c>
      <c r="D1813" s="13" t="s">
        <v>7222</v>
      </c>
      <c r="E1813" s="13" t="s">
        <v>7223</v>
      </c>
      <c r="F1813" s="13" t="s">
        <v>7159</v>
      </c>
      <c r="G1813" s="13" t="s">
        <v>7224</v>
      </c>
      <c r="H1813" s="13" t="s">
        <v>7225</v>
      </c>
      <c r="I1813" s="13" t="s">
        <v>82</v>
      </c>
      <c r="J1813" s="13" t="s">
        <v>5716</v>
      </c>
      <c r="K1813" s="13"/>
      <c r="L1813" s="13" t="s">
        <v>7226</v>
      </c>
      <c r="M1813" s="13" t="s">
        <v>7227</v>
      </c>
    </row>
    <row r="1814" customFormat="false" ht="23.85" hidden="false" customHeight="false" outlineLevel="0" collapsed="false">
      <c r="A1814" s="13" t="s">
        <v>4</v>
      </c>
      <c r="B1814" s="13" t="s">
        <v>2150</v>
      </c>
      <c r="C1814" s="13" t="n">
        <v>29</v>
      </c>
      <c r="D1814" s="13" t="s">
        <v>7228</v>
      </c>
      <c r="E1814" s="13" t="s">
        <v>7229</v>
      </c>
      <c r="F1814" s="13" t="s">
        <v>7159</v>
      </c>
      <c r="G1814" s="13" t="s">
        <v>7230</v>
      </c>
      <c r="H1814" s="13" t="s">
        <v>7231</v>
      </c>
      <c r="I1814" s="13" t="s">
        <v>82</v>
      </c>
      <c r="J1814" s="13" t="s">
        <v>5716</v>
      </c>
      <c r="K1814" s="13"/>
      <c r="L1814" s="13" t="s">
        <v>7232</v>
      </c>
      <c r="M1814" s="13" t="s">
        <v>7233</v>
      </c>
    </row>
    <row r="1815" customFormat="false" ht="23.85" hidden="false" customHeight="false" outlineLevel="0" collapsed="false">
      <c r="A1815" s="13" t="s">
        <v>4</v>
      </c>
      <c r="B1815" s="13" t="s">
        <v>2150</v>
      </c>
      <c r="C1815" s="13" t="n">
        <v>29</v>
      </c>
      <c r="D1815" s="13" t="s">
        <v>7234</v>
      </c>
      <c r="E1815" s="13" t="s">
        <v>7235</v>
      </c>
      <c r="F1815" s="13" t="s">
        <v>7231</v>
      </c>
      <c r="G1815" s="13" t="s">
        <v>7236</v>
      </c>
      <c r="H1815" s="13" t="s">
        <v>7237</v>
      </c>
      <c r="I1815" s="13" t="s">
        <v>82</v>
      </c>
      <c r="J1815" s="13" t="s">
        <v>5716</v>
      </c>
      <c r="K1815" s="13"/>
      <c r="L1815" s="13" t="s">
        <v>7238</v>
      </c>
      <c r="M1815" s="13" t="s">
        <v>7239</v>
      </c>
    </row>
    <row r="1816" customFormat="false" ht="23.85" hidden="false" customHeight="false" outlineLevel="0" collapsed="false">
      <c r="A1816" s="13" t="s">
        <v>4</v>
      </c>
      <c r="B1816" s="13" t="s">
        <v>2150</v>
      </c>
      <c r="C1816" s="13" t="n">
        <v>29</v>
      </c>
      <c r="D1816" s="13" t="s">
        <v>7240</v>
      </c>
      <c r="E1816" s="13" t="s">
        <v>7241</v>
      </c>
      <c r="F1816" s="13" t="s">
        <v>7242</v>
      </c>
      <c r="G1816" s="13" t="s">
        <v>7243</v>
      </c>
      <c r="H1816" s="13" t="s">
        <v>7231</v>
      </c>
      <c r="I1816" s="13" t="s">
        <v>82</v>
      </c>
      <c r="J1816" s="13" t="s">
        <v>5716</v>
      </c>
      <c r="K1816" s="13"/>
      <c r="L1816" s="13" t="s">
        <v>7244</v>
      </c>
      <c r="M1816" s="13" t="s">
        <v>7245</v>
      </c>
    </row>
    <row r="1817" customFormat="false" ht="23.85" hidden="false" customHeight="false" outlineLevel="0" collapsed="false">
      <c r="A1817" s="13" t="s">
        <v>4</v>
      </c>
      <c r="B1817" s="13" t="s">
        <v>2150</v>
      </c>
      <c r="C1817" s="13" t="n">
        <v>29</v>
      </c>
      <c r="D1817" s="13" t="s">
        <v>7246</v>
      </c>
      <c r="E1817" s="13" t="s">
        <v>7247</v>
      </c>
      <c r="F1817" s="13" t="s">
        <v>7231</v>
      </c>
      <c r="G1817" s="13" t="s">
        <v>7248</v>
      </c>
      <c r="H1817" s="13" t="s">
        <v>7249</v>
      </c>
      <c r="I1817" s="13" t="s">
        <v>82</v>
      </c>
      <c r="J1817" s="13" t="s">
        <v>5716</v>
      </c>
      <c r="K1817" s="13"/>
      <c r="L1817" s="13" t="s">
        <v>7250</v>
      </c>
      <c r="M1817" s="13" t="s">
        <v>7251</v>
      </c>
    </row>
    <row r="1818" customFormat="false" ht="23.85" hidden="false" customHeight="false" outlineLevel="0" collapsed="false">
      <c r="A1818" s="13" t="s">
        <v>4</v>
      </c>
      <c r="B1818" s="13" t="s">
        <v>2150</v>
      </c>
      <c r="C1818" s="13" t="n">
        <v>29</v>
      </c>
      <c r="D1818" s="13" t="s">
        <v>7246</v>
      </c>
      <c r="E1818" s="13" t="s">
        <v>7252</v>
      </c>
      <c r="F1818" s="13" t="s">
        <v>7231</v>
      </c>
      <c r="G1818" s="13" t="s">
        <v>7253</v>
      </c>
      <c r="H1818" s="13" t="s">
        <v>7254</v>
      </c>
      <c r="I1818" s="13" t="s">
        <v>82</v>
      </c>
      <c r="J1818" s="13" t="s">
        <v>5716</v>
      </c>
      <c r="K1818" s="13"/>
      <c r="L1818" s="13" t="s">
        <v>7250</v>
      </c>
      <c r="M1818" s="13" t="s">
        <v>7251</v>
      </c>
    </row>
    <row r="1819" customFormat="false" ht="23.85" hidden="false" customHeight="false" outlineLevel="0" collapsed="false">
      <c r="A1819" s="13" t="s">
        <v>4</v>
      </c>
      <c r="B1819" s="13" t="s">
        <v>2150</v>
      </c>
      <c r="C1819" s="13" t="n">
        <v>29</v>
      </c>
      <c r="D1819" s="13" t="s">
        <v>7255</v>
      </c>
      <c r="E1819" s="13" t="s">
        <v>7256</v>
      </c>
      <c r="F1819" s="13" t="s">
        <v>7231</v>
      </c>
      <c r="G1819" s="13" t="s">
        <v>7257</v>
      </c>
      <c r="H1819" s="13" t="s">
        <v>7258</v>
      </c>
      <c r="I1819" s="13" t="s">
        <v>82</v>
      </c>
      <c r="J1819" s="13" t="s">
        <v>5716</v>
      </c>
      <c r="K1819" s="13"/>
      <c r="L1819" s="13" t="s">
        <v>7259</v>
      </c>
      <c r="M1819" s="13" t="s">
        <v>7260</v>
      </c>
    </row>
    <row r="1820" customFormat="false" ht="23.85" hidden="false" customHeight="false" outlineLevel="0" collapsed="false">
      <c r="A1820" s="13" t="s">
        <v>4</v>
      </c>
      <c r="B1820" s="13" t="s">
        <v>2150</v>
      </c>
      <c r="C1820" s="13" t="n">
        <v>29</v>
      </c>
      <c r="D1820" s="13" t="s">
        <v>7261</v>
      </c>
      <c r="E1820" s="13" t="s">
        <v>7262</v>
      </c>
      <c r="F1820" s="13" t="s">
        <v>7231</v>
      </c>
      <c r="G1820" s="13" t="s">
        <v>7236</v>
      </c>
      <c r="H1820" s="13" t="s">
        <v>7263</v>
      </c>
      <c r="I1820" s="13" t="s">
        <v>82</v>
      </c>
      <c r="J1820" s="13" t="s">
        <v>5716</v>
      </c>
      <c r="K1820" s="13"/>
      <c r="L1820" s="13" t="s">
        <v>7264</v>
      </c>
      <c r="M1820" s="13" t="s">
        <v>7265</v>
      </c>
    </row>
    <row r="1821" customFormat="false" ht="23.85" hidden="false" customHeight="false" outlineLevel="0" collapsed="false">
      <c r="A1821" s="13" t="s">
        <v>4</v>
      </c>
      <c r="B1821" s="13" t="s">
        <v>2150</v>
      </c>
      <c r="C1821" s="13" t="n">
        <v>29</v>
      </c>
      <c r="D1821" s="13" t="s">
        <v>7261</v>
      </c>
      <c r="E1821" s="13" t="s">
        <v>7266</v>
      </c>
      <c r="F1821" s="13" t="s">
        <v>7263</v>
      </c>
      <c r="G1821" s="13" t="s">
        <v>7267</v>
      </c>
      <c r="H1821" s="13" t="s">
        <v>7268</v>
      </c>
      <c r="I1821" s="13" t="s">
        <v>82</v>
      </c>
      <c r="J1821" s="13" t="s">
        <v>5716</v>
      </c>
      <c r="K1821" s="13"/>
      <c r="L1821" s="13" t="s">
        <v>7264</v>
      </c>
      <c r="M1821" s="13" t="s">
        <v>7265</v>
      </c>
    </row>
    <row r="1822" customFormat="false" ht="23.85" hidden="false" customHeight="false" outlineLevel="0" collapsed="false">
      <c r="A1822" s="13" t="s">
        <v>4</v>
      </c>
      <c r="B1822" s="13" t="s">
        <v>2150</v>
      </c>
      <c r="C1822" s="13" t="n">
        <v>29</v>
      </c>
      <c r="D1822" s="13" t="s">
        <v>7269</v>
      </c>
      <c r="E1822" s="13" t="s">
        <v>7270</v>
      </c>
      <c r="F1822" s="13" t="s">
        <v>7271</v>
      </c>
      <c r="G1822" s="13" t="s">
        <v>1164</v>
      </c>
      <c r="H1822" s="13" t="s">
        <v>7272</v>
      </c>
      <c r="I1822" s="13" t="s">
        <v>82</v>
      </c>
      <c r="J1822" s="13" t="s">
        <v>5716</v>
      </c>
      <c r="K1822" s="13"/>
      <c r="L1822" s="13" t="s">
        <v>7273</v>
      </c>
      <c r="M1822" s="13" t="s">
        <v>7274</v>
      </c>
    </row>
    <row r="1823" customFormat="false" ht="550" hidden="false" customHeight="false" outlineLevel="0" collapsed="false">
      <c r="A1823" s="13" t="s">
        <v>4</v>
      </c>
      <c r="B1823" s="13" t="s">
        <v>2150</v>
      </c>
      <c r="C1823" s="13" t="n">
        <v>29</v>
      </c>
      <c r="D1823" s="13" t="s">
        <v>7275</v>
      </c>
      <c r="E1823" s="13" t="s">
        <v>7276</v>
      </c>
      <c r="F1823" s="13" t="s">
        <v>7277</v>
      </c>
      <c r="G1823" s="13" t="s">
        <v>7278</v>
      </c>
      <c r="H1823" s="13" t="s">
        <v>7279</v>
      </c>
      <c r="I1823" s="13" t="s">
        <v>82</v>
      </c>
      <c r="J1823" s="13" t="s">
        <v>5716</v>
      </c>
      <c r="K1823" s="13"/>
      <c r="L1823" s="13" t="s">
        <v>7280</v>
      </c>
      <c r="M1823" s="13" t="s">
        <v>7281</v>
      </c>
    </row>
    <row r="1824" customFormat="false" ht="550" hidden="false" customHeight="false" outlineLevel="0" collapsed="false">
      <c r="A1824" s="13" t="s">
        <v>4</v>
      </c>
      <c r="B1824" s="13" t="s">
        <v>2150</v>
      </c>
      <c r="C1824" s="13" t="n">
        <v>29</v>
      </c>
      <c r="D1824" s="13" t="s">
        <v>7275</v>
      </c>
      <c r="E1824" s="13" t="s">
        <v>7282</v>
      </c>
      <c r="F1824" s="13" t="s">
        <v>7277</v>
      </c>
      <c r="G1824" s="13" t="s">
        <v>7283</v>
      </c>
      <c r="H1824" s="13" t="s">
        <v>7279</v>
      </c>
      <c r="I1824" s="13" t="s">
        <v>82</v>
      </c>
      <c r="J1824" s="13" t="s">
        <v>5716</v>
      </c>
      <c r="K1824" s="13"/>
      <c r="L1824" s="13" t="s">
        <v>7280</v>
      </c>
      <c r="M1824" s="13" t="s">
        <v>7281</v>
      </c>
    </row>
    <row r="1825" customFormat="false" ht="550" hidden="false" customHeight="false" outlineLevel="0" collapsed="false">
      <c r="A1825" s="13" t="s">
        <v>4</v>
      </c>
      <c r="B1825" s="13" t="s">
        <v>2150</v>
      </c>
      <c r="C1825" s="13" t="n">
        <v>29</v>
      </c>
      <c r="D1825" s="13" t="s">
        <v>7275</v>
      </c>
      <c r="E1825" s="13" t="s">
        <v>7284</v>
      </c>
      <c r="F1825" s="13" t="s">
        <v>7279</v>
      </c>
      <c r="G1825" s="13" t="s">
        <v>7285</v>
      </c>
      <c r="H1825" s="13" t="s">
        <v>7286</v>
      </c>
      <c r="I1825" s="13" t="s">
        <v>82</v>
      </c>
      <c r="J1825" s="13" t="s">
        <v>5716</v>
      </c>
      <c r="K1825" s="13"/>
      <c r="L1825" s="13" t="s">
        <v>7280</v>
      </c>
      <c r="M1825" s="13" t="s">
        <v>7281</v>
      </c>
    </row>
    <row r="1826" customFormat="false" ht="23.85" hidden="false" customHeight="false" outlineLevel="0" collapsed="false">
      <c r="A1826" s="13" t="s">
        <v>4</v>
      </c>
      <c r="B1826" s="13" t="s">
        <v>2150</v>
      </c>
      <c r="C1826" s="13" t="n">
        <v>42</v>
      </c>
      <c r="D1826" s="13" t="s">
        <v>7287</v>
      </c>
      <c r="E1826" s="13" t="s">
        <v>7288</v>
      </c>
      <c r="F1826" s="13" t="s">
        <v>7289</v>
      </c>
      <c r="G1826" s="13" t="s">
        <v>1740</v>
      </c>
      <c r="H1826" s="13" t="s">
        <v>7290</v>
      </c>
      <c r="I1826" s="13" t="s">
        <v>82</v>
      </c>
      <c r="J1826" s="13" t="s">
        <v>5716</v>
      </c>
      <c r="K1826" s="13"/>
      <c r="L1826" s="13" t="s">
        <v>7291</v>
      </c>
      <c r="M1826" s="13" t="s">
        <v>7292</v>
      </c>
    </row>
    <row r="1827" customFormat="false" ht="23.85" hidden="false" customHeight="false" outlineLevel="0" collapsed="false">
      <c r="A1827" s="13" t="s">
        <v>4</v>
      </c>
      <c r="B1827" s="13" t="s">
        <v>2150</v>
      </c>
      <c r="C1827" s="13" t="n">
        <v>42</v>
      </c>
      <c r="D1827" s="13" t="s">
        <v>7287</v>
      </c>
      <c r="E1827" s="13" t="s">
        <v>7293</v>
      </c>
      <c r="F1827" s="13" t="s">
        <v>7289</v>
      </c>
      <c r="G1827" s="13" t="s">
        <v>7294</v>
      </c>
      <c r="H1827" s="13" t="s">
        <v>7295</v>
      </c>
      <c r="I1827" s="13" t="s">
        <v>82</v>
      </c>
      <c r="J1827" s="13" t="s">
        <v>5716</v>
      </c>
      <c r="K1827" s="13"/>
      <c r="L1827" s="13" t="s">
        <v>7291</v>
      </c>
      <c r="M1827" s="13" t="s">
        <v>7292</v>
      </c>
    </row>
    <row r="1828" customFormat="false" ht="23.85" hidden="false" customHeight="false" outlineLevel="0" collapsed="false">
      <c r="A1828" s="13" t="s">
        <v>4</v>
      </c>
      <c r="B1828" s="13" t="s">
        <v>2150</v>
      </c>
      <c r="C1828" s="13" t="n">
        <v>42</v>
      </c>
      <c r="D1828" s="13" t="s">
        <v>7296</v>
      </c>
      <c r="E1828" s="13" t="s">
        <v>7297</v>
      </c>
      <c r="F1828" s="13" t="s">
        <v>7298</v>
      </c>
      <c r="G1828" s="13" t="s">
        <v>1740</v>
      </c>
      <c r="H1828" s="13" t="s">
        <v>7290</v>
      </c>
      <c r="I1828" s="13" t="s">
        <v>82</v>
      </c>
      <c r="J1828" s="13" t="s">
        <v>5716</v>
      </c>
      <c r="K1828" s="13"/>
      <c r="L1828" s="13" t="s">
        <v>7299</v>
      </c>
      <c r="M1828" s="13" t="s">
        <v>7300</v>
      </c>
    </row>
    <row r="1829" customFormat="false" ht="23.85" hidden="false" customHeight="false" outlineLevel="0" collapsed="false">
      <c r="A1829" s="13" t="s">
        <v>4</v>
      </c>
      <c r="B1829" s="13" t="s">
        <v>2150</v>
      </c>
      <c r="C1829" s="13" t="n">
        <v>42</v>
      </c>
      <c r="D1829" s="13" t="s">
        <v>7296</v>
      </c>
      <c r="E1829" s="13" t="s">
        <v>7301</v>
      </c>
      <c r="F1829" s="13" t="s">
        <v>7298</v>
      </c>
      <c r="G1829" s="13" t="s">
        <v>7294</v>
      </c>
      <c r="H1829" s="13" t="s">
        <v>7302</v>
      </c>
      <c r="I1829" s="13" t="s">
        <v>82</v>
      </c>
      <c r="J1829" s="13" t="s">
        <v>5716</v>
      </c>
      <c r="K1829" s="13"/>
      <c r="L1829" s="13" t="s">
        <v>7299</v>
      </c>
      <c r="M1829" s="13" t="s">
        <v>7300</v>
      </c>
    </row>
    <row r="1830" customFormat="false" ht="23.85" hidden="false" customHeight="false" outlineLevel="0" collapsed="false">
      <c r="A1830" s="13" t="s">
        <v>4</v>
      </c>
      <c r="B1830" s="13" t="s">
        <v>2150</v>
      </c>
      <c r="C1830" s="13" t="n">
        <v>42</v>
      </c>
      <c r="D1830" s="13" t="s">
        <v>7303</v>
      </c>
      <c r="E1830" s="13" t="s">
        <v>7304</v>
      </c>
      <c r="F1830" s="13" t="s">
        <v>7305</v>
      </c>
      <c r="G1830" s="13" t="s">
        <v>1740</v>
      </c>
      <c r="H1830" s="13" t="s">
        <v>7290</v>
      </c>
      <c r="I1830" s="13" t="s">
        <v>82</v>
      </c>
      <c r="J1830" s="13" t="s">
        <v>5716</v>
      </c>
      <c r="K1830" s="13"/>
      <c r="L1830" s="13" t="s">
        <v>7306</v>
      </c>
      <c r="M1830" s="13" t="s">
        <v>7307</v>
      </c>
    </row>
    <row r="1831" customFormat="false" ht="23.85" hidden="false" customHeight="false" outlineLevel="0" collapsed="false">
      <c r="A1831" s="13" t="s">
        <v>4</v>
      </c>
      <c r="B1831" s="13" t="s">
        <v>2150</v>
      </c>
      <c r="C1831" s="13" t="n">
        <v>42</v>
      </c>
      <c r="D1831" s="13" t="s">
        <v>7303</v>
      </c>
      <c r="E1831" s="13" t="s">
        <v>7308</v>
      </c>
      <c r="F1831" s="13" t="s">
        <v>7305</v>
      </c>
      <c r="G1831" s="13" t="s">
        <v>7294</v>
      </c>
      <c r="H1831" s="13" t="s">
        <v>7309</v>
      </c>
      <c r="I1831" s="13" t="s">
        <v>82</v>
      </c>
      <c r="J1831" s="13" t="s">
        <v>5716</v>
      </c>
      <c r="K1831" s="13"/>
      <c r="L1831" s="13" t="s">
        <v>7306</v>
      </c>
      <c r="M1831" s="13" t="s">
        <v>7307</v>
      </c>
    </row>
    <row r="1832" customFormat="false" ht="23.85" hidden="false" customHeight="false" outlineLevel="0" collapsed="false">
      <c r="A1832" s="13" t="s">
        <v>4</v>
      </c>
      <c r="B1832" s="13" t="s">
        <v>2150</v>
      </c>
      <c r="C1832" s="13" t="n">
        <v>42</v>
      </c>
      <c r="D1832" s="13" t="s">
        <v>7310</v>
      </c>
      <c r="E1832" s="13" t="s">
        <v>7311</v>
      </c>
      <c r="F1832" s="13" t="s">
        <v>7312</v>
      </c>
      <c r="G1832" s="13" t="s">
        <v>1740</v>
      </c>
      <c r="H1832" s="13" t="s">
        <v>7290</v>
      </c>
      <c r="I1832" s="13" t="s">
        <v>82</v>
      </c>
      <c r="J1832" s="13" t="s">
        <v>5716</v>
      </c>
      <c r="K1832" s="13"/>
      <c r="L1832" s="13" t="s">
        <v>7313</v>
      </c>
      <c r="M1832" s="13" t="s">
        <v>7314</v>
      </c>
    </row>
    <row r="1833" customFormat="false" ht="23.85" hidden="false" customHeight="false" outlineLevel="0" collapsed="false">
      <c r="A1833" s="13" t="s">
        <v>4</v>
      </c>
      <c r="B1833" s="13" t="s">
        <v>2150</v>
      </c>
      <c r="C1833" s="13" t="n">
        <v>42</v>
      </c>
      <c r="D1833" s="13" t="s">
        <v>7310</v>
      </c>
      <c r="E1833" s="13" t="s">
        <v>7315</v>
      </c>
      <c r="F1833" s="13" t="s">
        <v>7312</v>
      </c>
      <c r="G1833" s="13" t="s">
        <v>7294</v>
      </c>
      <c r="H1833" s="13" t="s">
        <v>7316</v>
      </c>
      <c r="I1833" s="13" t="s">
        <v>82</v>
      </c>
      <c r="J1833" s="13" t="s">
        <v>5716</v>
      </c>
      <c r="K1833" s="13"/>
      <c r="L1833" s="13" t="s">
        <v>7313</v>
      </c>
      <c r="M1833" s="13" t="s">
        <v>7314</v>
      </c>
    </row>
    <row r="1834" customFormat="false" ht="23.85" hidden="false" customHeight="false" outlineLevel="0" collapsed="false">
      <c r="A1834" s="13" t="s">
        <v>4</v>
      </c>
      <c r="B1834" s="13" t="s">
        <v>2150</v>
      </c>
      <c r="C1834" s="13" t="n">
        <v>42</v>
      </c>
      <c r="D1834" s="13" t="s">
        <v>7317</v>
      </c>
      <c r="E1834" s="13" t="s">
        <v>7318</v>
      </c>
      <c r="F1834" s="13" t="s">
        <v>7319</v>
      </c>
      <c r="G1834" s="13" t="s">
        <v>1740</v>
      </c>
      <c r="H1834" s="13" t="s">
        <v>7320</v>
      </c>
      <c r="I1834" s="13" t="s">
        <v>82</v>
      </c>
      <c r="J1834" s="13" t="s">
        <v>5716</v>
      </c>
      <c r="K1834" s="13"/>
      <c r="L1834" s="13" t="s">
        <v>7321</v>
      </c>
      <c r="M1834" s="13" t="s">
        <v>7322</v>
      </c>
    </row>
    <row r="1835" customFormat="false" ht="23.85" hidden="false" customHeight="false" outlineLevel="0" collapsed="false">
      <c r="A1835" s="13" t="s">
        <v>4</v>
      </c>
      <c r="B1835" s="13" t="s">
        <v>2150</v>
      </c>
      <c r="C1835" s="13" t="n">
        <v>42</v>
      </c>
      <c r="D1835" s="13" t="s">
        <v>7317</v>
      </c>
      <c r="E1835" s="13" t="s">
        <v>7323</v>
      </c>
      <c r="F1835" s="13" t="s">
        <v>7319</v>
      </c>
      <c r="G1835" s="13" t="s">
        <v>7294</v>
      </c>
      <c r="H1835" s="13" t="s">
        <v>7324</v>
      </c>
      <c r="I1835" s="13" t="s">
        <v>82</v>
      </c>
      <c r="J1835" s="13" t="s">
        <v>5716</v>
      </c>
      <c r="K1835" s="13"/>
      <c r="L1835" s="13" t="s">
        <v>7321</v>
      </c>
      <c r="M1835" s="13" t="s">
        <v>7322</v>
      </c>
    </row>
    <row r="1836" customFormat="false" ht="46.25" hidden="false" customHeight="false" outlineLevel="0" collapsed="false">
      <c r="A1836" s="13" t="s">
        <v>4</v>
      </c>
      <c r="B1836" s="13" t="s">
        <v>2150</v>
      </c>
      <c r="C1836" s="13" t="n">
        <v>42</v>
      </c>
      <c r="D1836" s="13" t="s">
        <v>7325</v>
      </c>
      <c r="E1836" s="13" t="s">
        <v>7326</v>
      </c>
      <c r="F1836" s="13" t="s">
        <v>7327</v>
      </c>
      <c r="G1836" s="13" t="s">
        <v>1740</v>
      </c>
      <c r="H1836" s="13" t="s">
        <v>7328</v>
      </c>
      <c r="I1836" s="13" t="s">
        <v>82</v>
      </c>
      <c r="J1836" s="13" t="s">
        <v>5716</v>
      </c>
      <c r="K1836" s="13"/>
      <c r="L1836" s="13" t="s">
        <v>7329</v>
      </c>
      <c r="M1836" s="13" t="s">
        <v>7330</v>
      </c>
    </row>
    <row r="1837" customFormat="false" ht="46.25" hidden="false" customHeight="false" outlineLevel="0" collapsed="false">
      <c r="A1837" s="13" t="s">
        <v>4</v>
      </c>
      <c r="B1837" s="13" t="s">
        <v>2150</v>
      </c>
      <c r="C1837" s="13" t="n">
        <v>42</v>
      </c>
      <c r="D1837" s="13" t="s">
        <v>7325</v>
      </c>
      <c r="E1837" s="13" t="s">
        <v>7331</v>
      </c>
      <c r="F1837" s="13" t="s">
        <v>7332</v>
      </c>
      <c r="G1837" s="13" t="s">
        <v>7333</v>
      </c>
      <c r="H1837" s="13" t="s">
        <v>7334</v>
      </c>
      <c r="I1837" s="13" t="s">
        <v>82</v>
      </c>
      <c r="J1837" s="13" t="s">
        <v>5716</v>
      </c>
      <c r="K1837" s="13"/>
      <c r="L1837" s="13" t="s">
        <v>7329</v>
      </c>
      <c r="M1837" s="13" t="s">
        <v>7330</v>
      </c>
    </row>
    <row r="1838" customFormat="false" ht="46.25" hidden="false" customHeight="false" outlineLevel="0" collapsed="false">
      <c r="A1838" s="13" t="s">
        <v>4</v>
      </c>
      <c r="B1838" s="13" t="s">
        <v>2150</v>
      </c>
      <c r="C1838" s="13" t="n">
        <v>42</v>
      </c>
      <c r="D1838" s="13" t="s">
        <v>7325</v>
      </c>
      <c r="E1838" s="13" t="s">
        <v>7335</v>
      </c>
      <c r="F1838" s="13" t="s">
        <v>7336</v>
      </c>
      <c r="G1838" s="13" t="s">
        <v>7337</v>
      </c>
      <c r="H1838" s="13" t="s">
        <v>7338</v>
      </c>
      <c r="I1838" s="13" t="s">
        <v>82</v>
      </c>
      <c r="J1838" s="13" t="s">
        <v>5716</v>
      </c>
      <c r="K1838" s="13"/>
      <c r="L1838" s="13" t="s">
        <v>7329</v>
      </c>
      <c r="M1838" s="13" t="s">
        <v>7330</v>
      </c>
    </row>
    <row r="1839" customFormat="false" ht="68.65" hidden="false" customHeight="false" outlineLevel="0" collapsed="false">
      <c r="A1839" s="13" t="s">
        <v>4</v>
      </c>
      <c r="B1839" s="13" t="s">
        <v>2150</v>
      </c>
      <c r="C1839" s="13" t="n">
        <v>42</v>
      </c>
      <c r="D1839" s="13" t="s">
        <v>7339</v>
      </c>
      <c r="E1839" s="13" t="s">
        <v>7340</v>
      </c>
      <c r="F1839" s="13" t="s">
        <v>7341</v>
      </c>
      <c r="G1839" s="13" t="s">
        <v>3748</v>
      </c>
      <c r="H1839" s="13" t="s">
        <v>7342</v>
      </c>
      <c r="I1839" s="13" t="s">
        <v>82</v>
      </c>
      <c r="J1839" s="13" t="s">
        <v>5716</v>
      </c>
      <c r="K1839" s="13"/>
      <c r="L1839" s="13" t="s">
        <v>7343</v>
      </c>
      <c r="M1839" s="13" t="s">
        <v>7344</v>
      </c>
    </row>
    <row r="1840" customFormat="false" ht="68.65" hidden="false" customHeight="false" outlineLevel="0" collapsed="false">
      <c r="A1840" s="13" t="s">
        <v>4</v>
      </c>
      <c r="B1840" s="13" t="s">
        <v>2150</v>
      </c>
      <c r="C1840" s="13" t="n">
        <v>42</v>
      </c>
      <c r="D1840" s="13" t="s">
        <v>7339</v>
      </c>
      <c r="E1840" s="13" t="s">
        <v>7345</v>
      </c>
      <c r="F1840" s="13" t="s">
        <v>7342</v>
      </c>
      <c r="G1840" s="13" t="s">
        <v>7346</v>
      </c>
      <c r="H1840" s="13" t="s">
        <v>7347</v>
      </c>
      <c r="I1840" s="13" t="s">
        <v>82</v>
      </c>
      <c r="J1840" s="13" t="s">
        <v>5716</v>
      </c>
      <c r="K1840" s="13"/>
      <c r="L1840" s="13" t="s">
        <v>7343</v>
      </c>
      <c r="M1840" s="13" t="s">
        <v>7344</v>
      </c>
    </row>
    <row r="1841" customFormat="false" ht="23.85" hidden="false" customHeight="false" outlineLevel="0" collapsed="false">
      <c r="A1841" s="13" t="s">
        <v>4</v>
      </c>
      <c r="B1841" s="13" t="s">
        <v>2150</v>
      </c>
      <c r="C1841" s="13" t="n">
        <v>42</v>
      </c>
      <c r="D1841" s="13" t="s">
        <v>7348</v>
      </c>
      <c r="E1841" s="13" t="s">
        <v>7349</v>
      </c>
      <c r="F1841" s="13" t="s">
        <v>7319</v>
      </c>
      <c r="G1841" s="13" t="s">
        <v>7350</v>
      </c>
      <c r="H1841" s="13" t="s">
        <v>7351</v>
      </c>
      <c r="I1841" s="13" t="s">
        <v>82</v>
      </c>
      <c r="J1841" s="13" t="s">
        <v>5716</v>
      </c>
      <c r="K1841" s="13"/>
      <c r="L1841" s="13" t="s">
        <v>7352</v>
      </c>
      <c r="M1841" s="13" t="s">
        <v>7353</v>
      </c>
    </row>
    <row r="1842" customFormat="false" ht="23.85" hidden="false" customHeight="false" outlineLevel="0" collapsed="false">
      <c r="A1842" s="13" t="s">
        <v>4</v>
      </c>
      <c r="B1842" s="13" t="s">
        <v>2150</v>
      </c>
      <c r="C1842" s="13" t="n">
        <v>42</v>
      </c>
      <c r="D1842" s="13" t="s">
        <v>7348</v>
      </c>
      <c r="E1842" s="13" t="s">
        <v>7354</v>
      </c>
      <c r="F1842" s="13" t="s">
        <v>7319</v>
      </c>
      <c r="G1842" s="13" t="s">
        <v>7355</v>
      </c>
      <c r="H1842" s="13" t="s">
        <v>7356</v>
      </c>
      <c r="I1842" s="13" t="s">
        <v>82</v>
      </c>
      <c r="J1842" s="13" t="s">
        <v>5716</v>
      </c>
      <c r="K1842" s="13"/>
      <c r="L1842" s="13" t="s">
        <v>7352</v>
      </c>
      <c r="M1842" s="13" t="s">
        <v>7353</v>
      </c>
    </row>
    <row r="1843" customFormat="false" ht="35.05" hidden="false" customHeight="false" outlineLevel="0" collapsed="false">
      <c r="A1843" s="13" t="s">
        <v>4</v>
      </c>
      <c r="B1843" s="13" t="s">
        <v>2150</v>
      </c>
      <c r="C1843" s="13" t="n">
        <v>42</v>
      </c>
      <c r="D1843" s="13" t="s">
        <v>7357</v>
      </c>
      <c r="E1843" s="13" t="s">
        <v>7358</v>
      </c>
      <c r="F1843" s="13" t="s">
        <v>7359</v>
      </c>
      <c r="G1843" s="13" t="s">
        <v>7360</v>
      </c>
      <c r="H1843" s="13" t="s">
        <v>7361</v>
      </c>
      <c r="I1843" s="13" t="s">
        <v>82</v>
      </c>
      <c r="J1843" s="13" t="s">
        <v>5716</v>
      </c>
      <c r="K1843" s="13"/>
      <c r="L1843" s="13" t="s">
        <v>7362</v>
      </c>
      <c r="M1843" s="13" t="s">
        <v>7363</v>
      </c>
    </row>
    <row r="1844" customFormat="false" ht="46.25" hidden="false" customHeight="false" outlineLevel="0" collapsed="false">
      <c r="A1844" s="13" t="s">
        <v>4</v>
      </c>
      <c r="B1844" s="13" t="s">
        <v>2150</v>
      </c>
      <c r="C1844" s="13" t="n">
        <v>42</v>
      </c>
      <c r="D1844" s="13" t="s">
        <v>7364</v>
      </c>
      <c r="E1844" s="13" t="s">
        <v>7365</v>
      </c>
      <c r="F1844" s="13" t="s">
        <v>7342</v>
      </c>
      <c r="G1844" s="13" t="s">
        <v>7366</v>
      </c>
      <c r="H1844" s="13" t="s">
        <v>7367</v>
      </c>
      <c r="I1844" s="13" t="s">
        <v>82</v>
      </c>
      <c r="J1844" s="13" t="s">
        <v>5716</v>
      </c>
      <c r="K1844" s="13"/>
      <c r="L1844" s="13" t="s">
        <v>7368</v>
      </c>
      <c r="M1844" s="13" t="s">
        <v>7369</v>
      </c>
    </row>
    <row r="1845" customFormat="false" ht="46.25" hidden="false" customHeight="false" outlineLevel="0" collapsed="false">
      <c r="A1845" s="13" t="s">
        <v>4</v>
      </c>
      <c r="B1845" s="13" t="s">
        <v>2150</v>
      </c>
      <c r="C1845" s="13" t="n">
        <v>42</v>
      </c>
      <c r="D1845" s="13" t="s">
        <v>7364</v>
      </c>
      <c r="E1845" s="13" t="s">
        <v>7370</v>
      </c>
      <c r="F1845" s="13" t="s">
        <v>7341</v>
      </c>
      <c r="G1845" s="13" t="s">
        <v>7371</v>
      </c>
      <c r="H1845" s="13" t="s">
        <v>7372</v>
      </c>
      <c r="I1845" s="13" t="s">
        <v>82</v>
      </c>
      <c r="J1845" s="13" t="s">
        <v>5716</v>
      </c>
      <c r="K1845" s="13"/>
      <c r="L1845" s="13" t="s">
        <v>7368</v>
      </c>
      <c r="M1845" s="13" t="s">
        <v>7369</v>
      </c>
    </row>
    <row r="1846" customFormat="false" ht="147" hidden="false" customHeight="false" outlineLevel="0" collapsed="false">
      <c r="A1846" s="13" t="s">
        <v>4</v>
      </c>
      <c r="B1846" s="13" t="s">
        <v>2150</v>
      </c>
      <c r="C1846" s="13" t="n">
        <v>42</v>
      </c>
      <c r="D1846" s="13" t="s">
        <v>7373</v>
      </c>
      <c r="E1846" s="13" t="s">
        <v>7374</v>
      </c>
      <c r="F1846" s="13" t="s">
        <v>7341</v>
      </c>
      <c r="G1846" s="13" t="s">
        <v>7375</v>
      </c>
      <c r="H1846" s="13" t="s">
        <v>7376</v>
      </c>
      <c r="I1846" s="13" t="s">
        <v>82</v>
      </c>
      <c r="J1846" s="13" t="s">
        <v>5716</v>
      </c>
      <c r="K1846" s="13"/>
      <c r="L1846" s="13" t="s">
        <v>7377</v>
      </c>
      <c r="M1846" s="13" t="s">
        <v>7378</v>
      </c>
    </row>
    <row r="1847" customFormat="false" ht="147" hidden="false" customHeight="false" outlineLevel="0" collapsed="false">
      <c r="A1847" s="13" t="s">
        <v>4</v>
      </c>
      <c r="B1847" s="13" t="s">
        <v>2150</v>
      </c>
      <c r="C1847" s="13" t="n">
        <v>42</v>
      </c>
      <c r="D1847" s="13" t="s">
        <v>7373</v>
      </c>
      <c r="E1847" s="13" t="s">
        <v>7379</v>
      </c>
      <c r="F1847" s="13" t="s">
        <v>7341</v>
      </c>
      <c r="G1847" s="13" t="s">
        <v>7380</v>
      </c>
      <c r="H1847" s="13" t="s">
        <v>7381</v>
      </c>
      <c r="I1847" s="13" t="s">
        <v>82</v>
      </c>
      <c r="J1847" s="13" t="s">
        <v>5716</v>
      </c>
      <c r="K1847" s="13"/>
      <c r="L1847" s="13" t="s">
        <v>7377</v>
      </c>
      <c r="M1847" s="13" t="s">
        <v>7378</v>
      </c>
    </row>
    <row r="1848" customFormat="false" ht="147" hidden="false" customHeight="false" outlineLevel="0" collapsed="false">
      <c r="A1848" s="13" t="s">
        <v>4</v>
      </c>
      <c r="B1848" s="13" t="s">
        <v>2150</v>
      </c>
      <c r="C1848" s="13" t="n">
        <v>42</v>
      </c>
      <c r="D1848" s="13" t="s">
        <v>7373</v>
      </c>
      <c r="E1848" s="13" t="s">
        <v>7382</v>
      </c>
      <c r="F1848" s="13" t="s">
        <v>7341</v>
      </c>
      <c r="G1848" s="13" t="s">
        <v>7383</v>
      </c>
      <c r="H1848" s="13" t="s">
        <v>7384</v>
      </c>
      <c r="I1848" s="13" t="s">
        <v>82</v>
      </c>
      <c r="J1848" s="13" t="s">
        <v>5716</v>
      </c>
      <c r="K1848" s="13"/>
      <c r="L1848" s="13" t="s">
        <v>7377</v>
      </c>
      <c r="M1848" s="13" t="s">
        <v>7378</v>
      </c>
    </row>
    <row r="1849" customFormat="false" ht="147" hidden="false" customHeight="false" outlineLevel="0" collapsed="false">
      <c r="A1849" s="13" t="s">
        <v>4</v>
      </c>
      <c r="B1849" s="13" t="s">
        <v>2150</v>
      </c>
      <c r="C1849" s="13" t="n">
        <v>42</v>
      </c>
      <c r="D1849" s="13" t="s">
        <v>7373</v>
      </c>
      <c r="E1849" s="13" t="s">
        <v>7385</v>
      </c>
      <c r="F1849" s="13" t="s">
        <v>7341</v>
      </c>
      <c r="G1849" s="13" t="s">
        <v>7386</v>
      </c>
      <c r="H1849" s="13" t="s">
        <v>7387</v>
      </c>
      <c r="I1849" s="13" t="s">
        <v>82</v>
      </c>
      <c r="J1849" s="13" t="s">
        <v>5716</v>
      </c>
      <c r="K1849" s="13"/>
      <c r="L1849" s="13" t="s">
        <v>7377</v>
      </c>
      <c r="M1849" s="13" t="s">
        <v>7378</v>
      </c>
    </row>
    <row r="1850" customFormat="false" ht="23.85" hidden="false" customHeight="false" outlineLevel="0" collapsed="false">
      <c r="A1850" s="13" t="s">
        <v>4</v>
      </c>
      <c r="B1850" s="13" t="s">
        <v>2150</v>
      </c>
      <c r="C1850" s="13" t="n">
        <v>42</v>
      </c>
      <c r="D1850" s="13" t="s">
        <v>7388</v>
      </c>
      <c r="E1850" s="13" t="s">
        <v>7389</v>
      </c>
      <c r="F1850" s="13" t="s">
        <v>7341</v>
      </c>
      <c r="G1850" s="13" t="s">
        <v>7390</v>
      </c>
      <c r="H1850" s="13" t="s">
        <v>7391</v>
      </c>
      <c r="I1850" s="13" t="s">
        <v>82</v>
      </c>
      <c r="J1850" s="13" t="s">
        <v>5716</v>
      </c>
      <c r="K1850" s="13"/>
      <c r="L1850" s="13" t="s">
        <v>7392</v>
      </c>
      <c r="M1850" s="13" t="s">
        <v>7393</v>
      </c>
    </row>
    <row r="1851" customFormat="false" ht="23.85" hidden="false" customHeight="false" outlineLevel="0" collapsed="false">
      <c r="A1851" s="13" t="s">
        <v>4</v>
      </c>
      <c r="B1851" s="13" t="s">
        <v>2150</v>
      </c>
      <c r="C1851" s="13" t="n">
        <v>42</v>
      </c>
      <c r="D1851" s="13" t="s">
        <v>7394</v>
      </c>
      <c r="E1851" s="13" t="s">
        <v>7395</v>
      </c>
      <c r="F1851" s="13" t="s">
        <v>7341</v>
      </c>
      <c r="G1851" s="13" t="s">
        <v>7383</v>
      </c>
      <c r="H1851" s="13" t="s">
        <v>7391</v>
      </c>
      <c r="I1851" s="13" t="s">
        <v>82</v>
      </c>
      <c r="J1851" s="13" t="s">
        <v>5716</v>
      </c>
      <c r="K1851" s="13"/>
      <c r="L1851" s="13" t="s">
        <v>7396</v>
      </c>
      <c r="M1851" s="13" t="s">
        <v>7397</v>
      </c>
    </row>
    <row r="1852" customFormat="false" ht="23.85" hidden="false" customHeight="false" outlineLevel="0" collapsed="false">
      <c r="A1852" s="13" t="s">
        <v>4</v>
      </c>
      <c r="B1852" s="13" t="s">
        <v>2150</v>
      </c>
      <c r="C1852" s="13" t="n">
        <v>42</v>
      </c>
      <c r="D1852" s="13" t="s">
        <v>7398</v>
      </c>
      <c r="E1852" s="13" t="s">
        <v>7399</v>
      </c>
      <c r="F1852" s="13" t="s">
        <v>7341</v>
      </c>
      <c r="G1852" s="13" t="s">
        <v>7400</v>
      </c>
      <c r="H1852" s="13" t="s">
        <v>7401</v>
      </c>
      <c r="I1852" s="13" t="s">
        <v>82</v>
      </c>
      <c r="J1852" s="13" t="s">
        <v>5716</v>
      </c>
      <c r="K1852" s="13"/>
      <c r="L1852" s="13" t="s">
        <v>7402</v>
      </c>
      <c r="M1852" s="13" t="s">
        <v>7403</v>
      </c>
    </row>
    <row r="1853" customFormat="false" ht="46.25" hidden="false" customHeight="false" outlineLevel="0" collapsed="false">
      <c r="A1853" s="13" t="s">
        <v>4</v>
      </c>
      <c r="B1853" s="13" t="s">
        <v>2150</v>
      </c>
      <c r="C1853" s="13" t="n">
        <v>42</v>
      </c>
      <c r="D1853" s="13" t="s">
        <v>7404</v>
      </c>
      <c r="E1853" s="13" t="s">
        <v>7405</v>
      </c>
      <c r="F1853" s="13" t="s">
        <v>7341</v>
      </c>
      <c r="G1853" s="13" t="s">
        <v>7406</v>
      </c>
      <c r="H1853" s="13" t="s">
        <v>7407</v>
      </c>
      <c r="I1853" s="13" t="s">
        <v>82</v>
      </c>
      <c r="J1853" s="13" t="s">
        <v>5716</v>
      </c>
      <c r="K1853" s="13"/>
      <c r="L1853" s="13" t="s">
        <v>7408</v>
      </c>
      <c r="M1853" s="13" t="s">
        <v>7409</v>
      </c>
    </row>
    <row r="1854" customFormat="false" ht="46.25" hidden="false" customHeight="false" outlineLevel="0" collapsed="false">
      <c r="A1854" s="13" t="s">
        <v>4</v>
      </c>
      <c r="B1854" s="13" t="s">
        <v>2150</v>
      </c>
      <c r="C1854" s="13" t="n">
        <v>42</v>
      </c>
      <c r="D1854" s="13" t="s">
        <v>7404</v>
      </c>
      <c r="E1854" s="13" t="s">
        <v>7410</v>
      </c>
      <c r="F1854" s="13" t="s">
        <v>7341</v>
      </c>
      <c r="G1854" s="13" t="s">
        <v>7411</v>
      </c>
      <c r="H1854" s="13" t="s">
        <v>7412</v>
      </c>
      <c r="I1854" s="13" t="s">
        <v>82</v>
      </c>
      <c r="J1854" s="13" t="s">
        <v>5716</v>
      </c>
      <c r="K1854" s="13"/>
      <c r="L1854" s="13" t="s">
        <v>7408</v>
      </c>
      <c r="M1854" s="13" t="s">
        <v>7409</v>
      </c>
    </row>
    <row r="1855" customFormat="false" ht="23.85" hidden="false" customHeight="false" outlineLevel="0" collapsed="false">
      <c r="A1855" s="13" t="s">
        <v>4</v>
      </c>
      <c r="B1855" s="13" t="s">
        <v>2150</v>
      </c>
      <c r="C1855" s="13" t="n">
        <v>42</v>
      </c>
      <c r="D1855" s="13" t="s">
        <v>7413</v>
      </c>
      <c r="E1855" s="13" t="s">
        <v>7414</v>
      </c>
      <c r="F1855" s="13" t="s">
        <v>7341</v>
      </c>
      <c r="G1855" s="13" t="s">
        <v>7415</v>
      </c>
      <c r="H1855" s="13" t="s">
        <v>7416</v>
      </c>
      <c r="I1855" s="13" t="s">
        <v>82</v>
      </c>
      <c r="J1855" s="13" t="s">
        <v>5716</v>
      </c>
      <c r="K1855" s="13"/>
      <c r="L1855" s="13" t="s">
        <v>7417</v>
      </c>
      <c r="M1855" s="13" t="s">
        <v>7418</v>
      </c>
    </row>
    <row r="1856" customFormat="false" ht="23.85" hidden="false" customHeight="false" outlineLevel="0" collapsed="false">
      <c r="A1856" s="13" t="s">
        <v>4</v>
      </c>
      <c r="B1856" s="13" t="s">
        <v>2150</v>
      </c>
      <c r="C1856" s="13" t="n">
        <v>42</v>
      </c>
      <c r="D1856" s="13" t="s">
        <v>7413</v>
      </c>
      <c r="E1856" s="13" t="s">
        <v>7419</v>
      </c>
      <c r="F1856" s="13" t="s">
        <v>7341</v>
      </c>
      <c r="G1856" s="13" t="s">
        <v>7420</v>
      </c>
      <c r="H1856" s="13" t="s">
        <v>7421</v>
      </c>
      <c r="I1856" s="13" t="s">
        <v>82</v>
      </c>
      <c r="J1856" s="13" t="s">
        <v>5716</v>
      </c>
      <c r="K1856" s="13"/>
      <c r="L1856" s="13" t="s">
        <v>7417</v>
      </c>
      <c r="M1856" s="13" t="s">
        <v>7418</v>
      </c>
    </row>
    <row r="1857" customFormat="false" ht="35.05" hidden="false" customHeight="false" outlineLevel="0" collapsed="false">
      <c r="A1857" s="13" t="s">
        <v>4</v>
      </c>
      <c r="B1857" s="13" t="s">
        <v>2150</v>
      </c>
      <c r="C1857" s="13" t="n">
        <v>42</v>
      </c>
      <c r="D1857" s="13" t="s">
        <v>7422</v>
      </c>
      <c r="E1857" s="13" t="s">
        <v>7423</v>
      </c>
      <c r="F1857" s="13" t="s">
        <v>806</v>
      </c>
      <c r="G1857" s="13" t="s">
        <v>7424</v>
      </c>
      <c r="H1857" s="13" t="s">
        <v>7425</v>
      </c>
      <c r="I1857" s="13" t="s">
        <v>82</v>
      </c>
      <c r="J1857" s="13" t="s">
        <v>5716</v>
      </c>
      <c r="K1857" s="13"/>
      <c r="L1857" s="13" t="s">
        <v>7426</v>
      </c>
      <c r="M1857" s="13" t="s">
        <v>7427</v>
      </c>
    </row>
    <row r="1858" customFormat="false" ht="35.05" hidden="false" customHeight="false" outlineLevel="0" collapsed="false">
      <c r="A1858" s="13" t="s">
        <v>4</v>
      </c>
      <c r="B1858" s="13" t="s">
        <v>2150</v>
      </c>
      <c r="C1858" s="13" t="n">
        <v>42</v>
      </c>
      <c r="D1858" s="13" t="s">
        <v>7422</v>
      </c>
      <c r="E1858" s="13" t="s">
        <v>7428</v>
      </c>
      <c r="F1858" s="13" t="s">
        <v>806</v>
      </c>
      <c r="G1858" s="13" t="s">
        <v>7429</v>
      </c>
      <c r="H1858" s="13" t="s">
        <v>7430</v>
      </c>
      <c r="I1858" s="13" t="s">
        <v>82</v>
      </c>
      <c r="J1858" s="13" t="s">
        <v>5716</v>
      </c>
      <c r="K1858" s="13"/>
      <c r="L1858" s="13" t="s">
        <v>7426</v>
      </c>
      <c r="M1858" s="13" t="s">
        <v>7427</v>
      </c>
    </row>
    <row r="1859" customFormat="false" ht="35.05" hidden="false" customHeight="false" outlineLevel="0" collapsed="false">
      <c r="A1859" s="13" t="s">
        <v>4</v>
      </c>
      <c r="B1859" s="13" t="s">
        <v>2150</v>
      </c>
      <c r="C1859" s="13" t="n">
        <v>42</v>
      </c>
      <c r="D1859" s="13" t="s">
        <v>7422</v>
      </c>
      <c r="E1859" s="13" t="s">
        <v>7431</v>
      </c>
      <c r="F1859" s="13" t="s">
        <v>7430</v>
      </c>
      <c r="G1859" s="13" t="s">
        <v>669</v>
      </c>
      <c r="H1859" s="13" t="s">
        <v>7432</v>
      </c>
      <c r="I1859" s="13" t="s">
        <v>82</v>
      </c>
      <c r="J1859" s="13" t="s">
        <v>5716</v>
      </c>
      <c r="K1859" s="13"/>
      <c r="L1859" s="13" t="s">
        <v>7426</v>
      </c>
      <c r="M1859" s="13" t="s">
        <v>7427</v>
      </c>
    </row>
    <row r="1860" customFormat="false" ht="23.85" hidden="false" customHeight="false" outlineLevel="0" collapsed="false">
      <c r="A1860" s="13" t="s">
        <v>4</v>
      </c>
      <c r="B1860" s="13" t="s">
        <v>2150</v>
      </c>
      <c r="C1860" s="13" t="n">
        <v>62</v>
      </c>
      <c r="D1860" s="13" t="s">
        <v>7433</v>
      </c>
      <c r="E1860" s="13" t="s">
        <v>7434</v>
      </c>
      <c r="F1860" s="13" t="s">
        <v>806</v>
      </c>
      <c r="G1860" s="13" t="s">
        <v>2317</v>
      </c>
      <c r="H1860" s="13" t="s">
        <v>1601</v>
      </c>
      <c r="I1860" s="13" t="s">
        <v>82</v>
      </c>
      <c r="J1860" s="13" t="s">
        <v>5716</v>
      </c>
      <c r="K1860" s="13"/>
      <c r="L1860" s="13" t="s">
        <v>7435</v>
      </c>
      <c r="M1860" s="13" t="s">
        <v>7436</v>
      </c>
    </row>
    <row r="1861" customFormat="false" ht="23.85" hidden="false" customHeight="false" outlineLevel="0" collapsed="false">
      <c r="A1861" s="13" t="s">
        <v>4</v>
      </c>
      <c r="B1861" s="13" t="s">
        <v>2150</v>
      </c>
      <c r="C1861" s="13" t="n">
        <v>62</v>
      </c>
      <c r="D1861" s="13" t="s">
        <v>7433</v>
      </c>
      <c r="E1861" s="13" t="s">
        <v>7437</v>
      </c>
      <c r="F1861" s="13" t="s">
        <v>806</v>
      </c>
      <c r="G1861" s="13" t="s">
        <v>7438</v>
      </c>
      <c r="H1861" s="13" t="s">
        <v>1601</v>
      </c>
      <c r="I1861" s="13" t="s">
        <v>82</v>
      </c>
      <c r="J1861" s="13" t="s">
        <v>5716</v>
      </c>
      <c r="K1861" s="13"/>
      <c r="L1861" s="13" t="s">
        <v>7435</v>
      </c>
      <c r="M1861" s="13" t="s">
        <v>7436</v>
      </c>
    </row>
    <row r="1862" customFormat="false" ht="57.45" hidden="false" customHeight="false" outlineLevel="0" collapsed="false">
      <c r="A1862" s="13" t="s">
        <v>4</v>
      </c>
      <c r="B1862" s="13" t="s">
        <v>2150</v>
      </c>
      <c r="C1862" s="13" t="n">
        <v>62</v>
      </c>
      <c r="D1862" s="13" t="s">
        <v>7439</v>
      </c>
      <c r="E1862" s="13" t="s">
        <v>7440</v>
      </c>
      <c r="F1862" s="13" t="s">
        <v>2459</v>
      </c>
      <c r="G1862" s="13" t="s">
        <v>7441</v>
      </c>
      <c r="H1862" s="13" t="s">
        <v>806</v>
      </c>
      <c r="I1862" s="13" t="s">
        <v>82</v>
      </c>
      <c r="J1862" s="13" t="s">
        <v>5716</v>
      </c>
      <c r="K1862" s="13"/>
      <c r="L1862" s="13" t="s">
        <v>7442</v>
      </c>
      <c r="M1862" s="13" t="s">
        <v>7443</v>
      </c>
    </row>
    <row r="1863" customFormat="false" ht="57.45" hidden="false" customHeight="false" outlineLevel="0" collapsed="false">
      <c r="A1863" s="13" t="s">
        <v>4</v>
      </c>
      <c r="B1863" s="13" t="s">
        <v>2150</v>
      </c>
      <c r="C1863" s="13" t="n">
        <v>62</v>
      </c>
      <c r="D1863" s="13" t="s">
        <v>7439</v>
      </c>
      <c r="E1863" s="13" t="s">
        <v>7444</v>
      </c>
      <c r="F1863" s="13" t="s">
        <v>806</v>
      </c>
      <c r="G1863" s="13" t="s">
        <v>7445</v>
      </c>
      <c r="H1863" s="13" t="s">
        <v>7446</v>
      </c>
      <c r="I1863" s="13" t="s">
        <v>82</v>
      </c>
      <c r="J1863" s="13" t="s">
        <v>5716</v>
      </c>
      <c r="K1863" s="13"/>
      <c r="L1863" s="13" t="s">
        <v>7442</v>
      </c>
      <c r="M1863" s="13" t="s">
        <v>7443</v>
      </c>
    </row>
    <row r="1864" customFormat="false" ht="57.45" hidden="false" customHeight="false" outlineLevel="0" collapsed="false">
      <c r="A1864" s="13" t="s">
        <v>4</v>
      </c>
      <c r="B1864" s="13" t="s">
        <v>2150</v>
      </c>
      <c r="C1864" s="13" t="n">
        <v>62</v>
      </c>
      <c r="D1864" s="13" t="s">
        <v>7439</v>
      </c>
      <c r="E1864" s="13" t="s">
        <v>7447</v>
      </c>
      <c r="F1864" s="13" t="s">
        <v>806</v>
      </c>
      <c r="G1864" s="13" t="s">
        <v>7448</v>
      </c>
      <c r="H1864" s="13" t="s">
        <v>7449</v>
      </c>
      <c r="I1864" s="13" t="s">
        <v>82</v>
      </c>
      <c r="J1864" s="13" t="s">
        <v>5716</v>
      </c>
      <c r="K1864" s="13"/>
      <c r="L1864" s="13" t="s">
        <v>7442</v>
      </c>
      <c r="M1864" s="13" t="s">
        <v>7443</v>
      </c>
    </row>
    <row r="1865" customFormat="false" ht="35.05" hidden="false" customHeight="false" outlineLevel="0" collapsed="false">
      <c r="A1865" s="13" t="s">
        <v>4</v>
      </c>
      <c r="B1865" s="13" t="s">
        <v>2150</v>
      </c>
      <c r="C1865" s="13" t="n">
        <v>62</v>
      </c>
      <c r="D1865" s="13" t="s">
        <v>7450</v>
      </c>
      <c r="E1865" s="13" t="s">
        <v>7451</v>
      </c>
      <c r="F1865" s="13" t="s">
        <v>2154</v>
      </c>
      <c r="G1865" s="13" t="s">
        <v>1005</v>
      </c>
      <c r="H1865" s="13" t="s">
        <v>7452</v>
      </c>
      <c r="I1865" s="13" t="s">
        <v>82</v>
      </c>
      <c r="J1865" s="13" t="s">
        <v>5716</v>
      </c>
      <c r="K1865" s="13"/>
      <c r="L1865" s="13" t="s">
        <v>7453</v>
      </c>
      <c r="M1865" s="13" t="s">
        <v>7454</v>
      </c>
    </row>
    <row r="1866" customFormat="false" ht="23.85" hidden="false" customHeight="false" outlineLevel="0" collapsed="false">
      <c r="A1866" s="13" t="s">
        <v>4</v>
      </c>
      <c r="B1866" s="13" t="s">
        <v>2150</v>
      </c>
      <c r="C1866" s="13" t="n">
        <v>62</v>
      </c>
      <c r="D1866" s="13" t="s">
        <v>7455</v>
      </c>
      <c r="E1866" s="13" t="s">
        <v>7456</v>
      </c>
      <c r="F1866" s="13" t="s">
        <v>806</v>
      </c>
      <c r="G1866" s="13" t="s">
        <v>7457</v>
      </c>
      <c r="H1866" s="13" t="s">
        <v>7458</v>
      </c>
      <c r="I1866" s="13" t="s">
        <v>82</v>
      </c>
      <c r="J1866" s="13" t="s">
        <v>5716</v>
      </c>
      <c r="K1866" s="13"/>
      <c r="L1866" s="13" t="s">
        <v>7459</v>
      </c>
      <c r="M1866" s="13" t="s">
        <v>7460</v>
      </c>
    </row>
    <row r="1867" customFormat="false" ht="35.05" hidden="false" customHeight="false" outlineLevel="0" collapsed="false">
      <c r="A1867" s="13" t="s">
        <v>4</v>
      </c>
      <c r="B1867" s="13" t="s">
        <v>2150</v>
      </c>
      <c r="C1867" s="13" t="n">
        <v>62</v>
      </c>
      <c r="D1867" s="13" t="s">
        <v>7461</v>
      </c>
      <c r="E1867" s="13" t="s">
        <v>7462</v>
      </c>
      <c r="F1867" s="13" t="s">
        <v>806</v>
      </c>
      <c r="G1867" s="13" t="s">
        <v>7463</v>
      </c>
      <c r="H1867" s="13" t="s">
        <v>1770</v>
      </c>
      <c r="I1867" s="13" t="s">
        <v>82</v>
      </c>
      <c r="J1867" s="13" t="s">
        <v>5716</v>
      </c>
      <c r="K1867" s="13"/>
      <c r="L1867" s="13" t="s">
        <v>7464</v>
      </c>
      <c r="M1867" s="13" t="s">
        <v>7465</v>
      </c>
    </row>
    <row r="1868" customFormat="false" ht="35.05" hidden="false" customHeight="false" outlineLevel="0" collapsed="false">
      <c r="A1868" s="13" t="s">
        <v>4</v>
      </c>
      <c r="B1868" s="13" t="s">
        <v>2150</v>
      </c>
      <c r="C1868" s="13" t="n">
        <v>62</v>
      </c>
      <c r="D1868" s="13" t="s">
        <v>7461</v>
      </c>
      <c r="E1868" s="13" t="s">
        <v>7466</v>
      </c>
      <c r="F1868" s="13" t="s">
        <v>806</v>
      </c>
      <c r="G1868" s="13" t="s">
        <v>7467</v>
      </c>
      <c r="H1868" s="13" t="s">
        <v>1770</v>
      </c>
      <c r="I1868" s="13" t="s">
        <v>82</v>
      </c>
      <c r="J1868" s="13" t="s">
        <v>5716</v>
      </c>
      <c r="K1868" s="13"/>
      <c r="L1868" s="13" t="s">
        <v>7464</v>
      </c>
      <c r="M1868" s="13" t="s">
        <v>7465</v>
      </c>
    </row>
    <row r="1869" customFormat="false" ht="23.85" hidden="false" customHeight="false" outlineLevel="0" collapsed="false">
      <c r="A1869" s="13" t="s">
        <v>4</v>
      </c>
      <c r="B1869" s="13" t="s">
        <v>2150</v>
      </c>
      <c r="C1869" s="13" t="n">
        <v>62</v>
      </c>
      <c r="D1869" s="13" t="s">
        <v>7468</v>
      </c>
      <c r="E1869" s="13" t="s">
        <v>7469</v>
      </c>
      <c r="F1869" s="13" t="s">
        <v>7470</v>
      </c>
      <c r="G1869" s="13" t="s">
        <v>7471</v>
      </c>
      <c r="H1869" s="13" t="s">
        <v>7472</v>
      </c>
      <c r="I1869" s="13" t="s">
        <v>82</v>
      </c>
      <c r="J1869" s="13" t="s">
        <v>5716</v>
      </c>
      <c r="K1869" s="13"/>
      <c r="L1869" s="13" t="s">
        <v>7473</v>
      </c>
      <c r="M1869" s="13" t="s">
        <v>7474</v>
      </c>
    </row>
    <row r="1870" customFormat="false" ht="23.85" hidden="false" customHeight="false" outlineLevel="0" collapsed="false">
      <c r="A1870" s="13" t="s">
        <v>4</v>
      </c>
      <c r="B1870" s="13" t="s">
        <v>2150</v>
      </c>
      <c r="C1870" s="13" t="n">
        <v>62</v>
      </c>
      <c r="D1870" s="13" t="s">
        <v>7475</v>
      </c>
      <c r="E1870" s="13" t="s">
        <v>7476</v>
      </c>
      <c r="F1870" s="13" t="s">
        <v>7477</v>
      </c>
      <c r="G1870" s="13" t="s">
        <v>7471</v>
      </c>
      <c r="H1870" s="13" t="s">
        <v>2071</v>
      </c>
      <c r="I1870" s="13" t="s">
        <v>82</v>
      </c>
      <c r="J1870" s="13" t="s">
        <v>5716</v>
      </c>
      <c r="K1870" s="13"/>
      <c r="L1870" s="13" t="s">
        <v>7478</v>
      </c>
      <c r="M1870" s="13" t="s">
        <v>7479</v>
      </c>
    </row>
    <row r="1871" customFormat="false" ht="68.65" hidden="false" customHeight="false" outlineLevel="0" collapsed="false">
      <c r="A1871" s="13" t="s">
        <v>4</v>
      </c>
      <c r="B1871" s="13" t="s">
        <v>2150</v>
      </c>
      <c r="C1871" s="13" t="n">
        <v>62</v>
      </c>
      <c r="D1871" s="13" t="s">
        <v>7480</v>
      </c>
      <c r="E1871" s="13" t="s">
        <v>7481</v>
      </c>
      <c r="F1871" s="13" t="s">
        <v>806</v>
      </c>
      <c r="G1871" s="13" t="s">
        <v>7482</v>
      </c>
      <c r="H1871" s="13" t="s">
        <v>7483</v>
      </c>
      <c r="I1871" s="13" t="s">
        <v>82</v>
      </c>
      <c r="J1871" s="13" t="s">
        <v>5716</v>
      </c>
      <c r="K1871" s="13"/>
      <c r="L1871" s="13" t="s">
        <v>7484</v>
      </c>
      <c r="M1871" s="13" t="s">
        <v>7485</v>
      </c>
    </row>
    <row r="1872" customFormat="false" ht="68.65" hidden="false" customHeight="false" outlineLevel="0" collapsed="false">
      <c r="A1872" s="13" t="s">
        <v>4</v>
      </c>
      <c r="B1872" s="13" t="s">
        <v>2150</v>
      </c>
      <c r="C1872" s="13" t="n">
        <v>62</v>
      </c>
      <c r="D1872" s="13" t="s">
        <v>7480</v>
      </c>
      <c r="E1872" s="13" t="s">
        <v>7486</v>
      </c>
      <c r="F1872" s="13" t="s">
        <v>7487</v>
      </c>
      <c r="G1872" s="13" t="s">
        <v>4513</v>
      </c>
      <c r="H1872" s="13" t="s">
        <v>7483</v>
      </c>
      <c r="I1872" s="13" t="s">
        <v>82</v>
      </c>
      <c r="J1872" s="13" t="s">
        <v>5716</v>
      </c>
      <c r="K1872" s="13"/>
      <c r="L1872" s="13" t="s">
        <v>7484</v>
      </c>
      <c r="M1872" s="13" t="s">
        <v>7485</v>
      </c>
    </row>
    <row r="1873" customFormat="false" ht="68.65" hidden="false" customHeight="false" outlineLevel="0" collapsed="false">
      <c r="A1873" s="13" t="s">
        <v>4</v>
      </c>
      <c r="B1873" s="13" t="s">
        <v>2150</v>
      </c>
      <c r="C1873" s="13" t="n">
        <v>62</v>
      </c>
      <c r="D1873" s="13" t="s">
        <v>7480</v>
      </c>
      <c r="E1873" s="13" t="s">
        <v>7488</v>
      </c>
      <c r="F1873" s="13" t="s">
        <v>7489</v>
      </c>
      <c r="G1873" s="13" t="s">
        <v>4513</v>
      </c>
      <c r="H1873" s="13" t="s">
        <v>7483</v>
      </c>
      <c r="I1873" s="13" t="s">
        <v>82</v>
      </c>
      <c r="J1873" s="13" t="s">
        <v>5716</v>
      </c>
      <c r="K1873" s="13"/>
      <c r="L1873" s="13" t="s">
        <v>7484</v>
      </c>
      <c r="M1873" s="13" t="s">
        <v>7485</v>
      </c>
    </row>
    <row r="1874" customFormat="false" ht="57.45" hidden="false" customHeight="false" outlineLevel="0" collapsed="false">
      <c r="A1874" s="13" t="s">
        <v>4</v>
      </c>
      <c r="B1874" s="13" t="s">
        <v>2150</v>
      </c>
      <c r="C1874" s="13" t="n">
        <v>62</v>
      </c>
      <c r="D1874" s="13" t="s">
        <v>7490</v>
      </c>
      <c r="E1874" s="13" t="s">
        <v>7491</v>
      </c>
      <c r="F1874" s="13" t="s">
        <v>7492</v>
      </c>
      <c r="G1874" s="13" t="s">
        <v>958</v>
      </c>
      <c r="H1874" s="13" t="s">
        <v>7493</v>
      </c>
      <c r="I1874" s="13" t="s">
        <v>82</v>
      </c>
      <c r="J1874" s="13" t="s">
        <v>5716</v>
      </c>
      <c r="K1874" s="13"/>
      <c r="L1874" s="13" t="s">
        <v>7494</v>
      </c>
      <c r="M1874" s="13" t="s">
        <v>7495</v>
      </c>
    </row>
    <row r="1875" customFormat="false" ht="57.45" hidden="false" customHeight="false" outlineLevel="0" collapsed="false">
      <c r="A1875" s="13" t="s">
        <v>4</v>
      </c>
      <c r="B1875" s="13" t="s">
        <v>2150</v>
      </c>
      <c r="C1875" s="13" t="n">
        <v>62</v>
      </c>
      <c r="D1875" s="13" t="s">
        <v>7490</v>
      </c>
      <c r="E1875" s="13" t="s">
        <v>7496</v>
      </c>
      <c r="F1875" s="13" t="s">
        <v>7497</v>
      </c>
      <c r="G1875" s="13" t="s">
        <v>958</v>
      </c>
      <c r="H1875" s="13" t="s">
        <v>7498</v>
      </c>
      <c r="I1875" s="13" t="s">
        <v>82</v>
      </c>
      <c r="J1875" s="13" t="s">
        <v>5716</v>
      </c>
      <c r="K1875" s="13"/>
      <c r="L1875" s="13" t="s">
        <v>7494</v>
      </c>
      <c r="M1875" s="13" t="s">
        <v>7495</v>
      </c>
    </row>
    <row r="1876" customFormat="false" ht="57.45" hidden="false" customHeight="false" outlineLevel="0" collapsed="false">
      <c r="A1876" s="13" t="s">
        <v>4</v>
      </c>
      <c r="B1876" s="13" t="s">
        <v>2150</v>
      </c>
      <c r="C1876" s="13" t="n">
        <v>62</v>
      </c>
      <c r="D1876" s="13" t="s">
        <v>7490</v>
      </c>
      <c r="E1876" s="13" t="s">
        <v>7499</v>
      </c>
      <c r="F1876" s="13" t="s">
        <v>4966</v>
      </c>
      <c r="G1876" s="13" t="s">
        <v>958</v>
      </c>
      <c r="H1876" s="13" t="s">
        <v>7500</v>
      </c>
      <c r="I1876" s="13" t="s">
        <v>82</v>
      </c>
      <c r="J1876" s="13" t="s">
        <v>5716</v>
      </c>
      <c r="K1876" s="13"/>
      <c r="L1876" s="13" t="s">
        <v>7494</v>
      </c>
      <c r="M1876" s="13" t="s">
        <v>7495</v>
      </c>
    </row>
    <row r="1877" customFormat="false" ht="57.45" hidden="false" customHeight="false" outlineLevel="0" collapsed="false">
      <c r="A1877" s="13" t="s">
        <v>4</v>
      </c>
      <c r="B1877" s="13" t="s">
        <v>2150</v>
      </c>
      <c r="C1877" s="13" t="n">
        <v>62</v>
      </c>
      <c r="D1877" s="13" t="s">
        <v>7490</v>
      </c>
      <c r="E1877" s="13" t="s">
        <v>7501</v>
      </c>
      <c r="F1877" s="13" t="s">
        <v>7502</v>
      </c>
      <c r="G1877" s="13" t="s">
        <v>958</v>
      </c>
      <c r="H1877" s="13" t="s">
        <v>7503</v>
      </c>
      <c r="I1877" s="13" t="s">
        <v>82</v>
      </c>
      <c r="J1877" s="13" t="s">
        <v>5716</v>
      </c>
      <c r="K1877" s="13"/>
      <c r="L1877" s="13" t="s">
        <v>7494</v>
      </c>
      <c r="M1877" s="13" t="s">
        <v>7495</v>
      </c>
    </row>
    <row r="1878" customFormat="false" ht="57.45" hidden="false" customHeight="false" outlineLevel="0" collapsed="false">
      <c r="A1878" s="13" t="s">
        <v>4</v>
      </c>
      <c r="B1878" s="13" t="s">
        <v>2150</v>
      </c>
      <c r="C1878" s="13" t="n">
        <v>62</v>
      </c>
      <c r="D1878" s="13" t="s">
        <v>7490</v>
      </c>
      <c r="E1878" s="13" t="s">
        <v>7504</v>
      </c>
      <c r="F1878" s="13" t="s">
        <v>2119</v>
      </c>
      <c r="G1878" s="13" t="s">
        <v>958</v>
      </c>
      <c r="H1878" s="13" t="s">
        <v>7505</v>
      </c>
      <c r="I1878" s="13" t="s">
        <v>82</v>
      </c>
      <c r="J1878" s="13" t="s">
        <v>5716</v>
      </c>
      <c r="K1878" s="13"/>
      <c r="L1878" s="13" t="s">
        <v>7494</v>
      </c>
      <c r="M1878" s="13" t="s">
        <v>7495</v>
      </c>
    </row>
    <row r="1879" customFormat="false" ht="35.05" hidden="false" customHeight="false" outlineLevel="0" collapsed="false">
      <c r="A1879" s="13" t="s">
        <v>4</v>
      </c>
      <c r="B1879" s="13" t="s">
        <v>2150</v>
      </c>
      <c r="C1879" s="13" t="n">
        <v>62</v>
      </c>
      <c r="D1879" s="13" t="s">
        <v>7506</v>
      </c>
      <c r="E1879" s="13" t="s">
        <v>7507</v>
      </c>
      <c r="F1879" s="13" t="s">
        <v>1485</v>
      </c>
      <c r="G1879" s="13" t="s">
        <v>7508</v>
      </c>
      <c r="H1879" s="13" t="s">
        <v>806</v>
      </c>
      <c r="I1879" s="13" t="s">
        <v>82</v>
      </c>
      <c r="J1879" s="13" t="s">
        <v>5716</v>
      </c>
      <c r="K1879" s="13"/>
      <c r="L1879" s="13" t="s">
        <v>7509</v>
      </c>
      <c r="M1879" s="13" t="s">
        <v>7510</v>
      </c>
    </row>
    <row r="1880" customFormat="false" ht="35.05" hidden="false" customHeight="false" outlineLevel="0" collapsed="false">
      <c r="A1880" s="13" t="s">
        <v>4</v>
      </c>
      <c r="B1880" s="13" t="s">
        <v>2150</v>
      </c>
      <c r="C1880" s="13" t="n">
        <v>62</v>
      </c>
      <c r="D1880" s="13" t="s">
        <v>7506</v>
      </c>
      <c r="E1880" s="13" t="s">
        <v>7511</v>
      </c>
      <c r="F1880" s="13" t="s">
        <v>806</v>
      </c>
      <c r="G1880" s="13" t="s">
        <v>7512</v>
      </c>
      <c r="H1880" s="13" t="s">
        <v>7513</v>
      </c>
      <c r="I1880" s="13" t="s">
        <v>82</v>
      </c>
      <c r="J1880" s="13" t="s">
        <v>5716</v>
      </c>
      <c r="K1880" s="13"/>
      <c r="L1880" s="13" t="s">
        <v>7509</v>
      </c>
      <c r="M1880" s="13" t="s">
        <v>7510</v>
      </c>
    </row>
    <row r="1881" customFormat="false" ht="35.05" hidden="false" customHeight="false" outlineLevel="0" collapsed="false">
      <c r="A1881" s="13" t="s">
        <v>4</v>
      </c>
      <c r="B1881" s="13" t="s">
        <v>2150</v>
      </c>
      <c r="C1881" s="13" t="n">
        <v>62</v>
      </c>
      <c r="D1881" s="13" t="s">
        <v>7514</v>
      </c>
      <c r="E1881" s="13" t="s">
        <v>7515</v>
      </c>
      <c r="F1881" s="13" t="s">
        <v>7516</v>
      </c>
      <c r="G1881" s="13" t="s">
        <v>7517</v>
      </c>
      <c r="H1881" s="13" t="s">
        <v>7513</v>
      </c>
      <c r="I1881" s="13" t="s">
        <v>82</v>
      </c>
      <c r="J1881" s="13" t="s">
        <v>5716</v>
      </c>
      <c r="K1881" s="13"/>
      <c r="L1881" s="13" t="s">
        <v>7518</v>
      </c>
      <c r="M1881" s="13" t="s">
        <v>7519</v>
      </c>
    </row>
    <row r="1882" customFormat="false" ht="35.05" hidden="false" customHeight="false" outlineLevel="0" collapsed="false">
      <c r="A1882" s="13" t="s">
        <v>4</v>
      </c>
      <c r="B1882" s="13" t="s">
        <v>2150</v>
      </c>
      <c r="C1882" s="13" t="n">
        <v>62</v>
      </c>
      <c r="D1882" s="13" t="s">
        <v>7514</v>
      </c>
      <c r="E1882" s="13" t="s">
        <v>7520</v>
      </c>
      <c r="F1882" s="13" t="s">
        <v>7521</v>
      </c>
      <c r="G1882" s="13" t="s">
        <v>7517</v>
      </c>
      <c r="H1882" s="13" t="s">
        <v>7513</v>
      </c>
      <c r="I1882" s="13" t="s">
        <v>82</v>
      </c>
      <c r="J1882" s="13" t="s">
        <v>5716</v>
      </c>
      <c r="K1882" s="13"/>
      <c r="L1882" s="13" t="s">
        <v>7518</v>
      </c>
      <c r="M1882" s="13" t="s">
        <v>7519</v>
      </c>
    </row>
    <row r="1883" customFormat="false" ht="35.05" hidden="false" customHeight="false" outlineLevel="0" collapsed="false">
      <c r="A1883" s="13" t="s">
        <v>4</v>
      </c>
      <c r="B1883" s="13" t="s">
        <v>2150</v>
      </c>
      <c r="C1883" s="13" t="n">
        <v>62</v>
      </c>
      <c r="D1883" s="13" t="s">
        <v>7514</v>
      </c>
      <c r="E1883" s="13" t="s">
        <v>7522</v>
      </c>
      <c r="F1883" s="13" t="s">
        <v>7523</v>
      </c>
      <c r="G1883" s="13" t="s">
        <v>7517</v>
      </c>
      <c r="H1883" s="13" t="s">
        <v>7513</v>
      </c>
      <c r="I1883" s="13" t="s">
        <v>82</v>
      </c>
      <c r="J1883" s="13" t="s">
        <v>5716</v>
      </c>
      <c r="K1883" s="13"/>
      <c r="L1883" s="13" t="s">
        <v>7518</v>
      </c>
      <c r="M1883" s="13" t="s">
        <v>7519</v>
      </c>
    </row>
    <row r="1884" customFormat="false" ht="23.85" hidden="false" customHeight="false" outlineLevel="0" collapsed="false">
      <c r="A1884" s="13" t="s">
        <v>4</v>
      </c>
      <c r="B1884" s="13" t="s">
        <v>2150</v>
      </c>
      <c r="C1884" s="13" t="n">
        <v>62</v>
      </c>
      <c r="D1884" s="13" t="s">
        <v>7524</v>
      </c>
      <c r="E1884" s="13" t="s">
        <v>7525</v>
      </c>
      <c r="F1884" s="13" t="s">
        <v>806</v>
      </c>
      <c r="G1884" s="13" t="s">
        <v>7445</v>
      </c>
      <c r="H1884" s="13" t="s">
        <v>7513</v>
      </c>
      <c r="I1884" s="13" t="s">
        <v>82</v>
      </c>
      <c r="J1884" s="13" t="s">
        <v>5716</v>
      </c>
      <c r="K1884" s="13"/>
      <c r="L1884" s="13" t="s">
        <v>7526</v>
      </c>
      <c r="M1884" s="13" t="s">
        <v>7527</v>
      </c>
    </row>
    <row r="1885" customFormat="false" ht="23.85" hidden="false" customHeight="false" outlineLevel="0" collapsed="false">
      <c r="A1885" s="13" t="s">
        <v>4</v>
      </c>
      <c r="B1885" s="13" t="s">
        <v>2150</v>
      </c>
      <c r="C1885" s="13" t="n">
        <v>79</v>
      </c>
      <c r="D1885" s="13" t="s">
        <v>7528</v>
      </c>
      <c r="E1885" s="13" t="s">
        <v>7529</v>
      </c>
      <c r="F1885" s="13" t="s">
        <v>806</v>
      </c>
      <c r="G1885" s="13" t="s">
        <v>3032</v>
      </c>
      <c r="H1885" s="13" t="s">
        <v>7530</v>
      </c>
      <c r="I1885" s="13" t="s">
        <v>82</v>
      </c>
      <c r="J1885" s="13" t="s">
        <v>5716</v>
      </c>
      <c r="K1885" s="13"/>
      <c r="L1885" s="13" t="s">
        <v>7531</v>
      </c>
      <c r="M1885" s="13" t="s">
        <v>7532</v>
      </c>
    </row>
    <row r="1886" customFormat="false" ht="23.85" hidden="false" customHeight="false" outlineLevel="0" collapsed="false">
      <c r="A1886" s="13" t="s">
        <v>4</v>
      </c>
      <c r="B1886" s="13" t="s">
        <v>2150</v>
      </c>
      <c r="C1886" s="13" t="n">
        <v>79</v>
      </c>
      <c r="D1886" s="13" t="s">
        <v>7528</v>
      </c>
      <c r="E1886" s="13" t="s">
        <v>7533</v>
      </c>
      <c r="F1886" s="13" t="s">
        <v>806</v>
      </c>
      <c r="G1886" s="13" t="s">
        <v>3032</v>
      </c>
      <c r="H1886" s="13" t="s">
        <v>7534</v>
      </c>
      <c r="I1886" s="13" t="s">
        <v>82</v>
      </c>
      <c r="J1886" s="13" t="s">
        <v>5716</v>
      </c>
      <c r="K1886" s="13"/>
      <c r="L1886" s="13" t="s">
        <v>7531</v>
      </c>
      <c r="M1886" s="13" t="s">
        <v>7532</v>
      </c>
    </row>
    <row r="1887" customFormat="false" ht="57.45" hidden="false" customHeight="false" outlineLevel="0" collapsed="false">
      <c r="A1887" s="13" t="s">
        <v>4</v>
      </c>
      <c r="B1887" s="13" t="s">
        <v>2150</v>
      </c>
      <c r="C1887" s="13" t="n">
        <v>79</v>
      </c>
      <c r="D1887" s="13" t="s">
        <v>7535</v>
      </c>
      <c r="E1887" s="13" t="s">
        <v>7536</v>
      </c>
      <c r="F1887" s="13" t="s">
        <v>806</v>
      </c>
      <c r="G1887" s="13" t="s">
        <v>7537</v>
      </c>
      <c r="H1887" s="13" t="s">
        <v>7538</v>
      </c>
      <c r="I1887" s="13" t="s">
        <v>74</v>
      </c>
      <c r="J1887" s="13" t="s">
        <v>7539</v>
      </c>
      <c r="K1887" s="13" t="s">
        <v>7540</v>
      </c>
      <c r="L1887" s="13" t="s">
        <v>7541</v>
      </c>
      <c r="M1887" s="13" t="s">
        <v>7542</v>
      </c>
    </row>
    <row r="1888" customFormat="false" ht="57.45" hidden="false" customHeight="false" outlineLevel="0" collapsed="false">
      <c r="A1888" s="13" t="s">
        <v>4</v>
      </c>
      <c r="B1888" s="13" t="s">
        <v>2150</v>
      </c>
      <c r="C1888" s="13" t="n">
        <v>79</v>
      </c>
      <c r="D1888" s="13" t="s">
        <v>7535</v>
      </c>
      <c r="E1888" s="13" t="s">
        <v>7543</v>
      </c>
      <c r="F1888" s="13" t="s">
        <v>806</v>
      </c>
      <c r="G1888" s="13" t="s">
        <v>7537</v>
      </c>
      <c r="H1888" s="13" t="s">
        <v>7544</v>
      </c>
      <c r="I1888" s="13" t="s">
        <v>82</v>
      </c>
      <c r="J1888" s="13" t="s">
        <v>5716</v>
      </c>
      <c r="K1888" s="13"/>
      <c r="L1888" s="13" t="s">
        <v>7541</v>
      </c>
      <c r="M1888" s="13" t="s">
        <v>7542</v>
      </c>
    </row>
    <row r="1889" customFormat="false" ht="57.45" hidden="false" customHeight="false" outlineLevel="0" collapsed="false">
      <c r="A1889" s="13" t="s">
        <v>4</v>
      </c>
      <c r="B1889" s="13" t="s">
        <v>2150</v>
      </c>
      <c r="C1889" s="13" t="n">
        <v>79</v>
      </c>
      <c r="D1889" s="13" t="s">
        <v>7535</v>
      </c>
      <c r="E1889" s="13" t="s">
        <v>7545</v>
      </c>
      <c r="F1889" s="13" t="s">
        <v>806</v>
      </c>
      <c r="G1889" s="13" t="s">
        <v>7537</v>
      </c>
      <c r="H1889" s="13" t="s">
        <v>7546</v>
      </c>
      <c r="I1889" s="13" t="s">
        <v>74</v>
      </c>
      <c r="J1889" s="13" t="s">
        <v>7547</v>
      </c>
      <c r="K1889" s="13" t="s">
        <v>7548</v>
      </c>
      <c r="L1889" s="13" t="s">
        <v>7541</v>
      </c>
      <c r="M1889" s="13" t="s">
        <v>7542</v>
      </c>
    </row>
    <row r="1890" customFormat="false" ht="57.45" hidden="false" customHeight="false" outlineLevel="0" collapsed="false">
      <c r="A1890" s="13" t="s">
        <v>4</v>
      </c>
      <c r="B1890" s="13" t="s">
        <v>2150</v>
      </c>
      <c r="C1890" s="13" t="n">
        <v>79</v>
      </c>
      <c r="D1890" s="13" t="s">
        <v>7535</v>
      </c>
      <c r="E1890" s="13" t="s">
        <v>7549</v>
      </c>
      <c r="F1890" s="13" t="s">
        <v>806</v>
      </c>
      <c r="G1890" s="13" t="s">
        <v>7537</v>
      </c>
      <c r="H1890" s="13" t="s">
        <v>7550</v>
      </c>
      <c r="I1890" s="13" t="s">
        <v>82</v>
      </c>
      <c r="J1890" s="13" t="s">
        <v>5716</v>
      </c>
      <c r="K1890" s="13"/>
      <c r="L1890" s="13" t="s">
        <v>7541</v>
      </c>
      <c r="M1890" s="13" t="s">
        <v>7542</v>
      </c>
    </row>
    <row r="1891" customFormat="false" ht="57.45" hidden="false" customHeight="false" outlineLevel="0" collapsed="false">
      <c r="A1891" s="13" t="s">
        <v>4</v>
      </c>
      <c r="B1891" s="13" t="s">
        <v>2150</v>
      </c>
      <c r="C1891" s="13" t="n">
        <v>79</v>
      </c>
      <c r="D1891" s="13" t="s">
        <v>7535</v>
      </c>
      <c r="E1891" s="13" t="s">
        <v>7551</v>
      </c>
      <c r="F1891" s="13" t="s">
        <v>806</v>
      </c>
      <c r="G1891" s="13" t="s">
        <v>7537</v>
      </c>
      <c r="H1891" s="13" t="s">
        <v>7552</v>
      </c>
      <c r="I1891" s="13" t="s">
        <v>82</v>
      </c>
      <c r="J1891" s="13" t="s">
        <v>5716</v>
      </c>
      <c r="K1891" s="13"/>
      <c r="L1891" s="13" t="s">
        <v>7541</v>
      </c>
      <c r="M1891" s="13" t="s">
        <v>7542</v>
      </c>
    </row>
    <row r="1892" customFormat="false" ht="57.45" hidden="false" customHeight="false" outlineLevel="0" collapsed="false">
      <c r="A1892" s="13" t="s">
        <v>4</v>
      </c>
      <c r="B1892" s="13" t="s">
        <v>2150</v>
      </c>
      <c r="C1892" s="13" t="n">
        <v>79</v>
      </c>
      <c r="D1892" s="13" t="s">
        <v>7535</v>
      </c>
      <c r="E1892" s="13" t="s">
        <v>7553</v>
      </c>
      <c r="F1892" s="13" t="s">
        <v>806</v>
      </c>
      <c r="G1892" s="13" t="s">
        <v>7537</v>
      </c>
      <c r="H1892" s="13" t="s">
        <v>7554</v>
      </c>
      <c r="I1892" s="13" t="s">
        <v>82</v>
      </c>
      <c r="J1892" s="13" t="s">
        <v>5716</v>
      </c>
      <c r="K1892" s="13"/>
      <c r="L1892" s="13" t="s">
        <v>7541</v>
      </c>
      <c r="M1892" s="13" t="s">
        <v>7542</v>
      </c>
    </row>
    <row r="1893" customFormat="false" ht="57.45" hidden="false" customHeight="false" outlineLevel="0" collapsed="false">
      <c r="A1893" s="13" t="s">
        <v>4</v>
      </c>
      <c r="B1893" s="13" t="s">
        <v>2150</v>
      </c>
      <c r="C1893" s="13" t="n">
        <v>79</v>
      </c>
      <c r="D1893" s="13" t="s">
        <v>7535</v>
      </c>
      <c r="E1893" s="13" t="s">
        <v>7555</v>
      </c>
      <c r="F1893" s="13" t="s">
        <v>806</v>
      </c>
      <c r="G1893" s="13" t="s">
        <v>7537</v>
      </c>
      <c r="H1893" s="13" t="s">
        <v>7556</v>
      </c>
      <c r="I1893" s="13" t="s">
        <v>82</v>
      </c>
      <c r="J1893" s="13" t="s">
        <v>5716</v>
      </c>
      <c r="K1893" s="13"/>
      <c r="L1893" s="13" t="s">
        <v>7541</v>
      </c>
      <c r="M1893" s="13" t="s">
        <v>7542</v>
      </c>
    </row>
    <row r="1894" customFormat="false" ht="57.45" hidden="false" customHeight="false" outlineLevel="0" collapsed="false">
      <c r="A1894" s="13" t="s">
        <v>4</v>
      </c>
      <c r="B1894" s="13" t="s">
        <v>2150</v>
      </c>
      <c r="C1894" s="13" t="n">
        <v>79</v>
      </c>
      <c r="D1894" s="13" t="s">
        <v>7557</v>
      </c>
      <c r="E1894" s="13" t="s">
        <v>7558</v>
      </c>
      <c r="F1894" s="13" t="s">
        <v>806</v>
      </c>
      <c r="G1894" s="13" t="s">
        <v>7559</v>
      </c>
      <c r="H1894" s="13" t="s">
        <v>7470</v>
      </c>
      <c r="I1894" s="13" t="s">
        <v>82</v>
      </c>
      <c r="J1894" s="13" t="s">
        <v>5716</v>
      </c>
      <c r="K1894" s="13"/>
      <c r="L1894" s="13" t="s">
        <v>7560</v>
      </c>
      <c r="M1894" s="13" t="s">
        <v>7561</v>
      </c>
    </row>
    <row r="1895" customFormat="false" ht="35.05" hidden="false" customHeight="false" outlineLevel="0" collapsed="false">
      <c r="A1895" s="13" t="s">
        <v>4</v>
      </c>
      <c r="B1895" s="13" t="s">
        <v>2150</v>
      </c>
      <c r="C1895" s="13" t="n">
        <v>79</v>
      </c>
      <c r="D1895" s="13" t="s">
        <v>7562</v>
      </c>
      <c r="E1895" s="13" t="s">
        <v>7563</v>
      </c>
      <c r="F1895" s="13" t="s">
        <v>806</v>
      </c>
      <c r="G1895" s="13" t="s">
        <v>7564</v>
      </c>
      <c r="H1895" s="13" t="s">
        <v>7565</v>
      </c>
      <c r="I1895" s="13" t="s">
        <v>82</v>
      </c>
      <c r="J1895" s="13" t="s">
        <v>5716</v>
      </c>
      <c r="K1895" s="13"/>
      <c r="L1895" s="13" t="s">
        <v>7566</v>
      </c>
      <c r="M1895" s="13" t="s">
        <v>7567</v>
      </c>
    </row>
    <row r="1896" customFormat="false" ht="35.05" hidden="false" customHeight="false" outlineLevel="0" collapsed="false">
      <c r="A1896" s="13" t="s">
        <v>4</v>
      </c>
      <c r="B1896" s="13" t="s">
        <v>2150</v>
      </c>
      <c r="C1896" s="13" t="n">
        <v>79</v>
      </c>
      <c r="D1896" s="13" t="s">
        <v>7568</v>
      </c>
      <c r="E1896" s="13" t="s">
        <v>7569</v>
      </c>
      <c r="F1896" s="13" t="s">
        <v>806</v>
      </c>
      <c r="G1896" s="13" t="s">
        <v>7570</v>
      </c>
      <c r="H1896" s="13" t="s">
        <v>7571</v>
      </c>
      <c r="I1896" s="13" t="s">
        <v>82</v>
      </c>
      <c r="J1896" s="13" t="s">
        <v>5716</v>
      </c>
      <c r="K1896" s="13"/>
      <c r="L1896" s="13" t="s">
        <v>7572</v>
      </c>
      <c r="M1896" s="13" t="s">
        <v>7573</v>
      </c>
    </row>
    <row r="1897" customFormat="false" ht="35.05" hidden="false" customHeight="false" outlineLevel="0" collapsed="false">
      <c r="A1897" s="13" t="s">
        <v>4</v>
      </c>
      <c r="B1897" s="13" t="s">
        <v>2150</v>
      </c>
      <c r="C1897" s="13" t="n">
        <v>79</v>
      </c>
      <c r="D1897" s="13" t="s">
        <v>7574</v>
      </c>
      <c r="E1897" s="13" t="s">
        <v>7575</v>
      </c>
      <c r="F1897" s="13" t="s">
        <v>806</v>
      </c>
      <c r="G1897" s="13" t="s">
        <v>7463</v>
      </c>
      <c r="H1897" s="13" t="s">
        <v>7571</v>
      </c>
      <c r="I1897" s="13" t="s">
        <v>82</v>
      </c>
      <c r="J1897" s="13" t="s">
        <v>5716</v>
      </c>
      <c r="K1897" s="13"/>
      <c r="L1897" s="13" t="s">
        <v>7576</v>
      </c>
      <c r="M1897" s="13" t="s">
        <v>7577</v>
      </c>
    </row>
    <row r="1898" customFormat="false" ht="35.05" hidden="false" customHeight="false" outlineLevel="0" collapsed="false">
      <c r="A1898" s="13" t="s">
        <v>4</v>
      </c>
      <c r="B1898" s="13" t="s">
        <v>2150</v>
      </c>
      <c r="C1898" s="13" t="n">
        <v>79</v>
      </c>
      <c r="D1898" s="13" t="s">
        <v>7578</v>
      </c>
      <c r="E1898" s="13" t="s">
        <v>7579</v>
      </c>
      <c r="F1898" s="13" t="s">
        <v>806</v>
      </c>
      <c r="G1898" s="13" t="s">
        <v>7580</v>
      </c>
      <c r="H1898" s="13" t="s">
        <v>2584</v>
      </c>
      <c r="I1898" s="13" t="s">
        <v>82</v>
      </c>
      <c r="J1898" s="13" t="s">
        <v>5716</v>
      </c>
      <c r="K1898" s="13"/>
      <c r="L1898" s="13" t="s">
        <v>7581</v>
      </c>
      <c r="M1898" s="13" t="s">
        <v>7582</v>
      </c>
    </row>
    <row r="1899" customFormat="false" ht="35.05" hidden="false" customHeight="false" outlineLevel="0" collapsed="false">
      <c r="A1899" s="13" t="s">
        <v>4</v>
      </c>
      <c r="B1899" s="13" t="s">
        <v>2150</v>
      </c>
      <c r="C1899" s="13" t="n">
        <v>79</v>
      </c>
      <c r="D1899" s="13" t="s">
        <v>7578</v>
      </c>
      <c r="E1899" s="13" t="s">
        <v>7583</v>
      </c>
      <c r="F1899" s="13" t="s">
        <v>806</v>
      </c>
      <c r="G1899" s="13" t="s">
        <v>7584</v>
      </c>
      <c r="H1899" s="13" t="s">
        <v>7585</v>
      </c>
      <c r="I1899" s="13" t="s">
        <v>82</v>
      </c>
      <c r="J1899" s="13" t="s">
        <v>5716</v>
      </c>
      <c r="K1899" s="13"/>
      <c r="L1899" s="13" t="s">
        <v>7581</v>
      </c>
      <c r="M1899" s="13" t="s">
        <v>7582</v>
      </c>
    </row>
    <row r="1900" customFormat="false" ht="35.05" hidden="false" customHeight="false" outlineLevel="0" collapsed="false">
      <c r="A1900" s="13" t="s">
        <v>4</v>
      </c>
      <c r="B1900" s="13" t="s">
        <v>2150</v>
      </c>
      <c r="C1900" s="13" t="n">
        <v>79</v>
      </c>
      <c r="D1900" s="13" t="s">
        <v>7586</v>
      </c>
      <c r="E1900" s="13" t="s">
        <v>7587</v>
      </c>
      <c r="F1900" s="13" t="s">
        <v>806</v>
      </c>
      <c r="G1900" s="13" t="s">
        <v>7588</v>
      </c>
      <c r="H1900" s="13" t="s">
        <v>7589</v>
      </c>
      <c r="I1900" s="13" t="s">
        <v>82</v>
      </c>
      <c r="J1900" s="13" t="s">
        <v>5716</v>
      </c>
      <c r="K1900" s="13"/>
      <c r="L1900" s="13" t="s">
        <v>7590</v>
      </c>
      <c r="M1900" s="13" t="s">
        <v>7591</v>
      </c>
    </row>
    <row r="1901" customFormat="false" ht="23.85" hidden="false" customHeight="false" outlineLevel="0" collapsed="false">
      <c r="A1901" s="13" t="s">
        <v>4</v>
      </c>
      <c r="B1901" s="13" t="s">
        <v>2150</v>
      </c>
      <c r="C1901" s="13" t="n">
        <v>79</v>
      </c>
      <c r="D1901" s="13" t="s">
        <v>7592</v>
      </c>
      <c r="E1901" s="13" t="s">
        <v>7593</v>
      </c>
      <c r="F1901" s="13" t="s">
        <v>806</v>
      </c>
      <c r="G1901" s="13" t="s">
        <v>7537</v>
      </c>
      <c r="H1901" s="13" t="s">
        <v>7594</v>
      </c>
      <c r="I1901" s="13" t="s">
        <v>74</v>
      </c>
      <c r="J1901" s="13" t="s">
        <v>7595</v>
      </c>
      <c r="K1901" s="13" t="s">
        <v>7596</v>
      </c>
      <c r="L1901" s="13" t="s">
        <v>7597</v>
      </c>
      <c r="M1901" s="13" t="s">
        <v>7598</v>
      </c>
    </row>
    <row r="1902" customFormat="false" ht="57.45" hidden="false" customHeight="false" outlineLevel="0" collapsed="false">
      <c r="A1902" s="13" t="s">
        <v>4</v>
      </c>
      <c r="B1902" s="13" t="s">
        <v>2150</v>
      </c>
      <c r="C1902" s="13" t="n">
        <v>79</v>
      </c>
      <c r="D1902" s="13" t="s">
        <v>7599</v>
      </c>
      <c r="E1902" s="13" t="s">
        <v>7600</v>
      </c>
      <c r="F1902" s="13" t="s">
        <v>7601</v>
      </c>
      <c r="G1902" s="13" t="s">
        <v>7602</v>
      </c>
      <c r="H1902" s="13" t="s">
        <v>1439</v>
      </c>
      <c r="I1902" s="13" t="s">
        <v>114</v>
      </c>
      <c r="J1902" s="13" t="s">
        <v>7603</v>
      </c>
      <c r="K1902" s="13" t="s">
        <v>7604</v>
      </c>
      <c r="L1902" s="13" t="s">
        <v>7605</v>
      </c>
      <c r="M1902" s="13" t="s">
        <v>7606</v>
      </c>
    </row>
    <row r="1903" customFormat="false" ht="57.45" hidden="false" customHeight="false" outlineLevel="0" collapsed="false">
      <c r="A1903" s="13" t="s">
        <v>4</v>
      </c>
      <c r="B1903" s="13" t="s">
        <v>2150</v>
      </c>
      <c r="C1903" s="13" t="n">
        <v>79</v>
      </c>
      <c r="D1903" s="13" t="s">
        <v>7599</v>
      </c>
      <c r="E1903" s="13" t="s">
        <v>7607</v>
      </c>
      <c r="F1903" s="13" t="s">
        <v>1439</v>
      </c>
      <c r="G1903" s="13" t="s">
        <v>7608</v>
      </c>
      <c r="H1903" s="13" t="s">
        <v>7601</v>
      </c>
      <c r="I1903" s="13" t="s">
        <v>114</v>
      </c>
      <c r="J1903" s="13" t="s">
        <v>7609</v>
      </c>
      <c r="K1903" s="13" t="s">
        <v>7610</v>
      </c>
      <c r="L1903" s="13" t="s">
        <v>7605</v>
      </c>
      <c r="M1903" s="13" t="s">
        <v>7606</v>
      </c>
    </row>
    <row r="1904" customFormat="false" ht="35.05" hidden="false" customHeight="false" outlineLevel="0" collapsed="false">
      <c r="A1904" s="13" t="s">
        <v>4</v>
      </c>
      <c r="B1904" s="13" t="s">
        <v>2150</v>
      </c>
      <c r="C1904" s="13" t="n">
        <v>134</v>
      </c>
      <c r="D1904" s="13" t="s">
        <v>7611</v>
      </c>
      <c r="E1904" s="13" t="s">
        <v>7612</v>
      </c>
      <c r="F1904" s="13" t="s">
        <v>7613</v>
      </c>
      <c r="G1904" s="13" t="s">
        <v>7614</v>
      </c>
      <c r="H1904" s="13" t="s">
        <v>7615</v>
      </c>
      <c r="I1904" s="13" t="s">
        <v>82</v>
      </c>
      <c r="J1904" s="13" t="s">
        <v>5716</v>
      </c>
      <c r="K1904" s="13"/>
      <c r="L1904" s="13" t="s">
        <v>7616</v>
      </c>
      <c r="M1904" s="13" t="s">
        <v>7617</v>
      </c>
    </row>
    <row r="1905" customFormat="false" ht="35.05" hidden="false" customHeight="false" outlineLevel="0" collapsed="false">
      <c r="A1905" s="13" t="s">
        <v>4</v>
      </c>
      <c r="B1905" s="13" t="s">
        <v>2150</v>
      </c>
      <c r="C1905" s="13" t="n">
        <v>134</v>
      </c>
      <c r="D1905" s="13" t="s">
        <v>7611</v>
      </c>
      <c r="E1905" s="13" t="s">
        <v>7618</v>
      </c>
      <c r="F1905" s="13" t="s">
        <v>7613</v>
      </c>
      <c r="G1905" s="13" t="s">
        <v>7619</v>
      </c>
      <c r="H1905" s="13" t="s">
        <v>7620</v>
      </c>
      <c r="I1905" s="13" t="s">
        <v>82</v>
      </c>
      <c r="J1905" s="13" t="s">
        <v>5716</v>
      </c>
      <c r="K1905" s="13"/>
      <c r="L1905" s="13" t="s">
        <v>7616</v>
      </c>
      <c r="M1905" s="13" t="s">
        <v>7617</v>
      </c>
    </row>
    <row r="1906" customFormat="false" ht="23.85" hidden="false" customHeight="false" outlineLevel="0" collapsed="false">
      <c r="A1906" s="13" t="s">
        <v>4</v>
      </c>
      <c r="B1906" s="13" t="s">
        <v>2150</v>
      </c>
      <c r="C1906" s="13" t="n">
        <v>134</v>
      </c>
      <c r="D1906" s="13" t="s">
        <v>7621</v>
      </c>
      <c r="E1906" s="13" t="s">
        <v>7622</v>
      </c>
      <c r="F1906" s="13" t="s">
        <v>7623</v>
      </c>
      <c r="G1906" s="13" t="s">
        <v>1854</v>
      </c>
      <c r="H1906" s="13" t="s">
        <v>7624</v>
      </c>
      <c r="I1906" s="13" t="s">
        <v>82</v>
      </c>
      <c r="J1906" s="13" t="s">
        <v>5716</v>
      </c>
      <c r="K1906" s="13"/>
      <c r="L1906" s="13" t="s">
        <v>7625</v>
      </c>
      <c r="M1906" s="13" t="s">
        <v>7626</v>
      </c>
    </row>
    <row r="1907" customFormat="false" ht="23.85" hidden="false" customHeight="false" outlineLevel="0" collapsed="false">
      <c r="A1907" s="13" t="s">
        <v>4</v>
      </c>
      <c r="B1907" s="13" t="s">
        <v>2150</v>
      </c>
      <c r="C1907" s="13" t="n">
        <v>134</v>
      </c>
      <c r="D1907" s="13" t="s">
        <v>7621</v>
      </c>
      <c r="E1907" s="13" t="s">
        <v>7627</v>
      </c>
      <c r="F1907" s="13" t="s">
        <v>7623</v>
      </c>
      <c r="G1907" s="13" t="s">
        <v>7619</v>
      </c>
      <c r="H1907" s="13" t="s">
        <v>7620</v>
      </c>
      <c r="I1907" s="13" t="s">
        <v>82</v>
      </c>
      <c r="J1907" s="13" t="s">
        <v>5716</v>
      </c>
      <c r="K1907" s="13"/>
      <c r="L1907" s="13" t="s">
        <v>7625</v>
      </c>
      <c r="M1907" s="13" t="s">
        <v>7626</v>
      </c>
    </row>
    <row r="1908" customFormat="false" ht="23.85" hidden="false" customHeight="false" outlineLevel="0" collapsed="false">
      <c r="A1908" s="13" t="s">
        <v>4</v>
      </c>
      <c r="B1908" s="13" t="s">
        <v>2150</v>
      </c>
      <c r="C1908" s="13" t="n">
        <v>134</v>
      </c>
      <c r="D1908" s="13" t="s">
        <v>7628</v>
      </c>
      <c r="E1908" s="13" t="s">
        <v>7629</v>
      </c>
      <c r="F1908" s="13" t="s">
        <v>7630</v>
      </c>
      <c r="G1908" s="13" t="s">
        <v>7614</v>
      </c>
      <c r="H1908" s="13" t="s">
        <v>7615</v>
      </c>
      <c r="I1908" s="13" t="s">
        <v>82</v>
      </c>
      <c r="J1908" s="13" t="s">
        <v>5716</v>
      </c>
      <c r="K1908" s="13"/>
      <c r="L1908" s="13" t="s">
        <v>7631</v>
      </c>
      <c r="M1908" s="13" t="s">
        <v>7632</v>
      </c>
    </row>
    <row r="1909" customFormat="false" ht="23.85" hidden="false" customHeight="false" outlineLevel="0" collapsed="false">
      <c r="A1909" s="13" t="s">
        <v>4</v>
      </c>
      <c r="B1909" s="13" t="s">
        <v>2150</v>
      </c>
      <c r="C1909" s="13" t="n">
        <v>134</v>
      </c>
      <c r="D1909" s="13" t="s">
        <v>7628</v>
      </c>
      <c r="E1909" s="13" t="s">
        <v>7633</v>
      </c>
      <c r="F1909" s="13" t="s">
        <v>7630</v>
      </c>
      <c r="G1909" s="13" t="s">
        <v>7619</v>
      </c>
      <c r="H1909" s="13" t="s">
        <v>7620</v>
      </c>
      <c r="I1909" s="13" t="s">
        <v>82</v>
      </c>
      <c r="J1909" s="13" t="s">
        <v>5716</v>
      </c>
      <c r="K1909" s="13"/>
      <c r="L1909" s="13" t="s">
        <v>7631</v>
      </c>
      <c r="M1909" s="13" t="s">
        <v>7632</v>
      </c>
    </row>
    <row r="1910" customFormat="false" ht="91" hidden="false" customHeight="false" outlineLevel="0" collapsed="false">
      <c r="A1910" s="13" t="s">
        <v>4</v>
      </c>
      <c r="B1910" s="13" t="s">
        <v>2150</v>
      </c>
      <c r="C1910" s="13" t="n">
        <v>134</v>
      </c>
      <c r="D1910" s="13" t="s">
        <v>7634</v>
      </c>
      <c r="E1910" s="13" t="s">
        <v>7635</v>
      </c>
      <c r="F1910" s="13" t="s">
        <v>7636</v>
      </c>
      <c r="G1910" s="13" t="s">
        <v>2800</v>
      </c>
      <c r="H1910" s="13" t="s">
        <v>1321</v>
      </c>
      <c r="I1910" s="13" t="s">
        <v>82</v>
      </c>
      <c r="J1910" s="13" t="s">
        <v>5716</v>
      </c>
      <c r="K1910" s="13"/>
      <c r="L1910" s="13" t="s">
        <v>7637</v>
      </c>
      <c r="M1910" s="13" t="s">
        <v>7638</v>
      </c>
    </row>
    <row r="1911" customFormat="false" ht="91" hidden="false" customHeight="false" outlineLevel="0" collapsed="false">
      <c r="A1911" s="13" t="s">
        <v>4</v>
      </c>
      <c r="B1911" s="13" t="s">
        <v>2150</v>
      </c>
      <c r="C1911" s="13" t="n">
        <v>134</v>
      </c>
      <c r="D1911" s="13" t="s">
        <v>7634</v>
      </c>
      <c r="E1911" s="13" t="s">
        <v>7639</v>
      </c>
      <c r="F1911" s="13" t="s">
        <v>7640</v>
      </c>
      <c r="G1911" s="13" t="s">
        <v>7641</v>
      </c>
      <c r="H1911" s="13" t="s">
        <v>7642</v>
      </c>
      <c r="I1911" s="13" t="s">
        <v>82</v>
      </c>
      <c r="J1911" s="13" t="s">
        <v>5716</v>
      </c>
      <c r="K1911" s="13"/>
      <c r="L1911" s="13" t="s">
        <v>7637</v>
      </c>
      <c r="M1911" s="13" t="s">
        <v>7638</v>
      </c>
    </row>
    <row r="1912" customFormat="false" ht="91" hidden="false" customHeight="false" outlineLevel="0" collapsed="false">
      <c r="A1912" s="13" t="s">
        <v>4</v>
      </c>
      <c r="B1912" s="13" t="s">
        <v>2150</v>
      </c>
      <c r="C1912" s="13" t="n">
        <v>134</v>
      </c>
      <c r="D1912" s="13" t="s">
        <v>7634</v>
      </c>
      <c r="E1912" s="13" t="s">
        <v>7643</v>
      </c>
      <c r="F1912" s="13" t="s">
        <v>1321</v>
      </c>
      <c r="G1912" s="13" t="s">
        <v>7644</v>
      </c>
      <c r="H1912" s="13" t="s">
        <v>7645</v>
      </c>
      <c r="I1912" s="13" t="s">
        <v>82</v>
      </c>
      <c r="J1912" s="13" t="s">
        <v>5716</v>
      </c>
      <c r="K1912" s="13"/>
      <c r="L1912" s="13" t="s">
        <v>7637</v>
      </c>
      <c r="M1912" s="13" t="s">
        <v>7638</v>
      </c>
    </row>
    <row r="1913" customFormat="false" ht="91" hidden="false" customHeight="false" outlineLevel="0" collapsed="false">
      <c r="A1913" s="13" t="s">
        <v>4</v>
      </c>
      <c r="B1913" s="13" t="s">
        <v>2150</v>
      </c>
      <c r="C1913" s="13" t="n">
        <v>134</v>
      </c>
      <c r="D1913" s="13" t="s">
        <v>7634</v>
      </c>
      <c r="E1913" s="13" t="s">
        <v>7646</v>
      </c>
      <c r="F1913" s="13" t="s">
        <v>1321</v>
      </c>
      <c r="G1913" s="13" t="s">
        <v>7647</v>
      </c>
      <c r="H1913" s="13" t="s">
        <v>7645</v>
      </c>
      <c r="I1913" s="13" t="s">
        <v>82</v>
      </c>
      <c r="J1913" s="13" t="s">
        <v>5716</v>
      </c>
      <c r="K1913" s="13"/>
      <c r="L1913" s="13" t="s">
        <v>7637</v>
      </c>
      <c r="M1913" s="13" t="s">
        <v>7638</v>
      </c>
    </row>
    <row r="1914" customFormat="false" ht="23.85" hidden="false" customHeight="false" outlineLevel="0" collapsed="false">
      <c r="A1914" s="13" t="s">
        <v>4</v>
      </c>
      <c r="B1914" s="13" t="s">
        <v>2150</v>
      </c>
      <c r="C1914" s="13" t="n">
        <v>134</v>
      </c>
      <c r="D1914" s="13" t="s">
        <v>7648</v>
      </c>
      <c r="E1914" s="13" t="s">
        <v>7649</v>
      </c>
      <c r="F1914" s="13" t="s">
        <v>1321</v>
      </c>
      <c r="G1914" s="13" t="s">
        <v>7650</v>
      </c>
      <c r="H1914" s="13" t="s">
        <v>7651</v>
      </c>
      <c r="I1914" s="13" t="s">
        <v>82</v>
      </c>
      <c r="J1914" s="13" t="s">
        <v>5716</v>
      </c>
      <c r="K1914" s="13"/>
      <c r="L1914" s="13" t="s">
        <v>7652</v>
      </c>
      <c r="M1914" s="13" t="s">
        <v>7653</v>
      </c>
    </row>
    <row r="1915" customFormat="false" ht="23.85" hidden="false" customHeight="false" outlineLevel="0" collapsed="false">
      <c r="A1915" s="13" t="s">
        <v>4</v>
      </c>
      <c r="B1915" s="13" t="s">
        <v>2150</v>
      </c>
      <c r="C1915" s="13" t="n">
        <v>134</v>
      </c>
      <c r="D1915" s="13" t="s">
        <v>7648</v>
      </c>
      <c r="E1915" s="13" t="s">
        <v>7654</v>
      </c>
      <c r="F1915" s="13" t="s">
        <v>7651</v>
      </c>
      <c r="G1915" s="13" t="s">
        <v>7655</v>
      </c>
      <c r="H1915" s="13" t="s">
        <v>7656</v>
      </c>
      <c r="I1915" s="13" t="s">
        <v>82</v>
      </c>
      <c r="J1915" s="13" t="s">
        <v>5716</v>
      </c>
      <c r="K1915" s="13"/>
      <c r="L1915" s="13" t="s">
        <v>7652</v>
      </c>
      <c r="M1915" s="13" t="s">
        <v>7653</v>
      </c>
    </row>
    <row r="1916" customFormat="false" ht="113.4" hidden="false" customHeight="false" outlineLevel="0" collapsed="false">
      <c r="A1916" s="13" t="s">
        <v>4</v>
      </c>
      <c r="B1916" s="13" t="s">
        <v>2150</v>
      </c>
      <c r="C1916" s="13" t="n">
        <v>134</v>
      </c>
      <c r="D1916" s="13" t="s">
        <v>7657</v>
      </c>
      <c r="E1916" s="13" t="s">
        <v>7658</v>
      </c>
      <c r="F1916" s="13" t="s">
        <v>1321</v>
      </c>
      <c r="G1916" s="13" t="s">
        <v>7659</v>
      </c>
      <c r="H1916" s="13" t="s">
        <v>7660</v>
      </c>
      <c r="I1916" s="13" t="s">
        <v>82</v>
      </c>
      <c r="J1916" s="13" t="s">
        <v>5716</v>
      </c>
      <c r="K1916" s="13"/>
      <c r="L1916" s="13" t="s">
        <v>7661</v>
      </c>
      <c r="M1916" s="13" t="s">
        <v>7662</v>
      </c>
    </row>
    <row r="1917" customFormat="false" ht="113.4" hidden="false" customHeight="false" outlineLevel="0" collapsed="false">
      <c r="A1917" s="13" t="s">
        <v>4</v>
      </c>
      <c r="B1917" s="13" t="s">
        <v>2150</v>
      </c>
      <c r="C1917" s="13" t="n">
        <v>134</v>
      </c>
      <c r="D1917" s="13" t="s">
        <v>7657</v>
      </c>
      <c r="E1917" s="13" t="s">
        <v>7663</v>
      </c>
      <c r="F1917" s="13" t="s">
        <v>7660</v>
      </c>
      <c r="G1917" s="13" t="s">
        <v>7664</v>
      </c>
      <c r="H1917" s="13" t="s">
        <v>7665</v>
      </c>
      <c r="I1917" s="13" t="s">
        <v>82</v>
      </c>
      <c r="J1917" s="13" t="s">
        <v>5716</v>
      </c>
      <c r="K1917" s="13"/>
      <c r="L1917" s="13" t="s">
        <v>7661</v>
      </c>
      <c r="M1917" s="13" t="s">
        <v>7662</v>
      </c>
    </row>
    <row r="1918" customFormat="false" ht="113.4" hidden="false" customHeight="false" outlineLevel="0" collapsed="false">
      <c r="A1918" s="13" t="s">
        <v>4</v>
      </c>
      <c r="B1918" s="13" t="s">
        <v>2150</v>
      </c>
      <c r="C1918" s="13" t="n">
        <v>134</v>
      </c>
      <c r="D1918" s="13" t="s">
        <v>7657</v>
      </c>
      <c r="E1918" s="13" t="s">
        <v>7666</v>
      </c>
      <c r="F1918" s="13" t="s">
        <v>7660</v>
      </c>
      <c r="G1918" s="13" t="s">
        <v>7667</v>
      </c>
      <c r="H1918" s="13" t="s">
        <v>1321</v>
      </c>
      <c r="I1918" s="13" t="s">
        <v>82</v>
      </c>
      <c r="J1918" s="13" t="s">
        <v>5716</v>
      </c>
      <c r="K1918" s="13"/>
      <c r="L1918" s="13" t="s">
        <v>7661</v>
      </c>
      <c r="M1918" s="13" t="s">
        <v>7662</v>
      </c>
    </row>
    <row r="1919" customFormat="false" ht="46.25" hidden="false" customHeight="false" outlineLevel="0" collapsed="false">
      <c r="A1919" s="13" t="s">
        <v>4</v>
      </c>
      <c r="B1919" s="13" t="s">
        <v>2150</v>
      </c>
      <c r="C1919" s="13" t="n">
        <v>134</v>
      </c>
      <c r="D1919" s="13" t="s">
        <v>7668</v>
      </c>
      <c r="E1919" s="13" t="s">
        <v>7669</v>
      </c>
      <c r="F1919" s="13" t="s">
        <v>7670</v>
      </c>
      <c r="G1919" s="13" t="s">
        <v>7671</v>
      </c>
      <c r="H1919" s="13" t="s">
        <v>7672</v>
      </c>
      <c r="I1919" s="13" t="s">
        <v>82</v>
      </c>
      <c r="J1919" s="13" t="s">
        <v>5716</v>
      </c>
      <c r="K1919" s="13"/>
      <c r="L1919" s="13" t="s">
        <v>7673</v>
      </c>
      <c r="M1919" s="13" t="s">
        <v>7674</v>
      </c>
    </row>
    <row r="1920" customFormat="false" ht="46.25" hidden="false" customHeight="false" outlineLevel="0" collapsed="false">
      <c r="A1920" s="13" t="s">
        <v>4</v>
      </c>
      <c r="B1920" s="13" t="s">
        <v>2150</v>
      </c>
      <c r="C1920" s="13" t="n">
        <v>134</v>
      </c>
      <c r="D1920" s="13" t="s">
        <v>7668</v>
      </c>
      <c r="E1920" s="13" t="s">
        <v>7675</v>
      </c>
      <c r="F1920" s="13" t="s">
        <v>7670</v>
      </c>
      <c r="G1920" s="13" t="s">
        <v>5922</v>
      </c>
      <c r="H1920" s="13" t="s">
        <v>4283</v>
      </c>
      <c r="I1920" s="13" t="s">
        <v>82</v>
      </c>
      <c r="J1920" s="13" t="s">
        <v>5716</v>
      </c>
      <c r="K1920" s="13"/>
      <c r="L1920" s="13" t="s">
        <v>7673</v>
      </c>
      <c r="M1920" s="13" t="s">
        <v>7674</v>
      </c>
    </row>
    <row r="1921" customFormat="false" ht="35.05" hidden="false" customHeight="false" outlineLevel="0" collapsed="false">
      <c r="A1921" s="13" t="s">
        <v>4</v>
      </c>
      <c r="B1921" s="13" t="s">
        <v>2150</v>
      </c>
      <c r="C1921" s="13" t="n">
        <v>134</v>
      </c>
      <c r="D1921" s="13" t="s">
        <v>7676</v>
      </c>
      <c r="E1921" s="13" t="s">
        <v>7677</v>
      </c>
      <c r="F1921" s="13" t="s">
        <v>1321</v>
      </c>
      <c r="G1921" s="13" t="s">
        <v>7678</v>
      </c>
      <c r="H1921" s="13" t="s">
        <v>7679</v>
      </c>
      <c r="I1921" s="13" t="s">
        <v>82</v>
      </c>
      <c r="J1921" s="13" t="s">
        <v>5716</v>
      </c>
      <c r="K1921" s="13"/>
      <c r="L1921" s="13" t="s">
        <v>7680</v>
      </c>
      <c r="M1921" s="13" t="s">
        <v>7681</v>
      </c>
    </row>
    <row r="1922" customFormat="false" ht="35.05" hidden="false" customHeight="false" outlineLevel="0" collapsed="false">
      <c r="A1922" s="13" t="s">
        <v>4</v>
      </c>
      <c r="B1922" s="13" t="s">
        <v>2150</v>
      </c>
      <c r="C1922" s="13" t="n">
        <v>134</v>
      </c>
      <c r="D1922" s="13" t="s">
        <v>7676</v>
      </c>
      <c r="E1922" s="13" t="s">
        <v>7682</v>
      </c>
      <c r="F1922" s="13" t="s">
        <v>7683</v>
      </c>
      <c r="G1922" s="13" t="s">
        <v>1978</v>
      </c>
      <c r="H1922" s="13" t="s">
        <v>7684</v>
      </c>
      <c r="I1922" s="13" t="s">
        <v>82</v>
      </c>
      <c r="J1922" s="13" t="s">
        <v>5716</v>
      </c>
      <c r="K1922" s="13"/>
      <c r="L1922" s="13" t="s">
        <v>7680</v>
      </c>
      <c r="M1922" s="13" t="s">
        <v>7681</v>
      </c>
    </row>
    <row r="1923" customFormat="false" ht="79.85" hidden="false" customHeight="false" outlineLevel="0" collapsed="false">
      <c r="A1923" s="13" t="s">
        <v>4</v>
      </c>
      <c r="B1923" s="13" t="s">
        <v>2150</v>
      </c>
      <c r="C1923" s="13" t="n">
        <v>134</v>
      </c>
      <c r="D1923" s="13" t="s">
        <v>7685</v>
      </c>
      <c r="E1923" s="13" t="s">
        <v>7686</v>
      </c>
      <c r="F1923" s="13" t="s">
        <v>1321</v>
      </c>
      <c r="G1923" s="13" t="s">
        <v>7687</v>
      </c>
      <c r="H1923" s="13" t="s">
        <v>7688</v>
      </c>
      <c r="I1923" s="13" t="s">
        <v>114</v>
      </c>
      <c r="J1923" s="13" t="s">
        <v>7689</v>
      </c>
      <c r="K1923" s="13" t="s">
        <v>7690</v>
      </c>
      <c r="L1923" s="13" t="s">
        <v>7691</v>
      </c>
      <c r="M1923" s="13" t="s">
        <v>7692</v>
      </c>
    </row>
    <row r="1924" customFormat="false" ht="79.85" hidden="false" customHeight="false" outlineLevel="0" collapsed="false">
      <c r="A1924" s="13" t="s">
        <v>4</v>
      </c>
      <c r="B1924" s="13" t="s">
        <v>2150</v>
      </c>
      <c r="C1924" s="13" t="n">
        <v>134</v>
      </c>
      <c r="D1924" s="13" t="s">
        <v>7685</v>
      </c>
      <c r="E1924" s="13" t="s">
        <v>7693</v>
      </c>
      <c r="F1924" s="13" t="s">
        <v>7694</v>
      </c>
      <c r="G1924" s="13" t="s">
        <v>6006</v>
      </c>
      <c r="H1924" s="13" t="s">
        <v>1321</v>
      </c>
      <c r="I1924" s="13" t="s">
        <v>82</v>
      </c>
      <c r="J1924" s="13" t="s">
        <v>5716</v>
      </c>
      <c r="K1924" s="13"/>
      <c r="L1924" s="13" t="s">
        <v>7691</v>
      </c>
      <c r="M1924" s="13" t="s">
        <v>7692</v>
      </c>
    </row>
    <row r="1925" customFormat="false" ht="79.85" hidden="false" customHeight="false" outlineLevel="0" collapsed="false">
      <c r="A1925" s="13" t="s">
        <v>4</v>
      </c>
      <c r="B1925" s="13" t="s">
        <v>2150</v>
      </c>
      <c r="C1925" s="13" t="n">
        <v>134</v>
      </c>
      <c r="D1925" s="13" t="s">
        <v>7685</v>
      </c>
      <c r="E1925" s="13" t="s">
        <v>7695</v>
      </c>
      <c r="F1925" s="13" t="s">
        <v>7694</v>
      </c>
      <c r="G1925" s="13" t="s">
        <v>7696</v>
      </c>
      <c r="H1925" s="13" t="s">
        <v>7688</v>
      </c>
      <c r="I1925" s="13" t="s">
        <v>82</v>
      </c>
      <c r="J1925" s="13" t="s">
        <v>5716</v>
      </c>
      <c r="K1925" s="13"/>
      <c r="L1925" s="13" t="s">
        <v>7691</v>
      </c>
      <c r="M1925" s="13" t="s">
        <v>7692</v>
      </c>
    </row>
    <row r="1926" customFormat="false" ht="23.85" hidden="false" customHeight="false" outlineLevel="0" collapsed="false">
      <c r="A1926" s="13" t="s">
        <v>4</v>
      </c>
      <c r="B1926" s="13" t="s">
        <v>2150</v>
      </c>
      <c r="C1926" s="13" t="n">
        <v>134</v>
      </c>
      <c r="D1926" s="13" t="s">
        <v>7697</v>
      </c>
      <c r="E1926" s="13" t="s">
        <v>7698</v>
      </c>
      <c r="F1926" s="13" t="s">
        <v>7699</v>
      </c>
      <c r="G1926" s="13" t="s">
        <v>7700</v>
      </c>
      <c r="H1926" s="13" t="s">
        <v>7701</v>
      </c>
      <c r="I1926" s="13" t="s">
        <v>82</v>
      </c>
      <c r="J1926" s="13" t="s">
        <v>5716</v>
      </c>
      <c r="K1926" s="13"/>
      <c r="L1926" s="13" t="s">
        <v>7702</v>
      </c>
      <c r="M1926" s="13" t="s">
        <v>7703</v>
      </c>
    </row>
    <row r="1927" customFormat="false" ht="23.85" hidden="false" customHeight="false" outlineLevel="0" collapsed="false">
      <c r="A1927" s="13" t="s">
        <v>4</v>
      </c>
      <c r="B1927" s="13" t="s">
        <v>2150</v>
      </c>
      <c r="C1927" s="13" t="n">
        <v>134</v>
      </c>
      <c r="D1927" s="13" t="s">
        <v>7697</v>
      </c>
      <c r="E1927" s="13" t="s">
        <v>7704</v>
      </c>
      <c r="F1927" s="13" t="s">
        <v>7699</v>
      </c>
      <c r="G1927" s="13" t="s">
        <v>7705</v>
      </c>
      <c r="H1927" s="13" t="s">
        <v>7706</v>
      </c>
      <c r="I1927" s="13" t="s">
        <v>82</v>
      </c>
      <c r="J1927" s="13" t="s">
        <v>5716</v>
      </c>
      <c r="K1927" s="13"/>
      <c r="L1927" s="13" t="s">
        <v>7702</v>
      </c>
      <c r="M1927" s="13" t="s">
        <v>7703</v>
      </c>
    </row>
    <row r="1928" customFormat="false" ht="35.05" hidden="false" customHeight="false" outlineLevel="0" collapsed="false">
      <c r="A1928" s="13" t="s">
        <v>4</v>
      </c>
      <c r="B1928" s="13" t="s">
        <v>2150</v>
      </c>
      <c r="C1928" s="13" t="n">
        <v>134</v>
      </c>
      <c r="D1928" s="13" t="s">
        <v>7707</v>
      </c>
      <c r="E1928" s="13" t="s">
        <v>7708</v>
      </c>
      <c r="F1928" s="13" t="s">
        <v>7699</v>
      </c>
      <c r="G1928" s="13" t="s">
        <v>7700</v>
      </c>
      <c r="H1928" s="13" t="s">
        <v>7709</v>
      </c>
      <c r="I1928" s="13" t="s">
        <v>82</v>
      </c>
      <c r="J1928" s="13" t="s">
        <v>5716</v>
      </c>
      <c r="K1928" s="13"/>
      <c r="L1928" s="13" t="s">
        <v>7710</v>
      </c>
      <c r="M1928" s="13" t="s">
        <v>7711</v>
      </c>
    </row>
    <row r="1929" customFormat="false" ht="35.05" hidden="false" customHeight="false" outlineLevel="0" collapsed="false">
      <c r="A1929" s="13" t="s">
        <v>4</v>
      </c>
      <c r="B1929" s="13" t="s">
        <v>2150</v>
      </c>
      <c r="C1929" s="13" t="n">
        <v>134</v>
      </c>
      <c r="D1929" s="13" t="s">
        <v>7707</v>
      </c>
      <c r="E1929" s="13" t="s">
        <v>7712</v>
      </c>
      <c r="F1929" s="13" t="s">
        <v>7699</v>
      </c>
      <c r="G1929" s="13" t="s">
        <v>7705</v>
      </c>
      <c r="H1929" s="13" t="s">
        <v>7713</v>
      </c>
      <c r="I1929" s="13" t="s">
        <v>82</v>
      </c>
      <c r="J1929" s="13" t="s">
        <v>5716</v>
      </c>
      <c r="K1929" s="13"/>
      <c r="L1929" s="13" t="s">
        <v>7710</v>
      </c>
      <c r="M1929" s="13" t="s">
        <v>7711</v>
      </c>
    </row>
    <row r="1930" customFormat="false" ht="23.85" hidden="false" customHeight="false" outlineLevel="0" collapsed="false">
      <c r="A1930" s="13" t="s">
        <v>4</v>
      </c>
      <c r="B1930" s="13" t="s">
        <v>2150</v>
      </c>
      <c r="C1930" s="13" t="n">
        <v>134</v>
      </c>
      <c r="D1930" s="13" t="s">
        <v>7714</v>
      </c>
      <c r="E1930" s="13" t="s">
        <v>7715</v>
      </c>
      <c r="F1930" s="13" t="s">
        <v>7699</v>
      </c>
      <c r="G1930" s="13" t="s">
        <v>7700</v>
      </c>
      <c r="H1930" s="13" t="s">
        <v>7716</v>
      </c>
      <c r="I1930" s="13" t="s">
        <v>82</v>
      </c>
      <c r="J1930" s="13" t="s">
        <v>5716</v>
      </c>
      <c r="K1930" s="13"/>
      <c r="L1930" s="13" t="s">
        <v>7717</v>
      </c>
      <c r="M1930" s="13" t="s">
        <v>7718</v>
      </c>
    </row>
    <row r="1931" customFormat="false" ht="23.85" hidden="false" customHeight="false" outlineLevel="0" collapsed="false">
      <c r="A1931" s="13" t="s">
        <v>4</v>
      </c>
      <c r="B1931" s="13" t="s">
        <v>2150</v>
      </c>
      <c r="C1931" s="13" t="n">
        <v>134</v>
      </c>
      <c r="D1931" s="13" t="s">
        <v>7714</v>
      </c>
      <c r="E1931" s="13" t="s">
        <v>7719</v>
      </c>
      <c r="F1931" s="13" t="s">
        <v>7699</v>
      </c>
      <c r="G1931" s="13" t="s">
        <v>7705</v>
      </c>
      <c r="H1931" s="13" t="s">
        <v>7720</v>
      </c>
      <c r="I1931" s="13" t="s">
        <v>82</v>
      </c>
      <c r="J1931" s="13" t="s">
        <v>5716</v>
      </c>
      <c r="K1931" s="13"/>
      <c r="L1931" s="13" t="s">
        <v>7717</v>
      </c>
      <c r="M1931" s="13" t="s">
        <v>7718</v>
      </c>
    </row>
    <row r="1932" customFormat="false" ht="35.05" hidden="false" customHeight="false" outlineLevel="0" collapsed="false">
      <c r="A1932" s="13" t="s">
        <v>4</v>
      </c>
      <c r="B1932" s="13" t="s">
        <v>2150</v>
      </c>
      <c r="C1932" s="13" t="n">
        <v>147</v>
      </c>
      <c r="D1932" s="13" t="s">
        <v>7721</v>
      </c>
      <c r="E1932" s="13" t="s">
        <v>7722</v>
      </c>
      <c r="F1932" s="13" t="s">
        <v>7723</v>
      </c>
      <c r="G1932" s="13" t="s">
        <v>1685</v>
      </c>
      <c r="H1932" s="13" t="s">
        <v>7724</v>
      </c>
      <c r="I1932" s="13" t="s">
        <v>82</v>
      </c>
      <c r="J1932" s="13" t="s">
        <v>5716</v>
      </c>
      <c r="K1932" s="13"/>
      <c r="L1932" s="13" t="s">
        <v>7725</v>
      </c>
      <c r="M1932" s="13" t="s">
        <v>7726</v>
      </c>
    </row>
    <row r="1933" customFormat="false" ht="35.05" hidden="false" customHeight="false" outlineLevel="0" collapsed="false">
      <c r="A1933" s="13" t="s">
        <v>4</v>
      </c>
      <c r="B1933" s="13" t="s">
        <v>2150</v>
      </c>
      <c r="C1933" s="13" t="n">
        <v>147</v>
      </c>
      <c r="D1933" s="13" t="s">
        <v>7721</v>
      </c>
      <c r="E1933" s="13" t="s">
        <v>7727</v>
      </c>
      <c r="F1933" s="13" t="s">
        <v>7723</v>
      </c>
      <c r="G1933" s="13" t="s">
        <v>1150</v>
      </c>
      <c r="H1933" s="13" t="s">
        <v>7728</v>
      </c>
      <c r="I1933" s="13" t="s">
        <v>82</v>
      </c>
      <c r="J1933" s="13" t="s">
        <v>5716</v>
      </c>
      <c r="K1933" s="13"/>
      <c r="L1933" s="13" t="s">
        <v>7725</v>
      </c>
      <c r="M1933" s="13" t="s">
        <v>7726</v>
      </c>
    </row>
    <row r="1934" customFormat="false" ht="35.05" hidden="false" customHeight="false" outlineLevel="0" collapsed="false">
      <c r="A1934" s="13" t="s">
        <v>4</v>
      </c>
      <c r="B1934" s="13" t="s">
        <v>2150</v>
      </c>
      <c r="C1934" s="13" t="n">
        <v>147</v>
      </c>
      <c r="D1934" s="13" t="s">
        <v>7721</v>
      </c>
      <c r="E1934" s="13" t="s">
        <v>7729</v>
      </c>
      <c r="F1934" s="13" t="s">
        <v>7723</v>
      </c>
      <c r="G1934" s="13" t="s">
        <v>7730</v>
      </c>
      <c r="H1934" s="13" t="s">
        <v>7731</v>
      </c>
      <c r="I1934" s="13" t="s">
        <v>82</v>
      </c>
      <c r="J1934" s="13" t="s">
        <v>5716</v>
      </c>
      <c r="K1934" s="13"/>
      <c r="L1934" s="13" t="s">
        <v>7725</v>
      </c>
      <c r="M1934" s="13" t="s">
        <v>7726</v>
      </c>
    </row>
    <row r="1935" customFormat="false" ht="57.45" hidden="false" customHeight="false" outlineLevel="0" collapsed="false">
      <c r="A1935" s="13" t="s">
        <v>4</v>
      </c>
      <c r="B1935" s="13" t="s">
        <v>2150</v>
      </c>
      <c r="C1935" s="13" t="n">
        <v>147</v>
      </c>
      <c r="D1935" s="13" t="s">
        <v>7732</v>
      </c>
      <c r="E1935" s="13" t="s">
        <v>7733</v>
      </c>
      <c r="F1935" s="13" t="s">
        <v>7734</v>
      </c>
      <c r="G1935" s="13" t="s">
        <v>1492</v>
      </c>
      <c r="H1935" s="13" t="s">
        <v>7728</v>
      </c>
      <c r="I1935" s="13" t="s">
        <v>82</v>
      </c>
      <c r="J1935" s="13" t="s">
        <v>5716</v>
      </c>
      <c r="K1935" s="13"/>
      <c r="L1935" s="13" t="s">
        <v>7735</v>
      </c>
      <c r="M1935" s="13" t="s">
        <v>7736</v>
      </c>
    </row>
    <row r="1936" customFormat="false" ht="57.45" hidden="false" customHeight="false" outlineLevel="0" collapsed="false">
      <c r="A1936" s="13" t="s">
        <v>4</v>
      </c>
      <c r="B1936" s="13" t="s">
        <v>2150</v>
      </c>
      <c r="C1936" s="13" t="n">
        <v>147</v>
      </c>
      <c r="D1936" s="13" t="s">
        <v>7732</v>
      </c>
      <c r="E1936" s="13" t="s">
        <v>7737</v>
      </c>
      <c r="F1936" s="13" t="s">
        <v>7734</v>
      </c>
      <c r="G1936" s="13" t="s">
        <v>7738</v>
      </c>
      <c r="H1936" s="13" t="s">
        <v>7739</v>
      </c>
      <c r="I1936" s="13" t="s">
        <v>82</v>
      </c>
      <c r="J1936" s="13" t="s">
        <v>5716</v>
      </c>
      <c r="K1936" s="13"/>
      <c r="L1936" s="13" t="s">
        <v>7735</v>
      </c>
      <c r="M1936" s="13" t="s">
        <v>7736</v>
      </c>
    </row>
    <row r="1937" customFormat="false" ht="57.45" hidden="false" customHeight="false" outlineLevel="0" collapsed="false">
      <c r="A1937" s="13" t="s">
        <v>4</v>
      </c>
      <c r="B1937" s="13" t="s">
        <v>2150</v>
      </c>
      <c r="C1937" s="13" t="n">
        <v>147</v>
      </c>
      <c r="D1937" s="13" t="s">
        <v>7732</v>
      </c>
      <c r="E1937" s="13" t="s">
        <v>7740</v>
      </c>
      <c r="F1937" s="13" t="s">
        <v>7734</v>
      </c>
      <c r="G1937" s="13" t="s">
        <v>1486</v>
      </c>
      <c r="H1937" s="13" t="s">
        <v>3503</v>
      </c>
      <c r="I1937" s="13" t="s">
        <v>82</v>
      </c>
      <c r="J1937" s="13" t="s">
        <v>5716</v>
      </c>
      <c r="K1937" s="13"/>
      <c r="L1937" s="13" t="s">
        <v>7735</v>
      </c>
      <c r="M1937" s="13" t="s">
        <v>7736</v>
      </c>
    </row>
    <row r="1938" customFormat="false" ht="68.65" hidden="false" customHeight="false" outlineLevel="0" collapsed="false">
      <c r="A1938" s="13" t="s">
        <v>4</v>
      </c>
      <c r="B1938" s="13" t="s">
        <v>2150</v>
      </c>
      <c r="C1938" s="13" t="n">
        <v>147</v>
      </c>
      <c r="D1938" s="13" t="s">
        <v>7741</v>
      </c>
      <c r="E1938" s="13" t="s">
        <v>7742</v>
      </c>
      <c r="F1938" s="13" t="s">
        <v>7743</v>
      </c>
      <c r="G1938" s="13" t="s">
        <v>7744</v>
      </c>
      <c r="H1938" s="13" t="s">
        <v>7745</v>
      </c>
      <c r="I1938" s="13" t="s">
        <v>82</v>
      </c>
      <c r="J1938" s="13" t="s">
        <v>5716</v>
      </c>
      <c r="K1938" s="13"/>
      <c r="L1938" s="13" t="s">
        <v>7746</v>
      </c>
      <c r="M1938" s="13" t="s">
        <v>7747</v>
      </c>
    </row>
    <row r="1939" customFormat="false" ht="68.65" hidden="false" customHeight="false" outlineLevel="0" collapsed="false">
      <c r="A1939" s="13" t="s">
        <v>4</v>
      </c>
      <c r="B1939" s="13" t="s">
        <v>2150</v>
      </c>
      <c r="C1939" s="13" t="n">
        <v>147</v>
      </c>
      <c r="D1939" s="13" t="s">
        <v>7741</v>
      </c>
      <c r="E1939" s="13" t="s">
        <v>7748</v>
      </c>
      <c r="F1939" s="13" t="s">
        <v>7743</v>
      </c>
      <c r="G1939" s="13" t="s">
        <v>7749</v>
      </c>
      <c r="H1939" s="13" t="s">
        <v>7750</v>
      </c>
      <c r="I1939" s="13" t="s">
        <v>82</v>
      </c>
      <c r="J1939" s="13" t="s">
        <v>5716</v>
      </c>
      <c r="K1939" s="13"/>
      <c r="L1939" s="13" t="s">
        <v>7746</v>
      </c>
      <c r="M1939" s="13" t="s">
        <v>7747</v>
      </c>
    </row>
    <row r="1940" customFormat="false" ht="68.65" hidden="false" customHeight="false" outlineLevel="0" collapsed="false">
      <c r="A1940" s="13" t="s">
        <v>4</v>
      </c>
      <c r="B1940" s="13" t="s">
        <v>2150</v>
      </c>
      <c r="C1940" s="13" t="n">
        <v>147</v>
      </c>
      <c r="D1940" s="13" t="s">
        <v>7741</v>
      </c>
      <c r="E1940" s="13" t="s">
        <v>7751</v>
      </c>
      <c r="F1940" s="13" t="s">
        <v>7743</v>
      </c>
      <c r="G1940" s="13" t="s">
        <v>7752</v>
      </c>
      <c r="H1940" s="13" t="s">
        <v>7753</v>
      </c>
      <c r="I1940" s="13" t="s">
        <v>82</v>
      </c>
      <c r="J1940" s="13" t="s">
        <v>5716</v>
      </c>
      <c r="K1940" s="13"/>
      <c r="L1940" s="13" t="s">
        <v>7746</v>
      </c>
      <c r="M1940" s="13" t="s">
        <v>7747</v>
      </c>
    </row>
    <row r="1941" customFormat="false" ht="68.65" hidden="false" customHeight="false" outlineLevel="0" collapsed="false">
      <c r="A1941" s="13" t="s">
        <v>4</v>
      </c>
      <c r="B1941" s="13" t="s">
        <v>2150</v>
      </c>
      <c r="C1941" s="13" t="n">
        <v>147</v>
      </c>
      <c r="D1941" s="13" t="s">
        <v>7741</v>
      </c>
      <c r="E1941" s="13" t="s">
        <v>7754</v>
      </c>
      <c r="F1941" s="13" t="s">
        <v>7753</v>
      </c>
      <c r="G1941" s="13" t="s">
        <v>7755</v>
      </c>
      <c r="H1941" s="13" t="s">
        <v>7745</v>
      </c>
      <c r="I1941" s="13" t="s">
        <v>82</v>
      </c>
      <c r="J1941" s="13" t="s">
        <v>5716</v>
      </c>
      <c r="K1941" s="13"/>
      <c r="L1941" s="13" t="s">
        <v>7746</v>
      </c>
      <c r="M1941" s="13" t="s">
        <v>7747</v>
      </c>
    </row>
    <row r="1942" customFormat="false" ht="68.65" hidden="false" customHeight="false" outlineLevel="0" collapsed="false">
      <c r="A1942" s="13" t="s">
        <v>4</v>
      </c>
      <c r="B1942" s="13" t="s">
        <v>2150</v>
      </c>
      <c r="C1942" s="13" t="n">
        <v>147</v>
      </c>
      <c r="D1942" s="13" t="s">
        <v>7741</v>
      </c>
      <c r="E1942" s="13" t="s">
        <v>7756</v>
      </c>
      <c r="F1942" s="13" t="s">
        <v>7743</v>
      </c>
      <c r="G1942" s="13" t="s">
        <v>7757</v>
      </c>
      <c r="H1942" s="13" t="s">
        <v>7745</v>
      </c>
      <c r="I1942" s="13" t="s">
        <v>82</v>
      </c>
      <c r="J1942" s="13" t="s">
        <v>5716</v>
      </c>
      <c r="K1942" s="13"/>
      <c r="L1942" s="13" t="s">
        <v>7746</v>
      </c>
      <c r="M1942" s="13" t="s">
        <v>7747</v>
      </c>
    </row>
    <row r="1943" customFormat="false" ht="23.85" hidden="false" customHeight="false" outlineLevel="0" collapsed="false">
      <c r="A1943" s="13" t="s">
        <v>4</v>
      </c>
      <c r="B1943" s="13" t="s">
        <v>2150</v>
      </c>
      <c r="C1943" s="13" t="n">
        <v>147</v>
      </c>
      <c r="D1943" s="13" t="s">
        <v>7758</v>
      </c>
      <c r="E1943" s="13" t="s">
        <v>7759</v>
      </c>
      <c r="F1943" s="13" t="s">
        <v>7760</v>
      </c>
      <c r="G1943" s="13" t="s">
        <v>4973</v>
      </c>
      <c r="H1943" s="13" t="s">
        <v>7761</v>
      </c>
      <c r="I1943" s="13" t="s">
        <v>82</v>
      </c>
      <c r="J1943" s="13" t="s">
        <v>5716</v>
      </c>
      <c r="K1943" s="13"/>
      <c r="L1943" s="13" t="s">
        <v>7762</v>
      </c>
      <c r="M1943" s="13" t="s">
        <v>7763</v>
      </c>
    </row>
    <row r="1944" customFormat="false" ht="23.85" hidden="false" customHeight="false" outlineLevel="0" collapsed="false">
      <c r="A1944" s="13" t="s">
        <v>4</v>
      </c>
      <c r="B1944" s="13" t="s">
        <v>2150</v>
      </c>
      <c r="C1944" s="13" t="n">
        <v>147</v>
      </c>
      <c r="D1944" s="13" t="s">
        <v>7758</v>
      </c>
      <c r="E1944" s="13" t="s">
        <v>7764</v>
      </c>
      <c r="F1944" s="13" t="s">
        <v>7760</v>
      </c>
      <c r="G1944" s="13" t="s">
        <v>7765</v>
      </c>
      <c r="H1944" s="13" t="s">
        <v>7766</v>
      </c>
      <c r="I1944" s="13" t="s">
        <v>82</v>
      </c>
      <c r="J1944" s="13" t="s">
        <v>5716</v>
      </c>
      <c r="K1944" s="13"/>
      <c r="L1944" s="13" t="s">
        <v>7762</v>
      </c>
      <c r="M1944" s="13" t="s">
        <v>7763</v>
      </c>
    </row>
    <row r="1945" customFormat="false" ht="68.65" hidden="false" customHeight="false" outlineLevel="0" collapsed="false">
      <c r="A1945" s="13" t="s">
        <v>4</v>
      </c>
      <c r="B1945" s="13" t="s">
        <v>2150</v>
      </c>
      <c r="C1945" s="13" t="n">
        <v>147</v>
      </c>
      <c r="D1945" s="13" t="s">
        <v>7767</v>
      </c>
      <c r="E1945" s="13" t="s">
        <v>7768</v>
      </c>
      <c r="F1945" s="13" t="s">
        <v>7745</v>
      </c>
      <c r="G1945" s="13" t="s">
        <v>7769</v>
      </c>
      <c r="H1945" s="13" t="s">
        <v>7770</v>
      </c>
      <c r="I1945" s="13" t="s">
        <v>82</v>
      </c>
      <c r="J1945" s="13" t="s">
        <v>5716</v>
      </c>
      <c r="K1945" s="13"/>
      <c r="L1945" s="13" t="s">
        <v>7771</v>
      </c>
      <c r="M1945" s="13" t="s">
        <v>7772</v>
      </c>
    </row>
    <row r="1946" customFormat="false" ht="68.65" hidden="false" customHeight="false" outlineLevel="0" collapsed="false">
      <c r="A1946" s="13" t="s">
        <v>4</v>
      </c>
      <c r="B1946" s="13" t="s">
        <v>2150</v>
      </c>
      <c r="C1946" s="13" t="n">
        <v>147</v>
      </c>
      <c r="D1946" s="13" t="s">
        <v>7767</v>
      </c>
      <c r="E1946" s="13" t="s">
        <v>7773</v>
      </c>
      <c r="F1946" s="13" t="s">
        <v>7745</v>
      </c>
      <c r="G1946" s="13" t="s">
        <v>7769</v>
      </c>
      <c r="H1946" s="13" t="s">
        <v>7774</v>
      </c>
      <c r="I1946" s="13" t="s">
        <v>82</v>
      </c>
      <c r="J1946" s="13" t="s">
        <v>5716</v>
      </c>
      <c r="K1946" s="13"/>
      <c r="L1946" s="13" t="s">
        <v>7771</v>
      </c>
      <c r="M1946" s="13" t="s">
        <v>7772</v>
      </c>
    </row>
    <row r="1947" customFormat="false" ht="68.65" hidden="false" customHeight="false" outlineLevel="0" collapsed="false">
      <c r="A1947" s="13" t="s">
        <v>4</v>
      </c>
      <c r="B1947" s="13" t="s">
        <v>2150</v>
      </c>
      <c r="C1947" s="13" t="n">
        <v>147</v>
      </c>
      <c r="D1947" s="13" t="s">
        <v>7767</v>
      </c>
      <c r="E1947" s="13" t="s">
        <v>7775</v>
      </c>
      <c r="F1947" s="13" t="s">
        <v>7745</v>
      </c>
      <c r="G1947" s="13" t="s">
        <v>7776</v>
      </c>
      <c r="H1947" s="13" t="s">
        <v>1601</v>
      </c>
      <c r="I1947" s="13" t="s">
        <v>82</v>
      </c>
      <c r="J1947" s="13" t="s">
        <v>5716</v>
      </c>
      <c r="K1947" s="13"/>
      <c r="L1947" s="13" t="s">
        <v>7771</v>
      </c>
      <c r="M1947" s="13" t="s">
        <v>7772</v>
      </c>
    </row>
    <row r="1948" customFormat="false" ht="68.65" hidden="false" customHeight="false" outlineLevel="0" collapsed="false">
      <c r="A1948" s="13" t="s">
        <v>4</v>
      </c>
      <c r="B1948" s="13" t="s">
        <v>2150</v>
      </c>
      <c r="C1948" s="13" t="n">
        <v>147</v>
      </c>
      <c r="D1948" s="13" t="s">
        <v>7767</v>
      </c>
      <c r="E1948" s="13" t="s">
        <v>7777</v>
      </c>
      <c r="F1948" s="13" t="s">
        <v>7745</v>
      </c>
      <c r="G1948" s="13" t="s">
        <v>2317</v>
      </c>
      <c r="H1948" s="13" t="s">
        <v>1601</v>
      </c>
      <c r="I1948" s="13" t="s">
        <v>82</v>
      </c>
      <c r="J1948" s="13" t="s">
        <v>5716</v>
      </c>
      <c r="K1948" s="13"/>
      <c r="L1948" s="13" t="s">
        <v>7771</v>
      </c>
      <c r="M1948" s="13" t="s">
        <v>7772</v>
      </c>
    </row>
    <row r="1949" customFormat="false" ht="258.95" hidden="false" customHeight="false" outlineLevel="0" collapsed="false">
      <c r="A1949" s="13" t="s">
        <v>4</v>
      </c>
      <c r="B1949" s="13" t="s">
        <v>2150</v>
      </c>
      <c r="C1949" s="13" t="n">
        <v>147</v>
      </c>
      <c r="D1949" s="13" t="s">
        <v>7778</v>
      </c>
      <c r="E1949" s="13" t="s">
        <v>7779</v>
      </c>
      <c r="F1949" s="13" t="s">
        <v>7745</v>
      </c>
      <c r="G1949" s="13" t="s">
        <v>7780</v>
      </c>
      <c r="H1949" s="13" t="s">
        <v>7781</v>
      </c>
      <c r="I1949" s="13" t="s">
        <v>82</v>
      </c>
      <c r="J1949" s="13" t="s">
        <v>5716</v>
      </c>
      <c r="K1949" s="13"/>
      <c r="L1949" s="13" t="s">
        <v>7782</v>
      </c>
      <c r="M1949" s="13" t="s">
        <v>7783</v>
      </c>
    </row>
    <row r="1950" customFormat="false" ht="258.95" hidden="false" customHeight="false" outlineLevel="0" collapsed="false">
      <c r="A1950" s="13" t="s">
        <v>4</v>
      </c>
      <c r="B1950" s="13" t="s">
        <v>2150</v>
      </c>
      <c r="C1950" s="13" t="n">
        <v>147</v>
      </c>
      <c r="D1950" s="13" t="s">
        <v>7778</v>
      </c>
      <c r="E1950" s="13" t="s">
        <v>7784</v>
      </c>
      <c r="F1950" s="13" t="s">
        <v>7745</v>
      </c>
      <c r="G1950" s="13" t="s">
        <v>7780</v>
      </c>
      <c r="H1950" s="13" t="s">
        <v>7785</v>
      </c>
      <c r="I1950" s="13" t="s">
        <v>82</v>
      </c>
      <c r="J1950" s="13" t="s">
        <v>5716</v>
      </c>
      <c r="K1950" s="13"/>
      <c r="L1950" s="13" t="s">
        <v>7782</v>
      </c>
      <c r="M1950" s="13" t="s">
        <v>7783</v>
      </c>
    </row>
    <row r="1951" customFormat="false" ht="258.95" hidden="false" customHeight="false" outlineLevel="0" collapsed="false">
      <c r="A1951" s="13" t="s">
        <v>4</v>
      </c>
      <c r="B1951" s="13" t="s">
        <v>2150</v>
      </c>
      <c r="C1951" s="13" t="n">
        <v>147</v>
      </c>
      <c r="D1951" s="13" t="s">
        <v>7778</v>
      </c>
      <c r="E1951" s="13" t="s">
        <v>7786</v>
      </c>
      <c r="F1951" s="13" t="s">
        <v>7745</v>
      </c>
      <c r="G1951" s="13" t="s">
        <v>7787</v>
      </c>
      <c r="H1951" s="13" t="s">
        <v>7785</v>
      </c>
      <c r="I1951" s="13" t="s">
        <v>82</v>
      </c>
      <c r="J1951" s="13" t="s">
        <v>5716</v>
      </c>
      <c r="K1951" s="13"/>
      <c r="L1951" s="13" t="s">
        <v>7782</v>
      </c>
      <c r="M1951" s="13" t="s">
        <v>7783</v>
      </c>
    </row>
    <row r="1952" customFormat="false" ht="258.95" hidden="false" customHeight="false" outlineLevel="0" collapsed="false">
      <c r="A1952" s="13" t="s">
        <v>4</v>
      </c>
      <c r="B1952" s="13" t="s">
        <v>2150</v>
      </c>
      <c r="C1952" s="13" t="n">
        <v>147</v>
      </c>
      <c r="D1952" s="13" t="s">
        <v>7778</v>
      </c>
      <c r="E1952" s="13" t="s">
        <v>7788</v>
      </c>
      <c r="F1952" s="13" t="s">
        <v>7789</v>
      </c>
      <c r="G1952" s="13" t="s">
        <v>7790</v>
      </c>
      <c r="H1952" s="13" t="s">
        <v>7745</v>
      </c>
      <c r="I1952" s="13" t="s">
        <v>82</v>
      </c>
      <c r="J1952" s="13" t="s">
        <v>5716</v>
      </c>
      <c r="K1952" s="13"/>
      <c r="L1952" s="13" t="s">
        <v>7782</v>
      </c>
      <c r="M1952" s="13" t="s">
        <v>7783</v>
      </c>
    </row>
    <row r="1953" customFormat="false" ht="258.95" hidden="false" customHeight="false" outlineLevel="0" collapsed="false">
      <c r="A1953" s="13" t="s">
        <v>4</v>
      </c>
      <c r="B1953" s="13" t="s">
        <v>2150</v>
      </c>
      <c r="C1953" s="13" t="n">
        <v>147</v>
      </c>
      <c r="D1953" s="13" t="s">
        <v>7778</v>
      </c>
      <c r="E1953" s="13" t="s">
        <v>7791</v>
      </c>
      <c r="F1953" s="13" t="s">
        <v>7789</v>
      </c>
      <c r="G1953" s="13" t="s">
        <v>7792</v>
      </c>
      <c r="H1953" s="13" t="s">
        <v>7745</v>
      </c>
      <c r="I1953" s="13" t="s">
        <v>82</v>
      </c>
      <c r="J1953" s="13" t="s">
        <v>5716</v>
      </c>
      <c r="K1953" s="13"/>
      <c r="L1953" s="13" t="s">
        <v>7782</v>
      </c>
      <c r="M1953" s="13" t="s">
        <v>7783</v>
      </c>
    </row>
    <row r="1954" customFormat="false" ht="258.95" hidden="false" customHeight="false" outlineLevel="0" collapsed="false">
      <c r="A1954" s="13" t="s">
        <v>4</v>
      </c>
      <c r="B1954" s="13" t="s">
        <v>2150</v>
      </c>
      <c r="C1954" s="13" t="n">
        <v>147</v>
      </c>
      <c r="D1954" s="13" t="s">
        <v>7778</v>
      </c>
      <c r="E1954" s="13" t="s">
        <v>7793</v>
      </c>
      <c r="F1954" s="13" t="s">
        <v>7745</v>
      </c>
      <c r="G1954" s="13" t="s">
        <v>7794</v>
      </c>
      <c r="H1954" s="13" t="s">
        <v>7789</v>
      </c>
      <c r="I1954" s="13" t="s">
        <v>82</v>
      </c>
      <c r="J1954" s="13" t="s">
        <v>5716</v>
      </c>
      <c r="K1954" s="13"/>
      <c r="L1954" s="13" t="s">
        <v>7782</v>
      </c>
      <c r="M1954" s="13" t="s">
        <v>7783</v>
      </c>
    </row>
    <row r="1955" customFormat="false" ht="23.85" hidden="false" customHeight="false" outlineLevel="0" collapsed="false">
      <c r="A1955" s="13" t="s">
        <v>4</v>
      </c>
      <c r="B1955" s="13" t="s">
        <v>2150</v>
      </c>
      <c r="C1955" s="13" t="n">
        <v>147</v>
      </c>
      <c r="D1955" s="13" t="s">
        <v>7795</v>
      </c>
      <c r="E1955" s="13" t="s">
        <v>7796</v>
      </c>
      <c r="F1955" s="13" t="s">
        <v>7745</v>
      </c>
      <c r="G1955" s="13" t="s">
        <v>7757</v>
      </c>
      <c r="H1955" s="13" t="s">
        <v>7797</v>
      </c>
      <c r="I1955" s="13" t="s">
        <v>82</v>
      </c>
      <c r="J1955" s="13" t="s">
        <v>5716</v>
      </c>
      <c r="K1955" s="13"/>
      <c r="L1955" s="13" t="s">
        <v>7798</v>
      </c>
      <c r="M1955" s="13" t="s">
        <v>7799</v>
      </c>
    </row>
    <row r="1956" customFormat="false" ht="23.85" hidden="false" customHeight="false" outlineLevel="0" collapsed="false">
      <c r="A1956" s="13" t="s">
        <v>4</v>
      </c>
      <c r="B1956" s="13" t="s">
        <v>2150</v>
      </c>
      <c r="C1956" s="13" t="n">
        <v>147</v>
      </c>
      <c r="D1956" s="13" t="s">
        <v>7800</v>
      </c>
      <c r="E1956" s="13" t="s">
        <v>7801</v>
      </c>
      <c r="F1956" s="13" t="s">
        <v>7802</v>
      </c>
      <c r="G1956" s="13" t="s">
        <v>4973</v>
      </c>
      <c r="H1956" s="13" t="s">
        <v>7761</v>
      </c>
      <c r="I1956" s="13" t="s">
        <v>82</v>
      </c>
      <c r="J1956" s="13" t="s">
        <v>5716</v>
      </c>
      <c r="K1956" s="13"/>
      <c r="L1956" s="13" t="s">
        <v>7803</v>
      </c>
      <c r="M1956" s="13" t="s">
        <v>7804</v>
      </c>
    </row>
    <row r="1957" customFormat="false" ht="23.85" hidden="false" customHeight="false" outlineLevel="0" collapsed="false">
      <c r="A1957" s="13" t="s">
        <v>4</v>
      </c>
      <c r="B1957" s="13" t="s">
        <v>2150</v>
      </c>
      <c r="C1957" s="13" t="n">
        <v>147</v>
      </c>
      <c r="D1957" s="13" t="s">
        <v>7800</v>
      </c>
      <c r="E1957" s="13" t="s">
        <v>7805</v>
      </c>
      <c r="F1957" s="13" t="s">
        <v>7802</v>
      </c>
      <c r="G1957" s="13" t="s">
        <v>7765</v>
      </c>
      <c r="H1957" s="13" t="s">
        <v>7766</v>
      </c>
      <c r="I1957" s="13" t="s">
        <v>82</v>
      </c>
      <c r="J1957" s="13" t="s">
        <v>5716</v>
      </c>
      <c r="K1957" s="13"/>
      <c r="L1957" s="13" t="s">
        <v>7803</v>
      </c>
      <c r="M1957" s="13" t="s">
        <v>7804</v>
      </c>
    </row>
    <row r="1958" customFormat="false" ht="23.85" hidden="false" customHeight="false" outlineLevel="0" collapsed="false">
      <c r="A1958" s="13" t="s">
        <v>4</v>
      </c>
      <c r="B1958" s="13" t="s">
        <v>2150</v>
      </c>
      <c r="C1958" s="13" t="n">
        <v>147</v>
      </c>
      <c r="D1958" s="13" t="s">
        <v>7806</v>
      </c>
      <c r="E1958" s="13" t="s">
        <v>7807</v>
      </c>
      <c r="F1958" s="13" t="s">
        <v>7745</v>
      </c>
      <c r="G1958" s="13" t="s">
        <v>7678</v>
      </c>
      <c r="H1958" s="13" t="s">
        <v>7808</v>
      </c>
      <c r="I1958" s="13" t="s">
        <v>82</v>
      </c>
      <c r="J1958" s="13" t="s">
        <v>5716</v>
      </c>
      <c r="K1958" s="13"/>
      <c r="L1958" s="13" t="s">
        <v>7809</v>
      </c>
      <c r="M1958" s="13" t="s">
        <v>7810</v>
      </c>
    </row>
    <row r="1959" customFormat="false" ht="23.85" hidden="false" customHeight="false" outlineLevel="0" collapsed="false">
      <c r="A1959" s="13" t="s">
        <v>4</v>
      </c>
      <c r="B1959" s="13" t="s">
        <v>2150</v>
      </c>
      <c r="C1959" s="13" t="n">
        <v>147</v>
      </c>
      <c r="D1959" s="13" t="s">
        <v>7806</v>
      </c>
      <c r="E1959" s="13" t="s">
        <v>7811</v>
      </c>
      <c r="F1959" s="13" t="s">
        <v>7745</v>
      </c>
      <c r="G1959" s="13" t="s">
        <v>7678</v>
      </c>
      <c r="H1959" s="13" t="s">
        <v>7812</v>
      </c>
      <c r="I1959" s="13" t="s">
        <v>82</v>
      </c>
      <c r="J1959" s="13" t="s">
        <v>5716</v>
      </c>
      <c r="K1959" s="13"/>
      <c r="L1959" s="13" t="s">
        <v>7809</v>
      </c>
      <c r="M1959" s="13" t="s">
        <v>7810</v>
      </c>
    </row>
    <row r="1960" customFormat="false" ht="281.3" hidden="false" customHeight="false" outlineLevel="0" collapsed="false">
      <c r="A1960" s="13" t="s">
        <v>4</v>
      </c>
      <c r="B1960" s="13" t="s">
        <v>2150</v>
      </c>
      <c r="C1960" s="13" t="n">
        <v>190</v>
      </c>
      <c r="D1960" s="13" t="s">
        <v>7813</v>
      </c>
      <c r="E1960" s="13" t="s">
        <v>7814</v>
      </c>
      <c r="F1960" s="13" t="s">
        <v>806</v>
      </c>
      <c r="G1960" s="13" t="s">
        <v>7815</v>
      </c>
      <c r="H1960" s="13" t="s">
        <v>7816</v>
      </c>
      <c r="I1960" s="13" t="s">
        <v>82</v>
      </c>
      <c r="J1960" s="13" t="s">
        <v>5716</v>
      </c>
      <c r="K1960" s="13"/>
      <c r="L1960" s="13" t="s">
        <v>7817</v>
      </c>
      <c r="M1960" s="13" t="s">
        <v>7818</v>
      </c>
    </row>
    <row r="1961" customFormat="false" ht="281.3" hidden="false" customHeight="false" outlineLevel="0" collapsed="false">
      <c r="A1961" s="13" t="s">
        <v>4</v>
      </c>
      <c r="B1961" s="13" t="s">
        <v>2150</v>
      </c>
      <c r="C1961" s="13" t="n">
        <v>190</v>
      </c>
      <c r="D1961" s="13" t="s">
        <v>7813</v>
      </c>
      <c r="E1961" s="13" t="s">
        <v>7819</v>
      </c>
      <c r="F1961" s="13" t="s">
        <v>806</v>
      </c>
      <c r="G1961" s="13" t="s">
        <v>7815</v>
      </c>
      <c r="H1961" s="13" t="s">
        <v>7820</v>
      </c>
      <c r="I1961" s="13" t="s">
        <v>82</v>
      </c>
      <c r="J1961" s="13" t="s">
        <v>5716</v>
      </c>
      <c r="K1961" s="13"/>
      <c r="L1961" s="13" t="s">
        <v>7817</v>
      </c>
      <c r="M1961" s="13" t="s">
        <v>7818</v>
      </c>
    </row>
    <row r="1962" customFormat="false" ht="281.3" hidden="false" customHeight="false" outlineLevel="0" collapsed="false">
      <c r="A1962" s="13" t="s">
        <v>4</v>
      </c>
      <c r="B1962" s="13" t="s">
        <v>2150</v>
      </c>
      <c r="C1962" s="13" t="n">
        <v>190</v>
      </c>
      <c r="D1962" s="13" t="s">
        <v>7813</v>
      </c>
      <c r="E1962" s="13" t="s">
        <v>7821</v>
      </c>
      <c r="F1962" s="13" t="s">
        <v>7820</v>
      </c>
      <c r="G1962" s="13" t="s">
        <v>736</v>
      </c>
      <c r="H1962" s="13" t="s">
        <v>7822</v>
      </c>
      <c r="I1962" s="13" t="s">
        <v>82</v>
      </c>
      <c r="J1962" s="13" t="s">
        <v>5716</v>
      </c>
      <c r="K1962" s="13"/>
      <c r="L1962" s="13" t="s">
        <v>7817</v>
      </c>
      <c r="M1962" s="13" t="s">
        <v>7818</v>
      </c>
    </row>
    <row r="1963" customFormat="false" ht="281.3" hidden="false" customHeight="false" outlineLevel="0" collapsed="false">
      <c r="A1963" s="13" t="s">
        <v>4</v>
      </c>
      <c r="B1963" s="13" t="s">
        <v>2150</v>
      </c>
      <c r="C1963" s="13" t="n">
        <v>190</v>
      </c>
      <c r="D1963" s="13" t="s">
        <v>7813</v>
      </c>
      <c r="E1963" s="13" t="s">
        <v>7823</v>
      </c>
      <c r="F1963" s="13" t="s">
        <v>7816</v>
      </c>
      <c r="G1963" s="13" t="s">
        <v>736</v>
      </c>
      <c r="H1963" s="13" t="s">
        <v>7824</v>
      </c>
      <c r="I1963" s="13" t="s">
        <v>82</v>
      </c>
      <c r="J1963" s="13" t="s">
        <v>5716</v>
      </c>
      <c r="K1963" s="13"/>
      <c r="L1963" s="13" t="s">
        <v>7817</v>
      </c>
      <c r="M1963" s="13" t="s">
        <v>7818</v>
      </c>
    </row>
    <row r="1964" customFormat="false" ht="281.3" hidden="false" customHeight="false" outlineLevel="0" collapsed="false">
      <c r="A1964" s="13" t="s">
        <v>4</v>
      </c>
      <c r="B1964" s="13" t="s">
        <v>2150</v>
      </c>
      <c r="C1964" s="13" t="n">
        <v>190</v>
      </c>
      <c r="D1964" s="13" t="s">
        <v>7813</v>
      </c>
      <c r="E1964" s="13" t="s">
        <v>7825</v>
      </c>
      <c r="F1964" s="13" t="s">
        <v>806</v>
      </c>
      <c r="G1964" s="13" t="s">
        <v>7826</v>
      </c>
      <c r="H1964" s="13" t="s">
        <v>7827</v>
      </c>
      <c r="I1964" s="13" t="s">
        <v>74</v>
      </c>
      <c r="J1964" s="13" t="s">
        <v>7828</v>
      </c>
      <c r="K1964" s="13" t="s">
        <v>7829</v>
      </c>
      <c r="L1964" s="13" t="s">
        <v>7817</v>
      </c>
      <c r="M1964" s="13" t="s">
        <v>7818</v>
      </c>
    </row>
    <row r="1965" customFormat="false" ht="46.25" hidden="false" customHeight="false" outlineLevel="0" collapsed="false">
      <c r="A1965" s="13" t="s">
        <v>4</v>
      </c>
      <c r="B1965" s="13" t="s">
        <v>2150</v>
      </c>
      <c r="C1965" s="13" t="n">
        <v>190</v>
      </c>
      <c r="D1965" s="13" t="s">
        <v>7830</v>
      </c>
      <c r="E1965" s="13" t="s">
        <v>7831</v>
      </c>
      <c r="F1965" s="13" t="s">
        <v>806</v>
      </c>
      <c r="G1965" s="13" t="s">
        <v>7832</v>
      </c>
      <c r="H1965" s="13" t="s">
        <v>7833</v>
      </c>
      <c r="I1965" s="13" t="s">
        <v>74</v>
      </c>
      <c r="J1965" s="13" t="s">
        <v>7834</v>
      </c>
      <c r="K1965" s="13" t="s">
        <v>7835</v>
      </c>
      <c r="L1965" s="13" t="s">
        <v>7836</v>
      </c>
      <c r="M1965" s="13" t="s">
        <v>7837</v>
      </c>
    </row>
    <row r="1966" customFormat="false" ht="23.85" hidden="false" customHeight="false" outlineLevel="0" collapsed="false">
      <c r="A1966" s="13" t="s">
        <v>4</v>
      </c>
      <c r="B1966" s="13" t="s">
        <v>2150</v>
      </c>
      <c r="C1966" s="13" t="n">
        <v>190</v>
      </c>
      <c r="D1966" s="13" t="s">
        <v>7830</v>
      </c>
      <c r="E1966" s="13" t="s">
        <v>7838</v>
      </c>
      <c r="F1966" s="13" t="s">
        <v>7833</v>
      </c>
      <c r="G1966" s="13" t="s">
        <v>7839</v>
      </c>
      <c r="H1966" s="13" t="s">
        <v>7840</v>
      </c>
      <c r="I1966" s="13" t="s">
        <v>82</v>
      </c>
      <c r="J1966" s="13" t="s">
        <v>5716</v>
      </c>
      <c r="K1966" s="13"/>
      <c r="L1966" s="13" t="s">
        <v>7836</v>
      </c>
      <c r="M1966" s="13" t="s">
        <v>7837</v>
      </c>
    </row>
    <row r="1967" customFormat="false" ht="91" hidden="false" customHeight="false" outlineLevel="0" collapsed="false">
      <c r="A1967" s="13" t="s">
        <v>4</v>
      </c>
      <c r="B1967" s="13" t="s">
        <v>2150</v>
      </c>
      <c r="C1967" s="13" t="n">
        <v>190</v>
      </c>
      <c r="D1967" s="13" t="s">
        <v>7841</v>
      </c>
      <c r="E1967" s="13" t="s">
        <v>7842</v>
      </c>
      <c r="F1967" s="13" t="s">
        <v>7843</v>
      </c>
      <c r="G1967" s="13" t="s">
        <v>7844</v>
      </c>
      <c r="H1967" s="13" t="s">
        <v>7845</v>
      </c>
      <c r="I1967" s="13" t="s">
        <v>82</v>
      </c>
      <c r="J1967" s="13" t="s">
        <v>5716</v>
      </c>
      <c r="K1967" s="13"/>
      <c r="L1967" s="13" t="s">
        <v>7846</v>
      </c>
      <c r="M1967" s="13" t="s">
        <v>7847</v>
      </c>
    </row>
    <row r="1968" customFormat="false" ht="91" hidden="false" customHeight="false" outlineLevel="0" collapsed="false">
      <c r="A1968" s="13" t="s">
        <v>4</v>
      </c>
      <c r="B1968" s="13" t="s">
        <v>2150</v>
      </c>
      <c r="C1968" s="13" t="n">
        <v>190</v>
      </c>
      <c r="D1968" s="13" t="s">
        <v>7841</v>
      </c>
      <c r="E1968" s="13" t="s">
        <v>7848</v>
      </c>
      <c r="F1968" s="13" t="s">
        <v>7833</v>
      </c>
      <c r="G1968" s="13" t="s">
        <v>7849</v>
      </c>
      <c r="H1968" s="13" t="s">
        <v>7850</v>
      </c>
      <c r="I1968" s="13" t="s">
        <v>82</v>
      </c>
      <c r="J1968" s="13" t="s">
        <v>5716</v>
      </c>
      <c r="K1968" s="13"/>
      <c r="L1968" s="13" t="s">
        <v>7846</v>
      </c>
      <c r="M1968" s="13" t="s">
        <v>7847</v>
      </c>
    </row>
    <row r="1969" customFormat="false" ht="91" hidden="false" customHeight="false" outlineLevel="0" collapsed="false">
      <c r="A1969" s="13" t="s">
        <v>4</v>
      </c>
      <c r="B1969" s="13" t="s">
        <v>2150</v>
      </c>
      <c r="C1969" s="13" t="n">
        <v>190</v>
      </c>
      <c r="D1969" s="13" t="s">
        <v>7841</v>
      </c>
      <c r="E1969" s="13" t="s">
        <v>7851</v>
      </c>
      <c r="F1969" s="13" t="s">
        <v>7852</v>
      </c>
      <c r="G1969" s="13" t="s">
        <v>7853</v>
      </c>
      <c r="H1969" s="13" t="s">
        <v>7845</v>
      </c>
      <c r="I1969" s="13" t="s">
        <v>82</v>
      </c>
      <c r="J1969" s="13" t="s">
        <v>5716</v>
      </c>
      <c r="K1969" s="13"/>
      <c r="L1969" s="13" t="s">
        <v>7846</v>
      </c>
      <c r="M1969" s="13" t="s">
        <v>7847</v>
      </c>
    </row>
    <row r="1970" customFormat="false" ht="46.25" hidden="false" customHeight="false" outlineLevel="0" collapsed="false">
      <c r="A1970" s="13" t="s">
        <v>4</v>
      </c>
      <c r="B1970" s="13" t="s">
        <v>2150</v>
      </c>
      <c r="C1970" s="13" t="n">
        <v>190</v>
      </c>
      <c r="D1970" s="13" t="s">
        <v>7854</v>
      </c>
      <c r="E1970" s="13" t="s">
        <v>7855</v>
      </c>
      <c r="F1970" s="13" t="s">
        <v>7852</v>
      </c>
      <c r="G1970" s="13" t="s">
        <v>7856</v>
      </c>
      <c r="H1970" s="13" t="s">
        <v>7857</v>
      </c>
      <c r="I1970" s="13" t="s">
        <v>82</v>
      </c>
      <c r="J1970" s="13" t="s">
        <v>5716</v>
      </c>
      <c r="K1970" s="13"/>
      <c r="L1970" s="13" t="s">
        <v>7858</v>
      </c>
      <c r="M1970" s="13" t="s">
        <v>7859</v>
      </c>
    </row>
    <row r="1971" customFormat="false" ht="46.25" hidden="false" customHeight="false" outlineLevel="0" collapsed="false">
      <c r="A1971" s="13" t="s">
        <v>4</v>
      </c>
      <c r="B1971" s="13" t="s">
        <v>2150</v>
      </c>
      <c r="C1971" s="13" t="n">
        <v>190</v>
      </c>
      <c r="D1971" s="13" t="s">
        <v>7854</v>
      </c>
      <c r="E1971" s="13" t="s">
        <v>7860</v>
      </c>
      <c r="F1971" s="13" t="s">
        <v>7843</v>
      </c>
      <c r="G1971" s="13" t="s">
        <v>1054</v>
      </c>
      <c r="H1971" s="13" t="s">
        <v>7861</v>
      </c>
      <c r="I1971" s="13" t="s">
        <v>82</v>
      </c>
      <c r="J1971" s="13" t="s">
        <v>5716</v>
      </c>
      <c r="K1971" s="13"/>
      <c r="L1971" s="13" t="s">
        <v>7858</v>
      </c>
      <c r="M1971" s="13" t="s">
        <v>7859</v>
      </c>
    </row>
    <row r="1972" customFormat="false" ht="57.45" hidden="false" customHeight="false" outlineLevel="0" collapsed="false">
      <c r="A1972" s="13" t="s">
        <v>4</v>
      </c>
      <c r="B1972" s="13" t="s">
        <v>2150</v>
      </c>
      <c r="C1972" s="13" t="n">
        <v>190</v>
      </c>
      <c r="D1972" s="13" t="s">
        <v>7862</v>
      </c>
      <c r="E1972" s="13" t="s">
        <v>7863</v>
      </c>
      <c r="F1972" s="13" t="s">
        <v>7833</v>
      </c>
      <c r="G1972" s="13" t="s">
        <v>7864</v>
      </c>
      <c r="H1972" s="13" t="s">
        <v>7852</v>
      </c>
      <c r="I1972" s="13" t="s">
        <v>82</v>
      </c>
      <c r="J1972" s="13" t="s">
        <v>5716</v>
      </c>
      <c r="K1972" s="13"/>
      <c r="L1972" s="13" t="s">
        <v>7865</v>
      </c>
      <c r="M1972" s="13" t="s">
        <v>7866</v>
      </c>
    </row>
    <row r="1973" customFormat="false" ht="57.45" hidden="false" customHeight="false" outlineLevel="0" collapsed="false">
      <c r="A1973" s="13" t="s">
        <v>4</v>
      </c>
      <c r="B1973" s="13" t="s">
        <v>2150</v>
      </c>
      <c r="C1973" s="13" t="n">
        <v>190</v>
      </c>
      <c r="D1973" s="13" t="s">
        <v>7862</v>
      </c>
      <c r="E1973" s="13" t="s">
        <v>7867</v>
      </c>
      <c r="F1973" s="13" t="s">
        <v>7833</v>
      </c>
      <c r="G1973" s="13" t="s">
        <v>7868</v>
      </c>
      <c r="H1973" s="13" t="s">
        <v>7861</v>
      </c>
      <c r="I1973" s="13" t="s">
        <v>82</v>
      </c>
      <c r="J1973" s="13" t="s">
        <v>5716</v>
      </c>
      <c r="K1973" s="13"/>
      <c r="L1973" s="13" t="s">
        <v>7865</v>
      </c>
      <c r="M1973" s="13" t="s">
        <v>7866</v>
      </c>
    </row>
    <row r="1974" customFormat="false" ht="79.85" hidden="false" customHeight="false" outlineLevel="0" collapsed="false">
      <c r="A1974" s="13" t="s">
        <v>4</v>
      </c>
      <c r="B1974" s="13" t="s">
        <v>2150</v>
      </c>
      <c r="C1974" s="13" t="n">
        <v>190</v>
      </c>
      <c r="D1974" s="13" t="s">
        <v>7869</v>
      </c>
      <c r="E1974" s="13" t="s">
        <v>7870</v>
      </c>
      <c r="F1974" s="13" t="s">
        <v>7843</v>
      </c>
      <c r="G1974" s="13" t="s">
        <v>1054</v>
      </c>
      <c r="H1974" s="13" t="s">
        <v>7871</v>
      </c>
      <c r="I1974" s="13" t="s">
        <v>82</v>
      </c>
      <c r="J1974" s="13" t="s">
        <v>5716</v>
      </c>
      <c r="K1974" s="13"/>
      <c r="L1974" s="13" t="s">
        <v>7872</v>
      </c>
      <c r="M1974" s="13" t="s">
        <v>7873</v>
      </c>
    </row>
    <row r="1975" customFormat="false" ht="79.85" hidden="false" customHeight="false" outlineLevel="0" collapsed="false">
      <c r="A1975" s="13" t="s">
        <v>4</v>
      </c>
      <c r="B1975" s="13" t="s">
        <v>2150</v>
      </c>
      <c r="C1975" s="13" t="n">
        <v>190</v>
      </c>
      <c r="D1975" s="13" t="s">
        <v>7869</v>
      </c>
      <c r="E1975" s="13" t="s">
        <v>7874</v>
      </c>
      <c r="F1975" s="13" t="s">
        <v>7843</v>
      </c>
      <c r="G1975" s="13" t="s">
        <v>7875</v>
      </c>
      <c r="H1975" s="13" t="s">
        <v>7871</v>
      </c>
      <c r="I1975" s="13" t="s">
        <v>82</v>
      </c>
      <c r="J1975" s="13" t="s">
        <v>5716</v>
      </c>
      <c r="K1975" s="13"/>
      <c r="L1975" s="13" t="s">
        <v>7872</v>
      </c>
      <c r="M1975" s="13" t="s">
        <v>7873</v>
      </c>
    </row>
    <row r="1976" customFormat="false" ht="79.85" hidden="false" customHeight="false" outlineLevel="0" collapsed="false">
      <c r="A1976" s="13" t="s">
        <v>4</v>
      </c>
      <c r="B1976" s="13" t="s">
        <v>2150</v>
      </c>
      <c r="C1976" s="13" t="n">
        <v>190</v>
      </c>
      <c r="D1976" s="13" t="s">
        <v>7869</v>
      </c>
      <c r="E1976" s="13" t="s">
        <v>7876</v>
      </c>
      <c r="F1976" s="13" t="s">
        <v>7833</v>
      </c>
      <c r="G1976" s="13" t="s">
        <v>7877</v>
      </c>
      <c r="H1976" s="13" t="s">
        <v>7871</v>
      </c>
      <c r="I1976" s="13" t="s">
        <v>82</v>
      </c>
      <c r="J1976" s="13" t="s">
        <v>5716</v>
      </c>
      <c r="K1976" s="13"/>
      <c r="L1976" s="13" t="s">
        <v>7872</v>
      </c>
      <c r="M1976" s="13" t="s">
        <v>7873</v>
      </c>
    </row>
    <row r="1977" customFormat="false" ht="23.85" hidden="false" customHeight="false" outlineLevel="0" collapsed="false">
      <c r="A1977" s="13" t="s">
        <v>4</v>
      </c>
      <c r="B1977" s="13" t="s">
        <v>2150</v>
      </c>
      <c r="C1977" s="13" t="n">
        <v>190</v>
      </c>
      <c r="D1977" s="13" t="s">
        <v>7878</v>
      </c>
      <c r="E1977" s="13" t="s">
        <v>7879</v>
      </c>
      <c r="F1977" s="13" t="s">
        <v>7852</v>
      </c>
      <c r="G1977" s="13" t="s">
        <v>7880</v>
      </c>
      <c r="H1977" s="13" t="s">
        <v>7881</v>
      </c>
      <c r="I1977" s="13" t="s">
        <v>82</v>
      </c>
      <c r="J1977" s="13" t="s">
        <v>5716</v>
      </c>
      <c r="K1977" s="13"/>
      <c r="L1977" s="13" t="s">
        <v>7882</v>
      </c>
      <c r="M1977" s="13" t="s">
        <v>7883</v>
      </c>
    </row>
    <row r="1978" customFormat="false" ht="23.85" hidden="false" customHeight="false" outlineLevel="0" collapsed="false">
      <c r="A1978" s="13" t="s">
        <v>4</v>
      </c>
      <c r="B1978" s="13" t="s">
        <v>2150</v>
      </c>
      <c r="C1978" s="13" t="n">
        <v>190</v>
      </c>
      <c r="D1978" s="13" t="s">
        <v>7884</v>
      </c>
      <c r="E1978" s="13" t="s">
        <v>7885</v>
      </c>
      <c r="F1978" s="13" t="s">
        <v>7852</v>
      </c>
      <c r="G1978" s="13" t="s">
        <v>7886</v>
      </c>
      <c r="H1978" s="13" t="s">
        <v>7887</v>
      </c>
      <c r="I1978" s="13" t="s">
        <v>82</v>
      </c>
      <c r="J1978" s="13" t="s">
        <v>5716</v>
      </c>
      <c r="K1978" s="13"/>
      <c r="L1978" s="13" t="s">
        <v>7888</v>
      </c>
      <c r="M1978" s="13" t="s">
        <v>7889</v>
      </c>
    </row>
    <row r="1979" customFormat="false" ht="35.05" hidden="false" customHeight="false" outlineLevel="0" collapsed="false">
      <c r="A1979" s="13" t="s">
        <v>4</v>
      </c>
      <c r="B1979" s="13" t="s">
        <v>2150</v>
      </c>
      <c r="C1979" s="13" t="n">
        <v>190</v>
      </c>
      <c r="D1979" s="13" t="s">
        <v>7890</v>
      </c>
      <c r="E1979" s="13" t="s">
        <v>7891</v>
      </c>
      <c r="F1979" s="13" t="s">
        <v>7852</v>
      </c>
      <c r="G1979" s="13" t="s">
        <v>7892</v>
      </c>
      <c r="H1979" s="13" t="s">
        <v>7893</v>
      </c>
      <c r="I1979" s="13" t="s">
        <v>82</v>
      </c>
      <c r="J1979" s="13" t="s">
        <v>5716</v>
      </c>
      <c r="K1979" s="13"/>
      <c r="L1979" s="13" t="s">
        <v>7894</v>
      </c>
      <c r="M1979" s="13" t="s">
        <v>7895</v>
      </c>
    </row>
    <row r="1980" customFormat="false" ht="35.05" hidden="false" customHeight="false" outlineLevel="0" collapsed="false">
      <c r="A1980" s="13" t="s">
        <v>4</v>
      </c>
      <c r="B1980" s="13" t="s">
        <v>2150</v>
      </c>
      <c r="C1980" s="13" t="n">
        <v>190</v>
      </c>
      <c r="D1980" s="13" t="s">
        <v>7890</v>
      </c>
      <c r="E1980" s="13" t="s">
        <v>7896</v>
      </c>
      <c r="F1980" s="13" t="s">
        <v>7852</v>
      </c>
      <c r="G1980" s="13" t="s">
        <v>7897</v>
      </c>
      <c r="H1980" s="13" t="s">
        <v>7833</v>
      </c>
      <c r="I1980" s="13" t="s">
        <v>82</v>
      </c>
      <c r="J1980" s="13" t="s">
        <v>5716</v>
      </c>
      <c r="K1980" s="13"/>
      <c r="L1980" s="13" t="s">
        <v>7894</v>
      </c>
      <c r="M1980" s="13" t="s">
        <v>7895</v>
      </c>
    </row>
    <row r="1981" customFormat="false" ht="102.2" hidden="false" customHeight="false" outlineLevel="0" collapsed="false">
      <c r="A1981" s="13" t="s">
        <v>4</v>
      </c>
      <c r="B1981" s="13" t="s">
        <v>2150</v>
      </c>
      <c r="C1981" s="13" t="n">
        <v>193</v>
      </c>
      <c r="D1981" s="13" t="s">
        <v>7898</v>
      </c>
      <c r="E1981" s="13" t="s">
        <v>7899</v>
      </c>
      <c r="F1981" s="13" t="s">
        <v>806</v>
      </c>
      <c r="G1981" s="13" t="s">
        <v>7900</v>
      </c>
      <c r="H1981" s="13" t="s">
        <v>7901</v>
      </c>
      <c r="I1981" s="13" t="s">
        <v>74</v>
      </c>
      <c r="J1981" s="13" t="s">
        <v>7902</v>
      </c>
      <c r="K1981" s="13" t="s">
        <v>7903</v>
      </c>
      <c r="L1981" s="13" t="s">
        <v>7904</v>
      </c>
      <c r="M1981" s="13" t="s">
        <v>7905</v>
      </c>
    </row>
    <row r="1982" customFormat="false" ht="102.2" hidden="false" customHeight="false" outlineLevel="0" collapsed="false">
      <c r="A1982" s="13" t="s">
        <v>4</v>
      </c>
      <c r="B1982" s="13" t="s">
        <v>2150</v>
      </c>
      <c r="C1982" s="13" t="n">
        <v>193</v>
      </c>
      <c r="D1982" s="13" t="s">
        <v>7898</v>
      </c>
      <c r="E1982" s="13" t="s">
        <v>7906</v>
      </c>
      <c r="F1982" s="13" t="s">
        <v>806</v>
      </c>
      <c r="G1982" s="13" t="s">
        <v>7900</v>
      </c>
      <c r="H1982" s="13" t="s">
        <v>7907</v>
      </c>
      <c r="I1982" s="13" t="s">
        <v>74</v>
      </c>
      <c r="J1982" s="13" t="s">
        <v>7902</v>
      </c>
      <c r="K1982" s="13" t="s">
        <v>7903</v>
      </c>
      <c r="L1982" s="13" t="s">
        <v>7904</v>
      </c>
      <c r="M1982" s="13" t="s">
        <v>7905</v>
      </c>
    </row>
    <row r="1983" customFormat="false" ht="102.2" hidden="false" customHeight="false" outlineLevel="0" collapsed="false">
      <c r="A1983" s="13" t="s">
        <v>4</v>
      </c>
      <c r="B1983" s="13" t="s">
        <v>2150</v>
      </c>
      <c r="C1983" s="13" t="n">
        <v>193</v>
      </c>
      <c r="D1983" s="13" t="s">
        <v>7898</v>
      </c>
      <c r="E1983" s="13" t="s">
        <v>7908</v>
      </c>
      <c r="F1983" s="13" t="s">
        <v>806</v>
      </c>
      <c r="G1983" s="13" t="s">
        <v>7900</v>
      </c>
      <c r="H1983" s="13" t="s">
        <v>7909</v>
      </c>
      <c r="I1983" s="13" t="s">
        <v>74</v>
      </c>
      <c r="J1983" s="13" t="s">
        <v>7902</v>
      </c>
      <c r="K1983" s="13" t="s">
        <v>7903</v>
      </c>
      <c r="L1983" s="13" t="s">
        <v>7904</v>
      </c>
      <c r="M1983" s="13" t="s">
        <v>7905</v>
      </c>
    </row>
    <row r="1984" customFormat="false" ht="102.2" hidden="false" customHeight="false" outlineLevel="0" collapsed="false">
      <c r="A1984" s="13" t="s">
        <v>4</v>
      </c>
      <c r="B1984" s="13" t="s">
        <v>2150</v>
      </c>
      <c r="C1984" s="13" t="n">
        <v>193</v>
      </c>
      <c r="D1984" s="13" t="s">
        <v>7898</v>
      </c>
      <c r="E1984" s="13" t="s">
        <v>7910</v>
      </c>
      <c r="F1984" s="13" t="s">
        <v>806</v>
      </c>
      <c r="G1984" s="13" t="s">
        <v>7900</v>
      </c>
      <c r="H1984" s="13" t="s">
        <v>7911</v>
      </c>
      <c r="I1984" s="13" t="s">
        <v>74</v>
      </c>
      <c r="J1984" s="13" t="s">
        <v>7902</v>
      </c>
      <c r="K1984" s="13" t="s">
        <v>7903</v>
      </c>
      <c r="L1984" s="13" t="s">
        <v>7904</v>
      </c>
      <c r="M1984" s="13" t="s">
        <v>7905</v>
      </c>
    </row>
    <row r="1985" customFormat="false" ht="102.2" hidden="false" customHeight="false" outlineLevel="0" collapsed="false">
      <c r="A1985" s="13" t="s">
        <v>4</v>
      </c>
      <c r="B1985" s="13" t="s">
        <v>2150</v>
      </c>
      <c r="C1985" s="13" t="n">
        <v>193</v>
      </c>
      <c r="D1985" s="13" t="s">
        <v>7898</v>
      </c>
      <c r="E1985" s="13" t="s">
        <v>7912</v>
      </c>
      <c r="F1985" s="13" t="s">
        <v>806</v>
      </c>
      <c r="G1985" s="13" t="s">
        <v>7913</v>
      </c>
      <c r="H1985" s="13" t="s">
        <v>7914</v>
      </c>
      <c r="I1985" s="13" t="s">
        <v>74</v>
      </c>
      <c r="J1985" s="13" t="s">
        <v>7915</v>
      </c>
      <c r="K1985" s="13" t="s">
        <v>7916</v>
      </c>
      <c r="L1985" s="13" t="s">
        <v>7904</v>
      </c>
      <c r="M1985" s="13" t="s">
        <v>7905</v>
      </c>
    </row>
    <row r="1986" customFormat="false" ht="102.2" hidden="false" customHeight="false" outlineLevel="0" collapsed="false">
      <c r="A1986" s="13" t="s">
        <v>4</v>
      </c>
      <c r="B1986" s="13" t="s">
        <v>2150</v>
      </c>
      <c r="C1986" s="13" t="n">
        <v>193</v>
      </c>
      <c r="D1986" s="13" t="s">
        <v>7898</v>
      </c>
      <c r="E1986" s="13" t="s">
        <v>7917</v>
      </c>
      <c r="F1986" s="13" t="s">
        <v>806</v>
      </c>
      <c r="G1986" s="13" t="s">
        <v>7918</v>
      </c>
      <c r="H1986" s="13" t="s">
        <v>7919</v>
      </c>
      <c r="I1986" s="13" t="s">
        <v>82</v>
      </c>
      <c r="J1986" s="13" t="s">
        <v>5716</v>
      </c>
      <c r="K1986" s="13"/>
      <c r="L1986" s="13" t="s">
        <v>7904</v>
      </c>
      <c r="M1986" s="13" t="s">
        <v>7905</v>
      </c>
    </row>
    <row r="1987" customFormat="false" ht="102.2" hidden="false" customHeight="false" outlineLevel="0" collapsed="false">
      <c r="A1987" s="13" t="s">
        <v>4</v>
      </c>
      <c r="B1987" s="13" t="s">
        <v>2150</v>
      </c>
      <c r="C1987" s="13" t="n">
        <v>193</v>
      </c>
      <c r="D1987" s="13" t="s">
        <v>7898</v>
      </c>
      <c r="E1987" s="13" t="s">
        <v>7920</v>
      </c>
      <c r="F1987" s="13" t="s">
        <v>7919</v>
      </c>
      <c r="G1987" s="13" t="s">
        <v>7921</v>
      </c>
      <c r="H1987" s="13" t="s">
        <v>7728</v>
      </c>
      <c r="I1987" s="13" t="s">
        <v>82</v>
      </c>
      <c r="J1987" s="13" t="s">
        <v>5716</v>
      </c>
      <c r="K1987" s="13"/>
      <c r="L1987" s="13" t="s">
        <v>7904</v>
      </c>
      <c r="M1987" s="13" t="s">
        <v>7905</v>
      </c>
    </row>
    <row r="1988" customFormat="false" ht="46.25" hidden="false" customHeight="false" outlineLevel="0" collapsed="false">
      <c r="A1988" s="13" t="s">
        <v>4</v>
      </c>
      <c r="B1988" s="13" t="s">
        <v>2150</v>
      </c>
      <c r="C1988" s="13" t="n">
        <v>193</v>
      </c>
      <c r="D1988" s="13" t="s">
        <v>7922</v>
      </c>
      <c r="E1988" s="13" t="s">
        <v>7923</v>
      </c>
      <c r="F1988" s="13" t="s">
        <v>7924</v>
      </c>
      <c r="G1988" s="13" t="s">
        <v>7925</v>
      </c>
      <c r="H1988" s="13" t="s">
        <v>1552</v>
      </c>
      <c r="I1988" s="13" t="s">
        <v>82</v>
      </c>
      <c r="J1988" s="13" t="s">
        <v>5716</v>
      </c>
      <c r="K1988" s="13"/>
      <c r="L1988" s="13" t="s">
        <v>7926</v>
      </c>
      <c r="M1988" s="13" t="s">
        <v>7927</v>
      </c>
    </row>
    <row r="1989" customFormat="false" ht="46.25" hidden="false" customHeight="false" outlineLevel="0" collapsed="false">
      <c r="A1989" s="13" t="s">
        <v>4</v>
      </c>
      <c r="B1989" s="13" t="s">
        <v>2150</v>
      </c>
      <c r="C1989" s="13" t="n">
        <v>193</v>
      </c>
      <c r="D1989" s="13" t="s">
        <v>7922</v>
      </c>
      <c r="E1989" s="13" t="s">
        <v>7928</v>
      </c>
      <c r="F1989" s="13" t="s">
        <v>7924</v>
      </c>
      <c r="G1989" s="13" t="s">
        <v>1141</v>
      </c>
      <c r="H1989" s="13" t="s">
        <v>7728</v>
      </c>
      <c r="I1989" s="13" t="s">
        <v>82</v>
      </c>
      <c r="J1989" s="13" t="s">
        <v>5716</v>
      </c>
      <c r="K1989" s="13"/>
      <c r="L1989" s="13" t="s">
        <v>7926</v>
      </c>
      <c r="M1989" s="13" t="s">
        <v>7927</v>
      </c>
    </row>
    <row r="1990" customFormat="false" ht="46.25" hidden="false" customHeight="false" outlineLevel="0" collapsed="false">
      <c r="A1990" s="13" t="s">
        <v>4</v>
      </c>
      <c r="B1990" s="13" t="s">
        <v>2150</v>
      </c>
      <c r="C1990" s="13" t="n">
        <v>193</v>
      </c>
      <c r="D1990" s="13" t="s">
        <v>7922</v>
      </c>
      <c r="E1990" s="13" t="s">
        <v>7929</v>
      </c>
      <c r="F1990" s="13" t="s">
        <v>7919</v>
      </c>
      <c r="G1990" s="13" t="s">
        <v>1308</v>
      </c>
      <c r="H1990" s="13" t="s">
        <v>7728</v>
      </c>
      <c r="I1990" s="13" t="s">
        <v>82</v>
      </c>
      <c r="J1990" s="13" t="s">
        <v>5716</v>
      </c>
      <c r="K1990" s="13"/>
      <c r="L1990" s="13" t="s">
        <v>7926</v>
      </c>
      <c r="M1990" s="13" t="s">
        <v>7927</v>
      </c>
    </row>
    <row r="1991" customFormat="false" ht="113.4" hidden="false" customHeight="false" outlineLevel="0" collapsed="false">
      <c r="A1991" s="13" t="s">
        <v>4</v>
      </c>
      <c r="B1991" s="13" t="s">
        <v>2150</v>
      </c>
      <c r="C1991" s="13" t="n">
        <v>193</v>
      </c>
      <c r="D1991" s="13" t="s">
        <v>7930</v>
      </c>
      <c r="E1991" s="13" t="s">
        <v>7931</v>
      </c>
      <c r="F1991" s="13" t="s">
        <v>806</v>
      </c>
      <c r="G1991" s="13" t="s">
        <v>7900</v>
      </c>
      <c r="H1991" s="13" t="s">
        <v>7932</v>
      </c>
      <c r="I1991" s="13" t="s">
        <v>82</v>
      </c>
      <c r="J1991" s="13" t="s">
        <v>5716</v>
      </c>
      <c r="K1991" s="13"/>
      <c r="L1991" s="13" t="s">
        <v>7933</v>
      </c>
      <c r="M1991" s="13" t="s">
        <v>7934</v>
      </c>
    </row>
    <row r="1992" customFormat="false" ht="113.4" hidden="false" customHeight="false" outlineLevel="0" collapsed="false">
      <c r="A1992" s="13" t="s">
        <v>4</v>
      </c>
      <c r="B1992" s="13" t="s">
        <v>2150</v>
      </c>
      <c r="C1992" s="13" t="n">
        <v>193</v>
      </c>
      <c r="D1992" s="13" t="s">
        <v>7930</v>
      </c>
      <c r="E1992" s="13" t="s">
        <v>7935</v>
      </c>
      <c r="F1992" s="13" t="s">
        <v>7936</v>
      </c>
      <c r="G1992" s="13" t="s">
        <v>7937</v>
      </c>
      <c r="H1992" s="13" t="s">
        <v>1552</v>
      </c>
      <c r="I1992" s="13" t="s">
        <v>82</v>
      </c>
      <c r="J1992" s="13" t="s">
        <v>5716</v>
      </c>
      <c r="K1992" s="13"/>
      <c r="L1992" s="13" t="s">
        <v>7933</v>
      </c>
      <c r="M1992" s="13" t="s">
        <v>7934</v>
      </c>
    </row>
    <row r="1993" customFormat="false" ht="113.4" hidden="false" customHeight="false" outlineLevel="0" collapsed="false">
      <c r="A1993" s="13" t="s">
        <v>4</v>
      </c>
      <c r="B1993" s="13" t="s">
        <v>2150</v>
      </c>
      <c r="C1993" s="13" t="n">
        <v>193</v>
      </c>
      <c r="D1993" s="13" t="s">
        <v>7930</v>
      </c>
      <c r="E1993" s="13" t="s">
        <v>7938</v>
      </c>
      <c r="F1993" s="13" t="s">
        <v>7932</v>
      </c>
      <c r="G1993" s="13" t="s">
        <v>579</v>
      </c>
      <c r="H1993" s="13" t="s">
        <v>7939</v>
      </c>
      <c r="I1993" s="13" t="s">
        <v>82</v>
      </c>
      <c r="J1993" s="13" t="s">
        <v>5716</v>
      </c>
      <c r="K1993" s="13"/>
      <c r="L1993" s="13" t="s">
        <v>7933</v>
      </c>
      <c r="M1993" s="13" t="s">
        <v>7934</v>
      </c>
    </row>
    <row r="1994" customFormat="false" ht="68.65" hidden="false" customHeight="false" outlineLevel="0" collapsed="false">
      <c r="A1994" s="13" t="s">
        <v>4</v>
      </c>
      <c r="B1994" s="13" t="s">
        <v>2150</v>
      </c>
      <c r="C1994" s="13" t="n">
        <v>193</v>
      </c>
      <c r="D1994" s="13" t="s">
        <v>7940</v>
      </c>
      <c r="E1994" s="13" t="s">
        <v>7941</v>
      </c>
      <c r="F1994" s="13" t="s">
        <v>7939</v>
      </c>
      <c r="G1994" s="13" t="s">
        <v>1054</v>
      </c>
      <c r="H1994" s="13" t="s">
        <v>7942</v>
      </c>
      <c r="I1994" s="13" t="s">
        <v>82</v>
      </c>
      <c r="J1994" s="13" t="s">
        <v>5716</v>
      </c>
      <c r="K1994" s="13"/>
      <c r="L1994" s="13" t="s">
        <v>7943</v>
      </c>
      <c r="M1994" s="13" t="s">
        <v>7944</v>
      </c>
    </row>
    <row r="1995" customFormat="false" ht="68.65" hidden="false" customHeight="false" outlineLevel="0" collapsed="false">
      <c r="A1995" s="13" t="s">
        <v>4</v>
      </c>
      <c r="B1995" s="13" t="s">
        <v>2150</v>
      </c>
      <c r="C1995" s="13" t="n">
        <v>193</v>
      </c>
      <c r="D1995" s="13" t="s">
        <v>7940</v>
      </c>
      <c r="E1995" s="13" t="s">
        <v>7945</v>
      </c>
      <c r="F1995" s="13" t="s">
        <v>7946</v>
      </c>
      <c r="G1995" s="13" t="s">
        <v>736</v>
      </c>
      <c r="H1995" s="13" t="s">
        <v>7942</v>
      </c>
      <c r="I1995" s="13" t="s">
        <v>82</v>
      </c>
      <c r="J1995" s="13" t="s">
        <v>5716</v>
      </c>
      <c r="K1995" s="13"/>
      <c r="L1995" s="13" t="s">
        <v>7943</v>
      </c>
      <c r="M1995" s="13" t="s">
        <v>7944</v>
      </c>
    </row>
    <row r="1996" customFormat="false" ht="35.05" hidden="false" customHeight="false" outlineLevel="0" collapsed="false">
      <c r="A1996" s="13" t="s">
        <v>4</v>
      </c>
      <c r="B1996" s="13" t="s">
        <v>2150</v>
      </c>
      <c r="C1996" s="13" t="n">
        <v>193</v>
      </c>
      <c r="D1996" s="13" t="s">
        <v>7947</v>
      </c>
      <c r="E1996" s="13" t="s">
        <v>7948</v>
      </c>
      <c r="F1996" s="13" t="s">
        <v>7946</v>
      </c>
      <c r="G1996" s="13" t="s">
        <v>188</v>
      </c>
      <c r="H1996" s="13" t="s">
        <v>7942</v>
      </c>
      <c r="I1996" s="13" t="s">
        <v>82</v>
      </c>
      <c r="J1996" s="13" t="s">
        <v>5716</v>
      </c>
      <c r="K1996" s="13"/>
      <c r="L1996" s="13" t="s">
        <v>7949</v>
      </c>
      <c r="M1996" s="13" t="s">
        <v>7950</v>
      </c>
    </row>
    <row r="1997" customFormat="false" ht="35.05" hidden="false" customHeight="false" outlineLevel="0" collapsed="false">
      <c r="A1997" s="13" t="s">
        <v>4</v>
      </c>
      <c r="B1997" s="13" t="s">
        <v>2150</v>
      </c>
      <c r="C1997" s="13" t="n">
        <v>193</v>
      </c>
      <c r="D1997" s="13" t="s">
        <v>7947</v>
      </c>
      <c r="E1997" s="13" t="s">
        <v>7951</v>
      </c>
      <c r="F1997" s="13" t="s">
        <v>7946</v>
      </c>
      <c r="G1997" s="13" t="s">
        <v>7424</v>
      </c>
      <c r="H1997" s="13" t="s">
        <v>7952</v>
      </c>
      <c r="I1997" s="13" t="s">
        <v>82</v>
      </c>
      <c r="J1997" s="13" t="s">
        <v>5716</v>
      </c>
      <c r="K1997" s="13"/>
      <c r="L1997" s="13" t="s">
        <v>7949</v>
      </c>
      <c r="M1997" s="13" t="s">
        <v>7950</v>
      </c>
    </row>
    <row r="1998" customFormat="false" ht="35.05" hidden="false" customHeight="false" outlineLevel="0" collapsed="false">
      <c r="A1998" s="13" t="s">
        <v>4</v>
      </c>
      <c r="B1998" s="13" t="s">
        <v>2150</v>
      </c>
      <c r="C1998" s="13" t="n">
        <v>193</v>
      </c>
      <c r="D1998" s="13" t="s">
        <v>7953</v>
      </c>
      <c r="E1998" s="13" t="s">
        <v>7954</v>
      </c>
      <c r="F1998" s="13" t="s">
        <v>7833</v>
      </c>
      <c r="G1998" s="13" t="s">
        <v>257</v>
      </c>
      <c r="H1998" s="13" t="s">
        <v>7942</v>
      </c>
      <c r="I1998" s="13" t="s">
        <v>82</v>
      </c>
      <c r="J1998" s="13" t="s">
        <v>5716</v>
      </c>
      <c r="K1998" s="13"/>
      <c r="L1998" s="13" t="s">
        <v>7955</v>
      </c>
      <c r="M1998" s="13" t="s">
        <v>7956</v>
      </c>
    </row>
    <row r="1999" customFormat="false" ht="46.25" hidden="false" customHeight="false" outlineLevel="0" collapsed="false">
      <c r="A1999" s="13" t="s">
        <v>4</v>
      </c>
      <c r="B1999" s="13" t="s">
        <v>2150</v>
      </c>
      <c r="C1999" s="13" t="n">
        <v>193</v>
      </c>
      <c r="D1999" s="13" t="s">
        <v>7957</v>
      </c>
      <c r="E1999" s="13" t="s">
        <v>7958</v>
      </c>
      <c r="F1999" s="13" t="s">
        <v>7833</v>
      </c>
      <c r="G1999" s="13" t="s">
        <v>5922</v>
      </c>
      <c r="H1999" s="13" t="s">
        <v>7959</v>
      </c>
      <c r="I1999" s="13" t="s">
        <v>82</v>
      </c>
      <c r="J1999" s="13" t="s">
        <v>5716</v>
      </c>
      <c r="K1999" s="13"/>
      <c r="L1999" s="13" t="s">
        <v>7960</v>
      </c>
      <c r="M1999" s="13" t="s">
        <v>7961</v>
      </c>
    </row>
    <row r="2000" customFormat="false" ht="46.25" hidden="false" customHeight="false" outlineLevel="0" collapsed="false">
      <c r="A2000" s="13" t="s">
        <v>4</v>
      </c>
      <c r="B2000" s="13" t="s">
        <v>2150</v>
      </c>
      <c r="C2000" s="13" t="n">
        <v>193</v>
      </c>
      <c r="D2000" s="13" t="s">
        <v>7957</v>
      </c>
      <c r="E2000" s="13" t="s">
        <v>7962</v>
      </c>
      <c r="F2000" s="13" t="s">
        <v>7946</v>
      </c>
      <c r="G2000" s="13" t="s">
        <v>7963</v>
      </c>
      <c r="H2000" s="13" t="s">
        <v>7942</v>
      </c>
      <c r="I2000" s="13" t="s">
        <v>82</v>
      </c>
      <c r="J2000" s="13" t="s">
        <v>5716</v>
      </c>
      <c r="K2000" s="13"/>
      <c r="L2000" s="13" t="s">
        <v>7960</v>
      </c>
      <c r="M2000" s="13" t="s">
        <v>7961</v>
      </c>
    </row>
    <row r="2001" customFormat="false" ht="35.05" hidden="false" customHeight="false" outlineLevel="0" collapsed="false">
      <c r="A2001" s="13" t="s">
        <v>4</v>
      </c>
      <c r="B2001" s="13" t="s">
        <v>2150</v>
      </c>
      <c r="C2001" s="13" t="n">
        <v>193</v>
      </c>
      <c r="D2001" s="13" t="s">
        <v>7964</v>
      </c>
      <c r="E2001" s="13" t="s">
        <v>7965</v>
      </c>
      <c r="F2001" s="13" t="s">
        <v>7932</v>
      </c>
      <c r="G2001" s="13" t="s">
        <v>4555</v>
      </c>
      <c r="H2001" s="13" t="s">
        <v>7728</v>
      </c>
      <c r="I2001" s="13" t="s">
        <v>82</v>
      </c>
      <c r="J2001" s="13" t="s">
        <v>5716</v>
      </c>
      <c r="K2001" s="13"/>
      <c r="L2001" s="13" t="s">
        <v>7966</v>
      </c>
      <c r="M2001" s="13" t="s">
        <v>7967</v>
      </c>
    </row>
    <row r="2002" customFormat="false" ht="147" hidden="false" customHeight="false" outlineLevel="0" collapsed="false">
      <c r="A2002" s="13" t="s">
        <v>4</v>
      </c>
      <c r="B2002" s="13" t="s">
        <v>2150</v>
      </c>
      <c r="C2002" s="13" t="n">
        <v>193</v>
      </c>
      <c r="D2002" s="13" t="s">
        <v>7968</v>
      </c>
      <c r="E2002" s="13" t="s">
        <v>7969</v>
      </c>
      <c r="F2002" s="13" t="s">
        <v>7924</v>
      </c>
      <c r="G2002" s="13" t="s">
        <v>4107</v>
      </c>
      <c r="H2002" s="13" t="s">
        <v>7970</v>
      </c>
      <c r="I2002" s="13" t="s">
        <v>74</v>
      </c>
      <c r="J2002" s="13" t="s">
        <v>7971</v>
      </c>
      <c r="K2002" s="13" t="s">
        <v>7972</v>
      </c>
      <c r="L2002" s="13" t="s">
        <v>7973</v>
      </c>
      <c r="M2002" s="13" t="s">
        <v>7974</v>
      </c>
    </row>
    <row r="2003" customFormat="false" ht="147" hidden="false" customHeight="false" outlineLevel="0" collapsed="false">
      <c r="A2003" s="13" t="s">
        <v>4</v>
      </c>
      <c r="B2003" s="13" t="s">
        <v>2150</v>
      </c>
      <c r="C2003" s="13" t="n">
        <v>193</v>
      </c>
      <c r="D2003" s="13" t="s">
        <v>7968</v>
      </c>
      <c r="E2003" s="13" t="s">
        <v>7975</v>
      </c>
      <c r="F2003" s="13" t="s">
        <v>7919</v>
      </c>
      <c r="G2003" s="13" t="s">
        <v>7976</v>
      </c>
      <c r="H2003" s="13" t="s">
        <v>7924</v>
      </c>
      <c r="I2003" s="13" t="s">
        <v>82</v>
      </c>
      <c r="J2003" s="13" t="s">
        <v>5716</v>
      </c>
      <c r="K2003" s="13"/>
      <c r="L2003" s="13" t="s">
        <v>7973</v>
      </c>
      <c r="M2003" s="13" t="s">
        <v>7974</v>
      </c>
    </row>
    <row r="2004" customFormat="false" ht="147" hidden="false" customHeight="false" outlineLevel="0" collapsed="false">
      <c r="A2004" s="13" t="s">
        <v>4</v>
      </c>
      <c r="B2004" s="13" t="s">
        <v>2150</v>
      </c>
      <c r="C2004" s="13" t="n">
        <v>193</v>
      </c>
      <c r="D2004" s="13" t="s">
        <v>7968</v>
      </c>
      <c r="E2004" s="13" t="s">
        <v>7977</v>
      </c>
      <c r="F2004" s="13" t="s">
        <v>806</v>
      </c>
      <c r="G2004" s="13" t="s">
        <v>7900</v>
      </c>
      <c r="H2004" s="13" t="s">
        <v>7978</v>
      </c>
      <c r="I2004" s="13" t="s">
        <v>74</v>
      </c>
      <c r="J2004" s="13" t="s">
        <v>7979</v>
      </c>
      <c r="K2004" s="13" t="s">
        <v>7980</v>
      </c>
      <c r="L2004" s="13" t="s">
        <v>7973</v>
      </c>
      <c r="M2004" s="13" t="s">
        <v>7974</v>
      </c>
    </row>
    <row r="2005" customFormat="false" ht="35.05" hidden="false" customHeight="false" outlineLevel="0" collapsed="false">
      <c r="A2005" s="13" t="s">
        <v>4</v>
      </c>
      <c r="B2005" s="13" t="s">
        <v>2150</v>
      </c>
      <c r="C2005" s="13" t="n">
        <v>205</v>
      </c>
      <c r="D2005" s="13" t="s">
        <v>7981</v>
      </c>
      <c r="E2005" s="13" t="s">
        <v>7982</v>
      </c>
      <c r="F2005" s="13" t="s">
        <v>806</v>
      </c>
      <c r="G2005" s="13" t="s">
        <v>7983</v>
      </c>
      <c r="H2005" s="13" t="s">
        <v>7984</v>
      </c>
      <c r="I2005" s="13" t="s">
        <v>82</v>
      </c>
      <c r="J2005" s="13" t="s">
        <v>5716</v>
      </c>
      <c r="K2005" s="13"/>
      <c r="L2005" s="13" t="s">
        <v>7985</v>
      </c>
      <c r="M2005" s="13" t="s">
        <v>7986</v>
      </c>
    </row>
    <row r="2006" customFormat="false" ht="35.05" hidden="false" customHeight="false" outlineLevel="0" collapsed="false">
      <c r="A2006" s="13" t="s">
        <v>4</v>
      </c>
      <c r="B2006" s="13" t="s">
        <v>2150</v>
      </c>
      <c r="C2006" s="13" t="n">
        <v>205</v>
      </c>
      <c r="D2006" s="13" t="s">
        <v>7981</v>
      </c>
      <c r="E2006" s="13" t="s">
        <v>7987</v>
      </c>
      <c r="F2006" s="13" t="s">
        <v>806</v>
      </c>
      <c r="G2006" s="13" t="s">
        <v>7983</v>
      </c>
      <c r="H2006" s="13" t="s">
        <v>7988</v>
      </c>
      <c r="I2006" s="13" t="s">
        <v>82</v>
      </c>
      <c r="J2006" s="13" t="s">
        <v>5716</v>
      </c>
      <c r="K2006" s="13"/>
      <c r="L2006" s="13" t="s">
        <v>7985</v>
      </c>
      <c r="M2006" s="13" t="s">
        <v>7986</v>
      </c>
    </row>
    <row r="2007" customFormat="false" ht="79.85" hidden="false" customHeight="false" outlineLevel="0" collapsed="false">
      <c r="A2007" s="13" t="s">
        <v>4</v>
      </c>
      <c r="B2007" s="13" t="s">
        <v>2150</v>
      </c>
      <c r="C2007" s="13" t="n">
        <v>205</v>
      </c>
      <c r="D2007" s="13" t="s">
        <v>7989</v>
      </c>
      <c r="E2007" s="13" t="s">
        <v>7990</v>
      </c>
      <c r="F2007" s="13" t="s">
        <v>7991</v>
      </c>
      <c r="G2007" s="13" t="s">
        <v>7992</v>
      </c>
      <c r="H2007" s="13" t="s">
        <v>7993</v>
      </c>
      <c r="I2007" s="13" t="s">
        <v>82</v>
      </c>
      <c r="J2007" s="13" t="s">
        <v>5716</v>
      </c>
      <c r="K2007" s="13"/>
      <c r="L2007" s="13" t="s">
        <v>7994</v>
      </c>
      <c r="M2007" s="13" t="s">
        <v>7995</v>
      </c>
    </row>
    <row r="2008" customFormat="false" ht="79.85" hidden="false" customHeight="false" outlineLevel="0" collapsed="false">
      <c r="A2008" s="13" t="s">
        <v>4</v>
      </c>
      <c r="B2008" s="13" t="s">
        <v>2150</v>
      </c>
      <c r="C2008" s="13" t="n">
        <v>205</v>
      </c>
      <c r="D2008" s="13" t="s">
        <v>7989</v>
      </c>
      <c r="E2008" s="13" t="s">
        <v>7996</v>
      </c>
      <c r="F2008" s="13" t="s">
        <v>7991</v>
      </c>
      <c r="G2008" s="13" t="s">
        <v>7997</v>
      </c>
      <c r="H2008" s="13" t="s">
        <v>7998</v>
      </c>
      <c r="I2008" s="13" t="s">
        <v>82</v>
      </c>
      <c r="J2008" s="13" t="s">
        <v>5716</v>
      </c>
      <c r="K2008" s="13"/>
      <c r="L2008" s="13" t="s">
        <v>7994</v>
      </c>
      <c r="M2008" s="13" t="s">
        <v>7995</v>
      </c>
    </row>
    <row r="2009" customFormat="false" ht="135.8" hidden="false" customHeight="false" outlineLevel="0" collapsed="false">
      <c r="A2009" s="13" t="s">
        <v>4</v>
      </c>
      <c r="B2009" s="13" t="s">
        <v>2150</v>
      </c>
      <c r="C2009" s="13" t="n">
        <v>205</v>
      </c>
      <c r="D2009" s="13" t="s">
        <v>7999</v>
      </c>
      <c r="E2009" s="13" t="s">
        <v>8000</v>
      </c>
      <c r="F2009" s="13" t="s">
        <v>8001</v>
      </c>
      <c r="G2009" s="13" t="s">
        <v>7913</v>
      </c>
      <c r="H2009" s="13" t="s">
        <v>8002</v>
      </c>
      <c r="I2009" s="13" t="s">
        <v>82</v>
      </c>
      <c r="J2009" s="13" t="s">
        <v>5716</v>
      </c>
      <c r="K2009" s="13"/>
      <c r="L2009" s="13" t="s">
        <v>8003</v>
      </c>
      <c r="M2009" s="13" t="s">
        <v>8004</v>
      </c>
    </row>
    <row r="2010" customFormat="false" ht="135.8" hidden="false" customHeight="false" outlineLevel="0" collapsed="false">
      <c r="A2010" s="13" t="s">
        <v>4</v>
      </c>
      <c r="B2010" s="13" t="s">
        <v>2150</v>
      </c>
      <c r="C2010" s="13" t="n">
        <v>205</v>
      </c>
      <c r="D2010" s="13" t="s">
        <v>7999</v>
      </c>
      <c r="E2010" s="13" t="s">
        <v>8005</v>
      </c>
      <c r="F2010" s="13" t="s">
        <v>8002</v>
      </c>
      <c r="G2010" s="13" t="s">
        <v>8006</v>
      </c>
      <c r="H2010" s="13" t="s">
        <v>8007</v>
      </c>
      <c r="I2010" s="13" t="s">
        <v>82</v>
      </c>
      <c r="J2010" s="13" t="s">
        <v>5716</v>
      </c>
      <c r="K2010" s="13"/>
      <c r="L2010" s="13" t="s">
        <v>8003</v>
      </c>
      <c r="M2010" s="13" t="s">
        <v>8004</v>
      </c>
    </row>
    <row r="2011" customFormat="false" ht="57.45" hidden="false" customHeight="false" outlineLevel="0" collapsed="false">
      <c r="A2011" s="13" t="s">
        <v>4</v>
      </c>
      <c r="B2011" s="13" t="s">
        <v>2150</v>
      </c>
      <c r="C2011" s="13" t="n">
        <v>205</v>
      </c>
      <c r="D2011" s="13" t="s">
        <v>8008</v>
      </c>
      <c r="E2011" s="13" t="s">
        <v>8009</v>
      </c>
      <c r="F2011" s="13" t="s">
        <v>8001</v>
      </c>
      <c r="G2011" s="13" t="s">
        <v>8010</v>
      </c>
      <c r="H2011" s="13" t="s">
        <v>8011</v>
      </c>
      <c r="I2011" s="13" t="s">
        <v>82</v>
      </c>
      <c r="J2011" s="13" t="s">
        <v>5716</v>
      </c>
      <c r="K2011" s="13"/>
      <c r="L2011" s="13" t="s">
        <v>8012</v>
      </c>
      <c r="M2011" s="13" t="s">
        <v>8013</v>
      </c>
    </row>
    <row r="2012" customFormat="false" ht="35.05" hidden="false" customHeight="false" outlineLevel="0" collapsed="false">
      <c r="A2012" s="13" t="s">
        <v>4</v>
      </c>
      <c r="B2012" s="13" t="s">
        <v>2150</v>
      </c>
      <c r="C2012" s="13" t="n">
        <v>205</v>
      </c>
      <c r="D2012" s="13" t="s">
        <v>8014</v>
      </c>
      <c r="E2012" s="13" t="s">
        <v>8015</v>
      </c>
      <c r="F2012" s="13" t="s">
        <v>8016</v>
      </c>
      <c r="G2012" s="13" t="s">
        <v>8017</v>
      </c>
      <c r="H2012" s="13" t="s">
        <v>8018</v>
      </c>
      <c r="I2012" s="13" t="s">
        <v>82</v>
      </c>
      <c r="J2012" s="13" t="s">
        <v>5716</v>
      </c>
      <c r="K2012" s="13"/>
      <c r="L2012" s="13" t="s">
        <v>8019</v>
      </c>
      <c r="M2012" s="13" t="s">
        <v>8020</v>
      </c>
    </row>
    <row r="2013" customFormat="false" ht="35.05" hidden="false" customHeight="false" outlineLevel="0" collapsed="false">
      <c r="A2013" s="13" t="s">
        <v>4</v>
      </c>
      <c r="B2013" s="13" t="s">
        <v>2150</v>
      </c>
      <c r="C2013" s="13" t="n">
        <v>205</v>
      </c>
      <c r="D2013" s="13" t="s">
        <v>8014</v>
      </c>
      <c r="E2013" s="13" t="s">
        <v>8021</v>
      </c>
      <c r="F2013" s="13" t="s">
        <v>8022</v>
      </c>
      <c r="G2013" s="13" t="s">
        <v>8023</v>
      </c>
      <c r="H2013" s="13" t="s">
        <v>8024</v>
      </c>
      <c r="I2013" s="13" t="s">
        <v>82</v>
      </c>
      <c r="J2013" s="13" t="s">
        <v>5716</v>
      </c>
      <c r="K2013" s="13"/>
      <c r="L2013" s="13" t="s">
        <v>8019</v>
      </c>
      <c r="M2013" s="13" t="s">
        <v>8020</v>
      </c>
    </row>
    <row r="2014" customFormat="false" ht="23.85" hidden="false" customHeight="false" outlineLevel="0" collapsed="false">
      <c r="A2014" s="13" t="s">
        <v>4</v>
      </c>
      <c r="B2014" s="13" t="s">
        <v>2150</v>
      </c>
      <c r="C2014" s="13" t="n">
        <v>205</v>
      </c>
      <c r="D2014" s="13" t="s">
        <v>8025</v>
      </c>
      <c r="E2014" s="13" t="s">
        <v>8026</v>
      </c>
      <c r="F2014" s="13" t="s">
        <v>8022</v>
      </c>
      <c r="G2014" s="13" t="s">
        <v>8027</v>
      </c>
      <c r="H2014" s="13" t="s">
        <v>8028</v>
      </c>
      <c r="I2014" s="13" t="s">
        <v>82</v>
      </c>
      <c r="J2014" s="13" t="s">
        <v>5716</v>
      </c>
      <c r="K2014" s="13"/>
      <c r="L2014" s="13" t="s">
        <v>8029</v>
      </c>
      <c r="M2014" s="13" t="s">
        <v>8030</v>
      </c>
    </row>
    <row r="2015" customFormat="false" ht="23.85" hidden="false" customHeight="false" outlineLevel="0" collapsed="false">
      <c r="A2015" s="13" t="s">
        <v>4</v>
      </c>
      <c r="B2015" s="13" t="s">
        <v>2150</v>
      </c>
      <c r="C2015" s="13" t="n">
        <v>228</v>
      </c>
      <c r="D2015" s="13" t="s">
        <v>8031</v>
      </c>
      <c r="E2015" s="13" t="s">
        <v>8032</v>
      </c>
      <c r="F2015" s="13" t="s">
        <v>8033</v>
      </c>
      <c r="G2015" s="13" t="s">
        <v>8034</v>
      </c>
      <c r="H2015" s="13" t="s">
        <v>4988</v>
      </c>
      <c r="I2015" s="13" t="s">
        <v>82</v>
      </c>
      <c r="J2015" s="13" t="s">
        <v>5716</v>
      </c>
      <c r="K2015" s="13"/>
      <c r="L2015" s="13" t="s">
        <v>8035</v>
      </c>
      <c r="M2015" s="13" t="s">
        <v>8036</v>
      </c>
    </row>
    <row r="2016" customFormat="false" ht="35.05" hidden="false" customHeight="false" outlineLevel="0" collapsed="false">
      <c r="A2016" s="13" t="s">
        <v>4</v>
      </c>
      <c r="B2016" s="13" t="s">
        <v>2150</v>
      </c>
      <c r="C2016" s="13" t="n">
        <v>228</v>
      </c>
      <c r="D2016" s="13" t="s">
        <v>8037</v>
      </c>
      <c r="E2016" s="13" t="s">
        <v>8038</v>
      </c>
      <c r="F2016" s="13" t="s">
        <v>8039</v>
      </c>
      <c r="G2016" s="13" t="s">
        <v>1440</v>
      </c>
      <c r="H2016" s="13" t="s">
        <v>8040</v>
      </c>
      <c r="I2016" s="13" t="s">
        <v>82</v>
      </c>
      <c r="J2016" s="13" t="s">
        <v>5716</v>
      </c>
      <c r="K2016" s="13"/>
      <c r="L2016" s="13" t="s">
        <v>8041</v>
      </c>
      <c r="M2016" s="13" t="s">
        <v>8042</v>
      </c>
    </row>
    <row r="2017" customFormat="false" ht="35.05" hidden="false" customHeight="false" outlineLevel="0" collapsed="false">
      <c r="A2017" s="13" t="s">
        <v>4</v>
      </c>
      <c r="B2017" s="13" t="s">
        <v>2150</v>
      </c>
      <c r="C2017" s="13" t="n">
        <v>228</v>
      </c>
      <c r="D2017" s="13" t="s">
        <v>8037</v>
      </c>
      <c r="E2017" s="13" t="s">
        <v>8043</v>
      </c>
      <c r="F2017" s="13" t="s">
        <v>8044</v>
      </c>
      <c r="G2017" s="13" t="s">
        <v>1164</v>
      </c>
      <c r="H2017" s="13" t="s">
        <v>8045</v>
      </c>
      <c r="I2017" s="13" t="s">
        <v>82</v>
      </c>
      <c r="J2017" s="13" t="s">
        <v>5716</v>
      </c>
      <c r="K2017" s="13"/>
      <c r="L2017" s="13" t="s">
        <v>8041</v>
      </c>
      <c r="M2017" s="13" t="s">
        <v>8042</v>
      </c>
    </row>
    <row r="2018" customFormat="false" ht="23.85" hidden="false" customHeight="false" outlineLevel="0" collapsed="false">
      <c r="A2018" s="13" t="s">
        <v>4</v>
      </c>
      <c r="B2018" s="13" t="s">
        <v>2150</v>
      </c>
      <c r="C2018" s="13" t="n">
        <v>228</v>
      </c>
      <c r="D2018" s="13" t="s">
        <v>8046</v>
      </c>
      <c r="E2018" s="13" t="s">
        <v>8047</v>
      </c>
      <c r="F2018" s="13" t="s">
        <v>8039</v>
      </c>
      <c r="G2018" s="13" t="s">
        <v>8048</v>
      </c>
      <c r="H2018" s="13" t="s">
        <v>8049</v>
      </c>
      <c r="I2018" s="13" t="s">
        <v>82</v>
      </c>
      <c r="J2018" s="13" t="s">
        <v>5716</v>
      </c>
      <c r="K2018" s="13"/>
      <c r="L2018" s="13" t="s">
        <v>8050</v>
      </c>
      <c r="M2018" s="13" t="s">
        <v>8051</v>
      </c>
    </row>
    <row r="2019" customFormat="false" ht="23.85" hidden="false" customHeight="false" outlineLevel="0" collapsed="false">
      <c r="A2019" s="13" t="s">
        <v>4</v>
      </c>
      <c r="B2019" s="13" t="s">
        <v>2150</v>
      </c>
      <c r="C2019" s="13" t="n">
        <v>228</v>
      </c>
      <c r="D2019" s="13" t="s">
        <v>8052</v>
      </c>
      <c r="E2019" s="13" t="s">
        <v>8053</v>
      </c>
      <c r="F2019" s="13" t="s">
        <v>8054</v>
      </c>
      <c r="G2019" s="13" t="s">
        <v>8055</v>
      </c>
      <c r="H2019" s="13" t="s">
        <v>8056</v>
      </c>
      <c r="I2019" s="13" t="s">
        <v>82</v>
      </c>
      <c r="J2019" s="13" t="s">
        <v>5716</v>
      </c>
      <c r="K2019" s="13"/>
      <c r="L2019" s="13" t="s">
        <v>8057</v>
      </c>
      <c r="M2019" s="13" t="s">
        <v>8058</v>
      </c>
    </row>
    <row r="2020" customFormat="false" ht="23.85" hidden="false" customHeight="false" outlineLevel="0" collapsed="false">
      <c r="A2020" s="13" t="s">
        <v>4</v>
      </c>
      <c r="B2020" s="13" t="s">
        <v>2150</v>
      </c>
      <c r="C2020" s="13" t="n">
        <v>228</v>
      </c>
      <c r="D2020" s="13" t="s">
        <v>8059</v>
      </c>
      <c r="E2020" s="13" t="s">
        <v>8060</v>
      </c>
      <c r="F2020" s="13" t="s">
        <v>6511</v>
      </c>
      <c r="G2020" s="13" t="s">
        <v>8061</v>
      </c>
      <c r="H2020" s="13" t="s">
        <v>8062</v>
      </c>
      <c r="I2020" s="13" t="s">
        <v>82</v>
      </c>
      <c r="J2020" s="13" t="s">
        <v>5716</v>
      </c>
      <c r="K2020" s="13"/>
      <c r="L2020" s="13" t="s">
        <v>8063</v>
      </c>
      <c r="M2020" s="13" t="s">
        <v>8064</v>
      </c>
    </row>
    <row r="2021" customFormat="false" ht="23.85" hidden="false" customHeight="false" outlineLevel="0" collapsed="false">
      <c r="A2021" s="13" t="s">
        <v>4</v>
      </c>
      <c r="B2021" s="13" t="s">
        <v>2150</v>
      </c>
      <c r="C2021" s="13" t="n">
        <v>228</v>
      </c>
      <c r="D2021" s="13" t="s">
        <v>8065</v>
      </c>
      <c r="E2021" s="13" t="s">
        <v>8066</v>
      </c>
      <c r="F2021" s="13" t="s">
        <v>6511</v>
      </c>
      <c r="G2021" s="13" t="s">
        <v>8067</v>
      </c>
      <c r="H2021" s="13" t="s">
        <v>8068</v>
      </c>
      <c r="I2021" s="13" t="s">
        <v>82</v>
      </c>
      <c r="J2021" s="13" t="s">
        <v>5716</v>
      </c>
      <c r="K2021" s="13"/>
      <c r="L2021" s="13" t="s">
        <v>8069</v>
      </c>
      <c r="M2021" s="13" t="s">
        <v>8070</v>
      </c>
    </row>
    <row r="2022" customFormat="false" ht="23.85" hidden="false" customHeight="false" outlineLevel="0" collapsed="false">
      <c r="A2022" s="13" t="s">
        <v>4</v>
      </c>
      <c r="B2022" s="13" t="s">
        <v>2150</v>
      </c>
      <c r="C2022" s="13" t="n">
        <v>228</v>
      </c>
      <c r="D2022" s="13" t="s">
        <v>8071</v>
      </c>
      <c r="E2022" s="13" t="s">
        <v>8072</v>
      </c>
      <c r="F2022" s="13" t="s">
        <v>8068</v>
      </c>
      <c r="G2022" s="13" t="s">
        <v>8073</v>
      </c>
      <c r="H2022" s="13" t="s">
        <v>8074</v>
      </c>
      <c r="I2022" s="13" t="s">
        <v>82</v>
      </c>
      <c r="J2022" s="13" t="s">
        <v>5716</v>
      </c>
      <c r="K2022" s="13"/>
      <c r="L2022" s="13" t="s">
        <v>8075</v>
      </c>
      <c r="M2022" s="13" t="s">
        <v>8076</v>
      </c>
    </row>
    <row r="2023" customFormat="false" ht="23.85" hidden="false" customHeight="false" outlineLevel="0" collapsed="false">
      <c r="A2023" s="13" t="s">
        <v>4</v>
      </c>
      <c r="B2023" s="13" t="s">
        <v>2150</v>
      </c>
      <c r="C2023" s="13" t="n">
        <v>228</v>
      </c>
      <c r="D2023" s="13" t="s">
        <v>8077</v>
      </c>
      <c r="E2023" s="13" t="s">
        <v>8078</v>
      </c>
      <c r="F2023" s="13" t="s">
        <v>4500</v>
      </c>
      <c r="G2023" s="13" t="s">
        <v>8079</v>
      </c>
      <c r="H2023" s="13" t="s">
        <v>8080</v>
      </c>
      <c r="I2023" s="13" t="s">
        <v>82</v>
      </c>
      <c r="J2023" s="13" t="s">
        <v>5716</v>
      </c>
      <c r="K2023" s="13"/>
      <c r="L2023" s="13" t="s">
        <v>8081</v>
      </c>
      <c r="M2023" s="13" t="s">
        <v>8082</v>
      </c>
    </row>
    <row r="2024" customFormat="false" ht="23.85" hidden="false" customHeight="false" outlineLevel="0" collapsed="false">
      <c r="A2024" s="13" t="s">
        <v>4</v>
      </c>
      <c r="B2024" s="13" t="s">
        <v>2150</v>
      </c>
      <c r="C2024" s="13" t="n">
        <v>228</v>
      </c>
      <c r="D2024" s="13" t="s">
        <v>8083</v>
      </c>
      <c r="E2024" s="13" t="s">
        <v>8084</v>
      </c>
      <c r="F2024" s="13" t="s">
        <v>4500</v>
      </c>
      <c r="G2024" s="13" t="s">
        <v>1164</v>
      </c>
      <c r="H2024" s="13" t="s">
        <v>8085</v>
      </c>
      <c r="I2024" s="13" t="s">
        <v>82</v>
      </c>
      <c r="J2024" s="13" t="s">
        <v>5716</v>
      </c>
      <c r="K2024" s="13"/>
      <c r="L2024" s="13" t="s">
        <v>8086</v>
      </c>
      <c r="M2024" s="13" t="s">
        <v>8087</v>
      </c>
    </row>
    <row r="2025" customFormat="false" ht="23.85" hidden="false" customHeight="false" outlineLevel="0" collapsed="false">
      <c r="A2025" s="13" t="s">
        <v>4</v>
      </c>
      <c r="B2025" s="13" t="s">
        <v>2150</v>
      </c>
      <c r="C2025" s="13" t="n">
        <v>228</v>
      </c>
      <c r="D2025" s="13" t="s">
        <v>8083</v>
      </c>
      <c r="E2025" s="13" t="s">
        <v>8088</v>
      </c>
      <c r="F2025" s="13" t="s">
        <v>4500</v>
      </c>
      <c r="G2025" s="13" t="s">
        <v>8089</v>
      </c>
      <c r="H2025" s="13" t="s">
        <v>8090</v>
      </c>
      <c r="I2025" s="13" t="s">
        <v>82</v>
      </c>
      <c r="J2025" s="13" t="s">
        <v>5716</v>
      </c>
      <c r="K2025" s="13"/>
      <c r="L2025" s="13" t="s">
        <v>8086</v>
      </c>
      <c r="M2025" s="13" t="s">
        <v>8087</v>
      </c>
    </row>
    <row r="2026" customFormat="false" ht="23.85" hidden="false" customHeight="false" outlineLevel="0" collapsed="false">
      <c r="A2026" s="13" t="s">
        <v>4</v>
      </c>
      <c r="B2026" s="13" t="s">
        <v>2150</v>
      </c>
      <c r="C2026" s="13" t="n">
        <v>228</v>
      </c>
      <c r="D2026" s="13" t="s">
        <v>8091</v>
      </c>
      <c r="E2026" s="13" t="s">
        <v>8092</v>
      </c>
      <c r="F2026" s="13" t="s">
        <v>8093</v>
      </c>
      <c r="G2026" s="13" t="s">
        <v>8094</v>
      </c>
      <c r="H2026" s="13" t="s">
        <v>8062</v>
      </c>
      <c r="I2026" s="13" t="s">
        <v>82</v>
      </c>
      <c r="J2026" s="13" t="s">
        <v>5716</v>
      </c>
      <c r="K2026" s="13"/>
      <c r="L2026" s="13" t="s">
        <v>8095</v>
      </c>
      <c r="M2026" s="13" t="s">
        <v>8096</v>
      </c>
    </row>
    <row r="2027" customFormat="false" ht="23.85" hidden="false" customHeight="false" outlineLevel="0" collapsed="false">
      <c r="A2027" s="13" t="s">
        <v>4</v>
      </c>
      <c r="B2027" s="13" t="s">
        <v>2150</v>
      </c>
      <c r="C2027" s="13" t="n">
        <v>228</v>
      </c>
      <c r="D2027" s="13" t="s">
        <v>8097</v>
      </c>
      <c r="E2027" s="13" t="s">
        <v>8098</v>
      </c>
      <c r="F2027" s="13" t="s">
        <v>8093</v>
      </c>
      <c r="G2027" s="13" t="s">
        <v>8061</v>
      </c>
      <c r="H2027" s="13" t="s">
        <v>8062</v>
      </c>
      <c r="I2027" s="13" t="s">
        <v>82</v>
      </c>
      <c r="J2027" s="13" t="s">
        <v>5716</v>
      </c>
      <c r="K2027" s="13"/>
      <c r="L2027" s="13" t="s">
        <v>8099</v>
      </c>
      <c r="M2027" s="13" t="s">
        <v>8100</v>
      </c>
    </row>
    <row r="2028" customFormat="false" ht="23.85" hidden="false" customHeight="false" outlineLevel="0" collapsed="false">
      <c r="A2028" s="13" t="s">
        <v>4</v>
      </c>
      <c r="B2028" s="13" t="s">
        <v>2150</v>
      </c>
      <c r="C2028" s="13" t="n">
        <v>228</v>
      </c>
      <c r="D2028" s="13" t="s">
        <v>8101</v>
      </c>
      <c r="E2028" s="13" t="s">
        <v>8102</v>
      </c>
      <c r="F2028" s="13" t="s">
        <v>8103</v>
      </c>
      <c r="G2028" s="13" t="s">
        <v>8067</v>
      </c>
      <c r="H2028" s="13" t="s">
        <v>8080</v>
      </c>
      <c r="I2028" s="13" t="s">
        <v>82</v>
      </c>
      <c r="J2028" s="13" t="s">
        <v>5716</v>
      </c>
      <c r="K2028" s="13"/>
      <c r="L2028" s="13" t="s">
        <v>8104</v>
      </c>
      <c r="M2028" s="13" t="s">
        <v>8105</v>
      </c>
    </row>
    <row r="2029" customFormat="false" ht="23.85" hidden="false" customHeight="false" outlineLevel="0" collapsed="false">
      <c r="A2029" s="13" t="s">
        <v>4</v>
      </c>
      <c r="B2029" s="13" t="s">
        <v>2150</v>
      </c>
      <c r="C2029" s="13" t="n">
        <v>228</v>
      </c>
      <c r="D2029" s="13" t="s">
        <v>8106</v>
      </c>
      <c r="E2029" s="13" t="s">
        <v>8107</v>
      </c>
      <c r="F2029" s="13" t="s">
        <v>8068</v>
      </c>
      <c r="G2029" s="13" t="s">
        <v>8108</v>
      </c>
      <c r="H2029" s="13" t="s">
        <v>8109</v>
      </c>
      <c r="I2029" s="13" t="s">
        <v>82</v>
      </c>
      <c r="J2029" s="13" t="s">
        <v>5716</v>
      </c>
      <c r="K2029" s="13"/>
      <c r="L2029" s="13" t="s">
        <v>8110</v>
      </c>
      <c r="M2029" s="13" t="s">
        <v>8111</v>
      </c>
    </row>
    <row r="2030" customFormat="false" ht="23.85" hidden="false" customHeight="false" outlineLevel="0" collapsed="false">
      <c r="A2030" s="13" t="s">
        <v>4</v>
      </c>
      <c r="B2030" s="13" t="s">
        <v>2150</v>
      </c>
      <c r="C2030" s="13" t="n">
        <v>228</v>
      </c>
      <c r="D2030" s="13" t="s">
        <v>8112</v>
      </c>
      <c r="E2030" s="13" t="s">
        <v>8113</v>
      </c>
      <c r="F2030" s="13" t="s">
        <v>8080</v>
      </c>
      <c r="G2030" s="13" t="s">
        <v>8114</v>
      </c>
      <c r="H2030" s="13" t="s">
        <v>8115</v>
      </c>
      <c r="I2030" s="13" t="s">
        <v>82</v>
      </c>
      <c r="J2030" s="13" t="s">
        <v>5716</v>
      </c>
      <c r="K2030" s="13"/>
      <c r="L2030" s="13" t="s">
        <v>8116</v>
      </c>
      <c r="M2030" s="13" t="s">
        <v>8117</v>
      </c>
    </row>
    <row r="2031" customFormat="false" ht="23.85" hidden="false" customHeight="false" outlineLevel="0" collapsed="false">
      <c r="A2031" s="13" t="s">
        <v>4</v>
      </c>
      <c r="B2031" s="13" t="s">
        <v>2150</v>
      </c>
      <c r="C2031" s="13" t="n">
        <v>228</v>
      </c>
      <c r="D2031" s="13" t="s">
        <v>8118</v>
      </c>
      <c r="E2031" s="13" t="s">
        <v>8119</v>
      </c>
      <c r="F2031" s="13" t="s">
        <v>8080</v>
      </c>
      <c r="G2031" s="13" t="s">
        <v>8120</v>
      </c>
      <c r="H2031" s="13" t="s">
        <v>8121</v>
      </c>
      <c r="I2031" s="13" t="s">
        <v>82</v>
      </c>
      <c r="J2031" s="13" t="s">
        <v>5716</v>
      </c>
      <c r="K2031" s="13"/>
      <c r="L2031" s="13" t="s">
        <v>8122</v>
      </c>
      <c r="M2031" s="13" t="s">
        <v>8123</v>
      </c>
    </row>
    <row r="2032" customFormat="false" ht="23.85" hidden="false" customHeight="false" outlineLevel="0" collapsed="false">
      <c r="A2032" s="13" t="s">
        <v>4</v>
      </c>
      <c r="B2032" s="13" t="s">
        <v>2150</v>
      </c>
      <c r="C2032" s="13" t="n">
        <v>228</v>
      </c>
      <c r="D2032" s="13" t="s">
        <v>8124</v>
      </c>
      <c r="E2032" s="13" t="s">
        <v>8125</v>
      </c>
      <c r="F2032" s="13" t="s">
        <v>8080</v>
      </c>
      <c r="G2032" s="13" t="s">
        <v>8126</v>
      </c>
      <c r="H2032" s="13" t="s">
        <v>8127</v>
      </c>
      <c r="I2032" s="13" t="s">
        <v>82</v>
      </c>
      <c r="J2032" s="13" t="s">
        <v>5716</v>
      </c>
      <c r="K2032" s="13"/>
      <c r="L2032" s="13" t="s">
        <v>8128</v>
      </c>
      <c r="M2032" s="13" t="s">
        <v>8129</v>
      </c>
    </row>
    <row r="2033" customFormat="false" ht="23.85" hidden="false" customHeight="false" outlineLevel="0" collapsed="false">
      <c r="A2033" s="13" t="s">
        <v>4</v>
      </c>
      <c r="B2033" s="13" t="s">
        <v>2150</v>
      </c>
      <c r="C2033" s="13" t="n">
        <v>228</v>
      </c>
      <c r="D2033" s="13" t="s">
        <v>8130</v>
      </c>
      <c r="E2033" s="13" t="s">
        <v>8131</v>
      </c>
      <c r="F2033" s="13" t="s">
        <v>8132</v>
      </c>
      <c r="G2033" s="13" t="s">
        <v>8133</v>
      </c>
      <c r="H2033" s="13" t="s">
        <v>8134</v>
      </c>
      <c r="I2033" s="13" t="s">
        <v>82</v>
      </c>
      <c r="J2033" s="13" t="s">
        <v>5716</v>
      </c>
      <c r="K2033" s="13"/>
      <c r="L2033" s="13" t="s">
        <v>8135</v>
      </c>
      <c r="M2033" s="13" t="s">
        <v>8136</v>
      </c>
    </row>
    <row r="2034" customFormat="false" ht="23.85" hidden="false" customHeight="false" outlineLevel="0" collapsed="false">
      <c r="A2034" s="13" t="s">
        <v>4</v>
      </c>
      <c r="B2034" s="13" t="s">
        <v>2150</v>
      </c>
      <c r="C2034" s="13" t="n">
        <v>228</v>
      </c>
      <c r="D2034" s="13" t="s">
        <v>8137</v>
      </c>
      <c r="E2034" s="13" t="s">
        <v>8138</v>
      </c>
      <c r="F2034" s="13" t="s">
        <v>8139</v>
      </c>
      <c r="G2034" s="13" t="s">
        <v>8140</v>
      </c>
      <c r="H2034" s="13" t="s">
        <v>8141</v>
      </c>
      <c r="I2034" s="13" t="s">
        <v>82</v>
      </c>
      <c r="J2034" s="13" t="s">
        <v>5716</v>
      </c>
      <c r="K2034" s="13"/>
      <c r="L2034" s="13" t="s">
        <v>8142</v>
      </c>
      <c r="M2034" s="13" t="s">
        <v>8143</v>
      </c>
    </row>
    <row r="2035" customFormat="false" ht="35.05" hidden="false" customHeight="false" outlineLevel="0" collapsed="false">
      <c r="A2035" s="13" t="s">
        <v>4</v>
      </c>
      <c r="B2035" s="13" t="s">
        <v>2150</v>
      </c>
      <c r="C2035" s="13" t="n">
        <v>228</v>
      </c>
      <c r="D2035" s="13" t="s">
        <v>8144</v>
      </c>
      <c r="E2035" s="13" t="s">
        <v>8145</v>
      </c>
      <c r="F2035" s="13" t="s">
        <v>8139</v>
      </c>
      <c r="G2035" s="13" t="s">
        <v>8146</v>
      </c>
      <c r="H2035" s="13" t="s">
        <v>8147</v>
      </c>
      <c r="I2035" s="13" t="s">
        <v>114</v>
      </c>
      <c r="J2035" s="13" t="s">
        <v>8148</v>
      </c>
      <c r="K2035" s="13" t="s">
        <v>8149</v>
      </c>
      <c r="L2035" s="13" t="s">
        <v>8150</v>
      </c>
      <c r="M2035" s="13" t="s">
        <v>8151</v>
      </c>
    </row>
    <row r="2036" customFormat="false" ht="23.85" hidden="false" customHeight="false" outlineLevel="0" collapsed="false">
      <c r="A2036" s="13" t="s">
        <v>4</v>
      </c>
      <c r="B2036" s="13" t="s">
        <v>2150</v>
      </c>
      <c r="C2036" s="13" t="n">
        <v>228</v>
      </c>
      <c r="D2036" s="13" t="s">
        <v>8152</v>
      </c>
      <c r="E2036" s="13" t="s">
        <v>8153</v>
      </c>
      <c r="F2036" s="13" t="s">
        <v>8154</v>
      </c>
      <c r="G2036" s="13" t="s">
        <v>8155</v>
      </c>
      <c r="H2036" s="13" t="s">
        <v>8156</v>
      </c>
      <c r="I2036" s="13" t="s">
        <v>82</v>
      </c>
      <c r="J2036" s="13" t="s">
        <v>5716</v>
      </c>
      <c r="K2036" s="13"/>
      <c r="L2036" s="13" t="s">
        <v>8157</v>
      </c>
      <c r="M2036" s="13" t="s">
        <v>8158</v>
      </c>
    </row>
    <row r="2037" customFormat="false" ht="23.85" hidden="false" customHeight="false" outlineLevel="0" collapsed="false">
      <c r="A2037" s="13" t="s">
        <v>4</v>
      </c>
      <c r="B2037" s="13" t="s">
        <v>2150</v>
      </c>
      <c r="C2037" s="13" t="n">
        <v>228</v>
      </c>
      <c r="D2037" s="13" t="s">
        <v>8159</v>
      </c>
      <c r="E2037" s="13" t="s">
        <v>8160</v>
      </c>
      <c r="F2037" s="13" t="s">
        <v>8156</v>
      </c>
      <c r="G2037" s="13" t="s">
        <v>8161</v>
      </c>
      <c r="H2037" s="13" t="s">
        <v>8162</v>
      </c>
      <c r="I2037" s="13" t="s">
        <v>82</v>
      </c>
      <c r="J2037" s="13" t="s">
        <v>5716</v>
      </c>
      <c r="K2037" s="13"/>
      <c r="L2037" s="13" t="s">
        <v>8163</v>
      </c>
      <c r="M2037" s="13" t="s">
        <v>8164</v>
      </c>
    </row>
    <row r="2038" customFormat="false" ht="23.85" hidden="false" customHeight="false" outlineLevel="0" collapsed="false">
      <c r="A2038" s="13" t="s">
        <v>4</v>
      </c>
      <c r="B2038" s="13" t="s">
        <v>2150</v>
      </c>
      <c r="C2038" s="13" t="n">
        <v>228</v>
      </c>
      <c r="D2038" s="13" t="s">
        <v>8165</v>
      </c>
      <c r="E2038" s="13" t="s">
        <v>8166</v>
      </c>
      <c r="F2038" s="13" t="s">
        <v>8167</v>
      </c>
      <c r="G2038" s="13" t="s">
        <v>8168</v>
      </c>
      <c r="H2038" s="13" t="s">
        <v>8169</v>
      </c>
      <c r="I2038" s="13" t="s">
        <v>82</v>
      </c>
      <c r="J2038" s="13" t="s">
        <v>5716</v>
      </c>
      <c r="K2038" s="13"/>
      <c r="L2038" s="13" t="s">
        <v>8170</v>
      </c>
      <c r="M2038" s="13" t="s">
        <v>8171</v>
      </c>
    </row>
    <row r="2039" customFormat="false" ht="23.85" hidden="false" customHeight="false" outlineLevel="0" collapsed="false">
      <c r="A2039" s="13" t="s">
        <v>4</v>
      </c>
      <c r="B2039" s="13" t="s">
        <v>2150</v>
      </c>
      <c r="C2039" s="13" t="n">
        <v>228</v>
      </c>
      <c r="D2039" s="13" t="s">
        <v>8172</v>
      </c>
      <c r="E2039" s="13" t="s">
        <v>8173</v>
      </c>
      <c r="F2039" s="13" t="s">
        <v>8154</v>
      </c>
      <c r="G2039" s="13" t="s">
        <v>8174</v>
      </c>
      <c r="H2039" s="13" t="s">
        <v>8175</v>
      </c>
      <c r="I2039" s="13" t="s">
        <v>82</v>
      </c>
      <c r="J2039" s="13" t="s">
        <v>5716</v>
      </c>
      <c r="K2039" s="13"/>
      <c r="L2039" s="13" t="s">
        <v>8176</v>
      </c>
      <c r="M2039" s="13" t="s">
        <v>8177</v>
      </c>
    </row>
    <row r="2040" customFormat="false" ht="23.85" hidden="false" customHeight="false" outlineLevel="0" collapsed="false">
      <c r="A2040" s="13" t="s">
        <v>4</v>
      </c>
      <c r="B2040" s="13" t="s">
        <v>2150</v>
      </c>
      <c r="C2040" s="13" t="n">
        <v>228</v>
      </c>
      <c r="D2040" s="13" t="s">
        <v>8178</v>
      </c>
      <c r="E2040" s="13" t="s">
        <v>8179</v>
      </c>
      <c r="F2040" s="13" t="s">
        <v>8154</v>
      </c>
      <c r="G2040" s="13" t="s">
        <v>8180</v>
      </c>
      <c r="H2040" s="13" t="s">
        <v>8156</v>
      </c>
      <c r="I2040" s="13" t="s">
        <v>82</v>
      </c>
      <c r="J2040" s="13" t="s">
        <v>5716</v>
      </c>
      <c r="K2040" s="13"/>
      <c r="L2040" s="13" t="s">
        <v>8181</v>
      </c>
      <c r="M2040" s="13" t="s">
        <v>8182</v>
      </c>
    </row>
    <row r="2041" customFormat="false" ht="23.85" hidden="false" customHeight="false" outlineLevel="0" collapsed="false">
      <c r="A2041" s="13" t="s">
        <v>4</v>
      </c>
      <c r="B2041" s="13" t="s">
        <v>2150</v>
      </c>
      <c r="C2041" s="13" t="n">
        <v>228</v>
      </c>
      <c r="D2041" s="13" t="s">
        <v>8183</v>
      </c>
      <c r="E2041" s="13" t="s">
        <v>8184</v>
      </c>
      <c r="F2041" s="13" t="s">
        <v>8154</v>
      </c>
      <c r="G2041" s="13" t="s">
        <v>8185</v>
      </c>
      <c r="H2041" s="13" t="s">
        <v>8080</v>
      </c>
      <c r="I2041" s="13" t="s">
        <v>82</v>
      </c>
      <c r="J2041" s="13" t="s">
        <v>5716</v>
      </c>
      <c r="K2041" s="13"/>
      <c r="L2041" s="13" t="s">
        <v>8186</v>
      </c>
      <c r="M2041" s="13" t="s">
        <v>8187</v>
      </c>
    </row>
    <row r="2042" customFormat="false" ht="23.85" hidden="false" customHeight="false" outlineLevel="0" collapsed="false">
      <c r="A2042" s="13" t="s">
        <v>4</v>
      </c>
      <c r="B2042" s="13" t="s">
        <v>2150</v>
      </c>
      <c r="C2042" s="13" t="n">
        <v>228</v>
      </c>
      <c r="D2042" s="13" t="s">
        <v>8188</v>
      </c>
      <c r="E2042" s="13" t="s">
        <v>8189</v>
      </c>
      <c r="F2042" s="13" t="s">
        <v>8154</v>
      </c>
      <c r="G2042" s="13" t="s">
        <v>8190</v>
      </c>
      <c r="H2042" s="13" t="s">
        <v>8080</v>
      </c>
      <c r="I2042" s="13" t="s">
        <v>82</v>
      </c>
      <c r="J2042" s="13" t="s">
        <v>5716</v>
      </c>
      <c r="K2042" s="13"/>
      <c r="L2042" s="13" t="s">
        <v>8191</v>
      </c>
      <c r="M2042" s="13" t="s">
        <v>8192</v>
      </c>
    </row>
    <row r="2043" customFormat="false" ht="23.85" hidden="false" customHeight="false" outlineLevel="0" collapsed="false">
      <c r="A2043" s="13" t="s">
        <v>4</v>
      </c>
      <c r="B2043" s="13" t="s">
        <v>2150</v>
      </c>
      <c r="C2043" s="13" t="n">
        <v>228</v>
      </c>
      <c r="D2043" s="13" t="s">
        <v>8193</v>
      </c>
      <c r="E2043" s="13" t="s">
        <v>8194</v>
      </c>
      <c r="F2043" s="13" t="s">
        <v>8080</v>
      </c>
      <c r="G2043" s="13" t="s">
        <v>8195</v>
      </c>
      <c r="H2043" s="13" t="s">
        <v>7785</v>
      </c>
      <c r="I2043" s="13" t="s">
        <v>82</v>
      </c>
      <c r="J2043" s="13" t="s">
        <v>5716</v>
      </c>
      <c r="K2043" s="13"/>
      <c r="L2043" s="13" t="s">
        <v>8196</v>
      </c>
      <c r="M2043" s="13" t="s">
        <v>8197</v>
      </c>
    </row>
    <row r="2044" customFormat="false" ht="23.85" hidden="false" customHeight="false" outlineLevel="0" collapsed="false">
      <c r="A2044" s="13" t="s">
        <v>4</v>
      </c>
      <c r="B2044" s="13" t="s">
        <v>2150</v>
      </c>
      <c r="C2044" s="13" t="n">
        <v>228</v>
      </c>
      <c r="D2044" s="13" t="s">
        <v>8198</v>
      </c>
      <c r="E2044" s="13" t="s">
        <v>8199</v>
      </c>
      <c r="F2044" s="13" t="s">
        <v>8080</v>
      </c>
      <c r="G2044" s="13" t="s">
        <v>8200</v>
      </c>
      <c r="H2044" s="13" t="s">
        <v>8201</v>
      </c>
      <c r="I2044" s="13" t="s">
        <v>82</v>
      </c>
      <c r="J2044" s="13" t="s">
        <v>5716</v>
      </c>
      <c r="K2044" s="13"/>
      <c r="L2044" s="13" t="s">
        <v>8202</v>
      </c>
      <c r="M2044" s="13" t="s">
        <v>8203</v>
      </c>
    </row>
    <row r="2045" customFormat="false" ht="23.85" hidden="false" customHeight="false" outlineLevel="0" collapsed="false">
      <c r="A2045" s="13" t="s">
        <v>4</v>
      </c>
      <c r="B2045" s="13" t="s">
        <v>2150</v>
      </c>
      <c r="C2045" s="13" t="n">
        <v>228</v>
      </c>
      <c r="D2045" s="13" t="s">
        <v>8204</v>
      </c>
      <c r="E2045" s="13" t="s">
        <v>8205</v>
      </c>
      <c r="F2045" s="13" t="s">
        <v>8080</v>
      </c>
      <c r="G2045" s="13" t="s">
        <v>8206</v>
      </c>
      <c r="H2045" s="13" t="s">
        <v>8207</v>
      </c>
      <c r="I2045" s="13" t="s">
        <v>82</v>
      </c>
      <c r="J2045" s="13" t="s">
        <v>5716</v>
      </c>
      <c r="K2045" s="13"/>
      <c r="L2045" s="13" t="s">
        <v>8208</v>
      </c>
      <c r="M2045" s="13" t="s">
        <v>8209</v>
      </c>
    </row>
    <row r="2046" customFormat="false" ht="23.85" hidden="false" customHeight="false" outlineLevel="0" collapsed="false">
      <c r="A2046" s="13" t="s">
        <v>4</v>
      </c>
      <c r="B2046" s="13" t="s">
        <v>2150</v>
      </c>
      <c r="C2046" s="13" t="n">
        <v>228</v>
      </c>
      <c r="D2046" s="13" t="s">
        <v>8210</v>
      </c>
      <c r="E2046" s="13" t="s">
        <v>8211</v>
      </c>
      <c r="F2046" s="13" t="s">
        <v>8212</v>
      </c>
      <c r="G2046" s="13" t="s">
        <v>2369</v>
      </c>
      <c r="H2046" s="13" t="s">
        <v>8213</v>
      </c>
      <c r="I2046" s="13" t="s">
        <v>82</v>
      </c>
      <c r="J2046" s="13" t="s">
        <v>5716</v>
      </c>
      <c r="K2046" s="13"/>
      <c r="L2046" s="13" t="s">
        <v>8214</v>
      </c>
      <c r="M2046" s="13" t="s">
        <v>8215</v>
      </c>
    </row>
    <row r="2047" customFormat="false" ht="23.85" hidden="false" customHeight="false" outlineLevel="0" collapsed="false">
      <c r="A2047" s="13" t="s">
        <v>4</v>
      </c>
      <c r="B2047" s="13" t="s">
        <v>2150</v>
      </c>
      <c r="C2047" s="13" t="n">
        <v>228</v>
      </c>
      <c r="D2047" s="13" t="s">
        <v>8216</v>
      </c>
      <c r="E2047" s="13" t="s">
        <v>8217</v>
      </c>
      <c r="F2047" s="13" t="s">
        <v>8054</v>
      </c>
      <c r="G2047" s="13" t="s">
        <v>1587</v>
      </c>
      <c r="H2047" s="13" t="s">
        <v>5005</v>
      </c>
      <c r="I2047" s="13" t="s">
        <v>82</v>
      </c>
      <c r="J2047" s="13" t="s">
        <v>5716</v>
      </c>
      <c r="K2047" s="13"/>
      <c r="L2047" s="13" t="s">
        <v>8218</v>
      </c>
      <c r="M2047" s="13" t="s">
        <v>8219</v>
      </c>
    </row>
    <row r="2048" customFormat="false" ht="23.85" hidden="false" customHeight="false" outlineLevel="0" collapsed="false">
      <c r="A2048" s="13" t="s">
        <v>4</v>
      </c>
      <c r="B2048" s="13" t="s">
        <v>2150</v>
      </c>
      <c r="C2048" s="13" t="n">
        <v>228</v>
      </c>
      <c r="D2048" s="13" t="s">
        <v>8220</v>
      </c>
      <c r="E2048" s="13" t="s">
        <v>8221</v>
      </c>
      <c r="F2048" s="13" t="s">
        <v>8222</v>
      </c>
      <c r="G2048" s="13" t="s">
        <v>8223</v>
      </c>
      <c r="H2048" s="13" t="s">
        <v>8224</v>
      </c>
      <c r="I2048" s="13" t="s">
        <v>82</v>
      </c>
      <c r="J2048" s="13" t="s">
        <v>5716</v>
      </c>
      <c r="K2048" s="13"/>
      <c r="L2048" s="13" t="s">
        <v>8225</v>
      </c>
      <c r="M2048" s="13" t="s">
        <v>8226</v>
      </c>
    </row>
    <row r="2049" customFormat="false" ht="23.85" hidden="false" customHeight="false" outlineLevel="0" collapsed="false">
      <c r="A2049" s="13" t="s">
        <v>4</v>
      </c>
      <c r="B2049" s="13" t="s">
        <v>2150</v>
      </c>
      <c r="C2049" s="13" t="n">
        <v>228</v>
      </c>
      <c r="D2049" s="13" t="s">
        <v>8227</v>
      </c>
      <c r="E2049" s="13" t="s">
        <v>8228</v>
      </c>
      <c r="F2049" s="13" t="s">
        <v>8222</v>
      </c>
      <c r="G2049" s="13" t="s">
        <v>8229</v>
      </c>
      <c r="H2049" s="13" t="s">
        <v>8230</v>
      </c>
      <c r="I2049" s="13" t="s">
        <v>82</v>
      </c>
      <c r="J2049" s="13" t="s">
        <v>5716</v>
      </c>
      <c r="K2049" s="13"/>
      <c r="L2049" s="13" t="s">
        <v>8231</v>
      </c>
      <c r="M2049" s="13" t="s">
        <v>8232</v>
      </c>
    </row>
    <row r="2050" customFormat="false" ht="23.85" hidden="false" customHeight="false" outlineLevel="0" collapsed="false">
      <c r="A2050" s="13" t="s">
        <v>4</v>
      </c>
      <c r="B2050" s="13" t="s">
        <v>2150</v>
      </c>
      <c r="C2050" s="13" t="n">
        <v>228</v>
      </c>
      <c r="D2050" s="13" t="s">
        <v>8233</v>
      </c>
      <c r="E2050" s="13" t="s">
        <v>8234</v>
      </c>
      <c r="F2050" s="13" t="s">
        <v>8235</v>
      </c>
      <c r="G2050" s="13" t="s">
        <v>8174</v>
      </c>
      <c r="H2050" s="13" t="s">
        <v>8236</v>
      </c>
      <c r="I2050" s="13" t="s">
        <v>82</v>
      </c>
      <c r="J2050" s="13" t="s">
        <v>5716</v>
      </c>
      <c r="K2050" s="13"/>
      <c r="L2050" s="13" t="s">
        <v>8237</v>
      </c>
      <c r="M2050" s="13" t="s">
        <v>8238</v>
      </c>
    </row>
    <row r="2051" customFormat="false" ht="23.85" hidden="false" customHeight="false" outlineLevel="0" collapsed="false">
      <c r="A2051" s="13" t="s">
        <v>4</v>
      </c>
      <c r="B2051" s="13" t="s">
        <v>2150</v>
      </c>
      <c r="C2051" s="13" t="n">
        <v>228</v>
      </c>
      <c r="D2051" s="13" t="s">
        <v>8239</v>
      </c>
      <c r="E2051" s="13" t="s">
        <v>8240</v>
      </c>
      <c r="F2051" s="13" t="s">
        <v>8241</v>
      </c>
      <c r="G2051" s="13" t="s">
        <v>8242</v>
      </c>
      <c r="H2051" s="13" t="s">
        <v>8080</v>
      </c>
      <c r="I2051" s="13" t="s">
        <v>82</v>
      </c>
      <c r="J2051" s="13" t="s">
        <v>5716</v>
      </c>
      <c r="K2051" s="13"/>
      <c r="L2051" s="13" t="s">
        <v>8243</v>
      </c>
      <c r="M2051" s="13" t="s">
        <v>8244</v>
      </c>
    </row>
    <row r="2052" customFormat="false" ht="23.85" hidden="false" customHeight="false" outlineLevel="0" collapsed="false">
      <c r="A2052" s="13" t="s">
        <v>4</v>
      </c>
      <c r="B2052" s="13" t="s">
        <v>2150</v>
      </c>
      <c r="C2052" s="13" t="n">
        <v>228</v>
      </c>
      <c r="D2052" s="13" t="s">
        <v>8245</v>
      </c>
      <c r="E2052" s="13" t="s">
        <v>8246</v>
      </c>
      <c r="F2052" s="13" t="s">
        <v>8247</v>
      </c>
      <c r="G2052" s="13" t="s">
        <v>8248</v>
      </c>
      <c r="H2052" s="13" t="s">
        <v>8080</v>
      </c>
      <c r="I2052" s="13" t="s">
        <v>82</v>
      </c>
      <c r="J2052" s="13" t="s">
        <v>5716</v>
      </c>
      <c r="K2052" s="13"/>
      <c r="L2052" s="13" t="s">
        <v>8249</v>
      </c>
      <c r="M2052" s="13" t="s">
        <v>8250</v>
      </c>
    </row>
    <row r="2053" customFormat="false" ht="23.85" hidden="false" customHeight="false" outlineLevel="0" collapsed="false">
      <c r="A2053" s="13" t="s">
        <v>4</v>
      </c>
      <c r="B2053" s="13" t="s">
        <v>2150</v>
      </c>
      <c r="C2053" s="13" t="n">
        <v>228</v>
      </c>
      <c r="D2053" s="13" t="s">
        <v>8251</v>
      </c>
      <c r="E2053" s="13" t="s">
        <v>8252</v>
      </c>
      <c r="F2053" s="13" t="s">
        <v>8080</v>
      </c>
      <c r="G2053" s="13" t="s">
        <v>8253</v>
      </c>
      <c r="H2053" s="13" t="s">
        <v>8254</v>
      </c>
      <c r="I2053" s="13" t="s">
        <v>82</v>
      </c>
      <c r="J2053" s="13" t="s">
        <v>5716</v>
      </c>
      <c r="K2053" s="13"/>
      <c r="L2053" s="13" t="s">
        <v>8255</v>
      </c>
      <c r="M2053" s="13" t="s">
        <v>8256</v>
      </c>
    </row>
    <row r="2054" customFormat="false" ht="23.85" hidden="false" customHeight="false" outlineLevel="0" collapsed="false">
      <c r="A2054" s="13" t="s">
        <v>4</v>
      </c>
      <c r="B2054" s="13" t="s">
        <v>2150</v>
      </c>
      <c r="C2054" s="13" t="n">
        <v>228</v>
      </c>
      <c r="D2054" s="13" t="s">
        <v>8257</v>
      </c>
      <c r="E2054" s="13" t="s">
        <v>8258</v>
      </c>
      <c r="F2054" s="13" t="s">
        <v>8080</v>
      </c>
      <c r="G2054" s="13" t="s">
        <v>8259</v>
      </c>
      <c r="H2054" s="13" t="s">
        <v>8134</v>
      </c>
      <c r="I2054" s="13" t="s">
        <v>82</v>
      </c>
      <c r="J2054" s="13" t="s">
        <v>5716</v>
      </c>
      <c r="K2054" s="13"/>
      <c r="L2054" s="13" t="s">
        <v>8260</v>
      </c>
      <c r="M2054" s="13" t="s">
        <v>8261</v>
      </c>
    </row>
    <row r="2055" customFormat="false" ht="23.85" hidden="false" customHeight="false" outlineLevel="0" collapsed="false">
      <c r="A2055" s="13" t="s">
        <v>4</v>
      </c>
      <c r="B2055" s="13" t="s">
        <v>2150</v>
      </c>
      <c r="C2055" s="13" t="n">
        <v>228</v>
      </c>
      <c r="D2055" s="13" t="s">
        <v>8262</v>
      </c>
      <c r="E2055" s="13" t="s">
        <v>8263</v>
      </c>
      <c r="F2055" s="13" t="s">
        <v>8080</v>
      </c>
      <c r="G2055" s="13" t="s">
        <v>7190</v>
      </c>
      <c r="H2055" s="13" t="s">
        <v>8264</v>
      </c>
      <c r="I2055" s="13" t="s">
        <v>82</v>
      </c>
      <c r="J2055" s="13" t="s">
        <v>5716</v>
      </c>
      <c r="K2055" s="13"/>
      <c r="L2055" s="13" t="s">
        <v>8265</v>
      </c>
      <c r="M2055" s="13" t="s">
        <v>8266</v>
      </c>
    </row>
    <row r="2056" customFormat="false" ht="23.85" hidden="false" customHeight="false" outlineLevel="0" collapsed="false">
      <c r="A2056" s="13" t="s">
        <v>4</v>
      </c>
      <c r="B2056" s="13" t="s">
        <v>2150</v>
      </c>
      <c r="C2056" s="13" t="n">
        <v>228</v>
      </c>
      <c r="D2056" s="13" t="s">
        <v>8267</v>
      </c>
      <c r="E2056" s="13" t="s">
        <v>8268</v>
      </c>
      <c r="F2056" s="13" t="s">
        <v>8080</v>
      </c>
      <c r="G2056" s="13" t="s">
        <v>8269</v>
      </c>
      <c r="H2056" s="13" t="s">
        <v>8270</v>
      </c>
      <c r="I2056" s="13" t="s">
        <v>82</v>
      </c>
      <c r="J2056" s="13" t="s">
        <v>5716</v>
      </c>
      <c r="K2056" s="13"/>
      <c r="L2056" s="13" t="s">
        <v>8271</v>
      </c>
      <c r="M2056" s="13" t="s">
        <v>8272</v>
      </c>
    </row>
    <row r="2057" customFormat="false" ht="23.85" hidden="false" customHeight="false" outlineLevel="0" collapsed="false">
      <c r="A2057" s="13" t="s">
        <v>4</v>
      </c>
      <c r="B2057" s="13" t="s">
        <v>2150</v>
      </c>
      <c r="C2057" s="13" t="n">
        <v>228</v>
      </c>
      <c r="D2057" s="13" t="s">
        <v>8273</v>
      </c>
      <c r="E2057" s="13" t="s">
        <v>8274</v>
      </c>
      <c r="F2057" s="13" t="s">
        <v>8241</v>
      </c>
      <c r="G2057" s="13" t="s">
        <v>8275</v>
      </c>
      <c r="H2057" s="13" t="s">
        <v>8080</v>
      </c>
      <c r="I2057" s="13" t="s">
        <v>82</v>
      </c>
      <c r="J2057" s="13" t="s">
        <v>5716</v>
      </c>
      <c r="K2057" s="13"/>
      <c r="L2057" s="13" t="s">
        <v>8276</v>
      </c>
      <c r="M2057" s="13" t="s">
        <v>8277</v>
      </c>
    </row>
    <row r="2058" customFormat="false" ht="91" hidden="false" customHeight="false" outlineLevel="0" collapsed="false">
      <c r="A2058" s="13" t="s">
        <v>4</v>
      </c>
      <c r="B2058" s="13" t="s">
        <v>2150</v>
      </c>
      <c r="C2058" s="13" t="n">
        <v>248</v>
      </c>
      <c r="D2058" s="13" t="s">
        <v>8278</v>
      </c>
      <c r="E2058" s="13" t="s">
        <v>8279</v>
      </c>
      <c r="F2058" s="13" t="s">
        <v>8280</v>
      </c>
      <c r="G2058" s="13" t="s">
        <v>8281</v>
      </c>
      <c r="H2058" s="13" t="s">
        <v>8282</v>
      </c>
      <c r="I2058" s="13" t="s">
        <v>82</v>
      </c>
      <c r="J2058" s="13" t="s">
        <v>5716</v>
      </c>
      <c r="K2058" s="13"/>
      <c r="L2058" s="13" t="s">
        <v>8283</v>
      </c>
      <c r="M2058" s="13" t="s">
        <v>8284</v>
      </c>
    </row>
    <row r="2059" customFormat="false" ht="91" hidden="false" customHeight="false" outlineLevel="0" collapsed="false">
      <c r="A2059" s="13" t="s">
        <v>4</v>
      </c>
      <c r="B2059" s="13" t="s">
        <v>2150</v>
      </c>
      <c r="C2059" s="13" t="n">
        <v>248</v>
      </c>
      <c r="D2059" s="13" t="s">
        <v>8278</v>
      </c>
      <c r="E2059" s="13" t="s">
        <v>8285</v>
      </c>
      <c r="F2059" s="13" t="s">
        <v>8282</v>
      </c>
      <c r="G2059" s="13" t="s">
        <v>8286</v>
      </c>
      <c r="H2059" s="13" t="s">
        <v>392</v>
      </c>
      <c r="I2059" s="13" t="s">
        <v>82</v>
      </c>
      <c r="J2059" s="13" t="s">
        <v>5716</v>
      </c>
      <c r="K2059" s="13"/>
      <c r="L2059" s="13" t="s">
        <v>8283</v>
      </c>
      <c r="M2059" s="13" t="s">
        <v>8284</v>
      </c>
    </row>
    <row r="2060" customFormat="false" ht="91" hidden="false" customHeight="false" outlineLevel="0" collapsed="false">
      <c r="A2060" s="13" t="s">
        <v>4</v>
      </c>
      <c r="B2060" s="13" t="s">
        <v>2150</v>
      </c>
      <c r="C2060" s="13" t="n">
        <v>248</v>
      </c>
      <c r="D2060" s="13" t="s">
        <v>8278</v>
      </c>
      <c r="E2060" s="13" t="s">
        <v>8287</v>
      </c>
      <c r="F2060" s="13" t="s">
        <v>8282</v>
      </c>
      <c r="G2060" s="13" t="s">
        <v>8288</v>
      </c>
      <c r="H2060" s="13" t="s">
        <v>8289</v>
      </c>
      <c r="I2060" s="13" t="s">
        <v>82</v>
      </c>
      <c r="J2060" s="13" t="s">
        <v>5716</v>
      </c>
      <c r="K2060" s="13"/>
      <c r="L2060" s="13" t="s">
        <v>8283</v>
      </c>
      <c r="M2060" s="13" t="s">
        <v>8284</v>
      </c>
    </row>
    <row r="2061" customFormat="false" ht="113.4" hidden="false" customHeight="false" outlineLevel="0" collapsed="false">
      <c r="A2061" s="13" t="s">
        <v>4</v>
      </c>
      <c r="B2061" s="13" t="s">
        <v>2150</v>
      </c>
      <c r="C2061" s="13" t="n">
        <v>248</v>
      </c>
      <c r="D2061" s="13" t="s">
        <v>8290</v>
      </c>
      <c r="E2061" s="13" t="s">
        <v>8291</v>
      </c>
      <c r="F2061" s="13" t="s">
        <v>392</v>
      </c>
      <c r="G2061" s="13" t="s">
        <v>1150</v>
      </c>
      <c r="H2061" s="13" t="s">
        <v>8292</v>
      </c>
      <c r="I2061" s="13" t="s">
        <v>82</v>
      </c>
      <c r="J2061" s="13" t="s">
        <v>5716</v>
      </c>
      <c r="K2061" s="13"/>
      <c r="L2061" s="13" t="s">
        <v>8293</v>
      </c>
      <c r="M2061" s="13" t="s">
        <v>8294</v>
      </c>
    </row>
    <row r="2062" customFormat="false" ht="113.4" hidden="false" customHeight="false" outlineLevel="0" collapsed="false">
      <c r="A2062" s="13" t="s">
        <v>4</v>
      </c>
      <c r="B2062" s="13" t="s">
        <v>2150</v>
      </c>
      <c r="C2062" s="13" t="n">
        <v>248</v>
      </c>
      <c r="D2062" s="13" t="s">
        <v>8290</v>
      </c>
      <c r="E2062" s="13" t="s">
        <v>8295</v>
      </c>
      <c r="F2062" s="13" t="s">
        <v>392</v>
      </c>
      <c r="G2062" s="13" t="s">
        <v>7730</v>
      </c>
      <c r="H2062" s="13" t="s">
        <v>8296</v>
      </c>
      <c r="I2062" s="13" t="s">
        <v>82</v>
      </c>
      <c r="J2062" s="13" t="s">
        <v>5716</v>
      </c>
      <c r="K2062" s="13"/>
      <c r="L2062" s="13" t="s">
        <v>8293</v>
      </c>
      <c r="M2062" s="13" t="s">
        <v>8294</v>
      </c>
    </row>
    <row r="2063" customFormat="false" ht="113.4" hidden="false" customHeight="false" outlineLevel="0" collapsed="false">
      <c r="A2063" s="13" t="s">
        <v>4</v>
      </c>
      <c r="B2063" s="13" t="s">
        <v>2150</v>
      </c>
      <c r="C2063" s="13" t="n">
        <v>248</v>
      </c>
      <c r="D2063" s="13" t="s">
        <v>8290</v>
      </c>
      <c r="E2063" s="13" t="s">
        <v>8297</v>
      </c>
      <c r="F2063" s="13" t="s">
        <v>392</v>
      </c>
      <c r="G2063" s="13" t="s">
        <v>7730</v>
      </c>
      <c r="H2063" s="13" t="s">
        <v>8298</v>
      </c>
      <c r="I2063" s="13" t="s">
        <v>82</v>
      </c>
      <c r="J2063" s="13" t="s">
        <v>5716</v>
      </c>
      <c r="K2063" s="13"/>
      <c r="L2063" s="13" t="s">
        <v>8293</v>
      </c>
      <c r="M2063" s="13" t="s">
        <v>8294</v>
      </c>
    </row>
    <row r="2064" customFormat="false" ht="113.4" hidden="false" customHeight="false" outlineLevel="0" collapsed="false">
      <c r="A2064" s="13" t="s">
        <v>4</v>
      </c>
      <c r="B2064" s="13" t="s">
        <v>2150</v>
      </c>
      <c r="C2064" s="13" t="n">
        <v>248</v>
      </c>
      <c r="D2064" s="13" t="s">
        <v>8290</v>
      </c>
      <c r="E2064" s="13" t="s">
        <v>8299</v>
      </c>
      <c r="F2064" s="13" t="s">
        <v>8300</v>
      </c>
      <c r="G2064" s="13" t="s">
        <v>8301</v>
      </c>
      <c r="H2064" s="13" t="s">
        <v>8302</v>
      </c>
      <c r="I2064" s="13" t="s">
        <v>82</v>
      </c>
      <c r="J2064" s="13" t="s">
        <v>5716</v>
      </c>
      <c r="K2064" s="13"/>
      <c r="L2064" s="13" t="s">
        <v>8293</v>
      </c>
      <c r="M2064" s="13" t="s">
        <v>8294</v>
      </c>
    </row>
    <row r="2065" customFormat="false" ht="113.4" hidden="false" customHeight="false" outlineLevel="0" collapsed="false">
      <c r="A2065" s="13" t="s">
        <v>4</v>
      </c>
      <c r="B2065" s="13" t="s">
        <v>2150</v>
      </c>
      <c r="C2065" s="13" t="n">
        <v>248</v>
      </c>
      <c r="D2065" s="13" t="s">
        <v>8290</v>
      </c>
      <c r="E2065" s="13" t="s">
        <v>8303</v>
      </c>
      <c r="F2065" s="13" t="s">
        <v>8296</v>
      </c>
      <c r="G2065" s="13" t="s">
        <v>8301</v>
      </c>
      <c r="H2065" s="13" t="s">
        <v>8302</v>
      </c>
      <c r="I2065" s="13" t="s">
        <v>82</v>
      </c>
      <c r="J2065" s="13" t="s">
        <v>5716</v>
      </c>
      <c r="K2065" s="13"/>
      <c r="L2065" s="13" t="s">
        <v>8293</v>
      </c>
      <c r="M2065" s="13" t="s">
        <v>8294</v>
      </c>
    </row>
    <row r="2066" customFormat="false" ht="113.4" hidden="false" customHeight="false" outlineLevel="0" collapsed="false">
      <c r="A2066" s="13" t="s">
        <v>4</v>
      </c>
      <c r="B2066" s="13" t="s">
        <v>2150</v>
      </c>
      <c r="C2066" s="13" t="n">
        <v>248</v>
      </c>
      <c r="D2066" s="13" t="s">
        <v>8290</v>
      </c>
      <c r="E2066" s="13" t="s">
        <v>8304</v>
      </c>
      <c r="F2066" s="13" t="s">
        <v>8298</v>
      </c>
      <c r="G2066" s="13" t="s">
        <v>8305</v>
      </c>
      <c r="H2066" s="13" t="s">
        <v>8306</v>
      </c>
      <c r="I2066" s="13" t="s">
        <v>82</v>
      </c>
      <c r="J2066" s="13" t="s">
        <v>5716</v>
      </c>
      <c r="K2066" s="13"/>
      <c r="L2066" s="13" t="s">
        <v>8293</v>
      </c>
      <c r="M2066" s="13" t="s">
        <v>8294</v>
      </c>
    </row>
    <row r="2067" customFormat="false" ht="113.4" hidden="false" customHeight="false" outlineLevel="0" collapsed="false">
      <c r="A2067" s="13" t="s">
        <v>4</v>
      </c>
      <c r="B2067" s="13" t="s">
        <v>2150</v>
      </c>
      <c r="C2067" s="13" t="n">
        <v>248</v>
      </c>
      <c r="D2067" s="13" t="s">
        <v>8290</v>
      </c>
      <c r="E2067" s="13" t="s">
        <v>8307</v>
      </c>
      <c r="F2067" s="13" t="s">
        <v>392</v>
      </c>
      <c r="G2067" s="13" t="s">
        <v>1150</v>
      </c>
      <c r="H2067" s="13" t="s">
        <v>8308</v>
      </c>
      <c r="I2067" s="13" t="s">
        <v>82</v>
      </c>
      <c r="J2067" s="13" t="s">
        <v>5716</v>
      </c>
      <c r="K2067" s="13"/>
      <c r="L2067" s="13" t="s">
        <v>8293</v>
      </c>
      <c r="M2067" s="13" t="s">
        <v>8294</v>
      </c>
    </row>
    <row r="2068" customFormat="false" ht="113.4" hidden="false" customHeight="false" outlineLevel="0" collapsed="false">
      <c r="A2068" s="13" t="s">
        <v>4</v>
      </c>
      <c r="B2068" s="13" t="s">
        <v>2150</v>
      </c>
      <c r="C2068" s="13" t="n">
        <v>248</v>
      </c>
      <c r="D2068" s="13" t="s">
        <v>8290</v>
      </c>
      <c r="E2068" s="13" t="s">
        <v>8309</v>
      </c>
      <c r="F2068" s="13" t="s">
        <v>8310</v>
      </c>
      <c r="G2068" s="13" t="s">
        <v>8311</v>
      </c>
      <c r="H2068" s="13" t="s">
        <v>8312</v>
      </c>
      <c r="I2068" s="13" t="s">
        <v>82</v>
      </c>
      <c r="J2068" s="13" t="s">
        <v>5716</v>
      </c>
      <c r="K2068" s="13"/>
      <c r="L2068" s="13" t="s">
        <v>8293</v>
      </c>
      <c r="M2068" s="13" t="s">
        <v>8294</v>
      </c>
    </row>
    <row r="2069" customFormat="false" ht="23.85" hidden="false" customHeight="false" outlineLevel="0" collapsed="false">
      <c r="A2069" s="13" t="s">
        <v>4</v>
      </c>
      <c r="B2069" s="13" t="s">
        <v>2150</v>
      </c>
      <c r="C2069" s="13" t="n">
        <v>248</v>
      </c>
      <c r="D2069" s="13" t="s">
        <v>8313</v>
      </c>
      <c r="E2069" s="13" t="s">
        <v>8314</v>
      </c>
      <c r="F2069" s="13" t="s">
        <v>8315</v>
      </c>
      <c r="G2069" s="13" t="s">
        <v>8316</v>
      </c>
      <c r="H2069" s="13" t="s">
        <v>8317</v>
      </c>
      <c r="I2069" s="13" t="s">
        <v>82</v>
      </c>
      <c r="J2069" s="13" t="s">
        <v>5716</v>
      </c>
      <c r="K2069" s="13"/>
      <c r="L2069" s="13" t="s">
        <v>8318</v>
      </c>
      <c r="M2069" s="13" t="s">
        <v>8319</v>
      </c>
    </row>
    <row r="2070" customFormat="false" ht="202.95" hidden="false" customHeight="false" outlineLevel="0" collapsed="false">
      <c r="A2070" s="13" t="s">
        <v>4</v>
      </c>
      <c r="B2070" s="13" t="s">
        <v>2150</v>
      </c>
      <c r="C2070" s="13" t="n">
        <v>248</v>
      </c>
      <c r="D2070" s="13" t="s">
        <v>8320</v>
      </c>
      <c r="E2070" s="13" t="s">
        <v>8321</v>
      </c>
      <c r="F2070" s="13" t="s">
        <v>8322</v>
      </c>
      <c r="G2070" s="13" t="s">
        <v>8323</v>
      </c>
      <c r="H2070" s="13" t="s">
        <v>8324</v>
      </c>
      <c r="I2070" s="13" t="s">
        <v>82</v>
      </c>
      <c r="J2070" s="13" t="s">
        <v>5716</v>
      </c>
      <c r="K2070" s="13"/>
      <c r="L2070" s="13" t="s">
        <v>8325</v>
      </c>
      <c r="M2070" s="13" t="s">
        <v>8326</v>
      </c>
    </row>
    <row r="2071" customFormat="false" ht="202.95" hidden="false" customHeight="false" outlineLevel="0" collapsed="false">
      <c r="A2071" s="13" t="s">
        <v>4</v>
      </c>
      <c r="B2071" s="13" t="s">
        <v>2150</v>
      </c>
      <c r="C2071" s="13" t="n">
        <v>248</v>
      </c>
      <c r="D2071" s="13" t="s">
        <v>8320</v>
      </c>
      <c r="E2071" s="13" t="s">
        <v>8327</v>
      </c>
      <c r="F2071" s="13" t="s">
        <v>8322</v>
      </c>
      <c r="G2071" s="13" t="s">
        <v>1759</v>
      </c>
      <c r="H2071" s="13" t="s">
        <v>8328</v>
      </c>
      <c r="I2071" s="13" t="s">
        <v>82</v>
      </c>
      <c r="J2071" s="13" t="s">
        <v>5716</v>
      </c>
      <c r="K2071" s="13"/>
      <c r="L2071" s="13" t="s">
        <v>8325</v>
      </c>
      <c r="M2071" s="13" t="s">
        <v>8326</v>
      </c>
    </row>
    <row r="2072" customFormat="false" ht="202.95" hidden="false" customHeight="false" outlineLevel="0" collapsed="false">
      <c r="A2072" s="13" t="s">
        <v>4</v>
      </c>
      <c r="B2072" s="13" t="s">
        <v>2150</v>
      </c>
      <c r="C2072" s="13" t="n">
        <v>248</v>
      </c>
      <c r="D2072" s="13" t="s">
        <v>8320</v>
      </c>
      <c r="E2072" s="13" t="s">
        <v>8329</v>
      </c>
      <c r="F2072" s="13" t="s">
        <v>8330</v>
      </c>
      <c r="G2072" s="13" t="s">
        <v>8331</v>
      </c>
      <c r="H2072" s="13" t="s">
        <v>8332</v>
      </c>
      <c r="I2072" s="13" t="s">
        <v>82</v>
      </c>
      <c r="J2072" s="13" t="s">
        <v>5716</v>
      </c>
      <c r="K2072" s="13"/>
      <c r="L2072" s="13" t="s">
        <v>8325</v>
      </c>
      <c r="M2072" s="13" t="s">
        <v>8326</v>
      </c>
    </row>
    <row r="2073" customFormat="false" ht="202.95" hidden="false" customHeight="false" outlineLevel="0" collapsed="false">
      <c r="A2073" s="13" t="s">
        <v>4</v>
      </c>
      <c r="B2073" s="13" t="s">
        <v>2150</v>
      </c>
      <c r="C2073" s="13" t="n">
        <v>248</v>
      </c>
      <c r="D2073" s="13" t="s">
        <v>8320</v>
      </c>
      <c r="E2073" s="13" t="s">
        <v>8333</v>
      </c>
      <c r="F2073" s="13" t="s">
        <v>8324</v>
      </c>
      <c r="G2073" s="13" t="s">
        <v>8334</v>
      </c>
      <c r="H2073" s="13" t="s">
        <v>8335</v>
      </c>
      <c r="I2073" s="13" t="s">
        <v>82</v>
      </c>
      <c r="J2073" s="13" t="s">
        <v>5716</v>
      </c>
      <c r="K2073" s="13"/>
      <c r="L2073" s="13" t="s">
        <v>8325</v>
      </c>
      <c r="M2073" s="13" t="s">
        <v>8326</v>
      </c>
    </row>
    <row r="2074" customFormat="false" ht="46.25" hidden="false" customHeight="false" outlineLevel="0" collapsed="false">
      <c r="A2074" s="13" t="s">
        <v>4</v>
      </c>
      <c r="B2074" s="13" t="s">
        <v>2150</v>
      </c>
      <c r="C2074" s="13" t="n">
        <v>248</v>
      </c>
      <c r="D2074" s="13" t="s">
        <v>8336</v>
      </c>
      <c r="E2074" s="13" t="s">
        <v>8337</v>
      </c>
      <c r="F2074" s="13" t="s">
        <v>982</v>
      </c>
      <c r="G2074" s="13" t="s">
        <v>8338</v>
      </c>
      <c r="H2074" s="13" t="s">
        <v>8339</v>
      </c>
      <c r="I2074" s="13" t="s">
        <v>82</v>
      </c>
      <c r="J2074" s="13" t="s">
        <v>5716</v>
      </c>
      <c r="K2074" s="13"/>
      <c r="L2074" s="13" t="s">
        <v>8340</v>
      </c>
      <c r="M2074" s="13" t="s">
        <v>8341</v>
      </c>
    </row>
    <row r="2075" customFormat="false" ht="68.65" hidden="false" customHeight="false" outlineLevel="0" collapsed="false">
      <c r="A2075" s="13" t="s">
        <v>4</v>
      </c>
      <c r="B2075" s="13" t="s">
        <v>2150</v>
      </c>
      <c r="C2075" s="13" t="n">
        <v>248</v>
      </c>
      <c r="D2075" s="13" t="s">
        <v>8342</v>
      </c>
      <c r="E2075" s="13" t="s">
        <v>8343</v>
      </c>
      <c r="F2075" s="13" t="s">
        <v>8344</v>
      </c>
      <c r="G2075" s="13" t="s">
        <v>7790</v>
      </c>
      <c r="H2075" s="13" t="s">
        <v>8345</v>
      </c>
      <c r="I2075" s="13" t="s">
        <v>82</v>
      </c>
      <c r="J2075" s="13" t="s">
        <v>5716</v>
      </c>
      <c r="K2075" s="13"/>
      <c r="L2075" s="13" t="s">
        <v>8346</v>
      </c>
      <c r="M2075" s="13" t="s">
        <v>8347</v>
      </c>
    </row>
    <row r="2076" customFormat="false" ht="180.55" hidden="false" customHeight="false" outlineLevel="0" collapsed="false">
      <c r="A2076" s="13" t="s">
        <v>4</v>
      </c>
      <c r="B2076" s="13" t="s">
        <v>2150</v>
      </c>
      <c r="C2076" s="13" t="n">
        <v>248</v>
      </c>
      <c r="D2076" s="13" t="s">
        <v>8348</v>
      </c>
      <c r="E2076" s="13" t="s">
        <v>8349</v>
      </c>
      <c r="F2076" s="13" t="s">
        <v>8350</v>
      </c>
      <c r="G2076" s="13" t="s">
        <v>1150</v>
      </c>
      <c r="H2076" s="13" t="s">
        <v>8292</v>
      </c>
      <c r="I2076" s="13" t="s">
        <v>82</v>
      </c>
      <c r="J2076" s="13" t="s">
        <v>5716</v>
      </c>
      <c r="K2076" s="13"/>
      <c r="L2076" s="13" t="s">
        <v>8351</v>
      </c>
      <c r="M2076" s="13" t="s">
        <v>8352</v>
      </c>
    </row>
    <row r="2077" customFormat="false" ht="180.55" hidden="false" customHeight="false" outlineLevel="0" collapsed="false">
      <c r="A2077" s="13" t="s">
        <v>4</v>
      </c>
      <c r="B2077" s="13" t="s">
        <v>2150</v>
      </c>
      <c r="C2077" s="13" t="n">
        <v>248</v>
      </c>
      <c r="D2077" s="13" t="s">
        <v>8348</v>
      </c>
      <c r="E2077" s="13" t="s">
        <v>8353</v>
      </c>
      <c r="F2077" s="13" t="s">
        <v>8354</v>
      </c>
      <c r="G2077" s="13" t="s">
        <v>8355</v>
      </c>
      <c r="H2077" s="13" t="s">
        <v>1439</v>
      </c>
      <c r="I2077" s="13" t="s">
        <v>82</v>
      </c>
      <c r="J2077" s="13" t="s">
        <v>5716</v>
      </c>
      <c r="K2077" s="13"/>
      <c r="L2077" s="13" t="s">
        <v>8351</v>
      </c>
      <c r="M2077" s="13" t="s">
        <v>8352</v>
      </c>
    </row>
    <row r="2078" customFormat="false" ht="180.55" hidden="false" customHeight="false" outlineLevel="0" collapsed="false">
      <c r="A2078" s="13" t="s">
        <v>4</v>
      </c>
      <c r="B2078" s="13" t="s">
        <v>2150</v>
      </c>
      <c r="C2078" s="13" t="n">
        <v>248</v>
      </c>
      <c r="D2078" s="13" t="s">
        <v>8348</v>
      </c>
      <c r="E2078" s="13" t="s">
        <v>8356</v>
      </c>
      <c r="F2078" s="13" t="s">
        <v>8350</v>
      </c>
      <c r="G2078" s="13" t="s">
        <v>8357</v>
      </c>
      <c r="H2078" s="13" t="s">
        <v>8358</v>
      </c>
      <c r="I2078" s="13" t="s">
        <v>82</v>
      </c>
      <c r="J2078" s="13" t="s">
        <v>5716</v>
      </c>
      <c r="K2078" s="13"/>
      <c r="L2078" s="13" t="s">
        <v>8351</v>
      </c>
      <c r="M2078" s="13" t="s">
        <v>8352</v>
      </c>
    </row>
    <row r="2079" customFormat="false" ht="180.55" hidden="false" customHeight="false" outlineLevel="0" collapsed="false">
      <c r="A2079" s="13" t="s">
        <v>4</v>
      </c>
      <c r="B2079" s="13" t="s">
        <v>2150</v>
      </c>
      <c r="C2079" s="13" t="n">
        <v>248</v>
      </c>
      <c r="D2079" s="13" t="s">
        <v>8348</v>
      </c>
      <c r="E2079" s="13" t="s">
        <v>8359</v>
      </c>
      <c r="F2079" s="13" t="s">
        <v>8350</v>
      </c>
      <c r="G2079" s="13" t="s">
        <v>8360</v>
      </c>
      <c r="H2079" s="13" t="s">
        <v>8361</v>
      </c>
      <c r="I2079" s="13" t="s">
        <v>82</v>
      </c>
      <c r="J2079" s="13" t="s">
        <v>5716</v>
      </c>
      <c r="K2079" s="13"/>
      <c r="L2079" s="13" t="s">
        <v>8351</v>
      </c>
      <c r="M2079" s="13" t="s">
        <v>8352</v>
      </c>
    </row>
    <row r="2080" customFormat="false" ht="57.45" hidden="false" customHeight="false" outlineLevel="0" collapsed="false">
      <c r="A2080" s="13" t="s">
        <v>4</v>
      </c>
      <c r="B2080" s="13" t="s">
        <v>2150</v>
      </c>
      <c r="C2080" s="13" t="n">
        <v>274</v>
      </c>
      <c r="D2080" s="13" t="s">
        <v>8362</v>
      </c>
      <c r="E2080" s="13" t="s">
        <v>8363</v>
      </c>
      <c r="F2080" s="13" t="s">
        <v>8364</v>
      </c>
      <c r="G2080" s="13" t="s">
        <v>8365</v>
      </c>
      <c r="H2080" s="13" t="s">
        <v>8366</v>
      </c>
      <c r="I2080" s="13" t="s">
        <v>82</v>
      </c>
      <c r="J2080" s="13" t="s">
        <v>5716</v>
      </c>
      <c r="K2080" s="13"/>
      <c r="L2080" s="13" t="s">
        <v>8367</v>
      </c>
      <c r="M2080" s="13" t="s">
        <v>8368</v>
      </c>
    </row>
    <row r="2081" customFormat="false" ht="57.45" hidden="false" customHeight="false" outlineLevel="0" collapsed="false">
      <c r="A2081" s="13" t="s">
        <v>4</v>
      </c>
      <c r="B2081" s="13" t="s">
        <v>2150</v>
      </c>
      <c r="C2081" s="13" t="n">
        <v>274</v>
      </c>
      <c r="D2081" s="13" t="s">
        <v>8362</v>
      </c>
      <c r="E2081" s="13" t="s">
        <v>8369</v>
      </c>
      <c r="F2081" s="13" t="s">
        <v>8370</v>
      </c>
      <c r="G2081" s="13" t="s">
        <v>8371</v>
      </c>
      <c r="H2081" s="13" t="s">
        <v>8364</v>
      </c>
      <c r="I2081" s="13" t="s">
        <v>82</v>
      </c>
      <c r="J2081" s="13" t="s">
        <v>5716</v>
      </c>
      <c r="K2081" s="13"/>
      <c r="L2081" s="13" t="s">
        <v>8367</v>
      </c>
      <c r="M2081" s="13" t="s">
        <v>8368</v>
      </c>
    </row>
    <row r="2082" customFormat="false" ht="57.45" hidden="false" customHeight="false" outlineLevel="0" collapsed="false">
      <c r="A2082" s="13" t="s">
        <v>4</v>
      </c>
      <c r="B2082" s="13" t="s">
        <v>2150</v>
      </c>
      <c r="C2082" s="13" t="n">
        <v>274</v>
      </c>
      <c r="D2082" s="13" t="s">
        <v>8362</v>
      </c>
      <c r="E2082" s="13" t="s">
        <v>8372</v>
      </c>
      <c r="F2082" s="13" t="s">
        <v>8370</v>
      </c>
      <c r="G2082" s="13" t="s">
        <v>8373</v>
      </c>
      <c r="H2082" s="13" t="s">
        <v>8366</v>
      </c>
      <c r="I2082" s="13" t="s">
        <v>82</v>
      </c>
      <c r="J2082" s="13" t="s">
        <v>5716</v>
      </c>
      <c r="K2082" s="13"/>
      <c r="L2082" s="13" t="s">
        <v>8367</v>
      </c>
      <c r="M2082" s="13" t="s">
        <v>8368</v>
      </c>
    </row>
    <row r="2083" customFormat="false" ht="57.45" hidden="false" customHeight="false" outlineLevel="0" collapsed="false">
      <c r="A2083" s="13" t="s">
        <v>4</v>
      </c>
      <c r="B2083" s="13" t="s">
        <v>2150</v>
      </c>
      <c r="C2083" s="13" t="n">
        <v>274</v>
      </c>
      <c r="D2083" s="13" t="s">
        <v>8362</v>
      </c>
      <c r="E2083" s="13" t="s">
        <v>8374</v>
      </c>
      <c r="F2083" s="13" t="s">
        <v>8364</v>
      </c>
      <c r="G2083" s="13" t="s">
        <v>8375</v>
      </c>
      <c r="H2083" s="13" t="s">
        <v>8370</v>
      </c>
      <c r="I2083" s="13" t="s">
        <v>82</v>
      </c>
      <c r="J2083" s="13" t="s">
        <v>5716</v>
      </c>
      <c r="K2083" s="13"/>
      <c r="L2083" s="13" t="s">
        <v>8367</v>
      </c>
      <c r="M2083" s="13" t="s">
        <v>8368</v>
      </c>
    </row>
    <row r="2084" customFormat="false" ht="169.4" hidden="false" customHeight="false" outlineLevel="0" collapsed="false">
      <c r="A2084" s="13" t="s">
        <v>4</v>
      </c>
      <c r="B2084" s="13" t="s">
        <v>2150</v>
      </c>
      <c r="C2084" s="13" t="n">
        <v>274</v>
      </c>
      <c r="D2084" s="13" t="s">
        <v>8376</v>
      </c>
      <c r="E2084" s="13" t="s">
        <v>8377</v>
      </c>
      <c r="F2084" s="13" t="s">
        <v>806</v>
      </c>
      <c r="G2084" s="13" t="s">
        <v>8378</v>
      </c>
      <c r="H2084" s="13" t="s">
        <v>8379</v>
      </c>
      <c r="I2084" s="13" t="s">
        <v>82</v>
      </c>
      <c r="J2084" s="13" t="s">
        <v>5716</v>
      </c>
      <c r="K2084" s="13"/>
      <c r="L2084" s="13" t="s">
        <v>8380</v>
      </c>
      <c r="M2084" s="13" t="s">
        <v>8381</v>
      </c>
    </row>
    <row r="2085" customFormat="false" ht="169.4" hidden="false" customHeight="false" outlineLevel="0" collapsed="false">
      <c r="A2085" s="13" t="s">
        <v>4</v>
      </c>
      <c r="B2085" s="13" t="s">
        <v>2150</v>
      </c>
      <c r="C2085" s="13" t="n">
        <v>274</v>
      </c>
      <c r="D2085" s="13" t="s">
        <v>8376</v>
      </c>
      <c r="E2085" s="13" t="s">
        <v>8382</v>
      </c>
      <c r="F2085" s="13" t="s">
        <v>806</v>
      </c>
      <c r="G2085" s="13" t="s">
        <v>196</v>
      </c>
      <c r="H2085" s="13" t="s">
        <v>8383</v>
      </c>
      <c r="I2085" s="13" t="s">
        <v>82</v>
      </c>
      <c r="J2085" s="13" t="s">
        <v>5716</v>
      </c>
      <c r="K2085" s="13"/>
      <c r="L2085" s="13" t="s">
        <v>8380</v>
      </c>
      <c r="M2085" s="13" t="s">
        <v>8381</v>
      </c>
    </row>
    <row r="2086" customFormat="false" ht="169.4" hidden="false" customHeight="false" outlineLevel="0" collapsed="false">
      <c r="A2086" s="13" t="s">
        <v>4</v>
      </c>
      <c r="B2086" s="13" t="s">
        <v>2150</v>
      </c>
      <c r="C2086" s="13" t="n">
        <v>274</v>
      </c>
      <c r="D2086" s="13" t="s">
        <v>8376</v>
      </c>
      <c r="E2086" s="13" t="s">
        <v>8384</v>
      </c>
      <c r="F2086" s="13" t="s">
        <v>806</v>
      </c>
      <c r="G2086" s="13" t="s">
        <v>8385</v>
      </c>
      <c r="H2086" s="13" t="s">
        <v>8386</v>
      </c>
      <c r="I2086" s="13" t="s">
        <v>82</v>
      </c>
      <c r="J2086" s="13" t="s">
        <v>5716</v>
      </c>
      <c r="K2086" s="13"/>
      <c r="L2086" s="13" t="s">
        <v>8380</v>
      </c>
      <c r="M2086" s="13" t="s">
        <v>8381</v>
      </c>
    </row>
    <row r="2087" customFormat="false" ht="169.4" hidden="false" customHeight="false" outlineLevel="0" collapsed="false">
      <c r="A2087" s="13" t="s">
        <v>4</v>
      </c>
      <c r="B2087" s="13" t="s">
        <v>2150</v>
      </c>
      <c r="C2087" s="13" t="n">
        <v>274</v>
      </c>
      <c r="D2087" s="13" t="s">
        <v>8376</v>
      </c>
      <c r="E2087" s="13" t="s">
        <v>8387</v>
      </c>
      <c r="F2087" s="13" t="s">
        <v>806</v>
      </c>
      <c r="G2087" s="13" t="s">
        <v>8388</v>
      </c>
      <c r="H2087" s="13" t="s">
        <v>8389</v>
      </c>
      <c r="I2087" s="13" t="s">
        <v>82</v>
      </c>
      <c r="J2087" s="13" t="s">
        <v>5716</v>
      </c>
      <c r="K2087" s="13"/>
      <c r="L2087" s="13" t="s">
        <v>8380</v>
      </c>
      <c r="M2087" s="13" t="s">
        <v>8381</v>
      </c>
    </row>
    <row r="2088" customFormat="false" ht="169.4" hidden="false" customHeight="false" outlineLevel="0" collapsed="false">
      <c r="A2088" s="13" t="s">
        <v>4</v>
      </c>
      <c r="B2088" s="13" t="s">
        <v>2150</v>
      </c>
      <c r="C2088" s="13" t="n">
        <v>274</v>
      </c>
      <c r="D2088" s="13" t="s">
        <v>8376</v>
      </c>
      <c r="E2088" s="13" t="s">
        <v>8390</v>
      </c>
      <c r="F2088" s="13" t="s">
        <v>806</v>
      </c>
      <c r="G2088" s="13" t="s">
        <v>8391</v>
      </c>
      <c r="H2088" s="13" t="s">
        <v>8392</v>
      </c>
      <c r="I2088" s="13" t="s">
        <v>82</v>
      </c>
      <c r="J2088" s="13" t="s">
        <v>5716</v>
      </c>
      <c r="K2088" s="13"/>
      <c r="L2088" s="13" t="s">
        <v>8380</v>
      </c>
      <c r="M2088" s="13" t="s">
        <v>8381</v>
      </c>
    </row>
    <row r="2089" customFormat="false" ht="169.4" hidden="false" customHeight="false" outlineLevel="0" collapsed="false">
      <c r="A2089" s="13" t="s">
        <v>4</v>
      </c>
      <c r="B2089" s="13" t="s">
        <v>2150</v>
      </c>
      <c r="C2089" s="13" t="n">
        <v>274</v>
      </c>
      <c r="D2089" s="13" t="s">
        <v>8376</v>
      </c>
      <c r="E2089" s="13" t="s">
        <v>8393</v>
      </c>
      <c r="F2089" s="13" t="s">
        <v>806</v>
      </c>
      <c r="G2089" s="13" t="s">
        <v>8394</v>
      </c>
      <c r="H2089" s="13" t="s">
        <v>8395</v>
      </c>
      <c r="I2089" s="13" t="s">
        <v>82</v>
      </c>
      <c r="J2089" s="13" t="s">
        <v>5716</v>
      </c>
      <c r="K2089" s="13"/>
      <c r="L2089" s="13" t="s">
        <v>8380</v>
      </c>
      <c r="M2089" s="13" t="s">
        <v>8381</v>
      </c>
    </row>
    <row r="2090" customFormat="false" ht="102.2" hidden="false" customHeight="false" outlineLevel="0" collapsed="false">
      <c r="A2090" s="13" t="s">
        <v>4</v>
      </c>
      <c r="B2090" s="13" t="s">
        <v>2150</v>
      </c>
      <c r="C2090" s="13" t="n">
        <v>274</v>
      </c>
      <c r="D2090" s="13" t="s">
        <v>8396</v>
      </c>
      <c r="E2090" s="13" t="s">
        <v>8397</v>
      </c>
      <c r="F2090" s="13" t="s">
        <v>8398</v>
      </c>
      <c r="G2090" s="13" t="s">
        <v>6074</v>
      </c>
      <c r="H2090" s="13" t="s">
        <v>8399</v>
      </c>
      <c r="I2090" s="13" t="s">
        <v>82</v>
      </c>
      <c r="J2090" s="13" t="s">
        <v>5716</v>
      </c>
      <c r="K2090" s="13"/>
      <c r="L2090" s="13" t="s">
        <v>8400</v>
      </c>
      <c r="M2090" s="13" t="s">
        <v>8401</v>
      </c>
    </row>
    <row r="2091" customFormat="false" ht="102.2" hidden="false" customHeight="false" outlineLevel="0" collapsed="false">
      <c r="A2091" s="13" t="s">
        <v>4</v>
      </c>
      <c r="B2091" s="13" t="s">
        <v>2150</v>
      </c>
      <c r="C2091" s="13" t="n">
        <v>274</v>
      </c>
      <c r="D2091" s="13" t="s">
        <v>8396</v>
      </c>
      <c r="E2091" s="13" t="s">
        <v>8402</v>
      </c>
      <c r="F2091" s="13" t="s">
        <v>3375</v>
      </c>
      <c r="G2091" s="13" t="s">
        <v>6077</v>
      </c>
      <c r="H2091" s="13" t="s">
        <v>8403</v>
      </c>
      <c r="I2091" s="13" t="s">
        <v>82</v>
      </c>
      <c r="J2091" s="13" t="s">
        <v>5716</v>
      </c>
      <c r="K2091" s="13"/>
      <c r="L2091" s="13" t="s">
        <v>8400</v>
      </c>
      <c r="M2091" s="13" t="s">
        <v>8401</v>
      </c>
    </row>
    <row r="2092" customFormat="false" ht="102.2" hidden="false" customHeight="false" outlineLevel="0" collapsed="false">
      <c r="A2092" s="13" t="s">
        <v>4</v>
      </c>
      <c r="B2092" s="13" t="s">
        <v>2150</v>
      </c>
      <c r="C2092" s="13" t="n">
        <v>274</v>
      </c>
      <c r="D2092" s="13" t="s">
        <v>8396</v>
      </c>
      <c r="E2092" s="13" t="s">
        <v>8404</v>
      </c>
      <c r="F2092" s="13" t="s">
        <v>8405</v>
      </c>
      <c r="G2092" s="13" t="s">
        <v>7868</v>
      </c>
      <c r="H2092" s="13" t="s">
        <v>8406</v>
      </c>
      <c r="I2092" s="13" t="s">
        <v>82</v>
      </c>
      <c r="J2092" s="13" t="s">
        <v>5716</v>
      </c>
      <c r="K2092" s="13"/>
      <c r="L2092" s="13" t="s">
        <v>8400</v>
      </c>
      <c r="M2092" s="13" t="s">
        <v>8401</v>
      </c>
    </row>
    <row r="2093" customFormat="false" ht="102.2" hidden="false" customHeight="false" outlineLevel="0" collapsed="false">
      <c r="A2093" s="13" t="s">
        <v>4</v>
      </c>
      <c r="B2093" s="13" t="s">
        <v>2150</v>
      </c>
      <c r="C2093" s="13" t="n">
        <v>274</v>
      </c>
      <c r="D2093" s="13" t="s">
        <v>8396</v>
      </c>
      <c r="E2093" s="13" t="s">
        <v>8407</v>
      </c>
      <c r="F2093" s="13" t="s">
        <v>8408</v>
      </c>
      <c r="G2093" s="13" t="s">
        <v>8409</v>
      </c>
      <c r="H2093" s="13" t="s">
        <v>8406</v>
      </c>
      <c r="I2093" s="13" t="s">
        <v>82</v>
      </c>
      <c r="J2093" s="13" t="s">
        <v>5716</v>
      </c>
      <c r="K2093" s="13"/>
      <c r="L2093" s="13" t="s">
        <v>8400</v>
      </c>
      <c r="M2093" s="13" t="s">
        <v>8401</v>
      </c>
    </row>
    <row r="2094" customFormat="false" ht="102.2" hidden="false" customHeight="false" outlineLevel="0" collapsed="false">
      <c r="A2094" s="13" t="s">
        <v>4</v>
      </c>
      <c r="B2094" s="13" t="s">
        <v>2150</v>
      </c>
      <c r="C2094" s="13" t="n">
        <v>274</v>
      </c>
      <c r="D2094" s="13" t="s">
        <v>8396</v>
      </c>
      <c r="E2094" s="13" t="s">
        <v>8410</v>
      </c>
      <c r="F2094" s="13" t="s">
        <v>8405</v>
      </c>
      <c r="G2094" s="13" t="s">
        <v>8411</v>
      </c>
      <c r="H2094" s="13" t="s">
        <v>8412</v>
      </c>
      <c r="I2094" s="13" t="s">
        <v>82</v>
      </c>
      <c r="J2094" s="13" t="s">
        <v>5716</v>
      </c>
      <c r="K2094" s="13"/>
      <c r="L2094" s="13" t="s">
        <v>8400</v>
      </c>
      <c r="M2094" s="13" t="s">
        <v>8401</v>
      </c>
    </row>
    <row r="2095" customFormat="false" ht="91" hidden="false" customHeight="false" outlineLevel="0" collapsed="false">
      <c r="A2095" s="13" t="s">
        <v>4</v>
      </c>
      <c r="B2095" s="13" t="s">
        <v>2150</v>
      </c>
      <c r="C2095" s="13" t="n">
        <v>274</v>
      </c>
      <c r="D2095" s="13" t="s">
        <v>8413</v>
      </c>
      <c r="E2095" s="13" t="s">
        <v>8414</v>
      </c>
      <c r="F2095" s="13" t="s">
        <v>8405</v>
      </c>
      <c r="G2095" s="13" t="s">
        <v>8415</v>
      </c>
      <c r="H2095" s="13" t="s">
        <v>8416</v>
      </c>
      <c r="I2095" s="13" t="s">
        <v>82</v>
      </c>
      <c r="J2095" s="13" t="s">
        <v>5716</v>
      </c>
      <c r="K2095" s="13"/>
      <c r="L2095" s="13" t="s">
        <v>8417</v>
      </c>
      <c r="M2095" s="13" t="s">
        <v>8418</v>
      </c>
    </row>
    <row r="2096" customFormat="false" ht="91" hidden="false" customHeight="false" outlineLevel="0" collapsed="false">
      <c r="A2096" s="13" t="s">
        <v>4</v>
      </c>
      <c r="B2096" s="13" t="s">
        <v>2150</v>
      </c>
      <c r="C2096" s="13" t="n">
        <v>274</v>
      </c>
      <c r="D2096" s="13" t="s">
        <v>8413</v>
      </c>
      <c r="E2096" s="13" t="s">
        <v>8419</v>
      </c>
      <c r="F2096" s="13" t="s">
        <v>8420</v>
      </c>
      <c r="G2096" s="13" t="s">
        <v>8421</v>
      </c>
      <c r="H2096" s="13" t="s">
        <v>591</v>
      </c>
      <c r="I2096" s="13" t="s">
        <v>82</v>
      </c>
      <c r="J2096" s="13" t="s">
        <v>5716</v>
      </c>
      <c r="K2096" s="13"/>
      <c r="L2096" s="13" t="s">
        <v>8417</v>
      </c>
      <c r="M2096" s="13" t="s">
        <v>8418</v>
      </c>
    </row>
    <row r="2097" customFormat="false" ht="91" hidden="false" customHeight="false" outlineLevel="0" collapsed="false">
      <c r="A2097" s="13" t="s">
        <v>4</v>
      </c>
      <c r="B2097" s="13" t="s">
        <v>2150</v>
      </c>
      <c r="C2097" s="13" t="n">
        <v>274</v>
      </c>
      <c r="D2097" s="13" t="s">
        <v>8413</v>
      </c>
      <c r="E2097" s="13" t="s">
        <v>8422</v>
      </c>
      <c r="F2097" s="13" t="s">
        <v>8423</v>
      </c>
      <c r="G2097" s="13" t="s">
        <v>8424</v>
      </c>
      <c r="H2097" s="13" t="s">
        <v>8405</v>
      </c>
      <c r="I2097" s="13" t="s">
        <v>82</v>
      </c>
      <c r="J2097" s="13" t="s">
        <v>5716</v>
      </c>
      <c r="K2097" s="13"/>
      <c r="L2097" s="13" t="s">
        <v>8417</v>
      </c>
      <c r="M2097" s="13" t="s">
        <v>8418</v>
      </c>
    </row>
    <row r="2098" customFormat="false" ht="91" hidden="false" customHeight="false" outlineLevel="0" collapsed="false">
      <c r="A2098" s="13" t="s">
        <v>4</v>
      </c>
      <c r="B2098" s="13" t="s">
        <v>2150</v>
      </c>
      <c r="C2098" s="13" t="n">
        <v>274</v>
      </c>
      <c r="D2098" s="13" t="s">
        <v>8413</v>
      </c>
      <c r="E2098" s="13" t="s">
        <v>8425</v>
      </c>
      <c r="F2098" s="13" t="s">
        <v>8405</v>
      </c>
      <c r="G2098" s="13" t="s">
        <v>1054</v>
      </c>
      <c r="H2098" s="13" t="s">
        <v>8426</v>
      </c>
      <c r="I2098" s="13" t="s">
        <v>82</v>
      </c>
      <c r="J2098" s="13" t="s">
        <v>5716</v>
      </c>
      <c r="K2098" s="13"/>
      <c r="L2098" s="13" t="s">
        <v>8417</v>
      </c>
      <c r="M2098" s="13" t="s">
        <v>8418</v>
      </c>
    </row>
    <row r="2099" customFormat="false" ht="23.85" hidden="false" customHeight="false" outlineLevel="0" collapsed="false">
      <c r="A2099" s="13" t="s">
        <v>4</v>
      </c>
      <c r="B2099" s="13" t="s">
        <v>2150</v>
      </c>
      <c r="C2099" s="13" t="n">
        <v>274</v>
      </c>
      <c r="D2099" s="13" t="s">
        <v>8427</v>
      </c>
      <c r="E2099" s="13" t="s">
        <v>8428</v>
      </c>
      <c r="F2099" s="13" t="s">
        <v>8423</v>
      </c>
      <c r="G2099" s="13" t="s">
        <v>8429</v>
      </c>
      <c r="H2099" s="13" t="s">
        <v>8430</v>
      </c>
      <c r="I2099" s="13" t="s">
        <v>82</v>
      </c>
      <c r="J2099" s="13" t="s">
        <v>5716</v>
      </c>
      <c r="K2099" s="13"/>
      <c r="L2099" s="13" t="s">
        <v>8431</v>
      </c>
      <c r="M2099" s="13" t="s">
        <v>8432</v>
      </c>
    </row>
    <row r="2100" customFormat="false" ht="113.4" hidden="false" customHeight="false" outlineLevel="0" collapsed="false">
      <c r="A2100" s="13" t="s">
        <v>4</v>
      </c>
      <c r="B2100" s="13" t="s">
        <v>2150</v>
      </c>
      <c r="C2100" s="13" t="n">
        <v>274</v>
      </c>
      <c r="D2100" s="13" t="s">
        <v>8433</v>
      </c>
      <c r="E2100" s="13" t="s">
        <v>8434</v>
      </c>
      <c r="F2100" s="13" t="s">
        <v>8398</v>
      </c>
      <c r="G2100" s="13" t="s">
        <v>8435</v>
      </c>
      <c r="H2100" s="13" t="s">
        <v>8436</v>
      </c>
      <c r="I2100" s="13" t="s">
        <v>82</v>
      </c>
      <c r="J2100" s="13" t="s">
        <v>5716</v>
      </c>
      <c r="K2100" s="13"/>
      <c r="L2100" s="13" t="s">
        <v>8437</v>
      </c>
      <c r="M2100" s="13" t="s">
        <v>8438</v>
      </c>
    </row>
    <row r="2101" customFormat="false" ht="113.4" hidden="false" customHeight="false" outlineLevel="0" collapsed="false">
      <c r="A2101" s="13" t="s">
        <v>4</v>
      </c>
      <c r="B2101" s="13" t="s">
        <v>2150</v>
      </c>
      <c r="C2101" s="13" t="n">
        <v>274</v>
      </c>
      <c r="D2101" s="13" t="s">
        <v>8433</v>
      </c>
      <c r="E2101" s="13" t="s">
        <v>8439</v>
      </c>
      <c r="F2101" s="13" t="s">
        <v>8398</v>
      </c>
      <c r="G2101" s="13" t="s">
        <v>8440</v>
      </c>
      <c r="H2101" s="13" t="s">
        <v>8441</v>
      </c>
      <c r="I2101" s="13" t="s">
        <v>82</v>
      </c>
      <c r="J2101" s="13" t="s">
        <v>5716</v>
      </c>
      <c r="K2101" s="13"/>
      <c r="L2101" s="13" t="s">
        <v>8437</v>
      </c>
      <c r="M2101" s="13" t="s">
        <v>8438</v>
      </c>
    </row>
    <row r="2102" customFormat="false" ht="113.4" hidden="false" customHeight="false" outlineLevel="0" collapsed="false">
      <c r="A2102" s="13" t="s">
        <v>4</v>
      </c>
      <c r="B2102" s="13" t="s">
        <v>2150</v>
      </c>
      <c r="C2102" s="13" t="n">
        <v>274</v>
      </c>
      <c r="D2102" s="13" t="s">
        <v>8433</v>
      </c>
      <c r="E2102" s="13" t="s">
        <v>8442</v>
      </c>
      <c r="F2102" s="13" t="s">
        <v>8443</v>
      </c>
      <c r="G2102" s="13" t="s">
        <v>3499</v>
      </c>
      <c r="H2102" s="13" t="s">
        <v>8444</v>
      </c>
      <c r="I2102" s="13" t="s">
        <v>82</v>
      </c>
      <c r="J2102" s="13" t="s">
        <v>5716</v>
      </c>
      <c r="K2102" s="13"/>
      <c r="L2102" s="13" t="s">
        <v>8437</v>
      </c>
      <c r="M2102" s="13" t="s">
        <v>8438</v>
      </c>
    </row>
    <row r="2103" customFormat="false" ht="113.4" hidden="false" customHeight="false" outlineLevel="0" collapsed="false">
      <c r="A2103" s="13" t="s">
        <v>4</v>
      </c>
      <c r="B2103" s="13" t="s">
        <v>2150</v>
      </c>
      <c r="C2103" s="13" t="n">
        <v>274</v>
      </c>
      <c r="D2103" s="13" t="s">
        <v>8433</v>
      </c>
      <c r="E2103" s="13" t="s">
        <v>8445</v>
      </c>
      <c r="F2103" s="13" t="s">
        <v>8398</v>
      </c>
      <c r="G2103" s="13" t="s">
        <v>8446</v>
      </c>
      <c r="H2103" s="13" t="s">
        <v>3375</v>
      </c>
      <c r="I2103" s="13" t="s">
        <v>82</v>
      </c>
      <c r="J2103" s="13" t="s">
        <v>5716</v>
      </c>
      <c r="K2103" s="13"/>
      <c r="L2103" s="13" t="s">
        <v>8437</v>
      </c>
      <c r="M2103" s="13" t="s">
        <v>8438</v>
      </c>
    </row>
    <row r="2104" customFormat="false" ht="113.4" hidden="false" customHeight="false" outlineLevel="0" collapsed="false">
      <c r="A2104" s="13" t="s">
        <v>4</v>
      </c>
      <c r="B2104" s="13" t="s">
        <v>2150</v>
      </c>
      <c r="C2104" s="13" t="n">
        <v>274</v>
      </c>
      <c r="D2104" s="13" t="s">
        <v>8433</v>
      </c>
      <c r="E2104" s="13" t="s">
        <v>8447</v>
      </c>
      <c r="F2104" s="13" t="s">
        <v>3375</v>
      </c>
      <c r="G2104" s="13" t="s">
        <v>8448</v>
      </c>
      <c r="H2104" s="13" t="s">
        <v>8398</v>
      </c>
      <c r="I2104" s="13" t="s">
        <v>82</v>
      </c>
      <c r="J2104" s="13" t="s">
        <v>5716</v>
      </c>
      <c r="K2104" s="13"/>
      <c r="L2104" s="13" t="s">
        <v>8437</v>
      </c>
      <c r="M2104" s="13" t="s">
        <v>8438</v>
      </c>
    </row>
    <row r="2105" customFormat="false" ht="113.4" hidden="false" customHeight="false" outlineLevel="0" collapsed="false">
      <c r="A2105" s="13" t="s">
        <v>4</v>
      </c>
      <c r="B2105" s="13" t="s">
        <v>2150</v>
      </c>
      <c r="C2105" s="13" t="n">
        <v>274</v>
      </c>
      <c r="D2105" s="13" t="s">
        <v>8433</v>
      </c>
      <c r="E2105" s="13" t="s">
        <v>8449</v>
      </c>
      <c r="F2105" s="13" t="s">
        <v>8450</v>
      </c>
      <c r="G2105" s="13" t="s">
        <v>669</v>
      </c>
      <c r="H2105" s="13" t="s">
        <v>8451</v>
      </c>
      <c r="I2105" s="13" t="s">
        <v>82</v>
      </c>
      <c r="J2105" s="13" t="s">
        <v>5716</v>
      </c>
      <c r="K2105" s="13"/>
      <c r="L2105" s="13" t="s">
        <v>8437</v>
      </c>
      <c r="M2105" s="13" t="s">
        <v>8438</v>
      </c>
    </row>
    <row r="2106" customFormat="false" ht="113.4" hidden="false" customHeight="false" outlineLevel="0" collapsed="false">
      <c r="A2106" s="13" t="s">
        <v>4</v>
      </c>
      <c r="B2106" s="13" t="s">
        <v>2150</v>
      </c>
      <c r="C2106" s="13" t="n">
        <v>274</v>
      </c>
      <c r="D2106" s="13" t="s">
        <v>8433</v>
      </c>
      <c r="E2106" s="13" t="s">
        <v>8452</v>
      </c>
      <c r="F2106" s="13" t="s">
        <v>8453</v>
      </c>
      <c r="G2106" s="13" t="s">
        <v>669</v>
      </c>
      <c r="H2106" s="13" t="s">
        <v>8454</v>
      </c>
      <c r="I2106" s="13" t="s">
        <v>82</v>
      </c>
      <c r="J2106" s="13" t="s">
        <v>5716</v>
      </c>
      <c r="K2106" s="13"/>
      <c r="L2106" s="13" t="s">
        <v>8437</v>
      </c>
      <c r="M2106" s="13" t="s">
        <v>8438</v>
      </c>
    </row>
    <row r="2107" customFormat="false" ht="35.05" hidden="false" customHeight="false" outlineLevel="0" collapsed="false">
      <c r="A2107" s="13" t="s">
        <v>4</v>
      </c>
      <c r="B2107" s="13" t="s">
        <v>2150</v>
      </c>
      <c r="C2107" s="13" t="n">
        <v>335</v>
      </c>
      <c r="D2107" s="13" t="s">
        <v>8455</v>
      </c>
      <c r="E2107" s="13" t="s">
        <v>8456</v>
      </c>
      <c r="F2107" s="13" t="s">
        <v>806</v>
      </c>
      <c r="G2107" s="13" t="s">
        <v>8457</v>
      </c>
      <c r="H2107" s="13" t="s">
        <v>8458</v>
      </c>
      <c r="I2107" s="13" t="s">
        <v>82</v>
      </c>
      <c r="J2107" s="13" t="s">
        <v>5716</v>
      </c>
      <c r="K2107" s="13"/>
      <c r="L2107" s="13" t="s">
        <v>8459</v>
      </c>
      <c r="M2107" s="13" t="s">
        <v>8460</v>
      </c>
    </row>
    <row r="2108" customFormat="false" ht="35.05" hidden="false" customHeight="false" outlineLevel="0" collapsed="false">
      <c r="A2108" s="13" t="s">
        <v>4</v>
      </c>
      <c r="B2108" s="13" t="s">
        <v>2150</v>
      </c>
      <c r="C2108" s="13" t="n">
        <v>335</v>
      </c>
      <c r="D2108" s="13" t="s">
        <v>8455</v>
      </c>
      <c r="E2108" s="13" t="s">
        <v>8461</v>
      </c>
      <c r="F2108" s="13" t="s">
        <v>8458</v>
      </c>
      <c r="G2108" s="13" t="s">
        <v>8462</v>
      </c>
      <c r="H2108" s="13" t="s">
        <v>8463</v>
      </c>
      <c r="I2108" s="13" t="s">
        <v>82</v>
      </c>
      <c r="J2108" s="13" t="s">
        <v>5716</v>
      </c>
      <c r="K2108" s="13"/>
      <c r="L2108" s="13" t="s">
        <v>8459</v>
      </c>
      <c r="M2108" s="13" t="s">
        <v>8460</v>
      </c>
    </row>
    <row r="2109" customFormat="false" ht="35.05" hidden="false" customHeight="false" outlineLevel="0" collapsed="false">
      <c r="A2109" s="13" t="s">
        <v>4</v>
      </c>
      <c r="B2109" s="13" t="s">
        <v>2150</v>
      </c>
      <c r="C2109" s="13" t="n">
        <v>335</v>
      </c>
      <c r="D2109" s="13" t="s">
        <v>8455</v>
      </c>
      <c r="E2109" s="13" t="s">
        <v>8464</v>
      </c>
      <c r="F2109" s="13" t="s">
        <v>8458</v>
      </c>
      <c r="G2109" s="13" t="s">
        <v>8465</v>
      </c>
      <c r="H2109" s="13" t="s">
        <v>8466</v>
      </c>
      <c r="I2109" s="13" t="s">
        <v>82</v>
      </c>
      <c r="J2109" s="13" t="s">
        <v>5716</v>
      </c>
      <c r="K2109" s="13"/>
      <c r="L2109" s="13" t="s">
        <v>8459</v>
      </c>
      <c r="M2109" s="13" t="s">
        <v>8460</v>
      </c>
    </row>
    <row r="2110" customFormat="false" ht="68.65" hidden="false" customHeight="false" outlineLevel="0" collapsed="false">
      <c r="A2110" s="13" t="s">
        <v>4</v>
      </c>
      <c r="B2110" s="13" t="s">
        <v>2150</v>
      </c>
      <c r="C2110" s="13" t="n">
        <v>335</v>
      </c>
      <c r="D2110" s="13" t="s">
        <v>8467</v>
      </c>
      <c r="E2110" s="13" t="s">
        <v>8468</v>
      </c>
      <c r="F2110" s="13" t="s">
        <v>806</v>
      </c>
      <c r="G2110" s="13" t="s">
        <v>8457</v>
      </c>
      <c r="H2110" s="13" t="s">
        <v>8469</v>
      </c>
      <c r="I2110" s="13" t="s">
        <v>82</v>
      </c>
      <c r="J2110" s="13" t="s">
        <v>5716</v>
      </c>
      <c r="K2110" s="13"/>
      <c r="L2110" s="13" t="s">
        <v>8470</v>
      </c>
      <c r="M2110" s="13" t="s">
        <v>8471</v>
      </c>
    </row>
    <row r="2111" customFormat="false" ht="68.65" hidden="false" customHeight="false" outlineLevel="0" collapsed="false">
      <c r="A2111" s="13" t="s">
        <v>4</v>
      </c>
      <c r="B2111" s="13" t="s">
        <v>2150</v>
      </c>
      <c r="C2111" s="13" t="n">
        <v>335</v>
      </c>
      <c r="D2111" s="13" t="s">
        <v>8467</v>
      </c>
      <c r="E2111" s="13" t="s">
        <v>8472</v>
      </c>
      <c r="F2111" s="13" t="s">
        <v>8469</v>
      </c>
      <c r="G2111" s="13" t="s">
        <v>8465</v>
      </c>
      <c r="H2111" s="13" t="s">
        <v>8466</v>
      </c>
      <c r="I2111" s="13" t="s">
        <v>82</v>
      </c>
      <c r="J2111" s="13" t="s">
        <v>5716</v>
      </c>
      <c r="K2111" s="13"/>
      <c r="L2111" s="13" t="s">
        <v>8470</v>
      </c>
      <c r="M2111" s="13" t="s">
        <v>8471</v>
      </c>
    </row>
    <row r="2112" customFormat="false" ht="68.65" hidden="false" customHeight="false" outlineLevel="0" collapsed="false">
      <c r="A2112" s="13" t="s">
        <v>4</v>
      </c>
      <c r="B2112" s="13" t="s">
        <v>2150</v>
      </c>
      <c r="C2112" s="13" t="n">
        <v>335</v>
      </c>
      <c r="D2112" s="13" t="s">
        <v>8467</v>
      </c>
      <c r="E2112" s="13" t="s">
        <v>8473</v>
      </c>
      <c r="F2112" s="13" t="s">
        <v>8474</v>
      </c>
      <c r="G2112" s="13" t="s">
        <v>3882</v>
      </c>
      <c r="H2112" s="13" t="s">
        <v>8475</v>
      </c>
      <c r="I2112" s="13" t="s">
        <v>74</v>
      </c>
      <c r="J2112" s="13" t="s">
        <v>8476</v>
      </c>
      <c r="K2112" s="13" t="s">
        <v>8477</v>
      </c>
      <c r="L2112" s="13" t="s">
        <v>8470</v>
      </c>
      <c r="M2112" s="13" t="s">
        <v>8471</v>
      </c>
    </row>
    <row r="2113" customFormat="false" ht="35.05" hidden="false" customHeight="false" outlineLevel="0" collapsed="false">
      <c r="A2113" s="13" t="s">
        <v>4</v>
      </c>
      <c r="B2113" s="13" t="s">
        <v>2150</v>
      </c>
      <c r="C2113" s="13" t="n">
        <v>335</v>
      </c>
      <c r="D2113" s="13" t="s">
        <v>8478</v>
      </c>
      <c r="E2113" s="13" t="s">
        <v>8479</v>
      </c>
      <c r="F2113" s="13" t="s">
        <v>806</v>
      </c>
      <c r="G2113" s="13" t="s">
        <v>8457</v>
      </c>
      <c r="H2113" s="13" t="s">
        <v>8480</v>
      </c>
      <c r="I2113" s="13" t="s">
        <v>82</v>
      </c>
      <c r="J2113" s="13" t="s">
        <v>5716</v>
      </c>
      <c r="K2113" s="13"/>
      <c r="L2113" s="13" t="s">
        <v>8481</v>
      </c>
      <c r="M2113" s="13" t="s">
        <v>8482</v>
      </c>
    </row>
    <row r="2114" customFormat="false" ht="35.05" hidden="false" customHeight="false" outlineLevel="0" collapsed="false">
      <c r="A2114" s="13" t="s">
        <v>4</v>
      </c>
      <c r="B2114" s="13" t="s">
        <v>2150</v>
      </c>
      <c r="C2114" s="13" t="n">
        <v>335</v>
      </c>
      <c r="D2114" s="13" t="s">
        <v>8478</v>
      </c>
      <c r="E2114" s="13" t="s">
        <v>8483</v>
      </c>
      <c r="F2114" s="13" t="s">
        <v>8480</v>
      </c>
      <c r="G2114" s="13" t="s">
        <v>8465</v>
      </c>
      <c r="H2114" s="13" t="s">
        <v>8466</v>
      </c>
      <c r="I2114" s="13" t="s">
        <v>82</v>
      </c>
      <c r="J2114" s="13" t="s">
        <v>5716</v>
      </c>
      <c r="K2114" s="13"/>
      <c r="L2114" s="13" t="s">
        <v>8481</v>
      </c>
      <c r="M2114" s="13" t="s">
        <v>8482</v>
      </c>
    </row>
    <row r="2115" customFormat="false" ht="113.4" hidden="false" customHeight="false" outlineLevel="0" collapsed="false">
      <c r="A2115" s="13" t="s">
        <v>4</v>
      </c>
      <c r="B2115" s="13" t="s">
        <v>2150</v>
      </c>
      <c r="C2115" s="13" t="n">
        <v>335</v>
      </c>
      <c r="D2115" s="13" t="s">
        <v>8484</v>
      </c>
      <c r="E2115" s="13" t="s">
        <v>8485</v>
      </c>
      <c r="F2115" s="13" t="s">
        <v>806</v>
      </c>
      <c r="G2115" s="13" t="s">
        <v>8486</v>
      </c>
      <c r="H2115" s="13" t="s">
        <v>8487</v>
      </c>
      <c r="I2115" s="13" t="s">
        <v>82</v>
      </c>
      <c r="J2115" s="13" t="s">
        <v>5716</v>
      </c>
      <c r="K2115" s="13"/>
      <c r="L2115" s="13" t="s">
        <v>8488</v>
      </c>
      <c r="M2115" s="13" t="s">
        <v>8489</v>
      </c>
    </row>
    <row r="2116" customFormat="false" ht="113.4" hidden="false" customHeight="false" outlineLevel="0" collapsed="false">
      <c r="A2116" s="13" t="s">
        <v>4</v>
      </c>
      <c r="B2116" s="13" t="s">
        <v>2150</v>
      </c>
      <c r="C2116" s="13" t="n">
        <v>335</v>
      </c>
      <c r="D2116" s="13" t="s">
        <v>8484</v>
      </c>
      <c r="E2116" s="13" t="s">
        <v>8490</v>
      </c>
      <c r="F2116" s="13" t="s">
        <v>806</v>
      </c>
      <c r="G2116" s="13" t="s">
        <v>2317</v>
      </c>
      <c r="H2116" s="13" t="s">
        <v>1601</v>
      </c>
      <c r="I2116" s="13" t="s">
        <v>82</v>
      </c>
      <c r="J2116" s="13" t="s">
        <v>5716</v>
      </c>
      <c r="K2116" s="13"/>
      <c r="L2116" s="13" t="s">
        <v>8488</v>
      </c>
      <c r="M2116" s="13" t="s">
        <v>8489</v>
      </c>
    </row>
    <row r="2117" customFormat="false" ht="113.4" hidden="false" customHeight="false" outlineLevel="0" collapsed="false">
      <c r="A2117" s="13" t="s">
        <v>4</v>
      </c>
      <c r="B2117" s="13" t="s">
        <v>2150</v>
      </c>
      <c r="C2117" s="13" t="n">
        <v>335</v>
      </c>
      <c r="D2117" s="13" t="s">
        <v>8484</v>
      </c>
      <c r="E2117" s="13" t="s">
        <v>8491</v>
      </c>
      <c r="F2117" s="13" t="s">
        <v>806</v>
      </c>
      <c r="G2117" s="13" t="s">
        <v>2309</v>
      </c>
      <c r="H2117" s="13" t="s">
        <v>8492</v>
      </c>
      <c r="I2117" s="13" t="s">
        <v>82</v>
      </c>
      <c r="J2117" s="13" t="s">
        <v>5716</v>
      </c>
      <c r="K2117" s="13"/>
      <c r="L2117" s="13" t="s">
        <v>8488</v>
      </c>
      <c r="M2117" s="13" t="s">
        <v>8489</v>
      </c>
    </row>
    <row r="2118" customFormat="false" ht="113.4" hidden="false" customHeight="false" outlineLevel="0" collapsed="false">
      <c r="A2118" s="13" t="s">
        <v>4</v>
      </c>
      <c r="B2118" s="13" t="s">
        <v>2150</v>
      </c>
      <c r="C2118" s="13" t="n">
        <v>335</v>
      </c>
      <c r="D2118" s="13" t="s">
        <v>8484</v>
      </c>
      <c r="E2118" s="13" t="s">
        <v>8493</v>
      </c>
      <c r="F2118" s="13" t="s">
        <v>806</v>
      </c>
      <c r="G2118" s="13" t="s">
        <v>8494</v>
      </c>
      <c r="H2118" s="13" t="s">
        <v>8495</v>
      </c>
      <c r="I2118" s="13" t="s">
        <v>82</v>
      </c>
      <c r="J2118" s="13" t="s">
        <v>5716</v>
      </c>
      <c r="K2118" s="13"/>
      <c r="L2118" s="13" t="s">
        <v>8488</v>
      </c>
      <c r="M2118" s="13" t="s">
        <v>8489</v>
      </c>
    </row>
    <row r="2119" customFormat="false" ht="23.85" hidden="false" customHeight="false" outlineLevel="0" collapsed="false">
      <c r="A2119" s="13" t="s">
        <v>4</v>
      </c>
      <c r="B2119" s="13" t="s">
        <v>2150</v>
      </c>
      <c r="C2119" s="13" t="n">
        <v>335</v>
      </c>
      <c r="D2119" s="13" t="s">
        <v>8496</v>
      </c>
      <c r="E2119" s="13" t="s">
        <v>8497</v>
      </c>
      <c r="F2119" s="13" t="s">
        <v>806</v>
      </c>
      <c r="G2119" s="13" t="s">
        <v>7780</v>
      </c>
      <c r="H2119" s="13" t="s">
        <v>8498</v>
      </c>
      <c r="I2119" s="13" t="s">
        <v>82</v>
      </c>
      <c r="J2119" s="13" t="s">
        <v>5716</v>
      </c>
      <c r="K2119" s="13"/>
      <c r="L2119" s="13" t="s">
        <v>8499</v>
      </c>
      <c r="M2119" s="13" t="s">
        <v>8500</v>
      </c>
    </row>
    <row r="2120" customFormat="false" ht="23.85" hidden="false" customHeight="false" outlineLevel="0" collapsed="false">
      <c r="A2120" s="13" t="s">
        <v>4</v>
      </c>
      <c r="B2120" s="13" t="s">
        <v>2150</v>
      </c>
      <c r="C2120" s="13" t="n">
        <v>335</v>
      </c>
      <c r="D2120" s="13" t="s">
        <v>8501</v>
      </c>
      <c r="E2120" s="13" t="s">
        <v>8502</v>
      </c>
      <c r="F2120" s="13" t="s">
        <v>806</v>
      </c>
      <c r="G2120" s="13" t="s">
        <v>1532</v>
      </c>
      <c r="H2120" s="13" t="s">
        <v>8503</v>
      </c>
      <c r="I2120" s="13" t="s">
        <v>82</v>
      </c>
      <c r="J2120" s="13" t="s">
        <v>5716</v>
      </c>
      <c r="K2120" s="13"/>
      <c r="L2120" s="13" t="s">
        <v>8504</v>
      </c>
      <c r="M2120" s="13" t="s">
        <v>8505</v>
      </c>
    </row>
    <row r="2121" customFormat="false" ht="35.05" hidden="false" customHeight="false" outlineLevel="0" collapsed="false">
      <c r="A2121" s="13" t="s">
        <v>4</v>
      </c>
      <c r="B2121" s="13" t="s">
        <v>2150</v>
      </c>
      <c r="C2121" s="13" t="n">
        <v>335</v>
      </c>
      <c r="D2121" s="13" t="s">
        <v>8506</v>
      </c>
      <c r="E2121" s="13" t="s">
        <v>8507</v>
      </c>
      <c r="F2121" s="13" t="s">
        <v>806</v>
      </c>
      <c r="G2121" s="13" t="s">
        <v>8508</v>
      </c>
      <c r="H2121" s="13" t="s">
        <v>8509</v>
      </c>
      <c r="I2121" s="13" t="s">
        <v>82</v>
      </c>
      <c r="J2121" s="13" t="s">
        <v>5716</v>
      </c>
      <c r="K2121" s="13"/>
      <c r="L2121" s="13" t="s">
        <v>8510</v>
      </c>
      <c r="M2121" s="13" t="s">
        <v>8511</v>
      </c>
    </row>
    <row r="2122" customFormat="false" ht="35.05" hidden="false" customHeight="false" outlineLevel="0" collapsed="false">
      <c r="A2122" s="13" t="s">
        <v>4</v>
      </c>
      <c r="B2122" s="13" t="s">
        <v>2150</v>
      </c>
      <c r="C2122" s="13" t="n">
        <v>335</v>
      </c>
      <c r="D2122" s="13" t="s">
        <v>8506</v>
      </c>
      <c r="E2122" s="13" t="s">
        <v>8512</v>
      </c>
      <c r="F2122" s="13" t="s">
        <v>5381</v>
      </c>
      <c r="G2122" s="13" t="s">
        <v>8513</v>
      </c>
      <c r="H2122" s="13" t="s">
        <v>8509</v>
      </c>
      <c r="I2122" s="13" t="s">
        <v>82</v>
      </c>
      <c r="J2122" s="13" t="s">
        <v>5716</v>
      </c>
      <c r="K2122" s="13"/>
      <c r="L2122" s="13" t="s">
        <v>8510</v>
      </c>
      <c r="M2122" s="13" t="s">
        <v>8511</v>
      </c>
    </row>
    <row r="2123" customFormat="false" ht="23.85" hidden="false" customHeight="false" outlineLevel="0" collapsed="false">
      <c r="A2123" s="13" t="s">
        <v>4</v>
      </c>
      <c r="B2123" s="13" t="s">
        <v>2150</v>
      </c>
      <c r="C2123" s="13" t="n">
        <v>335</v>
      </c>
      <c r="D2123" s="13" t="s">
        <v>8514</v>
      </c>
      <c r="E2123" s="13" t="s">
        <v>8515</v>
      </c>
      <c r="F2123" s="13" t="s">
        <v>806</v>
      </c>
      <c r="G2123" s="13" t="s">
        <v>8516</v>
      </c>
      <c r="H2123" s="13" t="s">
        <v>8509</v>
      </c>
      <c r="I2123" s="13" t="s">
        <v>82</v>
      </c>
      <c r="J2123" s="13" t="s">
        <v>5716</v>
      </c>
      <c r="K2123" s="13"/>
      <c r="L2123" s="13" t="s">
        <v>8517</v>
      </c>
      <c r="M2123" s="13" t="s">
        <v>8518</v>
      </c>
    </row>
    <row r="2124" customFormat="false" ht="281.3" hidden="false" customHeight="false" outlineLevel="0" collapsed="false">
      <c r="A2124" s="13" t="s">
        <v>4</v>
      </c>
      <c r="B2124" s="13" t="s">
        <v>2150</v>
      </c>
      <c r="C2124" s="13" t="n">
        <v>335</v>
      </c>
      <c r="D2124" s="13" t="s">
        <v>8519</v>
      </c>
      <c r="E2124" s="13" t="s">
        <v>8520</v>
      </c>
      <c r="F2124" s="13" t="s">
        <v>173</v>
      </c>
      <c r="G2124" s="13" t="s">
        <v>1150</v>
      </c>
      <c r="H2124" s="13" t="s">
        <v>8521</v>
      </c>
      <c r="I2124" s="13" t="s">
        <v>82</v>
      </c>
      <c r="J2124" s="13" t="s">
        <v>5716</v>
      </c>
      <c r="K2124" s="13"/>
      <c r="L2124" s="13" t="s">
        <v>8522</v>
      </c>
      <c r="M2124" s="13" t="s">
        <v>8523</v>
      </c>
    </row>
    <row r="2125" customFormat="false" ht="281.3" hidden="false" customHeight="false" outlineLevel="0" collapsed="false">
      <c r="A2125" s="13" t="s">
        <v>4</v>
      </c>
      <c r="B2125" s="13" t="s">
        <v>2150</v>
      </c>
      <c r="C2125" s="13" t="n">
        <v>335</v>
      </c>
      <c r="D2125" s="13" t="s">
        <v>8519</v>
      </c>
      <c r="E2125" s="13" t="s">
        <v>8524</v>
      </c>
      <c r="F2125" s="13" t="s">
        <v>173</v>
      </c>
      <c r="G2125" s="13" t="s">
        <v>8525</v>
      </c>
      <c r="H2125" s="13" t="s">
        <v>8526</v>
      </c>
      <c r="I2125" s="13" t="s">
        <v>82</v>
      </c>
      <c r="J2125" s="13" t="s">
        <v>5716</v>
      </c>
      <c r="K2125" s="13"/>
      <c r="L2125" s="13" t="s">
        <v>8522</v>
      </c>
      <c r="M2125" s="13" t="s">
        <v>8523</v>
      </c>
    </row>
    <row r="2126" customFormat="false" ht="281.3" hidden="false" customHeight="false" outlineLevel="0" collapsed="false">
      <c r="A2126" s="13" t="s">
        <v>4</v>
      </c>
      <c r="B2126" s="13" t="s">
        <v>2150</v>
      </c>
      <c r="C2126" s="13" t="n">
        <v>335</v>
      </c>
      <c r="D2126" s="13" t="s">
        <v>8519</v>
      </c>
      <c r="E2126" s="13" t="s">
        <v>8527</v>
      </c>
      <c r="F2126" s="13" t="s">
        <v>8528</v>
      </c>
      <c r="G2126" s="13" t="s">
        <v>7230</v>
      </c>
      <c r="H2126" s="13" t="s">
        <v>173</v>
      </c>
      <c r="I2126" s="13" t="s">
        <v>82</v>
      </c>
      <c r="J2126" s="13" t="s">
        <v>5716</v>
      </c>
      <c r="K2126" s="13"/>
      <c r="L2126" s="13" t="s">
        <v>8522</v>
      </c>
      <c r="M2126" s="13" t="s">
        <v>8523</v>
      </c>
    </row>
    <row r="2127" customFormat="false" ht="281.3" hidden="false" customHeight="false" outlineLevel="0" collapsed="false">
      <c r="A2127" s="13" t="s">
        <v>4</v>
      </c>
      <c r="B2127" s="13" t="s">
        <v>2150</v>
      </c>
      <c r="C2127" s="13" t="n">
        <v>335</v>
      </c>
      <c r="D2127" s="13" t="s">
        <v>8519</v>
      </c>
      <c r="E2127" s="13" t="s">
        <v>8529</v>
      </c>
      <c r="F2127" s="13" t="s">
        <v>173</v>
      </c>
      <c r="G2127" s="13" t="s">
        <v>8530</v>
      </c>
      <c r="H2127" s="13" t="s">
        <v>8531</v>
      </c>
      <c r="I2127" s="13" t="s">
        <v>114</v>
      </c>
      <c r="J2127" s="13" t="s">
        <v>8532</v>
      </c>
      <c r="K2127" s="13" t="s">
        <v>8533</v>
      </c>
      <c r="L2127" s="13" t="s">
        <v>8522</v>
      </c>
      <c r="M2127" s="13" t="s">
        <v>8523</v>
      </c>
    </row>
    <row r="2128" customFormat="false" ht="281.3" hidden="false" customHeight="false" outlineLevel="0" collapsed="false">
      <c r="A2128" s="13" t="s">
        <v>4</v>
      </c>
      <c r="B2128" s="13" t="s">
        <v>2150</v>
      </c>
      <c r="C2128" s="13" t="n">
        <v>335</v>
      </c>
      <c r="D2128" s="13" t="s">
        <v>8519</v>
      </c>
      <c r="E2128" s="13" t="s">
        <v>8534</v>
      </c>
      <c r="F2128" s="13" t="s">
        <v>173</v>
      </c>
      <c r="G2128" s="13" t="s">
        <v>8535</v>
      </c>
      <c r="H2128" s="13" t="s">
        <v>8536</v>
      </c>
      <c r="I2128" s="13" t="s">
        <v>74</v>
      </c>
      <c r="J2128" s="13" t="s">
        <v>8537</v>
      </c>
      <c r="K2128" s="13" t="s">
        <v>8538</v>
      </c>
      <c r="L2128" s="13" t="s">
        <v>8522</v>
      </c>
      <c r="M2128" s="13" t="s">
        <v>8523</v>
      </c>
    </row>
    <row r="2129" customFormat="false" ht="281.3" hidden="false" customHeight="false" outlineLevel="0" collapsed="false">
      <c r="A2129" s="13" t="s">
        <v>4</v>
      </c>
      <c r="B2129" s="13" t="s">
        <v>2150</v>
      </c>
      <c r="C2129" s="13" t="n">
        <v>335</v>
      </c>
      <c r="D2129" s="13" t="s">
        <v>8519</v>
      </c>
      <c r="E2129" s="13" t="s">
        <v>8539</v>
      </c>
      <c r="F2129" s="13" t="s">
        <v>173</v>
      </c>
      <c r="G2129" s="13" t="s">
        <v>8540</v>
      </c>
      <c r="H2129" s="13" t="s">
        <v>8541</v>
      </c>
      <c r="I2129" s="13" t="s">
        <v>82</v>
      </c>
      <c r="J2129" s="13" t="s">
        <v>5716</v>
      </c>
      <c r="K2129" s="13"/>
      <c r="L2129" s="13" t="s">
        <v>8522</v>
      </c>
      <c r="M2129" s="13" t="s">
        <v>8523</v>
      </c>
    </row>
    <row r="2130" customFormat="false" ht="281.3" hidden="false" customHeight="false" outlineLevel="0" collapsed="false">
      <c r="A2130" s="13" t="s">
        <v>4</v>
      </c>
      <c r="B2130" s="13" t="s">
        <v>2150</v>
      </c>
      <c r="C2130" s="13" t="n">
        <v>335</v>
      </c>
      <c r="D2130" s="13" t="s">
        <v>8519</v>
      </c>
      <c r="E2130" s="13" t="s">
        <v>8542</v>
      </c>
      <c r="F2130" s="13" t="s">
        <v>173</v>
      </c>
      <c r="G2130" s="13" t="s">
        <v>8543</v>
      </c>
      <c r="H2130" s="13" t="s">
        <v>8544</v>
      </c>
      <c r="I2130" s="13" t="s">
        <v>82</v>
      </c>
      <c r="J2130" s="13" t="s">
        <v>5716</v>
      </c>
      <c r="K2130" s="13"/>
      <c r="L2130" s="13" t="s">
        <v>8522</v>
      </c>
      <c r="M2130" s="13" t="s">
        <v>8523</v>
      </c>
    </row>
    <row r="2131" customFormat="false" ht="281.3" hidden="false" customHeight="false" outlineLevel="0" collapsed="false">
      <c r="A2131" s="13" t="s">
        <v>4</v>
      </c>
      <c r="B2131" s="13" t="s">
        <v>2150</v>
      </c>
      <c r="C2131" s="13" t="n">
        <v>335</v>
      </c>
      <c r="D2131" s="13" t="s">
        <v>8519</v>
      </c>
      <c r="E2131" s="13" t="s">
        <v>8545</v>
      </c>
      <c r="F2131" s="13" t="s">
        <v>173</v>
      </c>
      <c r="G2131" s="13" t="s">
        <v>8546</v>
      </c>
      <c r="H2131" s="13" t="s">
        <v>8547</v>
      </c>
      <c r="I2131" s="13" t="s">
        <v>82</v>
      </c>
      <c r="J2131" s="13" t="s">
        <v>5716</v>
      </c>
      <c r="K2131" s="13"/>
      <c r="L2131" s="13" t="s">
        <v>8522</v>
      </c>
      <c r="M2131" s="13" t="s">
        <v>8523</v>
      </c>
    </row>
    <row r="2132" customFormat="false" ht="57.45" hidden="false" customHeight="false" outlineLevel="0" collapsed="false">
      <c r="A2132" s="13" t="s">
        <v>4</v>
      </c>
      <c r="B2132" s="13" t="s">
        <v>2150</v>
      </c>
      <c r="C2132" s="13" t="n">
        <v>342</v>
      </c>
      <c r="D2132" s="13" t="s">
        <v>8548</v>
      </c>
      <c r="E2132" s="13" t="s">
        <v>8549</v>
      </c>
      <c r="F2132" s="13" t="s">
        <v>8550</v>
      </c>
      <c r="G2132" s="13" t="s">
        <v>4555</v>
      </c>
      <c r="H2132" s="13" t="s">
        <v>8551</v>
      </c>
      <c r="I2132" s="13" t="s">
        <v>82</v>
      </c>
      <c r="J2132" s="13" t="s">
        <v>5716</v>
      </c>
      <c r="K2132" s="13"/>
      <c r="L2132" s="13" t="s">
        <v>8552</v>
      </c>
      <c r="M2132" s="13" t="s">
        <v>8553</v>
      </c>
    </row>
    <row r="2133" customFormat="false" ht="57.45" hidden="false" customHeight="false" outlineLevel="0" collapsed="false">
      <c r="A2133" s="13" t="s">
        <v>4</v>
      </c>
      <c r="B2133" s="13" t="s">
        <v>2150</v>
      </c>
      <c r="C2133" s="13" t="n">
        <v>342</v>
      </c>
      <c r="D2133" s="13" t="s">
        <v>8548</v>
      </c>
      <c r="E2133" s="13" t="s">
        <v>8554</v>
      </c>
      <c r="F2133" s="13" t="s">
        <v>8550</v>
      </c>
      <c r="G2133" s="13" t="s">
        <v>8555</v>
      </c>
      <c r="H2133" s="13" t="s">
        <v>8556</v>
      </c>
      <c r="I2133" s="13" t="s">
        <v>82</v>
      </c>
      <c r="J2133" s="13" t="s">
        <v>5716</v>
      </c>
      <c r="K2133" s="13"/>
      <c r="L2133" s="13" t="s">
        <v>8552</v>
      </c>
      <c r="M2133" s="13" t="s">
        <v>8553</v>
      </c>
    </row>
    <row r="2134" customFormat="false" ht="57.45" hidden="false" customHeight="false" outlineLevel="0" collapsed="false">
      <c r="A2134" s="13" t="s">
        <v>4</v>
      </c>
      <c r="B2134" s="13" t="s">
        <v>2150</v>
      </c>
      <c r="C2134" s="13" t="n">
        <v>342</v>
      </c>
      <c r="D2134" s="13" t="s">
        <v>8548</v>
      </c>
      <c r="E2134" s="13" t="s">
        <v>8557</v>
      </c>
      <c r="F2134" s="13" t="s">
        <v>8558</v>
      </c>
      <c r="G2134" s="13" t="s">
        <v>8559</v>
      </c>
      <c r="H2134" s="13" t="s">
        <v>8560</v>
      </c>
      <c r="I2134" s="13" t="s">
        <v>82</v>
      </c>
      <c r="J2134" s="13" t="s">
        <v>5716</v>
      </c>
      <c r="K2134" s="13"/>
      <c r="L2134" s="13" t="s">
        <v>8552</v>
      </c>
      <c r="M2134" s="13" t="s">
        <v>8553</v>
      </c>
    </row>
    <row r="2135" customFormat="false" ht="57.45" hidden="false" customHeight="false" outlineLevel="0" collapsed="false">
      <c r="A2135" s="13" t="s">
        <v>4</v>
      </c>
      <c r="B2135" s="13" t="s">
        <v>2150</v>
      </c>
      <c r="C2135" s="13" t="n">
        <v>342</v>
      </c>
      <c r="D2135" s="13" t="s">
        <v>8548</v>
      </c>
      <c r="E2135" s="13" t="s">
        <v>8561</v>
      </c>
      <c r="F2135" s="13" t="s">
        <v>8560</v>
      </c>
      <c r="G2135" s="13" t="s">
        <v>8562</v>
      </c>
      <c r="H2135" s="13" t="s">
        <v>8556</v>
      </c>
      <c r="I2135" s="13" t="s">
        <v>82</v>
      </c>
      <c r="J2135" s="13" t="s">
        <v>5716</v>
      </c>
      <c r="K2135" s="13"/>
      <c r="L2135" s="13" t="s">
        <v>8552</v>
      </c>
      <c r="M2135" s="13" t="s">
        <v>8553</v>
      </c>
    </row>
    <row r="2136" customFormat="false" ht="46.25" hidden="false" customHeight="false" outlineLevel="0" collapsed="false">
      <c r="A2136" s="13" t="s">
        <v>4</v>
      </c>
      <c r="B2136" s="13" t="s">
        <v>2150</v>
      </c>
      <c r="C2136" s="13" t="n">
        <v>342</v>
      </c>
      <c r="D2136" s="13" t="s">
        <v>8563</v>
      </c>
      <c r="E2136" s="13" t="s">
        <v>8564</v>
      </c>
      <c r="F2136" s="13" t="s">
        <v>8565</v>
      </c>
      <c r="G2136" s="13" t="s">
        <v>8562</v>
      </c>
      <c r="H2136" s="13" t="s">
        <v>8556</v>
      </c>
      <c r="I2136" s="13" t="s">
        <v>1145</v>
      </c>
      <c r="J2136" s="13" t="s">
        <v>8566</v>
      </c>
      <c r="K2136" s="13" t="s">
        <v>8567</v>
      </c>
      <c r="L2136" s="13" t="s">
        <v>8568</v>
      </c>
      <c r="M2136" s="13" t="s">
        <v>8569</v>
      </c>
    </row>
    <row r="2137" customFormat="false" ht="23.85" hidden="false" customHeight="false" outlineLevel="0" collapsed="false">
      <c r="A2137" s="13" t="s">
        <v>4</v>
      </c>
      <c r="B2137" s="13" t="s">
        <v>2150</v>
      </c>
      <c r="C2137" s="13" t="n">
        <v>342</v>
      </c>
      <c r="D2137" s="13" t="s">
        <v>8570</v>
      </c>
      <c r="E2137" s="13" t="s">
        <v>8571</v>
      </c>
      <c r="F2137" s="13" t="s">
        <v>8572</v>
      </c>
      <c r="G2137" s="13" t="s">
        <v>8573</v>
      </c>
      <c r="H2137" s="13" t="s">
        <v>8550</v>
      </c>
      <c r="I2137" s="13" t="s">
        <v>82</v>
      </c>
      <c r="J2137" s="13" t="s">
        <v>5716</v>
      </c>
      <c r="K2137" s="13"/>
      <c r="L2137" s="13" t="s">
        <v>8574</v>
      </c>
      <c r="M2137" s="13" t="s">
        <v>8575</v>
      </c>
    </row>
    <row r="2138" customFormat="false" ht="23.85" hidden="false" customHeight="false" outlineLevel="0" collapsed="false">
      <c r="A2138" s="13" t="s">
        <v>4</v>
      </c>
      <c r="B2138" s="13" t="s">
        <v>2150</v>
      </c>
      <c r="C2138" s="13" t="n">
        <v>342</v>
      </c>
      <c r="D2138" s="13" t="s">
        <v>8570</v>
      </c>
      <c r="E2138" s="13" t="s">
        <v>8576</v>
      </c>
      <c r="F2138" s="13" t="s">
        <v>8550</v>
      </c>
      <c r="G2138" s="13" t="s">
        <v>8577</v>
      </c>
      <c r="H2138" s="13" t="s">
        <v>8578</v>
      </c>
      <c r="I2138" s="13" t="s">
        <v>82</v>
      </c>
      <c r="J2138" s="13" t="s">
        <v>5716</v>
      </c>
      <c r="K2138" s="13"/>
      <c r="L2138" s="13" t="s">
        <v>8574</v>
      </c>
      <c r="M2138" s="13" t="s">
        <v>8575</v>
      </c>
    </row>
    <row r="2139" customFormat="false" ht="57.45" hidden="false" customHeight="false" outlineLevel="0" collapsed="false">
      <c r="A2139" s="13" t="s">
        <v>4</v>
      </c>
      <c r="B2139" s="13" t="s">
        <v>2150</v>
      </c>
      <c r="C2139" s="13" t="n">
        <v>342</v>
      </c>
      <c r="D2139" s="13" t="s">
        <v>8579</v>
      </c>
      <c r="E2139" s="13" t="s">
        <v>8580</v>
      </c>
      <c r="F2139" s="13" t="s">
        <v>8581</v>
      </c>
      <c r="G2139" s="13" t="s">
        <v>4227</v>
      </c>
      <c r="H2139" s="13" t="s">
        <v>8550</v>
      </c>
      <c r="I2139" s="13" t="s">
        <v>82</v>
      </c>
      <c r="J2139" s="13" t="s">
        <v>5716</v>
      </c>
      <c r="K2139" s="13"/>
      <c r="L2139" s="13" t="s">
        <v>8582</v>
      </c>
      <c r="M2139" s="13" t="s">
        <v>8583</v>
      </c>
    </row>
    <row r="2140" customFormat="false" ht="57.45" hidden="false" customHeight="false" outlineLevel="0" collapsed="false">
      <c r="A2140" s="13" t="s">
        <v>4</v>
      </c>
      <c r="B2140" s="13" t="s">
        <v>2150</v>
      </c>
      <c r="C2140" s="13" t="n">
        <v>342</v>
      </c>
      <c r="D2140" s="13" t="s">
        <v>8579</v>
      </c>
      <c r="E2140" s="13" t="s">
        <v>8584</v>
      </c>
      <c r="F2140" s="13" t="s">
        <v>8581</v>
      </c>
      <c r="G2140" s="13" t="s">
        <v>8585</v>
      </c>
      <c r="H2140" s="13" t="s">
        <v>8556</v>
      </c>
      <c r="I2140" s="13" t="s">
        <v>82</v>
      </c>
      <c r="J2140" s="13" t="s">
        <v>5716</v>
      </c>
      <c r="K2140" s="13"/>
      <c r="L2140" s="13" t="s">
        <v>8582</v>
      </c>
      <c r="M2140" s="13" t="s">
        <v>8583</v>
      </c>
    </row>
    <row r="2141" customFormat="false" ht="57.45" hidden="false" customHeight="false" outlineLevel="0" collapsed="false">
      <c r="A2141" s="13" t="s">
        <v>4</v>
      </c>
      <c r="B2141" s="13" t="s">
        <v>2150</v>
      </c>
      <c r="C2141" s="13" t="n">
        <v>342</v>
      </c>
      <c r="D2141" s="13" t="s">
        <v>8579</v>
      </c>
      <c r="E2141" s="13" t="s">
        <v>8586</v>
      </c>
      <c r="F2141" s="13" t="s">
        <v>8587</v>
      </c>
      <c r="G2141" s="13" t="s">
        <v>8588</v>
      </c>
      <c r="H2141" s="13" t="s">
        <v>8556</v>
      </c>
      <c r="I2141" s="13" t="s">
        <v>82</v>
      </c>
      <c r="J2141" s="13" t="s">
        <v>5716</v>
      </c>
      <c r="K2141" s="13"/>
      <c r="L2141" s="13" t="s">
        <v>8582</v>
      </c>
      <c r="M2141" s="13" t="s">
        <v>8583</v>
      </c>
    </row>
    <row r="2142" customFormat="false" ht="281.3" hidden="false" customHeight="false" outlineLevel="0" collapsed="false">
      <c r="A2142" s="13" t="s">
        <v>4</v>
      </c>
      <c r="B2142" s="13" t="s">
        <v>2150</v>
      </c>
      <c r="C2142" s="13" t="n">
        <v>342</v>
      </c>
      <c r="D2142" s="13" t="s">
        <v>8589</v>
      </c>
      <c r="E2142" s="13" t="s">
        <v>8590</v>
      </c>
      <c r="F2142" s="13" t="s">
        <v>8556</v>
      </c>
      <c r="G2142" s="13" t="s">
        <v>2177</v>
      </c>
      <c r="H2142" s="13" t="s">
        <v>8558</v>
      </c>
      <c r="I2142" s="13" t="s">
        <v>82</v>
      </c>
      <c r="J2142" s="13" t="s">
        <v>5716</v>
      </c>
      <c r="K2142" s="13"/>
      <c r="L2142" s="13" t="s">
        <v>8591</v>
      </c>
      <c r="M2142" s="13" t="s">
        <v>8592</v>
      </c>
    </row>
    <row r="2143" customFormat="false" ht="281.3" hidden="false" customHeight="false" outlineLevel="0" collapsed="false">
      <c r="A2143" s="13" t="s">
        <v>4</v>
      </c>
      <c r="B2143" s="13" t="s">
        <v>2150</v>
      </c>
      <c r="C2143" s="13" t="n">
        <v>342</v>
      </c>
      <c r="D2143" s="13" t="s">
        <v>8589</v>
      </c>
      <c r="E2143" s="13" t="s">
        <v>8593</v>
      </c>
      <c r="F2143" s="13" t="s">
        <v>8558</v>
      </c>
      <c r="G2143" s="13" t="s">
        <v>8594</v>
      </c>
      <c r="H2143" s="13" t="s">
        <v>8595</v>
      </c>
      <c r="I2143" s="13" t="s">
        <v>82</v>
      </c>
      <c r="J2143" s="13" t="s">
        <v>5716</v>
      </c>
      <c r="K2143" s="13"/>
      <c r="L2143" s="13" t="s">
        <v>8591</v>
      </c>
      <c r="M2143" s="13" t="s">
        <v>8592</v>
      </c>
    </row>
    <row r="2144" customFormat="false" ht="281.3" hidden="false" customHeight="false" outlineLevel="0" collapsed="false">
      <c r="A2144" s="13" t="s">
        <v>4</v>
      </c>
      <c r="B2144" s="13" t="s">
        <v>2150</v>
      </c>
      <c r="C2144" s="13" t="n">
        <v>342</v>
      </c>
      <c r="D2144" s="13" t="s">
        <v>8589</v>
      </c>
      <c r="E2144" s="13" t="s">
        <v>8596</v>
      </c>
      <c r="F2144" s="13" t="s">
        <v>8556</v>
      </c>
      <c r="G2144" s="13" t="s">
        <v>8597</v>
      </c>
      <c r="H2144" s="13" t="s">
        <v>8598</v>
      </c>
      <c r="I2144" s="13" t="s">
        <v>82</v>
      </c>
      <c r="J2144" s="13" t="s">
        <v>5716</v>
      </c>
      <c r="K2144" s="13"/>
      <c r="L2144" s="13" t="s">
        <v>8591</v>
      </c>
      <c r="M2144" s="13" t="s">
        <v>8592</v>
      </c>
    </row>
    <row r="2145" customFormat="false" ht="281.3" hidden="false" customHeight="false" outlineLevel="0" collapsed="false">
      <c r="A2145" s="13" t="s">
        <v>4</v>
      </c>
      <c r="B2145" s="13" t="s">
        <v>2150</v>
      </c>
      <c r="C2145" s="13" t="n">
        <v>342</v>
      </c>
      <c r="D2145" s="13" t="s">
        <v>8589</v>
      </c>
      <c r="E2145" s="13" t="s">
        <v>8599</v>
      </c>
      <c r="F2145" s="13" t="s">
        <v>8556</v>
      </c>
      <c r="G2145" s="13" t="s">
        <v>8597</v>
      </c>
      <c r="H2145" s="13" t="s">
        <v>8600</v>
      </c>
      <c r="I2145" s="13" t="s">
        <v>82</v>
      </c>
      <c r="J2145" s="13" t="s">
        <v>5716</v>
      </c>
      <c r="K2145" s="13"/>
      <c r="L2145" s="13" t="s">
        <v>8591</v>
      </c>
      <c r="M2145" s="13" t="s">
        <v>8592</v>
      </c>
    </row>
    <row r="2146" customFormat="false" ht="281.3" hidden="false" customHeight="false" outlineLevel="0" collapsed="false">
      <c r="A2146" s="13" t="s">
        <v>4</v>
      </c>
      <c r="B2146" s="13" t="s">
        <v>2150</v>
      </c>
      <c r="C2146" s="13" t="n">
        <v>342</v>
      </c>
      <c r="D2146" s="13" t="s">
        <v>8589</v>
      </c>
      <c r="E2146" s="13" t="s">
        <v>8601</v>
      </c>
      <c r="F2146" s="13" t="s">
        <v>8556</v>
      </c>
      <c r="G2146" s="13" t="s">
        <v>8602</v>
      </c>
      <c r="H2146" s="13" t="s">
        <v>8603</v>
      </c>
      <c r="I2146" s="13" t="s">
        <v>82</v>
      </c>
      <c r="J2146" s="13" t="s">
        <v>5716</v>
      </c>
      <c r="K2146" s="13"/>
      <c r="L2146" s="13" t="s">
        <v>8591</v>
      </c>
      <c r="M2146" s="13" t="s">
        <v>8592</v>
      </c>
    </row>
    <row r="2147" customFormat="false" ht="281.3" hidden="false" customHeight="false" outlineLevel="0" collapsed="false">
      <c r="A2147" s="13" t="s">
        <v>4</v>
      </c>
      <c r="B2147" s="13" t="s">
        <v>2150</v>
      </c>
      <c r="C2147" s="13" t="n">
        <v>342</v>
      </c>
      <c r="D2147" s="13" t="s">
        <v>8589</v>
      </c>
      <c r="E2147" s="13" t="s">
        <v>8604</v>
      </c>
      <c r="F2147" s="13" t="s">
        <v>8556</v>
      </c>
      <c r="G2147" s="13" t="s">
        <v>8602</v>
      </c>
      <c r="H2147" s="13" t="s">
        <v>8605</v>
      </c>
      <c r="I2147" s="13" t="s">
        <v>82</v>
      </c>
      <c r="J2147" s="13" t="s">
        <v>5716</v>
      </c>
      <c r="K2147" s="13"/>
      <c r="L2147" s="13" t="s">
        <v>8591</v>
      </c>
      <c r="M2147" s="13" t="s">
        <v>8592</v>
      </c>
    </row>
    <row r="2148" customFormat="false" ht="281.3" hidden="false" customHeight="false" outlineLevel="0" collapsed="false">
      <c r="A2148" s="13" t="s">
        <v>4</v>
      </c>
      <c r="B2148" s="13" t="s">
        <v>2150</v>
      </c>
      <c r="C2148" s="13" t="n">
        <v>342</v>
      </c>
      <c r="D2148" s="13" t="s">
        <v>8589</v>
      </c>
      <c r="E2148" s="13" t="s">
        <v>8606</v>
      </c>
      <c r="F2148" s="13" t="s">
        <v>8556</v>
      </c>
      <c r="G2148" s="13" t="s">
        <v>8602</v>
      </c>
      <c r="H2148" s="13" t="s">
        <v>8607</v>
      </c>
      <c r="I2148" s="13" t="s">
        <v>82</v>
      </c>
      <c r="J2148" s="13" t="s">
        <v>5716</v>
      </c>
      <c r="K2148" s="13"/>
      <c r="L2148" s="13" t="s">
        <v>8591</v>
      </c>
      <c r="M2148" s="13" t="s">
        <v>8592</v>
      </c>
    </row>
    <row r="2149" customFormat="false" ht="281.3" hidden="false" customHeight="false" outlineLevel="0" collapsed="false">
      <c r="A2149" s="13" t="s">
        <v>4</v>
      </c>
      <c r="B2149" s="13" t="s">
        <v>2150</v>
      </c>
      <c r="C2149" s="13" t="n">
        <v>342</v>
      </c>
      <c r="D2149" s="13" t="s">
        <v>8589</v>
      </c>
      <c r="E2149" s="13" t="s">
        <v>8608</v>
      </c>
      <c r="F2149" s="13" t="s">
        <v>8556</v>
      </c>
      <c r="G2149" s="13" t="s">
        <v>8609</v>
      </c>
      <c r="H2149" s="13" t="s">
        <v>8595</v>
      </c>
      <c r="I2149" s="13" t="s">
        <v>82</v>
      </c>
      <c r="J2149" s="13" t="s">
        <v>5716</v>
      </c>
      <c r="K2149" s="13"/>
      <c r="L2149" s="13" t="s">
        <v>8591</v>
      </c>
      <c r="M2149" s="13" t="s">
        <v>8592</v>
      </c>
    </row>
    <row r="2150" customFormat="false" ht="91" hidden="false" customHeight="false" outlineLevel="0" collapsed="false">
      <c r="A2150" s="13" t="s">
        <v>4</v>
      </c>
      <c r="B2150" s="13" t="s">
        <v>2150</v>
      </c>
      <c r="C2150" s="13" t="n">
        <v>342</v>
      </c>
      <c r="D2150" s="13" t="s">
        <v>8610</v>
      </c>
      <c r="E2150" s="13" t="s">
        <v>8611</v>
      </c>
      <c r="F2150" s="13" t="s">
        <v>8612</v>
      </c>
      <c r="G2150" s="13" t="s">
        <v>8613</v>
      </c>
      <c r="H2150" s="13" t="s">
        <v>8556</v>
      </c>
      <c r="I2150" s="13" t="s">
        <v>82</v>
      </c>
      <c r="J2150" s="13" t="s">
        <v>5716</v>
      </c>
      <c r="K2150" s="13"/>
      <c r="L2150" s="13" t="s">
        <v>8614</v>
      </c>
      <c r="M2150" s="13" t="s">
        <v>8615</v>
      </c>
    </row>
    <row r="2151" customFormat="false" ht="91" hidden="false" customHeight="false" outlineLevel="0" collapsed="false">
      <c r="A2151" s="13" t="s">
        <v>4</v>
      </c>
      <c r="B2151" s="13" t="s">
        <v>2150</v>
      </c>
      <c r="C2151" s="13" t="n">
        <v>342</v>
      </c>
      <c r="D2151" s="13" t="s">
        <v>8610</v>
      </c>
      <c r="E2151" s="13" t="s">
        <v>8616</v>
      </c>
      <c r="F2151" s="13" t="s">
        <v>8556</v>
      </c>
      <c r="G2151" s="13" t="s">
        <v>8613</v>
      </c>
      <c r="H2151" s="13" t="s">
        <v>8595</v>
      </c>
      <c r="I2151" s="13" t="s">
        <v>82</v>
      </c>
      <c r="J2151" s="13" t="s">
        <v>5716</v>
      </c>
      <c r="K2151" s="13"/>
      <c r="L2151" s="13" t="s">
        <v>8614</v>
      </c>
      <c r="M2151" s="13" t="s">
        <v>8615</v>
      </c>
    </row>
    <row r="2152" customFormat="false" ht="46.25" hidden="false" customHeight="false" outlineLevel="0" collapsed="false">
      <c r="A2152" s="13" t="s">
        <v>4</v>
      </c>
      <c r="B2152" s="13" t="s">
        <v>2150</v>
      </c>
      <c r="C2152" s="13" t="n">
        <v>342</v>
      </c>
      <c r="D2152" s="13" t="s">
        <v>8617</v>
      </c>
      <c r="E2152" s="13" t="s">
        <v>8618</v>
      </c>
      <c r="F2152" s="13" t="s">
        <v>8595</v>
      </c>
      <c r="G2152" s="13" t="s">
        <v>8613</v>
      </c>
      <c r="H2152" s="13" t="s">
        <v>8612</v>
      </c>
      <c r="I2152" s="13" t="s">
        <v>74</v>
      </c>
      <c r="J2152" s="13" t="s">
        <v>8619</v>
      </c>
      <c r="K2152" s="13" t="s">
        <v>8620</v>
      </c>
      <c r="L2152" s="13" t="s">
        <v>8621</v>
      </c>
      <c r="M2152" s="13" t="s">
        <v>8622</v>
      </c>
    </row>
    <row r="2153" customFormat="false" ht="46.25" hidden="false" customHeight="false" outlineLevel="0" collapsed="false">
      <c r="A2153" s="13" t="s">
        <v>4</v>
      </c>
      <c r="B2153" s="13" t="s">
        <v>2150</v>
      </c>
      <c r="C2153" s="13" t="n">
        <v>342</v>
      </c>
      <c r="D2153" s="13" t="s">
        <v>8617</v>
      </c>
      <c r="E2153" s="13" t="s">
        <v>8623</v>
      </c>
      <c r="F2153" s="13" t="s">
        <v>8595</v>
      </c>
      <c r="G2153" s="13" t="s">
        <v>8624</v>
      </c>
      <c r="H2153" s="13" t="s">
        <v>8556</v>
      </c>
      <c r="I2153" s="13" t="s">
        <v>82</v>
      </c>
      <c r="J2153" s="13" t="s">
        <v>5716</v>
      </c>
      <c r="K2153" s="13"/>
      <c r="L2153" s="13" t="s">
        <v>8621</v>
      </c>
      <c r="M2153" s="13" t="s">
        <v>8622</v>
      </c>
    </row>
    <row r="2154" customFormat="false" ht="46.25" hidden="false" customHeight="false" outlineLevel="0" collapsed="false">
      <c r="A2154" s="13" t="s">
        <v>4</v>
      </c>
      <c r="B2154" s="13" t="s">
        <v>2150</v>
      </c>
      <c r="C2154" s="13" t="n">
        <v>387</v>
      </c>
      <c r="D2154" s="13" t="s">
        <v>8625</v>
      </c>
      <c r="E2154" s="13" t="s">
        <v>8626</v>
      </c>
      <c r="F2154" s="13" t="s">
        <v>806</v>
      </c>
      <c r="G2154" s="13" t="s">
        <v>6934</v>
      </c>
      <c r="H2154" s="13" t="s">
        <v>8627</v>
      </c>
      <c r="I2154" s="13" t="s">
        <v>82</v>
      </c>
      <c r="J2154" s="13" t="s">
        <v>5716</v>
      </c>
      <c r="K2154" s="13"/>
      <c r="L2154" s="13" t="s">
        <v>8628</v>
      </c>
      <c r="M2154" s="13" t="s">
        <v>8629</v>
      </c>
    </row>
    <row r="2155" customFormat="false" ht="46.25" hidden="false" customHeight="false" outlineLevel="0" collapsed="false">
      <c r="A2155" s="13" t="s">
        <v>4</v>
      </c>
      <c r="B2155" s="13" t="s">
        <v>2150</v>
      </c>
      <c r="C2155" s="13" t="n">
        <v>387</v>
      </c>
      <c r="D2155" s="13" t="s">
        <v>8625</v>
      </c>
      <c r="E2155" s="13" t="s">
        <v>8630</v>
      </c>
      <c r="F2155" s="13" t="s">
        <v>806</v>
      </c>
      <c r="G2155" s="13" t="s">
        <v>8631</v>
      </c>
      <c r="H2155" s="13" t="s">
        <v>8632</v>
      </c>
      <c r="I2155" s="13" t="s">
        <v>82</v>
      </c>
      <c r="J2155" s="13" t="s">
        <v>5716</v>
      </c>
      <c r="K2155" s="13"/>
      <c r="L2155" s="13" t="s">
        <v>8628</v>
      </c>
      <c r="M2155" s="13" t="s">
        <v>8629</v>
      </c>
    </row>
    <row r="2156" customFormat="false" ht="46.25" hidden="false" customHeight="false" outlineLevel="0" collapsed="false">
      <c r="A2156" s="13" t="s">
        <v>4</v>
      </c>
      <c r="B2156" s="13" t="s">
        <v>2150</v>
      </c>
      <c r="C2156" s="13" t="n">
        <v>387</v>
      </c>
      <c r="D2156" s="13" t="s">
        <v>8625</v>
      </c>
      <c r="E2156" s="13" t="s">
        <v>8633</v>
      </c>
      <c r="F2156" s="13" t="s">
        <v>8632</v>
      </c>
      <c r="G2156" s="13" t="s">
        <v>8634</v>
      </c>
      <c r="H2156" s="13" t="s">
        <v>806</v>
      </c>
      <c r="I2156" s="13" t="s">
        <v>82</v>
      </c>
      <c r="J2156" s="13" t="s">
        <v>5716</v>
      </c>
      <c r="K2156" s="13"/>
      <c r="L2156" s="13" t="s">
        <v>8628</v>
      </c>
      <c r="M2156" s="13" t="s">
        <v>8629</v>
      </c>
    </row>
    <row r="2157" customFormat="false" ht="46.25" hidden="false" customHeight="false" outlineLevel="0" collapsed="false">
      <c r="A2157" s="13" t="s">
        <v>4</v>
      </c>
      <c r="B2157" s="13" t="s">
        <v>2150</v>
      </c>
      <c r="C2157" s="13" t="n">
        <v>387</v>
      </c>
      <c r="D2157" s="13" t="s">
        <v>8625</v>
      </c>
      <c r="E2157" s="13" t="s">
        <v>8635</v>
      </c>
      <c r="F2157" s="13" t="s">
        <v>3349</v>
      </c>
      <c r="G2157" s="13" t="s">
        <v>8636</v>
      </c>
      <c r="H2157" s="13" t="s">
        <v>8637</v>
      </c>
      <c r="I2157" s="13" t="s">
        <v>82</v>
      </c>
      <c r="J2157" s="13" t="s">
        <v>5716</v>
      </c>
      <c r="K2157" s="13"/>
      <c r="L2157" s="13" t="s">
        <v>8628</v>
      </c>
      <c r="M2157" s="13" t="s">
        <v>8629</v>
      </c>
    </row>
    <row r="2158" customFormat="false" ht="46.25" hidden="false" customHeight="false" outlineLevel="0" collapsed="false">
      <c r="A2158" s="13" t="s">
        <v>4</v>
      </c>
      <c r="B2158" s="13" t="s">
        <v>2150</v>
      </c>
      <c r="C2158" s="13" t="n">
        <v>387</v>
      </c>
      <c r="D2158" s="13" t="s">
        <v>8638</v>
      </c>
      <c r="E2158" s="13" t="s">
        <v>8639</v>
      </c>
      <c r="F2158" s="13" t="s">
        <v>8640</v>
      </c>
      <c r="G2158" s="13" t="s">
        <v>1978</v>
      </c>
      <c r="H2158" s="13" t="s">
        <v>8641</v>
      </c>
      <c r="I2158" s="13" t="s">
        <v>82</v>
      </c>
      <c r="J2158" s="13" t="s">
        <v>5716</v>
      </c>
      <c r="K2158" s="13"/>
      <c r="L2158" s="13" t="s">
        <v>8642</v>
      </c>
      <c r="M2158" s="13" t="s">
        <v>8643</v>
      </c>
    </row>
    <row r="2159" customFormat="false" ht="46.25" hidden="false" customHeight="false" outlineLevel="0" collapsed="false">
      <c r="A2159" s="13" t="s">
        <v>4</v>
      </c>
      <c r="B2159" s="13" t="s">
        <v>2150</v>
      </c>
      <c r="C2159" s="13" t="n">
        <v>387</v>
      </c>
      <c r="D2159" s="13" t="s">
        <v>8638</v>
      </c>
      <c r="E2159" s="13" t="s">
        <v>8644</v>
      </c>
      <c r="F2159" s="13" t="s">
        <v>3227</v>
      </c>
      <c r="G2159" s="13" t="s">
        <v>7236</v>
      </c>
      <c r="H2159" s="13" t="s">
        <v>8645</v>
      </c>
      <c r="I2159" s="13" t="s">
        <v>82</v>
      </c>
      <c r="J2159" s="13" t="s">
        <v>5716</v>
      </c>
      <c r="K2159" s="13"/>
      <c r="L2159" s="13" t="s">
        <v>8642</v>
      </c>
      <c r="M2159" s="13" t="s">
        <v>8643</v>
      </c>
    </row>
    <row r="2160" customFormat="false" ht="46.25" hidden="false" customHeight="false" outlineLevel="0" collapsed="false">
      <c r="A2160" s="13" t="s">
        <v>4</v>
      </c>
      <c r="B2160" s="13" t="s">
        <v>2150</v>
      </c>
      <c r="C2160" s="13" t="n">
        <v>387</v>
      </c>
      <c r="D2160" s="13" t="s">
        <v>8638</v>
      </c>
      <c r="E2160" s="13" t="s">
        <v>8646</v>
      </c>
      <c r="F2160" s="13" t="s">
        <v>8645</v>
      </c>
      <c r="G2160" s="13" t="s">
        <v>8647</v>
      </c>
      <c r="H2160" s="13" t="s">
        <v>8648</v>
      </c>
      <c r="I2160" s="13" t="s">
        <v>82</v>
      </c>
      <c r="J2160" s="13" t="s">
        <v>5716</v>
      </c>
      <c r="K2160" s="13"/>
      <c r="L2160" s="13" t="s">
        <v>8642</v>
      </c>
      <c r="M2160" s="13" t="s">
        <v>8643</v>
      </c>
    </row>
    <row r="2161" customFormat="false" ht="91" hidden="false" customHeight="false" outlineLevel="0" collapsed="false">
      <c r="A2161" s="13" t="s">
        <v>4</v>
      </c>
      <c r="B2161" s="13" t="s">
        <v>2150</v>
      </c>
      <c r="C2161" s="13" t="n">
        <v>387</v>
      </c>
      <c r="D2161" s="13" t="s">
        <v>8649</v>
      </c>
      <c r="E2161" s="13" t="s">
        <v>8650</v>
      </c>
      <c r="F2161" s="13" t="s">
        <v>8651</v>
      </c>
      <c r="G2161" s="13" t="s">
        <v>8652</v>
      </c>
      <c r="H2161" s="13" t="s">
        <v>806</v>
      </c>
      <c r="I2161" s="13" t="s">
        <v>82</v>
      </c>
      <c r="J2161" s="13" t="s">
        <v>5716</v>
      </c>
      <c r="K2161" s="13"/>
      <c r="L2161" s="13" t="s">
        <v>8653</v>
      </c>
      <c r="M2161" s="13" t="s">
        <v>8654</v>
      </c>
    </row>
    <row r="2162" customFormat="false" ht="91" hidden="false" customHeight="false" outlineLevel="0" collapsed="false">
      <c r="A2162" s="13" t="s">
        <v>4</v>
      </c>
      <c r="B2162" s="13" t="s">
        <v>2150</v>
      </c>
      <c r="C2162" s="13" t="n">
        <v>387</v>
      </c>
      <c r="D2162" s="13" t="s">
        <v>8649</v>
      </c>
      <c r="E2162" s="13" t="s">
        <v>8655</v>
      </c>
      <c r="F2162" s="13" t="s">
        <v>1770</v>
      </c>
      <c r="G2162" s="13" t="s">
        <v>8647</v>
      </c>
      <c r="H2162" s="13" t="s">
        <v>806</v>
      </c>
      <c r="I2162" s="13" t="s">
        <v>82</v>
      </c>
      <c r="J2162" s="13" t="s">
        <v>5716</v>
      </c>
      <c r="K2162" s="13"/>
      <c r="L2162" s="13" t="s">
        <v>8653</v>
      </c>
      <c r="M2162" s="13" t="s">
        <v>8654</v>
      </c>
    </row>
    <row r="2163" customFormat="false" ht="91" hidden="false" customHeight="false" outlineLevel="0" collapsed="false">
      <c r="A2163" s="13" t="s">
        <v>4</v>
      </c>
      <c r="B2163" s="13" t="s">
        <v>2150</v>
      </c>
      <c r="C2163" s="13" t="n">
        <v>387</v>
      </c>
      <c r="D2163" s="13" t="s">
        <v>8649</v>
      </c>
      <c r="E2163" s="13" t="s">
        <v>8656</v>
      </c>
      <c r="F2163" s="13" t="s">
        <v>1770</v>
      </c>
      <c r="G2163" s="13" t="s">
        <v>7236</v>
      </c>
      <c r="H2163" s="13" t="s">
        <v>1610</v>
      </c>
      <c r="I2163" s="13" t="s">
        <v>82</v>
      </c>
      <c r="J2163" s="13" t="s">
        <v>5716</v>
      </c>
      <c r="K2163" s="13"/>
      <c r="L2163" s="13" t="s">
        <v>8653</v>
      </c>
      <c r="M2163" s="13" t="s">
        <v>8654</v>
      </c>
    </row>
    <row r="2164" customFormat="false" ht="91" hidden="false" customHeight="false" outlineLevel="0" collapsed="false">
      <c r="A2164" s="13" t="s">
        <v>4</v>
      </c>
      <c r="B2164" s="13" t="s">
        <v>2150</v>
      </c>
      <c r="C2164" s="13" t="n">
        <v>387</v>
      </c>
      <c r="D2164" s="13" t="s">
        <v>8649</v>
      </c>
      <c r="E2164" s="13" t="s">
        <v>8657</v>
      </c>
      <c r="F2164" s="13" t="s">
        <v>1610</v>
      </c>
      <c r="G2164" s="13" t="s">
        <v>1978</v>
      </c>
      <c r="H2164" s="13" t="s">
        <v>8658</v>
      </c>
      <c r="I2164" s="13" t="s">
        <v>82</v>
      </c>
      <c r="J2164" s="13" t="s">
        <v>5716</v>
      </c>
      <c r="K2164" s="13"/>
      <c r="L2164" s="13" t="s">
        <v>8653</v>
      </c>
      <c r="M2164" s="13" t="s">
        <v>8654</v>
      </c>
    </row>
    <row r="2165" customFormat="false" ht="23.85" hidden="false" customHeight="false" outlineLevel="0" collapsed="false">
      <c r="A2165" s="13" t="s">
        <v>4</v>
      </c>
      <c r="B2165" s="13" t="s">
        <v>2150</v>
      </c>
      <c r="C2165" s="13" t="n">
        <v>387</v>
      </c>
      <c r="D2165" s="13" t="s">
        <v>8659</v>
      </c>
      <c r="E2165" s="13" t="s">
        <v>8660</v>
      </c>
      <c r="F2165" s="13" t="s">
        <v>8661</v>
      </c>
      <c r="G2165" s="13" t="s">
        <v>1978</v>
      </c>
      <c r="H2165" s="13" t="s">
        <v>8662</v>
      </c>
      <c r="I2165" s="13" t="s">
        <v>82</v>
      </c>
      <c r="J2165" s="13" t="s">
        <v>5716</v>
      </c>
      <c r="K2165" s="13"/>
      <c r="L2165" s="13" t="s">
        <v>8663</v>
      </c>
      <c r="M2165" s="13" t="s">
        <v>8664</v>
      </c>
    </row>
    <row r="2166" customFormat="false" ht="23.85" hidden="false" customHeight="false" outlineLevel="0" collapsed="false">
      <c r="A2166" s="13" t="s">
        <v>4</v>
      </c>
      <c r="B2166" s="13" t="s">
        <v>2150</v>
      </c>
      <c r="C2166" s="13" t="n">
        <v>387</v>
      </c>
      <c r="D2166" s="13" t="s">
        <v>8659</v>
      </c>
      <c r="E2166" s="13" t="s">
        <v>8665</v>
      </c>
      <c r="F2166" s="13" t="s">
        <v>8661</v>
      </c>
      <c r="G2166" s="13" t="s">
        <v>8647</v>
      </c>
      <c r="H2166" s="13" t="s">
        <v>806</v>
      </c>
      <c r="I2166" s="13" t="s">
        <v>82</v>
      </c>
      <c r="J2166" s="13" t="s">
        <v>5716</v>
      </c>
      <c r="K2166" s="13"/>
      <c r="L2166" s="13" t="s">
        <v>8663</v>
      </c>
      <c r="M2166" s="13" t="s">
        <v>8664</v>
      </c>
    </row>
    <row r="2167" customFormat="false" ht="23.85" hidden="false" customHeight="false" outlineLevel="0" collapsed="false">
      <c r="A2167" s="13" t="s">
        <v>4</v>
      </c>
      <c r="B2167" s="13" t="s">
        <v>2150</v>
      </c>
      <c r="C2167" s="13" t="n">
        <v>387</v>
      </c>
      <c r="D2167" s="13" t="s">
        <v>8659</v>
      </c>
      <c r="E2167" s="13" t="s">
        <v>8666</v>
      </c>
      <c r="F2167" s="13" t="s">
        <v>806</v>
      </c>
      <c r="G2167" s="13" t="s">
        <v>7236</v>
      </c>
      <c r="H2167" s="13" t="s">
        <v>8667</v>
      </c>
      <c r="I2167" s="13" t="s">
        <v>82</v>
      </c>
      <c r="J2167" s="13" t="s">
        <v>5716</v>
      </c>
      <c r="K2167" s="13"/>
      <c r="L2167" s="13" t="s">
        <v>8663</v>
      </c>
      <c r="M2167" s="13" t="s">
        <v>8664</v>
      </c>
    </row>
    <row r="2168" customFormat="false" ht="35.05" hidden="false" customHeight="false" outlineLevel="0" collapsed="false">
      <c r="A2168" s="13" t="s">
        <v>4</v>
      </c>
      <c r="B2168" s="13" t="s">
        <v>2150</v>
      </c>
      <c r="C2168" s="13" t="n">
        <v>387</v>
      </c>
      <c r="D2168" s="13" t="s">
        <v>8668</v>
      </c>
      <c r="E2168" s="13" t="s">
        <v>8669</v>
      </c>
      <c r="F2168" s="13" t="s">
        <v>8670</v>
      </c>
      <c r="G2168" s="13" t="s">
        <v>1978</v>
      </c>
      <c r="H2168" s="13" t="s">
        <v>8671</v>
      </c>
      <c r="I2168" s="13" t="s">
        <v>82</v>
      </c>
      <c r="J2168" s="13" t="s">
        <v>5716</v>
      </c>
      <c r="K2168" s="13"/>
      <c r="L2168" s="13" t="s">
        <v>8672</v>
      </c>
      <c r="M2168" s="13" t="s">
        <v>8673</v>
      </c>
    </row>
    <row r="2169" customFormat="false" ht="35.05" hidden="false" customHeight="false" outlineLevel="0" collapsed="false">
      <c r="A2169" s="13" t="s">
        <v>4</v>
      </c>
      <c r="B2169" s="13" t="s">
        <v>2150</v>
      </c>
      <c r="C2169" s="13" t="n">
        <v>387</v>
      </c>
      <c r="D2169" s="13" t="s">
        <v>8668</v>
      </c>
      <c r="E2169" s="13" t="s">
        <v>8674</v>
      </c>
      <c r="F2169" s="13" t="s">
        <v>8670</v>
      </c>
      <c r="G2169" s="13" t="s">
        <v>8647</v>
      </c>
      <c r="H2169" s="13" t="s">
        <v>806</v>
      </c>
      <c r="I2169" s="13" t="s">
        <v>82</v>
      </c>
      <c r="J2169" s="13" t="s">
        <v>5716</v>
      </c>
      <c r="K2169" s="13"/>
      <c r="L2169" s="13" t="s">
        <v>8672</v>
      </c>
      <c r="M2169" s="13" t="s">
        <v>8673</v>
      </c>
    </row>
    <row r="2170" customFormat="false" ht="35.05" hidden="false" customHeight="false" outlineLevel="0" collapsed="false">
      <c r="A2170" s="13" t="s">
        <v>4</v>
      </c>
      <c r="B2170" s="13" t="s">
        <v>2150</v>
      </c>
      <c r="C2170" s="13" t="n">
        <v>387</v>
      </c>
      <c r="D2170" s="13" t="s">
        <v>8668</v>
      </c>
      <c r="E2170" s="13" t="s">
        <v>8675</v>
      </c>
      <c r="F2170" s="13" t="s">
        <v>806</v>
      </c>
      <c r="G2170" s="13" t="s">
        <v>7236</v>
      </c>
      <c r="H2170" s="13" t="s">
        <v>8676</v>
      </c>
      <c r="I2170" s="13" t="s">
        <v>82</v>
      </c>
      <c r="J2170" s="13" t="s">
        <v>5716</v>
      </c>
      <c r="K2170" s="13"/>
      <c r="L2170" s="13" t="s">
        <v>8672</v>
      </c>
      <c r="M2170" s="13" t="s">
        <v>8673</v>
      </c>
    </row>
    <row r="2171" customFormat="false" ht="35.05" hidden="false" customHeight="false" outlineLevel="0" collapsed="false">
      <c r="A2171" s="13" t="s">
        <v>4</v>
      </c>
      <c r="B2171" s="13" t="s">
        <v>2150</v>
      </c>
      <c r="C2171" s="13" t="n">
        <v>387</v>
      </c>
      <c r="D2171" s="13" t="s">
        <v>8668</v>
      </c>
      <c r="E2171" s="13" t="s">
        <v>8677</v>
      </c>
      <c r="F2171" s="13" t="s">
        <v>8670</v>
      </c>
      <c r="G2171" s="13" t="s">
        <v>7236</v>
      </c>
      <c r="H2171" s="13" t="s">
        <v>8678</v>
      </c>
      <c r="I2171" s="13" t="s">
        <v>82</v>
      </c>
      <c r="J2171" s="13" t="s">
        <v>5716</v>
      </c>
      <c r="K2171" s="13"/>
      <c r="L2171" s="13" t="s">
        <v>8672</v>
      </c>
      <c r="M2171" s="13" t="s">
        <v>8673</v>
      </c>
    </row>
    <row r="2172" customFormat="false" ht="35.05" hidden="false" customHeight="false" outlineLevel="0" collapsed="false">
      <c r="A2172" s="13" t="s">
        <v>4</v>
      </c>
      <c r="B2172" s="13" t="s">
        <v>2150</v>
      </c>
      <c r="C2172" s="13" t="n">
        <v>387</v>
      </c>
      <c r="D2172" s="13" t="s">
        <v>8668</v>
      </c>
      <c r="E2172" s="13" t="s">
        <v>8679</v>
      </c>
      <c r="F2172" s="13" t="s">
        <v>8678</v>
      </c>
      <c r="G2172" s="13" t="s">
        <v>8652</v>
      </c>
      <c r="H2172" s="13" t="s">
        <v>8680</v>
      </c>
      <c r="I2172" s="13" t="s">
        <v>82</v>
      </c>
      <c r="J2172" s="13" t="s">
        <v>5716</v>
      </c>
      <c r="K2172" s="13"/>
      <c r="L2172" s="13" t="s">
        <v>8672</v>
      </c>
      <c r="M2172" s="13" t="s">
        <v>8673</v>
      </c>
    </row>
    <row r="2173" customFormat="false" ht="46.25" hidden="false" customHeight="false" outlineLevel="0" collapsed="false">
      <c r="A2173" s="13" t="s">
        <v>4</v>
      </c>
      <c r="B2173" s="13" t="s">
        <v>2150</v>
      </c>
      <c r="C2173" s="13" t="n">
        <v>387</v>
      </c>
      <c r="D2173" s="13" t="s">
        <v>8681</v>
      </c>
      <c r="E2173" s="13" t="s">
        <v>8682</v>
      </c>
      <c r="F2173" s="13" t="s">
        <v>8683</v>
      </c>
      <c r="G2173" s="13" t="s">
        <v>1978</v>
      </c>
      <c r="H2173" s="13" t="s">
        <v>8684</v>
      </c>
      <c r="I2173" s="13" t="s">
        <v>82</v>
      </c>
      <c r="J2173" s="13" t="s">
        <v>5716</v>
      </c>
      <c r="K2173" s="13"/>
      <c r="L2173" s="13" t="s">
        <v>8685</v>
      </c>
      <c r="M2173" s="13" t="s">
        <v>8686</v>
      </c>
    </row>
    <row r="2174" customFormat="false" ht="46.25" hidden="false" customHeight="false" outlineLevel="0" collapsed="false">
      <c r="A2174" s="13" t="s">
        <v>4</v>
      </c>
      <c r="B2174" s="13" t="s">
        <v>2150</v>
      </c>
      <c r="C2174" s="13" t="n">
        <v>387</v>
      </c>
      <c r="D2174" s="13" t="s">
        <v>8681</v>
      </c>
      <c r="E2174" s="13" t="s">
        <v>8687</v>
      </c>
      <c r="F2174" s="13" t="s">
        <v>8683</v>
      </c>
      <c r="G2174" s="13" t="s">
        <v>8647</v>
      </c>
      <c r="H2174" s="13" t="s">
        <v>806</v>
      </c>
      <c r="I2174" s="13" t="s">
        <v>82</v>
      </c>
      <c r="J2174" s="13" t="s">
        <v>5716</v>
      </c>
      <c r="K2174" s="13"/>
      <c r="L2174" s="13" t="s">
        <v>8685</v>
      </c>
      <c r="M2174" s="13" t="s">
        <v>8686</v>
      </c>
    </row>
    <row r="2175" customFormat="false" ht="46.25" hidden="false" customHeight="false" outlineLevel="0" collapsed="false">
      <c r="A2175" s="13" t="s">
        <v>4</v>
      </c>
      <c r="B2175" s="13" t="s">
        <v>2150</v>
      </c>
      <c r="C2175" s="13" t="n">
        <v>387</v>
      </c>
      <c r="D2175" s="13" t="s">
        <v>8681</v>
      </c>
      <c r="E2175" s="13" t="s">
        <v>8688</v>
      </c>
      <c r="F2175" s="13" t="s">
        <v>806</v>
      </c>
      <c r="G2175" s="13" t="s">
        <v>7236</v>
      </c>
      <c r="H2175" s="13" t="s">
        <v>8689</v>
      </c>
      <c r="I2175" s="13" t="s">
        <v>82</v>
      </c>
      <c r="J2175" s="13" t="s">
        <v>5716</v>
      </c>
      <c r="K2175" s="13"/>
      <c r="L2175" s="13" t="s">
        <v>8685</v>
      </c>
      <c r="M2175" s="13" t="s">
        <v>8686</v>
      </c>
    </row>
    <row r="2176" customFormat="false" ht="57.45" hidden="false" customHeight="false" outlineLevel="0" collapsed="false">
      <c r="A2176" s="13" t="s">
        <v>4</v>
      </c>
      <c r="B2176" s="13" t="s">
        <v>2150</v>
      </c>
      <c r="C2176" s="13" t="n">
        <v>420</v>
      </c>
      <c r="D2176" s="13" t="s">
        <v>8690</v>
      </c>
      <c r="E2176" s="13" t="s">
        <v>8691</v>
      </c>
      <c r="F2176" s="13" t="s">
        <v>806</v>
      </c>
      <c r="G2176" s="13" t="s">
        <v>554</v>
      </c>
      <c r="H2176" s="13" t="s">
        <v>8692</v>
      </c>
      <c r="I2176" s="13" t="s">
        <v>114</v>
      </c>
      <c r="J2176" s="13" t="s">
        <v>8693</v>
      </c>
      <c r="K2176" s="13" t="s">
        <v>8694</v>
      </c>
      <c r="L2176" s="13" t="s">
        <v>8695</v>
      </c>
      <c r="M2176" s="13" t="s">
        <v>8696</v>
      </c>
    </row>
    <row r="2177" customFormat="false" ht="57.45" hidden="false" customHeight="false" outlineLevel="0" collapsed="false">
      <c r="A2177" s="13" t="s">
        <v>4</v>
      </c>
      <c r="B2177" s="13" t="s">
        <v>2150</v>
      </c>
      <c r="C2177" s="13" t="n">
        <v>420</v>
      </c>
      <c r="D2177" s="13" t="s">
        <v>8690</v>
      </c>
      <c r="E2177" s="13" t="s">
        <v>8697</v>
      </c>
      <c r="F2177" s="13" t="s">
        <v>806</v>
      </c>
      <c r="G2177" s="13" t="s">
        <v>554</v>
      </c>
      <c r="H2177" s="13" t="s">
        <v>8698</v>
      </c>
      <c r="I2177" s="13" t="s">
        <v>82</v>
      </c>
      <c r="J2177" s="13" t="s">
        <v>5716</v>
      </c>
      <c r="K2177" s="13"/>
      <c r="L2177" s="13" t="s">
        <v>8695</v>
      </c>
      <c r="M2177" s="13" t="s">
        <v>8696</v>
      </c>
    </row>
    <row r="2178" customFormat="false" ht="57.45" hidden="false" customHeight="false" outlineLevel="0" collapsed="false">
      <c r="A2178" s="13" t="s">
        <v>4</v>
      </c>
      <c r="B2178" s="13" t="s">
        <v>2150</v>
      </c>
      <c r="C2178" s="13" t="n">
        <v>420</v>
      </c>
      <c r="D2178" s="13" t="s">
        <v>8690</v>
      </c>
      <c r="E2178" s="13" t="s">
        <v>8699</v>
      </c>
      <c r="F2178" s="13" t="s">
        <v>8692</v>
      </c>
      <c r="G2178" s="13" t="s">
        <v>1740</v>
      </c>
      <c r="H2178" s="13" t="s">
        <v>8700</v>
      </c>
      <c r="I2178" s="13" t="s">
        <v>114</v>
      </c>
      <c r="J2178" s="13" t="s">
        <v>8693</v>
      </c>
      <c r="K2178" s="13" t="s">
        <v>8694</v>
      </c>
      <c r="L2178" s="13" t="s">
        <v>8695</v>
      </c>
      <c r="M2178" s="13" t="s">
        <v>8696</v>
      </c>
    </row>
    <row r="2179" customFormat="false" ht="57.45" hidden="false" customHeight="false" outlineLevel="0" collapsed="false">
      <c r="A2179" s="13" t="s">
        <v>4</v>
      </c>
      <c r="B2179" s="13" t="s">
        <v>2150</v>
      </c>
      <c r="C2179" s="13" t="n">
        <v>420</v>
      </c>
      <c r="D2179" s="13" t="s">
        <v>8690</v>
      </c>
      <c r="E2179" s="13" t="s">
        <v>8701</v>
      </c>
      <c r="F2179" s="13" t="s">
        <v>8698</v>
      </c>
      <c r="G2179" s="13" t="s">
        <v>1740</v>
      </c>
      <c r="H2179" s="13" t="s">
        <v>3961</v>
      </c>
      <c r="I2179" s="13" t="s">
        <v>82</v>
      </c>
      <c r="J2179" s="13" t="s">
        <v>5716</v>
      </c>
      <c r="K2179" s="13"/>
      <c r="L2179" s="13" t="s">
        <v>8695</v>
      </c>
      <c r="M2179" s="13" t="s">
        <v>8696</v>
      </c>
    </row>
    <row r="2180" customFormat="false" ht="57.45" hidden="false" customHeight="false" outlineLevel="0" collapsed="false">
      <c r="A2180" s="13" t="s">
        <v>4</v>
      </c>
      <c r="B2180" s="13" t="s">
        <v>2150</v>
      </c>
      <c r="C2180" s="13" t="n">
        <v>420</v>
      </c>
      <c r="D2180" s="13" t="s">
        <v>8690</v>
      </c>
      <c r="E2180" s="13" t="s">
        <v>8702</v>
      </c>
      <c r="F2180" s="13" t="s">
        <v>806</v>
      </c>
      <c r="G2180" s="13" t="s">
        <v>8703</v>
      </c>
      <c r="H2180" s="13" t="s">
        <v>8704</v>
      </c>
      <c r="I2180" s="13" t="s">
        <v>114</v>
      </c>
      <c r="J2180" s="13" t="s">
        <v>8693</v>
      </c>
      <c r="K2180" s="13" t="s">
        <v>8694</v>
      </c>
      <c r="L2180" s="13" t="s">
        <v>8695</v>
      </c>
      <c r="M2180" s="13" t="s">
        <v>8696</v>
      </c>
    </row>
    <row r="2181" customFormat="false" ht="46.25" hidden="false" customHeight="false" outlineLevel="0" collapsed="false">
      <c r="A2181" s="13" t="s">
        <v>4</v>
      </c>
      <c r="B2181" s="13" t="s">
        <v>2150</v>
      </c>
      <c r="C2181" s="13" t="n">
        <v>420</v>
      </c>
      <c r="D2181" s="13" t="s">
        <v>8705</v>
      </c>
      <c r="E2181" s="13" t="s">
        <v>8706</v>
      </c>
      <c r="F2181" s="13" t="s">
        <v>8707</v>
      </c>
      <c r="G2181" s="13" t="s">
        <v>8708</v>
      </c>
      <c r="H2181" s="13" t="s">
        <v>8709</v>
      </c>
      <c r="I2181" s="13" t="s">
        <v>114</v>
      </c>
      <c r="J2181" s="13" t="s">
        <v>8693</v>
      </c>
      <c r="K2181" s="13" t="s">
        <v>8694</v>
      </c>
      <c r="L2181" s="13" t="s">
        <v>8710</v>
      </c>
      <c r="M2181" s="13" t="s">
        <v>8711</v>
      </c>
    </row>
    <row r="2182" customFormat="false" ht="46.25" hidden="false" customHeight="false" outlineLevel="0" collapsed="false">
      <c r="A2182" s="13" t="s">
        <v>4</v>
      </c>
      <c r="B2182" s="13" t="s">
        <v>2150</v>
      </c>
      <c r="C2182" s="13" t="n">
        <v>420</v>
      </c>
      <c r="D2182" s="13" t="s">
        <v>8705</v>
      </c>
      <c r="E2182" s="13" t="s">
        <v>8712</v>
      </c>
      <c r="F2182" s="13" t="s">
        <v>688</v>
      </c>
      <c r="G2182" s="13" t="s">
        <v>1045</v>
      </c>
      <c r="H2182" s="13" t="s">
        <v>8713</v>
      </c>
      <c r="I2182" s="13" t="s">
        <v>82</v>
      </c>
      <c r="J2182" s="13" t="s">
        <v>5716</v>
      </c>
      <c r="K2182" s="13"/>
      <c r="L2182" s="13" t="s">
        <v>8710</v>
      </c>
      <c r="M2182" s="13" t="s">
        <v>8711</v>
      </c>
    </row>
    <row r="2183" customFormat="false" ht="46.25" hidden="false" customHeight="false" outlineLevel="0" collapsed="false">
      <c r="A2183" s="13" t="s">
        <v>4</v>
      </c>
      <c r="B2183" s="13" t="s">
        <v>2150</v>
      </c>
      <c r="C2183" s="13" t="n">
        <v>420</v>
      </c>
      <c r="D2183" s="13" t="s">
        <v>8705</v>
      </c>
      <c r="E2183" s="13" t="s">
        <v>8714</v>
      </c>
      <c r="F2183" s="13" t="s">
        <v>8713</v>
      </c>
      <c r="G2183" s="13" t="s">
        <v>1141</v>
      </c>
      <c r="H2183" s="13" t="s">
        <v>688</v>
      </c>
      <c r="I2183" s="13" t="s">
        <v>82</v>
      </c>
      <c r="J2183" s="13" t="s">
        <v>5716</v>
      </c>
      <c r="K2183" s="13"/>
      <c r="L2183" s="13" t="s">
        <v>8710</v>
      </c>
      <c r="M2183" s="13" t="s">
        <v>8711</v>
      </c>
    </row>
    <row r="2184" customFormat="false" ht="23.85" hidden="false" customHeight="false" outlineLevel="0" collapsed="false">
      <c r="A2184" s="13" t="s">
        <v>4</v>
      </c>
      <c r="B2184" s="13" t="s">
        <v>2150</v>
      </c>
      <c r="C2184" s="13" t="n">
        <v>420</v>
      </c>
      <c r="D2184" s="13" t="s">
        <v>8715</v>
      </c>
      <c r="E2184" s="13" t="s">
        <v>8716</v>
      </c>
      <c r="F2184" s="13" t="s">
        <v>688</v>
      </c>
      <c r="G2184" s="13" t="s">
        <v>327</v>
      </c>
      <c r="H2184" s="13" t="s">
        <v>8717</v>
      </c>
      <c r="I2184" s="13" t="s">
        <v>82</v>
      </c>
      <c r="J2184" s="13" t="s">
        <v>5716</v>
      </c>
      <c r="K2184" s="13"/>
      <c r="L2184" s="13" t="s">
        <v>8718</v>
      </c>
      <c r="M2184" s="13" t="s">
        <v>8719</v>
      </c>
    </row>
    <row r="2185" customFormat="false" ht="23.85" hidden="false" customHeight="false" outlineLevel="0" collapsed="false">
      <c r="A2185" s="13" t="s">
        <v>4</v>
      </c>
      <c r="B2185" s="13" t="s">
        <v>2150</v>
      </c>
      <c r="C2185" s="13" t="n">
        <v>420</v>
      </c>
      <c r="D2185" s="13" t="s">
        <v>8720</v>
      </c>
      <c r="E2185" s="13" t="s">
        <v>8721</v>
      </c>
      <c r="F2185" s="13" t="s">
        <v>688</v>
      </c>
      <c r="G2185" s="13" t="s">
        <v>8722</v>
      </c>
      <c r="H2185" s="13" t="s">
        <v>306</v>
      </c>
      <c r="I2185" s="13" t="s">
        <v>82</v>
      </c>
      <c r="J2185" s="13" t="s">
        <v>5716</v>
      </c>
      <c r="K2185" s="13"/>
      <c r="L2185" s="13" t="s">
        <v>8723</v>
      </c>
      <c r="M2185" s="13" t="s">
        <v>8724</v>
      </c>
    </row>
    <row r="2186" customFormat="false" ht="35.05" hidden="false" customHeight="false" outlineLevel="0" collapsed="false">
      <c r="A2186" s="13" t="s">
        <v>4</v>
      </c>
      <c r="B2186" s="13" t="s">
        <v>2150</v>
      </c>
      <c r="C2186" s="13" t="n">
        <v>420</v>
      </c>
      <c r="D2186" s="13" t="s">
        <v>8725</v>
      </c>
      <c r="E2186" s="13" t="s">
        <v>8726</v>
      </c>
      <c r="F2186" s="13" t="s">
        <v>688</v>
      </c>
      <c r="G2186" s="13" t="s">
        <v>8727</v>
      </c>
      <c r="H2186" s="13" t="s">
        <v>8728</v>
      </c>
      <c r="I2186" s="13" t="s">
        <v>82</v>
      </c>
      <c r="J2186" s="13" t="s">
        <v>5716</v>
      </c>
      <c r="K2186" s="13"/>
      <c r="L2186" s="13" t="s">
        <v>8729</v>
      </c>
      <c r="M2186" s="13" t="s">
        <v>8730</v>
      </c>
    </row>
    <row r="2187" customFormat="false" ht="35.05" hidden="false" customHeight="false" outlineLevel="0" collapsed="false">
      <c r="A2187" s="13" t="s">
        <v>4</v>
      </c>
      <c r="B2187" s="13" t="s">
        <v>2150</v>
      </c>
      <c r="C2187" s="13" t="n">
        <v>420</v>
      </c>
      <c r="D2187" s="13" t="s">
        <v>8725</v>
      </c>
      <c r="E2187" s="13" t="s">
        <v>8731</v>
      </c>
      <c r="F2187" s="13" t="s">
        <v>8732</v>
      </c>
      <c r="G2187" s="13" t="s">
        <v>8733</v>
      </c>
      <c r="H2187" s="13" t="s">
        <v>8728</v>
      </c>
      <c r="I2187" s="13" t="s">
        <v>82</v>
      </c>
      <c r="J2187" s="13" t="s">
        <v>5716</v>
      </c>
      <c r="K2187" s="13"/>
      <c r="L2187" s="13" t="s">
        <v>8729</v>
      </c>
      <c r="M2187" s="13" t="s">
        <v>8730</v>
      </c>
    </row>
    <row r="2188" customFormat="false" ht="35.05" hidden="false" customHeight="false" outlineLevel="0" collapsed="false">
      <c r="A2188" s="13" t="s">
        <v>4</v>
      </c>
      <c r="B2188" s="13" t="s">
        <v>2150</v>
      </c>
      <c r="C2188" s="13" t="n">
        <v>420</v>
      </c>
      <c r="D2188" s="13" t="s">
        <v>8725</v>
      </c>
      <c r="E2188" s="13" t="s">
        <v>8734</v>
      </c>
      <c r="F2188" s="13" t="s">
        <v>8732</v>
      </c>
      <c r="G2188" s="13" t="s">
        <v>8735</v>
      </c>
      <c r="H2188" s="13" t="s">
        <v>8736</v>
      </c>
      <c r="I2188" s="13" t="s">
        <v>82</v>
      </c>
      <c r="J2188" s="13" t="s">
        <v>5716</v>
      </c>
      <c r="K2188" s="13"/>
      <c r="L2188" s="13" t="s">
        <v>8729</v>
      </c>
      <c r="M2188" s="13" t="s">
        <v>8730</v>
      </c>
    </row>
    <row r="2189" customFormat="false" ht="35.05" hidden="false" customHeight="false" outlineLevel="0" collapsed="false">
      <c r="A2189" s="13" t="s">
        <v>4</v>
      </c>
      <c r="B2189" s="13" t="s">
        <v>2150</v>
      </c>
      <c r="C2189" s="13" t="n">
        <v>420</v>
      </c>
      <c r="D2189" s="13" t="s">
        <v>8737</v>
      </c>
      <c r="E2189" s="13" t="s">
        <v>8738</v>
      </c>
      <c r="F2189" s="13" t="s">
        <v>8739</v>
      </c>
      <c r="G2189" s="13" t="s">
        <v>3844</v>
      </c>
      <c r="H2189" s="13" t="s">
        <v>688</v>
      </c>
      <c r="I2189" s="13" t="s">
        <v>82</v>
      </c>
      <c r="J2189" s="13" t="s">
        <v>5716</v>
      </c>
      <c r="K2189" s="13"/>
      <c r="L2189" s="13" t="s">
        <v>8740</v>
      </c>
      <c r="M2189" s="13" t="s">
        <v>8741</v>
      </c>
    </row>
    <row r="2190" customFormat="false" ht="35.05" hidden="false" customHeight="false" outlineLevel="0" collapsed="false">
      <c r="A2190" s="13" t="s">
        <v>4</v>
      </c>
      <c r="B2190" s="13" t="s">
        <v>2150</v>
      </c>
      <c r="C2190" s="13" t="n">
        <v>420</v>
      </c>
      <c r="D2190" s="13" t="s">
        <v>8737</v>
      </c>
      <c r="E2190" s="13" t="s">
        <v>8742</v>
      </c>
      <c r="F2190" s="13" t="s">
        <v>8743</v>
      </c>
      <c r="G2190" s="13" t="s">
        <v>3844</v>
      </c>
      <c r="H2190" s="13" t="s">
        <v>688</v>
      </c>
      <c r="I2190" s="13" t="s">
        <v>82</v>
      </c>
      <c r="J2190" s="13" t="s">
        <v>5716</v>
      </c>
      <c r="K2190" s="13"/>
      <c r="L2190" s="13" t="s">
        <v>8740</v>
      </c>
      <c r="M2190" s="13" t="s">
        <v>8741</v>
      </c>
    </row>
    <row r="2191" customFormat="false" ht="35.05" hidden="false" customHeight="false" outlineLevel="0" collapsed="false">
      <c r="A2191" s="13" t="s">
        <v>4</v>
      </c>
      <c r="B2191" s="13" t="s">
        <v>2150</v>
      </c>
      <c r="C2191" s="13" t="n">
        <v>420</v>
      </c>
      <c r="D2191" s="13" t="s">
        <v>8737</v>
      </c>
      <c r="E2191" s="13" t="s">
        <v>8744</v>
      </c>
      <c r="F2191" s="13" t="s">
        <v>3853</v>
      </c>
      <c r="G2191" s="13" t="s">
        <v>3844</v>
      </c>
      <c r="H2191" s="13" t="s">
        <v>688</v>
      </c>
      <c r="I2191" s="13" t="s">
        <v>82</v>
      </c>
      <c r="J2191" s="13" t="s">
        <v>5716</v>
      </c>
      <c r="K2191" s="13"/>
      <c r="L2191" s="13" t="s">
        <v>8740</v>
      </c>
      <c r="M2191" s="13" t="s">
        <v>8741</v>
      </c>
    </row>
    <row r="2192" customFormat="false" ht="46.25" hidden="false" customHeight="false" outlineLevel="0" collapsed="false">
      <c r="A2192" s="13" t="s">
        <v>4</v>
      </c>
      <c r="B2192" s="13" t="s">
        <v>2150</v>
      </c>
      <c r="C2192" s="13" t="n">
        <v>420</v>
      </c>
      <c r="D2192" s="13" t="s">
        <v>8745</v>
      </c>
      <c r="E2192" s="13" t="s">
        <v>8746</v>
      </c>
      <c r="F2192" s="13" t="s">
        <v>8707</v>
      </c>
      <c r="G2192" s="13" t="s">
        <v>8747</v>
      </c>
      <c r="H2192" s="13" t="s">
        <v>806</v>
      </c>
      <c r="I2192" s="13" t="s">
        <v>114</v>
      </c>
      <c r="J2192" s="13" t="s">
        <v>8693</v>
      </c>
      <c r="K2192" s="13" t="s">
        <v>8694</v>
      </c>
      <c r="L2192" s="13" t="s">
        <v>8748</v>
      </c>
      <c r="M2192" s="13" t="s">
        <v>8749</v>
      </c>
    </row>
    <row r="2193" customFormat="false" ht="46.25" hidden="false" customHeight="false" outlineLevel="0" collapsed="false">
      <c r="A2193" s="13" t="s">
        <v>4</v>
      </c>
      <c r="B2193" s="13" t="s">
        <v>2150</v>
      </c>
      <c r="C2193" s="13" t="n">
        <v>420</v>
      </c>
      <c r="D2193" s="13" t="s">
        <v>8745</v>
      </c>
      <c r="E2193" s="13" t="s">
        <v>8750</v>
      </c>
      <c r="F2193" s="13" t="s">
        <v>8751</v>
      </c>
      <c r="G2193" s="13" t="s">
        <v>8747</v>
      </c>
      <c r="H2193" s="13" t="s">
        <v>806</v>
      </c>
      <c r="I2193" s="13" t="s">
        <v>114</v>
      </c>
      <c r="J2193" s="13" t="s">
        <v>8693</v>
      </c>
      <c r="K2193" s="13" t="s">
        <v>8694</v>
      </c>
      <c r="L2193" s="13" t="s">
        <v>8748</v>
      </c>
      <c r="M2193" s="13" t="s">
        <v>8749</v>
      </c>
    </row>
    <row r="2194" customFormat="false" ht="35.05" hidden="false" customHeight="false" outlineLevel="0" collapsed="false">
      <c r="A2194" s="13" t="s">
        <v>4</v>
      </c>
      <c r="B2194" s="13" t="s">
        <v>2150</v>
      </c>
      <c r="C2194" s="13" t="n">
        <v>420</v>
      </c>
      <c r="D2194" s="13" t="s">
        <v>8752</v>
      </c>
      <c r="E2194" s="13" t="s">
        <v>8753</v>
      </c>
      <c r="F2194" s="13" t="s">
        <v>806</v>
      </c>
      <c r="G2194" s="13" t="s">
        <v>1803</v>
      </c>
      <c r="H2194" s="13" t="s">
        <v>8754</v>
      </c>
      <c r="I2194" s="13" t="s">
        <v>114</v>
      </c>
      <c r="J2194" s="13" t="s">
        <v>8755</v>
      </c>
      <c r="K2194" s="13" t="s">
        <v>8756</v>
      </c>
      <c r="L2194" s="13" t="s">
        <v>8757</v>
      </c>
      <c r="M2194" s="13" t="s">
        <v>8758</v>
      </c>
    </row>
    <row r="2195" customFormat="false" ht="35.05" hidden="false" customHeight="false" outlineLevel="0" collapsed="false">
      <c r="A2195" s="13" t="s">
        <v>4</v>
      </c>
      <c r="B2195" s="13" t="s">
        <v>2150</v>
      </c>
      <c r="C2195" s="13" t="n">
        <v>420</v>
      </c>
      <c r="D2195" s="13" t="s">
        <v>8752</v>
      </c>
      <c r="E2195" s="13" t="s">
        <v>8759</v>
      </c>
      <c r="F2195" s="13" t="s">
        <v>806</v>
      </c>
      <c r="G2195" s="13" t="s">
        <v>8760</v>
      </c>
      <c r="H2195" s="13" t="s">
        <v>8761</v>
      </c>
      <c r="I2195" s="13" t="s">
        <v>74</v>
      </c>
      <c r="J2195" s="13" t="s">
        <v>8762</v>
      </c>
      <c r="K2195" s="13" t="s">
        <v>8763</v>
      </c>
      <c r="L2195" s="13" t="s">
        <v>8757</v>
      </c>
      <c r="M2195" s="13" t="s">
        <v>8758</v>
      </c>
    </row>
    <row r="2196" customFormat="false" ht="46.25" hidden="false" customHeight="false" outlineLevel="0" collapsed="false">
      <c r="A2196" s="13" t="s">
        <v>4</v>
      </c>
      <c r="B2196" s="13" t="s">
        <v>2150</v>
      </c>
      <c r="C2196" s="13" t="n">
        <v>420</v>
      </c>
      <c r="D2196" s="13" t="s">
        <v>8764</v>
      </c>
      <c r="E2196" s="13" t="s">
        <v>8765</v>
      </c>
      <c r="F2196" s="13" t="s">
        <v>806</v>
      </c>
      <c r="G2196" s="13" t="s">
        <v>8766</v>
      </c>
      <c r="H2196" s="13" t="s">
        <v>8692</v>
      </c>
      <c r="I2196" s="13" t="s">
        <v>114</v>
      </c>
      <c r="J2196" s="13" t="s">
        <v>8693</v>
      </c>
      <c r="K2196" s="13" t="s">
        <v>8694</v>
      </c>
      <c r="L2196" s="13" t="s">
        <v>8767</v>
      </c>
      <c r="M2196" s="13" t="s">
        <v>8768</v>
      </c>
    </row>
    <row r="2197" customFormat="false" ht="35.05" hidden="false" customHeight="false" outlineLevel="0" collapsed="false">
      <c r="A2197" s="13" t="s">
        <v>4</v>
      </c>
      <c r="B2197" s="13" t="s">
        <v>2150</v>
      </c>
      <c r="C2197" s="13" t="n">
        <v>420</v>
      </c>
      <c r="D2197" s="13" t="s">
        <v>8769</v>
      </c>
      <c r="E2197" s="13" t="s">
        <v>8770</v>
      </c>
      <c r="F2197" s="13" t="s">
        <v>806</v>
      </c>
      <c r="G2197" s="13" t="s">
        <v>8771</v>
      </c>
      <c r="H2197" s="13" t="s">
        <v>8772</v>
      </c>
      <c r="I2197" s="13" t="s">
        <v>82</v>
      </c>
      <c r="J2197" s="13" t="s">
        <v>5716</v>
      </c>
      <c r="K2197" s="13"/>
      <c r="L2197" s="13" t="s">
        <v>8773</v>
      </c>
      <c r="M2197" s="13" t="s">
        <v>8774</v>
      </c>
    </row>
    <row r="2198" customFormat="false" ht="35.05" hidden="false" customHeight="false" outlineLevel="0" collapsed="false">
      <c r="A2198" s="13" t="s">
        <v>4</v>
      </c>
      <c r="B2198" s="13" t="s">
        <v>2150</v>
      </c>
      <c r="C2198" s="13" t="n">
        <v>420</v>
      </c>
      <c r="D2198" s="13" t="s">
        <v>8769</v>
      </c>
      <c r="E2198" s="13" t="s">
        <v>8775</v>
      </c>
      <c r="F2198" s="13" t="s">
        <v>8772</v>
      </c>
      <c r="G2198" s="13" t="s">
        <v>8776</v>
      </c>
      <c r="H2198" s="13" t="s">
        <v>8728</v>
      </c>
      <c r="I2198" s="13" t="s">
        <v>82</v>
      </c>
      <c r="J2198" s="13" t="s">
        <v>5716</v>
      </c>
      <c r="K2198" s="13"/>
      <c r="L2198" s="13" t="s">
        <v>8773</v>
      </c>
      <c r="M2198" s="13" t="s">
        <v>8774</v>
      </c>
    </row>
    <row r="2199" customFormat="false" ht="46.25" hidden="false" customHeight="false" outlineLevel="0" collapsed="false">
      <c r="A2199" s="13" t="s">
        <v>4</v>
      </c>
      <c r="B2199" s="13" t="s">
        <v>2150</v>
      </c>
      <c r="C2199" s="13" t="n">
        <v>420</v>
      </c>
      <c r="D2199" s="13" t="s">
        <v>8777</v>
      </c>
      <c r="E2199" s="13" t="s">
        <v>8778</v>
      </c>
      <c r="F2199" s="13" t="s">
        <v>8772</v>
      </c>
      <c r="G2199" s="13" t="s">
        <v>6692</v>
      </c>
      <c r="H2199" s="13" t="s">
        <v>8779</v>
      </c>
      <c r="I2199" s="13" t="s">
        <v>114</v>
      </c>
      <c r="J2199" s="13" t="s">
        <v>8693</v>
      </c>
      <c r="K2199" s="13" t="s">
        <v>8694</v>
      </c>
      <c r="L2199" s="13" t="s">
        <v>8780</v>
      </c>
      <c r="M2199" s="13" t="s">
        <v>8781</v>
      </c>
    </row>
    <row r="2200" customFormat="false" ht="46.25" hidden="false" customHeight="false" outlineLevel="0" collapsed="false">
      <c r="A2200" s="13" t="s">
        <v>4</v>
      </c>
      <c r="B2200" s="13" t="s">
        <v>2150</v>
      </c>
      <c r="C2200" s="13" t="n">
        <v>420</v>
      </c>
      <c r="D2200" s="13" t="s">
        <v>8777</v>
      </c>
      <c r="E2200" s="13" t="s">
        <v>8782</v>
      </c>
      <c r="F2200" s="13" t="s">
        <v>806</v>
      </c>
      <c r="G2200" s="13" t="s">
        <v>8766</v>
      </c>
      <c r="H2200" s="13" t="s">
        <v>8707</v>
      </c>
      <c r="I2200" s="13" t="s">
        <v>114</v>
      </c>
      <c r="J2200" s="13" t="s">
        <v>8693</v>
      </c>
      <c r="K2200" s="13" t="s">
        <v>8694</v>
      </c>
      <c r="L2200" s="13" t="s">
        <v>8780</v>
      </c>
      <c r="M2200" s="13" t="s">
        <v>8781</v>
      </c>
    </row>
    <row r="2201" customFormat="false" ht="35.05" hidden="false" customHeight="false" outlineLevel="0" collapsed="false">
      <c r="A2201" s="13" t="s">
        <v>4</v>
      </c>
      <c r="B2201" s="13" t="s">
        <v>2150</v>
      </c>
      <c r="C2201" s="13" t="n">
        <v>420</v>
      </c>
      <c r="D2201" s="13" t="s">
        <v>8783</v>
      </c>
      <c r="E2201" s="13" t="s">
        <v>8784</v>
      </c>
      <c r="F2201" s="13" t="s">
        <v>8785</v>
      </c>
      <c r="G2201" s="13" t="s">
        <v>8786</v>
      </c>
      <c r="H2201" s="13" t="s">
        <v>8787</v>
      </c>
      <c r="I2201" s="13" t="s">
        <v>82</v>
      </c>
      <c r="J2201" s="13" t="s">
        <v>5716</v>
      </c>
      <c r="K2201" s="13"/>
      <c r="L2201" s="13" t="s">
        <v>8788</v>
      </c>
      <c r="M2201" s="13" t="s">
        <v>8789</v>
      </c>
    </row>
    <row r="2202" customFormat="false" ht="23.85" hidden="false" customHeight="false" outlineLevel="0" collapsed="false">
      <c r="A2202" s="13" t="s">
        <v>4</v>
      </c>
      <c r="B2202" s="13" t="s">
        <v>2150</v>
      </c>
      <c r="C2202" s="13" t="n">
        <v>420</v>
      </c>
      <c r="D2202" s="13" t="s">
        <v>8790</v>
      </c>
      <c r="E2202" s="13" t="s">
        <v>8791</v>
      </c>
      <c r="F2202" s="13" t="s">
        <v>806</v>
      </c>
      <c r="G2202" s="13" t="s">
        <v>8792</v>
      </c>
      <c r="H2202" s="13" t="s">
        <v>8793</v>
      </c>
      <c r="I2202" s="13" t="s">
        <v>82</v>
      </c>
      <c r="J2202" s="13" t="s">
        <v>5716</v>
      </c>
      <c r="K2202" s="13"/>
      <c r="L2202" s="13" t="s">
        <v>8794</v>
      </c>
      <c r="M2202" s="13" t="s">
        <v>8795</v>
      </c>
    </row>
    <row r="2203" customFormat="false" ht="23.85" hidden="false" customHeight="false" outlineLevel="0" collapsed="false">
      <c r="A2203" s="13" t="s">
        <v>4</v>
      </c>
      <c r="B2203" s="13" t="s">
        <v>2150</v>
      </c>
      <c r="C2203" s="13" t="n">
        <v>420</v>
      </c>
      <c r="D2203" s="13" t="s">
        <v>8796</v>
      </c>
      <c r="E2203" s="13" t="s">
        <v>8797</v>
      </c>
      <c r="F2203" s="13" t="s">
        <v>982</v>
      </c>
      <c r="G2203" s="13" t="s">
        <v>8798</v>
      </c>
      <c r="H2203" s="13" t="s">
        <v>8799</v>
      </c>
      <c r="I2203" s="13" t="s">
        <v>82</v>
      </c>
      <c r="J2203" s="13" t="s">
        <v>5716</v>
      </c>
      <c r="K2203" s="13"/>
      <c r="L2203" s="13" t="s">
        <v>8800</v>
      </c>
      <c r="M2203" s="13" t="s">
        <v>8801</v>
      </c>
    </row>
    <row r="2204" customFormat="false" ht="35.05" hidden="false" customHeight="false" outlineLevel="0" collapsed="false">
      <c r="A2204" s="13" t="s">
        <v>4</v>
      </c>
      <c r="B2204" s="13" t="s">
        <v>2150</v>
      </c>
      <c r="C2204" s="13" t="n">
        <v>420</v>
      </c>
      <c r="D2204" s="13" t="s">
        <v>8796</v>
      </c>
      <c r="E2204" s="13" t="s">
        <v>8802</v>
      </c>
      <c r="F2204" s="13" t="s">
        <v>982</v>
      </c>
      <c r="G2204" s="13" t="s">
        <v>8803</v>
      </c>
      <c r="H2204" s="13" t="s">
        <v>6457</v>
      </c>
      <c r="I2204" s="13" t="s">
        <v>114</v>
      </c>
      <c r="J2204" s="13" t="s">
        <v>8804</v>
      </c>
      <c r="K2204" s="13" t="s">
        <v>8805</v>
      </c>
      <c r="L2204" s="13" t="s">
        <v>8800</v>
      </c>
      <c r="M2204" s="13" t="s">
        <v>8801</v>
      </c>
    </row>
    <row r="2205" customFormat="false" ht="35.05" hidden="false" customHeight="false" outlineLevel="0" collapsed="false">
      <c r="A2205" s="13" t="s">
        <v>4</v>
      </c>
      <c r="B2205" s="13" t="s">
        <v>2150</v>
      </c>
      <c r="C2205" s="13" t="n">
        <v>420</v>
      </c>
      <c r="D2205" s="13" t="s">
        <v>8806</v>
      </c>
      <c r="E2205" s="13" t="s">
        <v>8807</v>
      </c>
      <c r="F2205" s="13" t="s">
        <v>806</v>
      </c>
      <c r="G2205" s="13" t="s">
        <v>5086</v>
      </c>
      <c r="H2205" s="13" t="s">
        <v>8808</v>
      </c>
      <c r="I2205" s="13" t="s">
        <v>82</v>
      </c>
      <c r="J2205" s="13" t="s">
        <v>5716</v>
      </c>
      <c r="K2205" s="13"/>
      <c r="L2205" s="13" t="s">
        <v>8809</v>
      </c>
      <c r="M2205" s="13" t="s">
        <v>8810</v>
      </c>
    </row>
    <row r="2206" customFormat="false" ht="35.05" hidden="false" customHeight="false" outlineLevel="0" collapsed="false">
      <c r="A2206" s="13" t="s">
        <v>4</v>
      </c>
      <c r="B2206" s="13" t="s">
        <v>2150</v>
      </c>
      <c r="C2206" s="13" t="n">
        <v>420</v>
      </c>
      <c r="D2206" s="13" t="s">
        <v>8806</v>
      </c>
      <c r="E2206" s="13" t="s">
        <v>8811</v>
      </c>
      <c r="F2206" s="13" t="s">
        <v>806</v>
      </c>
      <c r="G2206" s="13" t="s">
        <v>5086</v>
      </c>
      <c r="H2206" s="13" t="s">
        <v>8812</v>
      </c>
      <c r="I2206" s="13" t="s">
        <v>82</v>
      </c>
      <c r="J2206" s="13" t="s">
        <v>5716</v>
      </c>
      <c r="K2206" s="13"/>
      <c r="L2206" s="13" t="s">
        <v>8809</v>
      </c>
      <c r="M2206" s="13" t="s">
        <v>8810</v>
      </c>
    </row>
    <row r="2207" customFormat="false" ht="91" hidden="false" customHeight="false" outlineLevel="0" collapsed="false">
      <c r="A2207" s="13" t="s">
        <v>4</v>
      </c>
      <c r="B2207" s="13" t="s">
        <v>4108</v>
      </c>
      <c r="C2207" s="13" t="n">
        <v>59</v>
      </c>
      <c r="D2207" s="13" t="s">
        <v>8813</v>
      </c>
      <c r="E2207" s="13" t="s">
        <v>8814</v>
      </c>
      <c r="F2207" s="13" t="s">
        <v>8815</v>
      </c>
      <c r="G2207" s="13" t="s">
        <v>2011</v>
      </c>
      <c r="H2207" s="13" t="s">
        <v>8816</v>
      </c>
      <c r="I2207" s="13" t="s">
        <v>82</v>
      </c>
      <c r="J2207" s="13" t="s">
        <v>5716</v>
      </c>
      <c r="K2207" s="13"/>
      <c r="L2207" s="13" t="s">
        <v>8817</v>
      </c>
      <c r="M2207" s="13" t="s">
        <v>8818</v>
      </c>
    </row>
    <row r="2208" customFormat="false" ht="91" hidden="false" customHeight="false" outlineLevel="0" collapsed="false">
      <c r="A2208" s="13" t="s">
        <v>4</v>
      </c>
      <c r="B2208" s="13" t="s">
        <v>4108</v>
      </c>
      <c r="C2208" s="13" t="n">
        <v>59</v>
      </c>
      <c r="D2208" s="13" t="s">
        <v>8813</v>
      </c>
      <c r="E2208" s="13" t="s">
        <v>8819</v>
      </c>
      <c r="F2208" s="13" t="s">
        <v>8815</v>
      </c>
      <c r="G2208" s="13" t="s">
        <v>958</v>
      </c>
      <c r="H2208" s="13" t="s">
        <v>8820</v>
      </c>
      <c r="I2208" s="13" t="s">
        <v>82</v>
      </c>
      <c r="J2208" s="13" t="s">
        <v>5716</v>
      </c>
      <c r="K2208" s="13"/>
      <c r="L2208" s="13" t="s">
        <v>8817</v>
      </c>
      <c r="M2208" s="13" t="s">
        <v>8818</v>
      </c>
    </row>
    <row r="2209" customFormat="false" ht="91" hidden="false" customHeight="false" outlineLevel="0" collapsed="false">
      <c r="A2209" s="13" t="s">
        <v>4</v>
      </c>
      <c r="B2209" s="13" t="s">
        <v>4108</v>
      </c>
      <c r="C2209" s="13" t="n">
        <v>59</v>
      </c>
      <c r="D2209" s="13" t="s">
        <v>8813</v>
      </c>
      <c r="E2209" s="13" t="s">
        <v>8821</v>
      </c>
      <c r="F2209" s="13" t="s">
        <v>8822</v>
      </c>
      <c r="G2209" s="13" t="s">
        <v>2011</v>
      </c>
      <c r="H2209" s="13" t="s">
        <v>8823</v>
      </c>
      <c r="I2209" s="13" t="s">
        <v>82</v>
      </c>
      <c r="J2209" s="13" t="s">
        <v>5716</v>
      </c>
      <c r="K2209" s="13"/>
      <c r="L2209" s="13" t="s">
        <v>8817</v>
      </c>
      <c r="M2209" s="13" t="s">
        <v>8818</v>
      </c>
    </row>
    <row r="2210" customFormat="false" ht="91" hidden="false" customHeight="false" outlineLevel="0" collapsed="false">
      <c r="A2210" s="13" t="s">
        <v>4</v>
      </c>
      <c r="B2210" s="13" t="s">
        <v>4108</v>
      </c>
      <c r="C2210" s="13" t="n">
        <v>59</v>
      </c>
      <c r="D2210" s="13" t="s">
        <v>8813</v>
      </c>
      <c r="E2210" s="13" t="s">
        <v>8824</v>
      </c>
      <c r="F2210" s="13" t="s">
        <v>8822</v>
      </c>
      <c r="G2210" s="13" t="s">
        <v>958</v>
      </c>
      <c r="H2210" s="13" t="s">
        <v>8825</v>
      </c>
      <c r="I2210" s="13" t="s">
        <v>82</v>
      </c>
      <c r="J2210" s="13" t="s">
        <v>5716</v>
      </c>
      <c r="K2210" s="13"/>
      <c r="L2210" s="13" t="s">
        <v>8817</v>
      </c>
      <c r="M2210" s="13" t="s">
        <v>8818</v>
      </c>
    </row>
    <row r="2211" customFormat="false" ht="91" hidden="false" customHeight="false" outlineLevel="0" collapsed="false">
      <c r="A2211" s="13" t="s">
        <v>4</v>
      </c>
      <c r="B2211" s="13" t="s">
        <v>4108</v>
      </c>
      <c r="C2211" s="13" t="n">
        <v>59</v>
      </c>
      <c r="D2211" s="13" t="s">
        <v>8813</v>
      </c>
      <c r="E2211" s="13" t="s">
        <v>8826</v>
      </c>
      <c r="F2211" s="13" t="s">
        <v>8827</v>
      </c>
      <c r="G2211" s="13" t="s">
        <v>2011</v>
      </c>
      <c r="H2211" s="13" t="s">
        <v>8828</v>
      </c>
      <c r="I2211" s="13" t="s">
        <v>82</v>
      </c>
      <c r="J2211" s="13" t="s">
        <v>5716</v>
      </c>
      <c r="K2211" s="13"/>
      <c r="L2211" s="13" t="s">
        <v>8817</v>
      </c>
      <c r="M2211" s="13" t="s">
        <v>8818</v>
      </c>
    </row>
    <row r="2212" customFormat="false" ht="91" hidden="false" customHeight="false" outlineLevel="0" collapsed="false">
      <c r="A2212" s="13" t="s">
        <v>4</v>
      </c>
      <c r="B2212" s="13" t="s">
        <v>4108</v>
      </c>
      <c r="C2212" s="13" t="n">
        <v>59</v>
      </c>
      <c r="D2212" s="13" t="s">
        <v>8813</v>
      </c>
      <c r="E2212" s="13" t="s">
        <v>8829</v>
      </c>
      <c r="F2212" s="13" t="s">
        <v>8827</v>
      </c>
      <c r="G2212" s="13" t="s">
        <v>958</v>
      </c>
      <c r="H2212" s="13" t="s">
        <v>8830</v>
      </c>
      <c r="I2212" s="13" t="s">
        <v>82</v>
      </c>
      <c r="J2212" s="13" t="s">
        <v>5716</v>
      </c>
      <c r="K2212" s="13"/>
      <c r="L2212" s="13" t="s">
        <v>8817</v>
      </c>
      <c r="M2212" s="13" t="s">
        <v>8818</v>
      </c>
    </row>
    <row r="2213" customFormat="false" ht="91" hidden="false" customHeight="false" outlineLevel="0" collapsed="false">
      <c r="A2213" s="13" t="s">
        <v>4</v>
      </c>
      <c r="B2213" s="13" t="s">
        <v>4108</v>
      </c>
      <c r="C2213" s="13" t="n">
        <v>59</v>
      </c>
      <c r="D2213" s="13" t="s">
        <v>8813</v>
      </c>
      <c r="E2213" s="13" t="s">
        <v>8831</v>
      </c>
      <c r="F2213" s="13" t="s">
        <v>8832</v>
      </c>
      <c r="G2213" s="13" t="s">
        <v>2011</v>
      </c>
      <c r="H2213" s="13" t="s">
        <v>8833</v>
      </c>
      <c r="I2213" s="13" t="s">
        <v>82</v>
      </c>
      <c r="J2213" s="13" t="s">
        <v>5716</v>
      </c>
      <c r="K2213" s="13"/>
      <c r="L2213" s="13" t="s">
        <v>8817</v>
      </c>
      <c r="M2213" s="13" t="s">
        <v>8818</v>
      </c>
    </row>
    <row r="2214" customFormat="false" ht="91" hidden="false" customHeight="false" outlineLevel="0" collapsed="false">
      <c r="A2214" s="13" t="s">
        <v>4</v>
      </c>
      <c r="B2214" s="13" t="s">
        <v>4108</v>
      </c>
      <c r="C2214" s="13" t="n">
        <v>59</v>
      </c>
      <c r="D2214" s="13" t="s">
        <v>8813</v>
      </c>
      <c r="E2214" s="13" t="s">
        <v>8834</v>
      </c>
      <c r="F2214" s="13" t="s">
        <v>8832</v>
      </c>
      <c r="G2214" s="13" t="s">
        <v>958</v>
      </c>
      <c r="H2214" s="13" t="s">
        <v>8835</v>
      </c>
      <c r="I2214" s="13" t="s">
        <v>82</v>
      </c>
      <c r="J2214" s="13" t="s">
        <v>5716</v>
      </c>
      <c r="K2214" s="13"/>
      <c r="L2214" s="13" t="s">
        <v>8817</v>
      </c>
      <c r="M2214" s="13" t="s">
        <v>8818</v>
      </c>
    </row>
    <row r="2215" customFormat="false" ht="57.45" hidden="false" customHeight="false" outlineLevel="0" collapsed="false">
      <c r="A2215" s="13" t="s">
        <v>4</v>
      </c>
      <c r="B2215" s="13" t="s">
        <v>4108</v>
      </c>
      <c r="C2215" s="13" t="n">
        <v>59</v>
      </c>
      <c r="D2215" s="13" t="s">
        <v>8836</v>
      </c>
      <c r="E2215" s="13" t="s">
        <v>8837</v>
      </c>
      <c r="F2215" s="13" t="s">
        <v>8838</v>
      </c>
      <c r="G2215" s="13" t="s">
        <v>958</v>
      </c>
      <c r="H2215" s="13" t="s">
        <v>8839</v>
      </c>
      <c r="I2215" s="13" t="s">
        <v>82</v>
      </c>
      <c r="J2215" s="13" t="s">
        <v>5716</v>
      </c>
      <c r="K2215" s="13"/>
      <c r="L2215" s="13" t="s">
        <v>8840</v>
      </c>
      <c r="M2215" s="13" t="s">
        <v>8841</v>
      </c>
    </row>
    <row r="2216" customFormat="false" ht="57.45" hidden="false" customHeight="false" outlineLevel="0" collapsed="false">
      <c r="A2216" s="13" t="s">
        <v>4</v>
      </c>
      <c r="B2216" s="13" t="s">
        <v>4108</v>
      </c>
      <c r="C2216" s="13" t="n">
        <v>59</v>
      </c>
      <c r="D2216" s="13" t="s">
        <v>8836</v>
      </c>
      <c r="E2216" s="13" t="s">
        <v>8842</v>
      </c>
      <c r="F2216" s="13" t="s">
        <v>8843</v>
      </c>
      <c r="G2216" s="13" t="s">
        <v>958</v>
      </c>
      <c r="H2216" s="13" t="s">
        <v>8844</v>
      </c>
      <c r="I2216" s="13" t="s">
        <v>82</v>
      </c>
      <c r="J2216" s="13" t="s">
        <v>5716</v>
      </c>
      <c r="K2216" s="13"/>
      <c r="L2216" s="13" t="s">
        <v>8840</v>
      </c>
      <c r="M2216" s="13" t="s">
        <v>8841</v>
      </c>
    </row>
    <row r="2217" customFormat="false" ht="57.45" hidden="false" customHeight="false" outlineLevel="0" collapsed="false">
      <c r="A2217" s="13" t="s">
        <v>4</v>
      </c>
      <c r="B2217" s="13" t="s">
        <v>4108</v>
      </c>
      <c r="C2217" s="13" t="n">
        <v>59</v>
      </c>
      <c r="D2217" s="13" t="s">
        <v>8836</v>
      </c>
      <c r="E2217" s="13" t="s">
        <v>8845</v>
      </c>
      <c r="F2217" s="13" t="s">
        <v>8846</v>
      </c>
      <c r="G2217" s="13" t="s">
        <v>958</v>
      </c>
      <c r="H2217" s="13" t="s">
        <v>8847</v>
      </c>
      <c r="I2217" s="13" t="s">
        <v>82</v>
      </c>
      <c r="J2217" s="13" t="s">
        <v>5716</v>
      </c>
      <c r="K2217" s="13"/>
      <c r="L2217" s="13" t="s">
        <v>8840</v>
      </c>
      <c r="M2217" s="13" t="s">
        <v>8841</v>
      </c>
    </row>
    <row r="2218" customFormat="false" ht="57.45" hidden="false" customHeight="false" outlineLevel="0" collapsed="false">
      <c r="A2218" s="13" t="s">
        <v>4</v>
      </c>
      <c r="B2218" s="13" t="s">
        <v>4108</v>
      </c>
      <c r="C2218" s="13" t="n">
        <v>59</v>
      </c>
      <c r="D2218" s="13" t="s">
        <v>8836</v>
      </c>
      <c r="E2218" s="13" t="s">
        <v>8848</v>
      </c>
      <c r="F2218" s="13" t="s">
        <v>8849</v>
      </c>
      <c r="G2218" s="13" t="s">
        <v>958</v>
      </c>
      <c r="H2218" s="13" t="s">
        <v>8850</v>
      </c>
      <c r="I2218" s="13" t="s">
        <v>82</v>
      </c>
      <c r="J2218" s="13" t="s">
        <v>5716</v>
      </c>
      <c r="K2218" s="13"/>
      <c r="L2218" s="13" t="s">
        <v>8840</v>
      </c>
      <c r="M2218" s="13" t="s">
        <v>8841</v>
      </c>
    </row>
    <row r="2219" customFormat="false" ht="57.45" hidden="false" customHeight="false" outlineLevel="0" collapsed="false">
      <c r="A2219" s="13" t="s">
        <v>4</v>
      </c>
      <c r="B2219" s="13" t="s">
        <v>4108</v>
      </c>
      <c r="C2219" s="13" t="n">
        <v>59</v>
      </c>
      <c r="D2219" s="13" t="s">
        <v>8836</v>
      </c>
      <c r="E2219" s="13" t="s">
        <v>8851</v>
      </c>
      <c r="F2219" s="13" t="s">
        <v>8852</v>
      </c>
      <c r="G2219" s="13" t="s">
        <v>958</v>
      </c>
      <c r="H2219" s="13" t="s">
        <v>8853</v>
      </c>
      <c r="I2219" s="13" t="s">
        <v>82</v>
      </c>
      <c r="J2219" s="13" t="s">
        <v>5716</v>
      </c>
      <c r="K2219" s="13"/>
      <c r="L2219" s="13" t="s">
        <v>8840</v>
      </c>
      <c r="M2219" s="13" t="s">
        <v>8841</v>
      </c>
    </row>
    <row r="2220" customFormat="false" ht="57.45" hidden="false" customHeight="false" outlineLevel="0" collapsed="false">
      <c r="A2220" s="13" t="s">
        <v>4</v>
      </c>
      <c r="B2220" s="13" t="s">
        <v>4108</v>
      </c>
      <c r="C2220" s="13" t="n">
        <v>59</v>
      </c>
      <c r="D2220" s="13" t="s">
        <v>8836</v>
      </c>
      <c r="E2220" s="13" t="s">
        <v>8854</v>
      </c>
      <c r="F2220" s="13" t="s">
        <v>8855</v>
      </c>
      <c r="G2220" s="13" t="s">
        <v>958</v>
      </c>
      <c r="H2220" s="13" t="s">
        <v>8856</v>
      </c>
      <c r="I2220" s="13" t="s">
        <v>74</v>
      </c>
      <c r="J2220" s="13" t="s">
        <v>8857</v>
      </c>
      <c r="K2220" s="13" t="s">
        <v>8858</v>
      </c>
      <c r="L2220" s="13" t="s">
        <v>8840</v>
      </c>
      <c r="M2220" s="13" t="s">
        <v>8841</v>
      </c>
    </row>
    <row r="2221" customFormat="false" ht="91" hidden="false" customHeight="false" outlineLevel="0" collapsed="false">
      <c r="A2221" s="13" t="s">
        <v>4</v>
      </c>
      <c r="B2221" s="13" t="s">
        <v>4108</v>
      </c>
      <c r="C2221" s="13" t="n">
        <v>59</v>
      </c>
      <c r="D2221" s="13" t="s">
        <v>8859</v>
      </c>
      <c r="E2221" s="13" t="s">
        <v>8860</v>
      </c>
      <c r="F2221" s="13" t="s">
        <v>8861</v>
      </c>
      <c r="G2221" s="13" t="s">
        <v>958</v>
      </c>
      <c r="H2221" s="13" t="s">
        <v>8862</v>
      </c>
      <c r="I2221" s="13" t="s">
        <v>82</v>
      </c>
      <c r="J2221" s="13" t="s">
        <v>5716</v>
      </c>
      <c r="K2221" s="13"/>
      <c r="L2221" s="13" t="s">
        <v>8863</v>
      </c>
      <c r="M2221" s="13" t="s">
        <v>8864</v>
      </c>
    </row>
    <row r="2222" customFormat="false" ht="91" hidden="false" customHeight="false" outlineLevel="0" collapsed="false">
      <c r="A2222" s="13" t="s">
        <v>4</v>
      </c>
      <c r="B2222" s="13" t="s">
        <v>4108</v>
      </c>
      <c r="C2222" s="13" t="n">
        <v>59</v>
      </c>
      <c r="D2222" s="13" t="s">
        <v>8859</v>
      </c>
      <c r="E2222" s="13" t="s">
        <v>8865</v>
      </c>
      <c r="F2222" s="13" t="s">
        <v>8866</v>
      </c>
      <c r="G2222" s="13" t="s">
        <v>958</v>
      </c>
      <c r="H2222" s="13" t="s">
        <v>8867</v>
      </c>
      <c r="I2222" s="13" t="s">
        <v>82</v>
      </c>
      <c r="J2222" s="13" t="s">
        <v>5716</v>
      </c>
      <c r="K2222" s="13"/>
      <c r="L2222" s="13" t="s">
        <v>8863</v>
      </c>
      <c r="M2222" s="13" t="s">
        <v>8864</v>
      </c>
    </row>
    <row r="2223" customFormat="false" ht="91" hidden="false" customHeight="false" outlineLevel="0" collapsed="false">
      <c r="A2223" s="13" t="s">
        <v>4</v>
      </c>
      <c r="B2223" s="13" t="s">
        <v>4108</v>
      </c>
      <c r="C2223" s="13" t="n">
        <v>59</v>
      </c>
      <c r="D2223" s="13" t="s">
        <v>8859</v>
      </c>
      <c r="E2223" s="13" t="s">
        <v>8868</v>
      </c>
      <c r="F2223" s="13" t="s">
        <v>8869</v>
      </c>
      <c r="G2223" s="13" t="s">
        <v>958</v>
      </c>
      <c r="H2223" s="13" t="s">
        <v>8870</v>
      </c>
      <c r="I2223" s="13" t="s">
        <v>82</v>
      </c>
      <c r="J2223" s="13" t="s">
        <v>5716</v>
      </c>
      <c r="K2223" s="13"/>
      <c r="L2223" s="13" t="s">
        <v>8863</v>
      </c>
      <c r="M2223" s="13" t="s">
        <v>8864</v>
      </c>
    </row>
    <row r="2224" customFormat="false" ht="91" hidden="false" customHeight="false" outlineLevel="0" collapsed="false">
      <c r="A2224" s="13" t="s">
        <v>4</v>
      </c>
      <c r="B2224" s="13" t="s">
        <v>4108</v>
      </c>
      <c r="C2224" s="13" t="n">
        <v>59</v>
      </c>
      <c r="D2224" s="13" t="s">
        <v>8859</v>
      </c>
      <c r="E2224" s="13" t="s">
        <v>8871</v>
      </c>
      <c r="F2224" s="13" t="s">
        <v>8872</v>
      </c>
      <c r="G2224" s="13" t="s">
        <v>958</v>
      </c>
      <c r="H2224" s="13" t="s">
        <v>8873</v>
      </c>
      <c r="I2224" s="13" t="s">
        <v>82</v>
      </c>
      <c r="J2224" s="13" t="s">
        <v>5716</v>
      </c>
      <c r="K2224" s="13"/>
      <c r="L2224" s="13" t="s">
        <v>8863</v>
      </c>
      <c r="M2224" s="13" t="s">
        <v>8864</v>
      </c>
    </row>
    <row r="2225" customFormat="false" ht="91" hidden="false" customHeight="false" outlineLevel="0" collapsed="false">
      <c r="A2225" s="13" t="s">
        <v>4</v>
      </c>
      <c r="B2225" s="13" t="s">
        <v>4108</v>
      </c>
      <c r="C2225" s="13" t="n">
        <v>59</v>
      </c>
      <c r="D2225" s="13" t="s">
        <v>8859</v>
      </c>
      <c r="E2225" s="13" t="s">
        <v>8874</v>
      </c>
      <c r="F2225" s="13" t="s">
        <v>8875</v>
      </c>
      <c r="G2225" s="13" t="s">
        <v>958</v>
      </c>
      <c r="H2225" s="13" t="s">
        <v>8876</v>
      </c>
      <c r="I2225" s="13" t="s">
        <v>82</v>
      </c>
      <c r="J2225" s="13" t="s">
        <v>5716</v>
      </c>
      <c r="K2225" s="13"/>
      <c r="L2225" s="13" t="s">
        <v>8863</v>
      </c>
      <c r="M2225" s="13" t="s">
        <v>8864</v>
      </c>
    </row>
    <row r="2226" customFormat="false" ht="91" hidden="false" customHeight="false" outlineLevel="0" collapsed="false">
      <c r="A2226" s="13" t="s">
        <v>4</v>
      </c>
      <c r="B2226" s="13" t="s">
        <v>4108</v>
      </c>
      <c r="C2226" s="13" t="n">
        <v>59</v>
      </c>
      <c r="D2226" s="13" t="s">
        <v>8859</v>
      </c>
      <c r="E2226" s="13" t="s">
        <v>8877</v>
      </c>
      <c r="F2226" s="13" t="s">
        <v>8878</v>
      </c>
      <c r="G2226" s="13" t="s">
        <v>8879</v>
      </c>
      <c r="H2226" s="13" t="s">
        <v>8880</v>
      </c>
      <c r="I2226" s="13" t="s">
        <v>114</v>
      </c>
      <c r="J2226" s="13" t="s">
        <v>8881</v>
      </c>
      <c r="K2226" s="13" t="s">
        <v>8882</v>
      </c>
      <c r="L2226" s="13" t="s">
        <v>8863</v>
      </c>
      <c r="M2226" s="13" t="s">
        <v>8864</v>
      </c>
    </row>
    <row r="2227" customFormat="false" ht="35.05" hidden="false" customHeight="false" outlineLevel="0" collapsed="false">
      <c r="A2227" s="13" t="s">
        <v>4</v>
      </c>
      <c r="B2227" s="13" t="s">
        <v>4108</v>
      </c>
      <c r="C2227" s="13" t="n">
        <v>59</v>
      </c>
      <c r="D2227" s="13" t="s">
        <v>8883</v>
      </c>
      <c r="E2227" s="13" t="s">
        <v>8884</v>
      </c>
      <c r="F2227" s="13" t="s">
        <v>8885</v>
      </c>
      <c r="G2227" s="13" t="s">
        <v>958</v>
      </c>
      <c r="H2227" s="13" t="s">
        <v>8886</v>
      </c>
      <c r="I2227" s="13" t="s">
        <v>82</v>
      </c>
      <c r="J2227" s="13" t="s">
        <v>5716</v>
      </c>
      <c r="K2227" s="13"/>
      <c r="L2227" s="13" t="s">
        <v>8887</v>
      </c>
      <c r="M2227" s="13" t="s">
        <v>8888</v>
      </c>
    </row>
    <row r="2228" customFormat="false" ht="35.05" hidden="false" customHeight="false" outlineLevel="0" collapsed="false">
      <c r="A2228" s="13" t="s">
        <v>4</v>
      </c>
      <c r="B2228" s="13" t="s">
        <v>4108</v>
      </c>
      <c r="C2228" s="13" t="n">
        <v>59</v>
      </c>
      <c r="D2228" s="13" t="s">
        <v>8883</v>
      </c>
      <c r="E2228" s="13" t="s">
        <v>8889</v>
      </c>
      <c r="F2228" s="13" t="s">
        <v>8890</v>
      </c>
      <c r="G2228" s="13" t="s">
        <v>958</v>
      </c>
      <c r="H2228" s="13" t="s">
        <v>8891</v>
      </c>
      <c r="I2228" s="13" t="s">
        <v>82</v>
      </c>
      <c r="J2228" s="13" t="s">
        <v>5716</v>
      </c>
      <c r="K2228" s="13"/>
      <c r="L2228" s="13" t="s">
        <v>8887</v>
      </c>
      <c r="M2228" s="13" t="s">
        <v>8888</v>
      </c>
    </row>
    <row r="2229" customFormat="false" ht="35.05" hidden="false" customHeight="false" outlineLevel="0" collapsed="false">
      <c r="A2229" s="13" t="s">
        <v>4</v>
      </c>
      <c r="B2229" s="13" t="s">
        <v>4108</v>
      </c>
      <c r="C2229" s="13" t="n">
        <v>59</v>
      </c>
      <c r="D2229" s="13" t="s">
        <v>8883</v>
      </c>
      <c r="E2229" s="13" t="s">
        <v>8892</v>
      </c>
      <c r="F2229" s="13" t="s">
        <v>8893</v>
      </c>
      <c r="G2229" s="13" t="s">
        <v>8879</v>
      </c>
      <c r="H2229" s="13" t="s">
        <v>8894</v>
      </c>
      <c r="I2229" s="13" t="s">
        <v>114</v>
      </c>
      <c r="J2229" s="13" t="s">
        <v>8895</v>
      </c>
      <c r="K2229" s="13" t="s">
        <v>8896</v>
      </c>
      <c r="L2229" s="13" t="s">
        <v>8887</v>
      </c>
      <c r="M2229" s="13" t="s">
        <v>8888</v>
      </c>
    </row>
    <row r="2230" customFormat="false" ht="46.25" hidden="false" customHeight="false" outlineLevel="0" collapsed="false">
      <c r="A2230" s="13" t="s">
        <v>4</v>
      </c>
      <c r="B2230" s="13" t="s">
        <v>4108</v>
      </c>
      <c r="C2230" s="13" t="n">
        <v>59</v>
      </c>
      <c r="D2230" s="13" t="s">
        <v>8897</v>
      </c>
      <c r="E2230" s="13" t="s">
        <v>8898</v>
      </c>
      <c r="F2230" s="13" t="s">
        <v>8899</v>
      </c>
      <c r="G2230" s="13" t="s">
        <v>958</v>
      </c>
      <c r="H2230" s="13" t="s">
        <v>8900</v>
      </c>
      <c r="I2230" s="13" t="s">
        <v>82</v>
      </c>
      <c r="J2230" s="13" t="s">
        <v>5716</v>
      </c>
      <c r="K2230" s="13"/>
      <c r="L2230" s="13" t="s">
        <v>8901</v>
      </c>
      <c r="M2230" s="13" t="s">
        <v>8902</v>
      </c>
    </row>
    <row r="2231" customFormat="false" ht="46.25" hidden="false" customHeight="false" outlineLevel="0" collapsed="false">
      <c r="A2231" s="13" t="s">
        <v>4</v>
      </c>
      <c r="B2231" s="13" t="s">
        <v>4108</v>
      </c>
      <c r="C2231" s="13" t="n">
        <v>59</v>
      </c>
      <c r="D2231" s="13" t="s">
        <v>8897</v>
      </c>
      <c r="E2231" s="13" t="s">
        <v>8903</v>
      </c>
      <c r="F2231" s="13" t="s">
        <v>8904</v>
      </c>
      <c r="G2231" s="13" t="s">
        <v>958</v>
      </c>
      <c r="H2231" s="13" t="s">
        <v>8905</v>
      </c>
      <c r="I2231" s="13" t="s">
        <v>82</v>
      </c>
      <c r="J2231" s="13" t="s">
        <v>5716</v>
      </c>
      <c r="K2231" s="13"/>
      <c r="L2231" s="13" t="s">
        <v>8901</v>
      </c>
      <c r="M2231" s="13" t="s">
        <v>8902</v>
      </c>
    </row>
    <row r="2232" customFormat="false" ht="46.25" hidden="false" customHeight="false" outlineLevel="0" collapsed="false">
      <c r="A2232" s="13" t="s">
        <v>4</v>
      </c>
      <c r="B2232" s="13" t="s">
        <v>4108</v>
      </c>
      <c r="C2232" s="13" t="n">
        <v>59</v>
      </c>
      <c r="D2232" s="13" t="s">
        <v>8897</v>
      </c>
      <c r="E2232" s="13" t="s">
        <v>8906</v>
      </c>
      <c r="F2232" s="13" t="s">
        <v>8907</v>
      </c>
      <c r="G2232" s="13" t="s">
        <v>958</v>
      </c>
      <c r="H2232" s="13" t="s">
        <v>7530</v>
      </c>
      <c r="I2232" s="13" t="s">
        <v>82</v>
      </c>
      <c r="J2232" s="13" t="s">
        <v>5716</v>
      </c>
      <c r="K2232" s="13"/>
      <c r="L2232" s="13" t="s">
        <v>8901</v>
      </c>
      <c r="M2232" s="13" t="s">
        <v>8902</v>
      </c>
    </row>
    <row r="2233" customFormat="false" ht="46.25" hidden="false" customHeight="false" outlineLevel="0" collapsed="false">
      <c r="A2233" s="13" t="s">
        <v>4</v>
      </c>
      <c r="B2233" s="13" t="s">
        <v>4108</v>
      </c>
      <c r="C2233" s="13" t="n">
        <v>59</v>
      </c>
      <c r="D2233" s="13" t="s">
        <v>8897</v>
      </c>
      <c r="E2233" s="13" t="s">
        <v>8908</v>
      </c>
      <c r="F2233" s="13" t="s">
        <v>8909</v>
      </c>
      <c r="G2233" s="13" t="s">
        <v>8879</v>
      </c>
      <c r="H2233" s="13" t="s">
        <v>8910</v>
      </c>
      <c r="I2233" s="13" t="s">
        <v>82</v>
      </c>
      <c r="J2233" s="13" t="s">
        <v>5716</v>
      </c>
      <c r="K2233" s="13"/>
      <c r="L2233" s="13" t="s">
        <v>8901</v>
      </c>
      <c r="M2233" s="13" t="s">
        <v>8902</v>
      </c>
    </row>
    <row r="2234" customFormat="false" ht="35.05" hidden="false" customHeight="false" outlineLevel="0" collapsed="false">
      <c r="A2234" s="13" t="s">
        <v>4</v>
      </c>
      <c r="B2234" s="13" t="s">
        <v>4108</v>
      </c>
      <c r="C2234" s="13" t="n">
        <v>59</v>
      </c>
      <c r="D2234" s="13" t="s">
        <v>8911</v>
      </c>
      <c r="E2234" s="13" t="s">
        <v>8912</v>
      </c>
      <c r="F2234" s="13" t="s">
        <v>8913</v>
      </c>
      <c r="G2234" s="13" t="s">
        <v>958</v>
      </c>
      <c r="H2234" s="13" t="s">
        <v>8914</v>
      </c>
      <c r="I2234" s="13" t="s">
        <v>82</v>
      </c>
      <c r="J2234" s="13" t="s">
        <v>5716</v>
      </c>
      <c r="K2234" s="13"/>
      <c r="L2234" s="13" t="s">
        <v>8915</v>
      </c>
      <c r="M2234" s="13" t="s">
        <v>8916</v>
      </c>
    </row>
    <row r="2235" customFormat="false" ht="57.45" hidden="false" customHeight="false" outlineLevel="0" collapsed="false">
      <c r="A2235" s="13" t="s">
        <v>4</v>
      </c>
      <c r="B2235" s="13" t="s">
        <v>4108</v>
      </c>
      <c r="C2235" s="13" t="n">
        <v>59</v>
      </c>
      <c r="D2235" s="13" t="s">
        <v>8917</v>
      </c>
      <c r="E2235" s="13" t="s">
        <v>8918</v>
      </c>
      <c r="F2235" s="13" t="s">
        <v>806</v>
      </c>
      <c r="G2235" s="13" t="s">
        <v>8919</v>
      </c>
      <c r="H2235" s="13" t="s">
        <v>8920</v>
      </c>
      <c r="I2235" s="13" t="s">
        <v>82</v>
      </c>
      <c r="J2235" s="13" t="s">
        <v>5716</v>
      </c>
      <c r="K2235" s="13"/>
      <c r="L2235" s="13" t="s">
        <v>8921</v>
      </c>
      <c r="M2235" s="13" t="s">
        <v>8922</v>
      </c>
    </row>
    <row r="2236" customFormat="false" ht="57.45" hidden="false" customHeight="false" outlineLevel="0" collapsed="false">
      <c r="A2236" s="13" t="s">
        <v>4</v>
      </c>
      <c r="B2236" s="13" t="s">
        <v>4108</v>
      </c>
      <c r="C2236" s="13" t="n">
        <v>59</v>
      </c>
      <c r="D2236" s="13" t="s">
        <v>8917</v>
      </c>
      <c r="E2236" s="13" t="s">
        <v>8923</v>
      </c>
      <c r="F2236" s="13" t="s">
        <v>806</v>
      </c>
      <c r="G2236" s="13" t="s">
        <v>8924</v>
      </c>
      <c r="H2236" s="13" t="s">
        <v>8925</v>
      </c>
      <c r="I2236" s="13" t="s">
        <v>82</v>
      </c>
      <c r="J2236" s="13" t="s">
        <v>5716</v>
      </c>
      <c r="K2236" s="13"/>
      <c r="L2236" s="13" t="s">
        <v>8921</v>
      </c>
      <c r="M2236" s="13" t="s">
        <v>8922</v>
      </c>
    </row>
    <row r="2237" customFormat="false" ht="46.25" hidden="false" customHeight="false" outlineLevel="0" collapsed="false">
      <c r="A2237" s="13" t="s">
        <v>4</v>
      </c>
      <c r="B2237" s="13" t="s">
        <v>4108</v>
      </c>
      <c r="C2237" s="13" t="n">
        <v>59</v>
      </c>
      <c r="D2237" s="13" t="s">
        <v>8926</v>
      </c>
      <c r="E2237" s="13" t="s">
        <v>8927</v>
      </c>
      <c r="F2237" s="13" t="s">
        <v>806</v>
      </c>
      <c r="G2237" s="13" t="s">
        <v>8928</v>
      </c>
      <c r="H2237" s="13" t="s">
        <v>8929</v>
      </c>
      <c r="I2237" s="13" t="s">
        <v>82</v>
      </c>
      <c r="J2237" s="13" t="s">
        <v>5716</v>
      </c>
      <c r="K2237" s="13"/>
      <c r="L2237" s="13" t="s">
        <v>8930</v>
      </c>
      <c r="M2237" s="13" t="s">
        <v>8931</v>
      </c>
    </row>
    <row r="2238" customFormat="false" ht="35.05" hidden="false" customHeight="false" outlineLevel="0" collapsed="false">
      <c r="A2238" s="13" t="s">
        <v>4</v>
      </c>
      <c r="B2238" s="13" t="s">
        <v>4108</v>
      </c>
      <c r="C2238" s="13" t="n">
        <v>59</v>
      </c>
      <c r="D2238" s="13" t="s">
        <v>8932</v>
      </c>
      <c r="E2238" s="13" t="s">
        <v>8933</v>
      </c>
      <c r="F2238" s="13" t="s">
        <v>8913</v>
      </c>
      <c r="G2238" s="13" t="s">
        <v>8934</v>
      </c>
      <c r="H2238" s="13" t="s">
        <v>806</v>
      </c>
      <c r="I2238" s="13" t="s">
        <v>82</v>
      </c>
      <c r="J2238" s="13" t="s">
        <v>5716</v>
      </c>
      <c r="K2238" s="13"/>
      <c r="L2238" s="13" t="s">
        <v>8935</v>
      </c>
      <c r="M2238" s="13" t="s">
        <v>8936</v>
      </c>
    </row>
    <row r="2239" customFormat="false" ht="35.05" hidden="false" customHeight="false" outlineLevel="0" collapsed="false">
      <c r="A2239" s="13" t="s">
        <v>4</v>
      </c>
      <c r="B2239" s="13" t="s">
        <v>4108</v>
      </c>
      <c r="C2239" s="13" t="n">
        <v>59</v>
      </c>
      <c r="D2239" s="13" t="s">
        <v>8937</v>
      </c>
      <c r="E2239" s="13" t="s">
        <v>8938</v>
      </c>
      <c r="F2239" s="13" t="s">
        <v>8939</v>
      </c>
      <c r="G2239" s="13" t="s">
        <v>8940</v>
      </c>
      <c r="H2239" s="13" t="s">
        <v>8941</v>
      </c>
      <c r="I2239" s="13" t="s">
        <v>82</v>
      </c>
      <c r="J2239" s="13" t="s">
        <v>5716</v>
      </c>
      <c r="K2239" s="13"/>
      <c r="L2239" s="13" t="s">
        <v>8942</v>
      </c>
      <c r="M2239" s="13" t="s">
        <v>8943</v>
      </c>
    </row>
    <row r="2240" customFormat="false" ht="35.05" hidden="false" customHeight="false" outlineLevel="0" collapsed="false">
      <c r="A2240" s="13" t="s">
        <v>4</v>
      </c>
      <c r="B2240" s="13" t="s">
        <v>4108</v>
      </c>
      <c r="C2240" s="13" t="n">
        <v>59</v>
      </c>
      <c r="D2240" s="13" t="s">
        <v>8937</v>
      </c>
      <c r="E2240" s="13" t="s">
        <v>8944</v>
      </c>
      <c r="F2240" s="13" t="s">
        <v>8939</v>
      </c>
      <c r="G2240" s="13" t="s">
        <v>8934</v>
      </c>
      <c r="H2240" s="13" t="s">
        <v>806</v>
      </c>
      <c r="I2240" s="13" t="s">
        <v>82</v>
      </c>
      <c r="J2240" s="13" t="s">
        <v>5716</v>
      </c>
      <c r="K2240" s="13"/>
      <c r="L2240" s="13" t="s">
        <v>8942</v>
      </c>
      <c r="M2240" s="13" t="s">
        <v>8943</v>
      </c>
    </row>
    <row r="2241" customFormat="false" ht="46.25" hidden="false" customHeight="false" outlineLevel="0" collapsed="false">
      <c r="A2241" s="13" t="s">
        <v>4</v>
      </c>
      <c r="B2241" s="13" t="s">
        <v>4108</v>
      </c>
      <c r="C2241" s="13" t="n">
        <v>59</v>
      </c>
      <c r="D2241" s="13" t="s">
        <v>8945</v>
      </c>
      <c r="E2241" s="13" t="s">
        <v>8946</v>
      </c>
      <c r="F2241" s="13" t="s">
        <v>8861</v>
      </c>
      <c r="G2241" s="13" t="s">
        <v>8947</v>
      </c>
      <c r="H2241" s="13" t="s">
        <v>806</v>
      </c>
      <c r="I2241" s="13" t="s">
        <v>82</v>
      </c>
      <c r="J2241" s="13" t="s">
        <v>5716</v>
      </c>
      <c r="K2241" s="13"/>
      <c r="L2241" s="13" t="s">
        <v>8948</v>
      </c>
      <c r="M2241" s="13" t="s">
        <v>8949</v>
      </c>
    </row>
    <row r="2242" customFormat="false" ht="46.25" hidden="false" customHeight="false" outlineLevel="0" collapsed="false">
      <c r="A2242" s="13" t="s">
        <v>4</v>
      </c>
      <c r="B2242" s="13" t="s">
        <v>4108</v>
      </c>
      <c r="C2242" s="13" t="n">
        <v>59</v>
      </c>
      <c r="D2242" s="13" t="s">
        <v>8945</v>
      </c>
      <c r="E2242" s="13" t="s">
        <v>8950</v>
      </c>
      <c r="F2242" s="13" t="s">
        <v>8861</v>
      </c>
      <c r="G2242" s="13" t="s">
        <v>8951</v>
      </c>
      <c r="H2242" s="13" t="s">
        <v>4226</v>
      </c>
      <c r="I2242" s="13" t="s">
        <v>82</v>
      </c>
      <c r="J2242" s="13" t="s">
        <v>5716</v>
      </c>
      <c r="K2242" s="13"/>
      <c r="L2242" s="13" t="s">
        <v>8948</v>
      </c>
      <c r="M2242" s="13" t="s">
        <v>8949</v>
      </c>
    </row>
    <row r="2243" customFormat="false" ht="35.05" hidden="false" customHeight="false" outlineLevel="0" collapsed="false">
      <c r="A2243" s="13" t="s">
        <v>4</v>
      </c>
      <c r="B2243" s="13" t="s">
        <v>4108</v>
      </c>
      <c r="C2243" s="13" t="n">
        <v>59</v>
      </c>
      <c r="D2243" s="13" t="s">
        <v>8952</v>
      </c>
      <c r="E2243" s="13" t="s">
        <v>8953</v>
      </c>
      <c r="F2243" s="13" t="s">
        <v>8875</v>
      </c>
      <c r="G2243" s="13" t="s">
        <v>8947</v>
      </c>
      <c r="H2243" s="13" t="s">
        <v>806</v>
      </c>
      <c r="I2243" s="13" t="s">
        <v>82</v>
      </c>
      <c r="J2243" s="13" t="s">
        <v>5716</v>
      </c>
      <c r="K2243" s="13"/>
      <c r="L2243" s="13" t="s">
        <v>8954</v>
      </c>
      <c r="M2243" s="13" t="s">
        <v>8955</v>
      </c>
    </row>
    <row r="2244" customFormat="false" ht="35.05" hidden="false" customHeight="false" outlineLevel="0" collapsed="false">
      <c r="A2244" s="13" t="s">
        <v>4</v>
      </c>
      <c r="B2244" s="13" t="s">
        <v>4108</v>
      </c>
      <c r="C2244" s="13" t="n">
        <v>59</v>
      </c>
      <c r="D2244" s="13" t="s">
        <v>8952</v>
      </c>
      <c r="E2244" s="13" t="s">
        <v>8956</v>
      </c>
      <c r="F2244" s="13" t="s">
        <v>8875</v>
      </c>
      <c r="G2244" s="13" t="s">
        <v>8951</v>
      </c>
      <c r="H2244" s="13" t="s">
        <v>4226</v>
      </c>
      <c r="I2244" s="13" t="s">
        <v>82</v>
      </c>
      <c r="J2244" s="13" t="s">
        <v>5716</v>
      </c>
      <c r="K2244" s="13"/>
      <c r="L2244" s="13" t="s">
        <v>8954</v>
      </c>
      <c r="M2244" s="13" t="s">
        <v>8955</v>
      </c>
    </row>
    <row r="2245" customFormat="false" ht="46.25" hidden="false" customHeight="false" outlineLevel="0" collapsed="false">
      <c r="A2245" s="13" t="s">
        <v>4</v>
      </c>
      <c r="B2245" s="13" t="s">
        <v>4108</v>
      </c>
      <c r="C2245" s="13" t="n">
        <v>68</v>
      </c>
      <c r="D2245" s="13" t="s">
        <v>8957</v>
      </c>
      <c r="E2245" s="13" t="s">
        <v>8958</v>
      </c>
      <c r="F2245" s="13" t="s">
        <v>806</v>
      </c>
      <c r="G2245" s="13" t="s">
        <v>8959</v>
      </c>
      <c r="H2245" s="13" t="s">
        <v>8960</v>
      </c>
      <c r="I2245" s="13" t="s">
        <v>82</v>
      </c>
      <c r="J2245" s="13" t="s">
        <v>5716</v>
      </c>
      <c r="K2245" s="13"/>
      <c r="L2245" s="13" t="s">
        <v>8961</v>
      </c>
      <c r="M2245" s="13" t="s">
        <v>8962</v>
      </c>
    </row>
    <row r="2246" customFormat="false" ht="46.25" hidden="false" customHeight="false" outlineLevel="0" collapsed="false">
      <c r="A2246" s="13" t="s">
        <v>4</v>
      </c>
      <c r="B2246" s="13" t="s">
        <v>4108</v>
      </c>
      <c r="C2246" s="13" t="n">
        <v>68</v>
      </c>
      <c r="D2246" s="13" t="s">
        <v>8957</v>
      </c>
      <c r="E2246" s="13" t="s">
        <v>8963</v>
      </c>
      <c r="F2246" s="13" t="s">
        <v>806</v>
      </c>
      <c r="G2246" s="13" t="s">
        <v>8964</v>
      </c>
      <c r="H2246" s="13" t="s">
        <v>8965</v>
      </c>
      <c r="I2246" s="13" t="s">
        <v>82</v>
      </c>
      <c r="J2246" s="13" t="s">
        <v>5716</v>
      </c>
      <c r="K2246" s="13"/>
      <c r="L2246" s="13" t="s">
        <v>8961</v>
      </c>
      <c r="M2246" s="13" t="s">
        <v>8962</v>
      </c>
    </row>
    <row r="2247" customFormat="false" ht="46.25" hidden="false" customHeight="false" outlineLevel="0" collapsed="false">
      <c r="A2247" s="13" t="s">
        <v>4</v>
      </c>
      <c r="B2247" s="13" t="s">
        <v>4108</v>
      </c>
      <c r="C2247" s="13" t="n">
        <v>68</v>
      </c>
      <c r="D2247" s="13" t="s">
        <v>8957</v>
      </c>
      <c r="E2247" s="13" t="s">
        <v>8966</v>
      </c>
      <c r="F2247" s="13" t="s">
        <v>8965</v>
      </c>
      <c r="G2247" s="13" t="s">
        <v>8967</v>
      </c>
      <c r="H2247" s="13" t="s">
        <v>8968</v>
      </c>
      <c r="I2247" s="13" t="s">
        <v>82</v>
      </c>
      <c r="J2247" s="13" t="s">
        <v>5716</v>
      </c>
      <c r="K2247" s="13"/>
      <c r="L2247" s="13" t="s">
        <v>8961</v>
      </c>
      <c r="M2247" s="13" t="s">
        <v>8962</v>
      </c>
    </row>
    <row r="2248" customFormat="false" ht="46.25" hidden="false" customHeight="false" outlineLevel="0" collapsed="false">
      <c r="A2248" s="13" t="s">
        <v>4</v>
      </c>
      <c r="B2248" s="13" t="s">
        <v>4108</v>
      </c>
      <c r="C2248" s="13" t="n">
        <v>68</v>
      </c>
      <c r="D2248" s="13" t="s">
        <v>8969</v>
      </c>
      <c r="E2248" s="13" t="s">
        <v>8970</v>
      </c>
      <c r="F2248" s="13" t="s">
        <v>8971</v>
      </c>
      <c r="G2248" s="13" t="s">
        <v>8355</v>
      </c>
      <c r="H2248" s="13" t="s">
        <v>806</v>
      </c>
      <c r="I2248" s="13" t="s">
        <v>82</v>
      </c>
      <c r="J2248" s="13" t="s">
        <v>5716</v>
      </c>
      <c r="K2248" s="13"/>
      <c r="L2248" s="13" t="s">
        <v>8972</v>
      </c>
      <c r="M2248" s="13" t="s">
        <v>8973</v>
      </c>
    </row>
    <row r="2249" customFormat="false" ht="46.25" hidden="false" customHeight="false" outlineLevel="0" collapsed="false">
      <c r="A2249" s="13" t="s">
        <v>4</v>
      </c>
      <c r="B2249" s="13" t="s">
        <v>4108</v>
      </c>
      <c r="C2249" s="13" t="n">
        <v>68</v>
      </c>
      <c r="D2249" s="13" t="s">
        <v>8969</v>
      </c>
      <c r="E2249" s="13" t="s">
        <v>8974</v>
      </c>
      <c r="F2249" s="13" t="s">
        <v>8971</v>
      </c>
      <c r="G2249" s="13" t="s">
        <v>8975</v>
      </c>
      <c r="H2249" s="13" t="s">
        <v>8976</v>
      </c>
      <c r="I2249" s="13" t="s">
        <v>82</v>
      </c>
      <c r="J2249" s="13" t="s">
        <v>5716</v>
      </c>
      <c r="K2249" s="13"/>
      <c r="L2249" s="13" t="s">
        <v>8972</v>
      </c>
      <c r="M2249" s="13" t="s">
        <v>8973</v>
      </c>
    </row>
    <row r="2250" customFormat="false" ht="23.85" hidden="false" customHeight="false" outlineLevel="0" collapsed="false">
      <c r="A2250" s="13" t="s">
        <v>4</v>
      </c>
      <c r="B2250" s="13" t="s">
        <v>4108</v>
      </c>
      <c r="C2250" s="13" t="n">
        <v>68</v>
      </c>
      <c r="D2250" s="13" t="s">
        <v>8977</v>
      </c>
      <c r="E2250" s="13" t="s">
        <v>8978</v>
      </c>
      <c r="F2250" s="13" t="s">
        <v>8979</v>
      </c>
      <c r="G2250" s="13" t="s">
        <v>8980</v>
      </c>
      <c r="H2250" s="13" t="s">
        <v>8981</v>
      </c>
      <c r="I2250" s="13" t="s">
        <v>82</v>
      </c>
      <c r="J2250" s="13" t="s">
        <v>5716</v>
      </c>
      <c r="K2250" s="13"/>
      <c r="L2250" s="13" t="s">
        <v>8982</v>
      </c>
      <c r="M2250" s="13" t="s">
        <v>8983</v>
      </c>
    </row>
    <row r="2251" customFormat="false" ht="23.85" hidden="false" customHeight="false" outlineLevel="0" collapsed="false">
      <c r="A2251" s="13" t="s">
        <v>4</v>
      </c>
      <c r="B2251" s="13" t="s">
        <v>4108</v>
      </c>
      <c r="C2251" s="13" t="n">
        <v>68</v>
      </c>
      <c r="D2251" s="13" t="s">
        <v>8977</v>
      </c>
      <c r="E2251" s="13" t="s">
        <v>8984</v>
      </c>
      <c r="F2251" s="13" t="s">
        <v>8985</v>
      </c>
      <c r="G2251" s="13" t="s">
        <v>8980</v>
      </c>
      <c r="H2251" s="13" t="s">
        <v>8986</v>
      </c>
      <c r="I2251" s="13" t="s">
        <v>82</v>
      </c>
      <c r="J2251" s="13" t="s">
        <v>5716</v>
      </c>
      <c r="K2251" s="13"/>
      <c r="L2251" s="13" t="s">
        <v>8982</v>
      </c>
      <c r="M2251" s="13" t="s">
        <v>8983</v>
      </c>
    </row>
    <row r="2252" customFormat="false" ht="46.25" hidden="false" customHeight="false" outlineLevel="0" collapsed="false">
      <c r="A2252" s="13" t="s">
        <v>4</v>
      </c>
      <c r="B2252" s="13" t="s">
        <v>4108</v>
      </c>
      <c r="C2252" s="13" t="n">
        <v>68</v>
      </c>
      <c r="D2252" s="13" t="s">
        <v>8987</v>
      </c>
      <c r="E2252" s="13" t="s">
        <v>8988</v>
      </c>
      <c r="F2252" s="13" t="s">
        <v>8989</v>
      </c>
      <c r="G2252" s="13" t="s">
        <v>8990</v>
      </c>
      <c r="H2252" s="13" t="s">
        <v>8991</v>
      </c>
      <c r="I2252" s="13" t="s">
        <v>82</v>
      </c>
      <c r="J2252" s="13" t="s">
        <v>5716</v>
      </c>
      <c r="K2252" s="13"/>
      <c r="L2252" s="13" t="s">
        <v>8992</v>
      </c>
      <c r="M2252" s="13" t="s">
        <v>8993</v>
      </c>
    </row>
    <row r="2253" customFormat="false" ht="46.25" hidden="false" customHeight="false" outlineLevel="0" collapsed="false">
      <c r="A2253" s="13" t="s">
        <v>4</v>
      </c>
      <c r="B2253" s="13" t="s">
        <v>4108</v>
      </c>
      <c r="C2253" s="13" t="n">
        <v>68</v>
      </c>
      <c r="D2253" s="13" t="s">
        <v>8987</v>
      </c>
      <c r="E2253" s="13" t="s">
        <v>8994</v>
      </c>
      <c r="F2253" s="13" t="s">
        <v>8995</v>
      </c>
      <c r="G2253" s="13" t="s">
        <v>8996</v>
      </c>
      <c r="H2253" s="13" t="s">
        <v>8997</v>
      </c>
      <c r="I2253" s="13" t="s">
        <v>82</v>
      </c>
      <c r="J2253" s="13" t="s">
        <v>5716</v>
      </c>
      <c r="K2253" s="13"/>
      <c r="L2253" s="13" t="s">
        <v>8992</v>
      </c>
      <c r="M2253" s="13" t="s">
        <v>8993</v>
      </c>
    </row>
    <row r="2254" customFormat="false" ht="158.2" hidden="false" customHeight="false" outlineLevel="0" collapsed="false">
      <c r="A2254" s="13" t="s">
        <v>4</v>
      </c>
      <c r="B2254" s="13" t="s">
        <v>4108</v>
      </c>
      <c r="C2254" s="13" t="n">
        <v>68</v>
      </c>
      <c r="D2254" s="13" t="s">
        <v>8998</v>
      </c>
      <c r="E2254" s="13" t="s">
        <v>8999</v>
      </c>
      <c r="F2254" s="13" t="s">
        <v>806</v>
      </c>
      <c r="G2254" s="13" t="s">
        <v>9000</v>
      </c>
      <c r="H2254" s="13" t="s">
        <v>9001</v>
      </c>
      <c r="I2254" s="13" t="s">
        <v>82</v>
      </c>
      <c r="J2254" s="13" t="s">
        <v>5716</v>
      </c>
      <c r="K2254" s="13"/>
      <c r="L2254" s="13" t="s">
        <v>9002</v>
      </c>
      <c r="M2254" s="13" t="s">
        <v>9003</v>
      </c>
    </row>
    <row r="2255" customFormat="false" ht="158.2" hidden="false" customHeight="false" outlineLevel="0" collapsed="false">
      <c r="A2255" s="13" t="s">
        <v>4</v>
      </c>
      <c r="B2255" s="13" t="s">
        <v>4108</v>
      </c>
      <c r="C2255" s="13" t="n">
        <v>68</v>
      </c>
      <c r="D2255" s="13" t="s">
        <v>8998</v>
      </c>
      <c r="E2255" s="13" t="s">
        <v>9004</v>
      </c>
      <c r="F2255" s="13" t="s">
        <v>806</v>
      </c>
      <c r="G2255" s="13" t="s">
        <v>9005</v>
      </c>
      <c r="H2255" s="13" t="s">
        <v>9006</v>
      </c>
      <c r="I2255" s="13" t="s">
        <v>82</v>
      </c>
      <c r="J2255" s="13" t="s">
        <v>5716</v>
      </c>
      <c r="K2255" s="13"/>
      <c r="L2255" s="13" t="s">
        <v>9002</v>
      </c>
      <c r="M2255" s="13" t="s">
        <v>9003</v>
      </c>
    </row>
    <row r="2256" customFormat="false" ht="158.2" hidden="false" customHeight="false" outlineLevel="0" collapsed="false">
      <c r="A2256" s="13" t="s">
        <v>4</v>
      </c>
      <c r="B2256" s="13" t="s">
        <v>4108</v>
      </c>
      <c r="C2256" s="13" t="n">
        <v>68</v>
      </c>
      <c r="D2256" s="13" t="s">
        <v>8998</v>
      </c>
      <c r="E2256" s="13" t="s">
        <v>9007</v>
      </c>
      <c r="F2256" s="13" t="s">
        <v>806</v>
      </c>
      <c r="G2256" s="13" t="s">
        <v>9008</v>
      </c>
      <c r="H2256" s="13" t="s">
        <v>9009</v>
      </c>
      <c r="I2256" s="13" t="s">
        <v>82</v>
      </c>
      <c r="J2256" s="13" t="s">
        <v>5716</v>
      </c>
      <c r="K2256" s="13"/>
      <c r="L2256" s="13" t="s">
        <v>9002</v>
      </c>
      <c r="M2256" s="13" t="s">
        <v>9003</v>
      </c>
    </row>
    <row r="2257" customFormat="false" ht="158.2" hidden="false" customHeight="false" outlineLevel="0" collapsed="false">
      <c r="A2257" s="13" t="s">
        <v>4</v>
      </c>
      <c r="B2257" s="13" t="s">
        <v>4108</v>
      </c>
      <c r="C2257" s="13" t="n">
        <v>68</v>
      </c>
      <c r="D2257" s="13" t="s">
        <v>8998</v>
      </c>
      <c r="E2257" s="13" t="s">
        <v>9010</v>
      </c>
      <c r="F2257" s="13" t="s">
        <v>806</v>
      </c>
      <c r="G2257" s="13" t="s">
        <v>9011</v>
      </c>
      <c r="H2257" s="13" t="s">
        <v>9012</v>
      </c>
      <c r="I2257" s="13" t="s">
        <v>82</v>
      </c>
      <c r="J2257" s="13" t="s">
        <v>5716</v>
      </c>
      <c r="K2257" s="13"/>
      <c r="L2257" s="13" t="s">
        <v>9002</v>
      </c>
      <c r="M2257" s="13" t="s">
        <v>9003</v>
      </c>
    </row>
    <row r="2258" customFormat="false" ht="79.85" hidden="false" customHeight="false" outlineLevel="0" collapsed="false">
      <c r="A2258" s="13" t="s">
        <v>4</v>
      </c>
      <c r="B2258" s="13" t="s">
        <v>4108</v>
      </c>
      <c r="C2258" s="13" t="n">
        <v>68</v>
      </c>
      <c r="D2258" s="13" t="s">
        <v>9013</v>
      </c>
      <c r="E2258" s="13" t="s">
        <v>9014</v>
      </c>
      <c r="F2258" s="13" t="s">
        <v>9015</v>
      </c>
      <c r="G2258" s="13" t="s">
        <v>9016</v>
      </c>
      <c r="H2258" s="13" t="s">
        <v>806</v>
      </c>
      <c r="I2258" s="13" t="s">
        <v>82</v>
      </c>
      <c r="J2258" s="13" t="s">
        <v>5716</v>
      </c>
      <c r="K2258" s="13"/>
      <c r="L2258" s="13" t="s">
        <v>9017</v>
      </c>
      <c r="M2258" s="13" t="s">
        <v>9018</v>
      </c>
    </row>
    <row r="2259" customFormat="false" ht="79.85" hidden="false" customHeight="false" outlineLevel="0" collapsed="false">
      <c r="A2259" s="13" t="s">
        <v>4</v>
      </c>
      <c r="B2259" s="13" t="s">
        <v>4108</v>
      </c>
      <c r="C2259" s="13" t="n">
        <v>68</v>
      </c>
      <c r="D2259" s="13" t="s">
        <v>9013</v>
      </c>
      <c r="E2259" s="13" t="s">
        <v>9019</v>
      </c>
      <c r="F2259" s="13" t="s">
        <v>806</v>
      </c>
      <c r="G2259" s="13" t="s">
        <v>9020</v>
      </c>
      <c r="H2259" s="13" t="s">
        <v>9015</v>
      </c>
      <c r="I2259" s="13" t="s">
        <v>82</v>
      </c>
      <c r="J2259" s="13" t="s">
        <v>5716</v>
      </c>
      <c r="K2259" s="13"/>
      <c r="L2259" s="13" t="s">
        <v>9017</v>
      </c>
      <c r="M2259" s="13" t="s">
        <v>9018</v>
      </c>
    </row>
    <row r="2260" customFormat="false" ht="79.85" hidden="false" customHeight="false" outlineLevel="0" collapsed="false">
      <c r="A2260" s="13" t="s">
        <v>4</v>
      </c>
      <c r="B2260" s="13" t="s">
        <v>4108</v>
      </c>
      <c r="C2260" s="13" t="n">
        <v>68</v>
      </c>
      <c r="D2260" s="13" t="s">
        <v>9013</v>
      </c>
      <c r="E2260" s="13" t="s">
        <v>9021</v>
      </c>
      <c r="F2260" s="13" t="s">
        <v>9015</v>
      </c>
      <c r="G2260" s="13" t="s">
        <v>9022</v>
      </c>
      <c r="H2260" s="13" t="s">
        <v>806</v>
      </c>
      <c r="I2260" s="13" t="s">
        <v>82</v>
      </c>
      <c r="J2260" s="13" t="s">
        <v>5716</v>
      </c>
      <c r="K2260" s="13"/>
      <c r="L2260" s="13" t="s">
        <v>9017</v>
      </c>
      <c r="M2260" s="13" t="s">
        <v>9018</v>
      </c>
    </row>
    <row r="2261" customFormat="false" ht="23.85" hidden="false" customHeight="false" outlineLevel="0" collapsed="false">
      <c r="A2261" s="13" t="s">
        <v>4</v>
      </c>
      <c r="B2261" s="13" t="s">
        <v>4108</v>
      </c>
      <c r="C2261" s="13" t="n">
        <v>68</v>
      </c>
      <c r="D2261" s="13" t="s">
        <v>9023</v>
      </c>
      <c r="E2261" s="13" t="s">
        <v>9024</v>
      </c>
      <c r="F2261" s="13" t="s">
        <v>806</v>
      </c>
      <c r="G2261" s="13" t="s">
        <v>9025</v>
      </c>
      <c r="H2261" s="13" t="s">
        <v>9026</v>
      </c>
      <c r="I2261" s="13" t="s">
        <v>82</v>
      </c>
      <c r="J2261" s="13" t="s">
        <v>5716</v>
      </c>
      <c r="K2261" s="13"/>
      <c r="L2261" s="13" t="s">
        <v>9027</v>
      </c>
      <c r="M2261" s="13" t="s">
        <v>9028</v>
      </c>
    </row>
    <row r="2262" customFormat="false" ht="57.45" hidden="false" customHeight="false" outlineLevel="0" collapsed="false">
      <c r="A2262" s="13" t="s">
        <v>4</v>
      </c>
      <c r="B2262" s="13" t="s">
        <v>4108</v>
      </c>
      <c r="C2262" s="13" t="n">
        <v>68</v>
      </c>
      <c r="D2262" s="13" t="s">
        <v>9029</v>
      </c>
      <c r="E2262" s="13" t="s">
        <v>9030</v>
      </c>
      <c r="F2262" s="13" t="s">
        <v>806</v>
      </c>
      <c r="G2262" s="13" t="s">
        <v>9031</v>
      </c>
      <c r="H2262" s="13" t="s">
        <v>9032</v>
      </c>
      <c r="I2262" s="13" t="s">
        <v>82</v>
      </c>
      <c r="J2262" s="13" t="s">
        <v>5716</v>
      </c>
      <c r="K2262" s="13"/>
      <c r="L2262" s="13" t="s">
        <v>9033</v>
      </c>
      <c r="M2262" s="13" t="s">
        <v>9034</v>
      </c>
    </row>
    <row r="2263" customFormat="false" ht="57.45" hidden="false" customHeight="false" outlineLevel="0" collapsed="false">
      <c r="A2263" s="13" t="s">
        <v>4</v>
      </c>
      <c r="B2263" s="13" t="s">
        <v>4108</v>
      </c>
      <c r="C2263" s="13" t="n">
        <v>68</v>
      </c>
      <c r="D2263" s="13" t="s">
        <v>9029</v>
      </c>
      <c r="E2263" s="13" t="s">
        <v>9035</v>
      </c>
      <c r="F2263" s="13" t="s">
        <v>806</v>
      </c>
      <c r="G2263" s="13" t="s">
        <v>9036</v>
      </c>
      <c r="H2263" s="13" t="s">
        <v>9037</v>
      </c>
      <c r="I2263" s="13" t="s">
        <v>82</v>
      </c>
      <c r="J2263" s="13" t="s">
        <v>5716</v>
      </c>
      <c r="K2263" s="13"/>
      <c r="L2263" s="13" t="s">
        <v>9033</v>
      </c>
      <c r="M2263" s="13" t="s">
        <v>9034</v>
      </c>
    </row>
    <row r="2264" customFormat="false" ht="46.25" hidden="false" customHeight="false" outlineLevel="0" collapsed="false">
      <c r="A2264" s="13" t="s">
        <v>4</v>
      </c>
      <c r="B2264" s="13" t="s">
        <v>4108</v>
      </c>
      <c r="C2264" s="13" t="n">
        <v>68</v>
      </c>
      <c r="D2264" s="13" t="s">
        <v>9038</v>
      </c>
      <c r="E2264" s="13" t="s">
        <v>9039</v>
      </c>
      <c r="F2264" s="13" t="s">
        <v>806</v>
      </c>
      <c r="G2264" s="13" t="s">
        <v>9031</v>
      </c>
      <c r="H2264" s="13" t="s">
        <v>9040</v>
      </c>
      <c r="I2264" s="13" t="s">
        <v>82</v>
      </c>
      <c r="J2264" s="13" t="s">
        <v>5716</v>
      </c>
      <c r="K2264" s="13"/>
      <c r="L2264" s="13" t="s">
        <v>9041</v>
      </c>
      <c r="M2264" s="13" t="s">
        <v>9042</v>
      </c>
    </row>
    <row r="2265" customFormat="false" ht="46.25" hidden="false" customHeight="false" outlineLevel="0" collapsed="false">
      <c r="A2265" s="13" t="s">
        <v>4</v>
      </c>
      <c r="B2265" s="13" t="s">
        <v>4108</v>
      </c>
      <c r="C2265" s="13" t="n">
        <v>68</v>
      </c>
      <c r="D2265" s="13" t="s">
        <v>9038</v>
      </c>
      <c r="E2265" s="13" t="s">
        <v>9043</v>
      </c>
      <c r="F2265" s="13" t="s">
        <v>806</v>
      </c>
      <c r="G2265" s="13" t="s">
        <v>9044</v>
      </c>
      <c r="H2265" s="13" t="s">
        <v>9045</v>
      </c>
      <c r="I2265" s="13" t="s">
        <v>82</v>
      </c>
      <c r="J2265" s="13" t="s">
        <v>5716</v>
      </c>
      <c r="K2265" s="13"/>
      <c r="L2265" s="13" t="s">
        <v>9041</v>
      </c>
      <c r="M2265" s="13" t="s">
        <v>9042</v>
      </c>
    </row>
    <row r="2266" customFormat="false" ht="57.45" hidden="false" customHeight="false" outlineLevel="0" collapsed="false">
      <c r="A2266" s="13" t="s">
        <v>4</v>
      </c>
      <c r="B2266" s="13" t="s">
        <v>4108</v>
      </c>
      <c r="C2266" s="13" t="n">
        <v>68</v>
      </c>
      <c r="D2266" s="13" t="s">
        <v>9046</v>
      </c>
      <c r="E2266" s="13" t="s">
        <v>9047</v>
      </c>
      <c r="F2266" s="13" t="s">
        <v>806</v>
      </c>
      <c r="G2266" s="13" t="s">
        <v>9048</v>
      </c>
      <c r="H2266" s="13" t="s">
        <v>9049</v>
      </c>
      <c r="I2266" s="13" t="s">
        <v>82</v>
      </c>
      <c r="J2266" s="13" t="s">
        <v>5716</v>
      </c>
      <c r="K2266" s="13"/>
      <c r="L2266" s="13" t="s">
        <v>9050</v>
      </c>
      <c r="M2266" s="13" t="s">
        <v>9051</v>
      </c>
    </row>
    <row r="2267" customFormat="false" ht="57.45" hidden="false" customHeight="false" outlineLevel="0" collapsed="false">
      <c r="A2267" s="13" t="s">
        <v>4</v>
      </c>
      <c r="B2267" s="13" t="s">
        <v>4108</v>
      </c>
      <c r="C2267" s="13" t="n">
        <v>68</v>
      </c>
      <c r="D2267" s="13" t="s">
        <v>9046</v>
      </c>
      <c r="E2267" s="13" t="s">
        <v>9052</v>
      </c>
      <c r="F2267" s="13" t="s">
        <v>806</v>
      </c>
      <c r="G2267" s="13" t="s">
        <v>9053</v>
      </c>
      <c r="H2267" s="13" t="s">
        <v>9054</v>
      </c>
      <c r="I2267" s="13" t="s">
        <v>82</v>
      </c>
      <c r="J2267" s="13" t="s">
        <v>5716</v>
      </c>
      <c r="K2267" s="13"/>
      <c r="L2267" s="13" t="s">
        <v>9050</v>
      </c>
      <c r="M2267" s="13" t="s">
        <v>9051</v>
      </c>
    </row>
    <row r="2268" customFormat="false" ht="57.45" hidden="false" customHeight="false" outlineLevel="0" collapsed="false">
      <c r="A2268" s="13" t="s">
        <v>4</v>
      </c>
      <c r="B2268" s="13" t="s">
        <v>4108</v>
      </c>
      <c r="C2268" s="13" t="n">
        <v>68</v>
      </c>
      <c r="D2268" s="13" t="s">
        <v>9046</v>
      </c>
      <c r="E2268" s="13" t="s">
        <v>9055</v>
      </c>
      <c r="F2268" s="13" t="s">
        <v>9056</v>
      </c>
      <c r="G2268" s="13" t="s">
        <v>9057</v>
      </c>
      <c r="H2268" s="13" t="s">
        <v>9058</v>
      </c>
      <c r="I2268" s="13" t="s">
        <v>82</v>
      </c>
      <c r="J2268" s="13" t="s">
        <v>5716</v>
      </c>
      <c r="K2268" s="13"/>
      <c r="L2268" s="13" t="s">
        <v>9050</v>
      </c>
      <c r="M2268" s="13" t="s">
        <v>9051</v>
      </c>
    </row>
    <row r="2269" customFormat="false" ht="35.05" hidden="false" customHeight="false" outlineLevel="0" collapsed="false">
      <c r="A2269" s="13" t="s">
        <v>4</v>
      </c>
      <c r="B2269" s="13" t="s">
        <v>4108</v>
      </c>
      <c r="C2269" s="13" t="n">
        <v>105</v>
      </c>
      <c r="D2269" s="13" t="s">
        <v>9059</v>
      </c>
      <c r="E2269" s="13" t="s">
        <v>9060</v>
      </c>
      <c r="F2269" s="13" t="s">
        <v>9061</v>
      </c>
      <c r="G2269" s="13" t="s">
        <v>6405</v>
      </c>
      <c r="H2269" s="13" t="s">
        <v>9062</v>
      </c>
      <c r="I2269" s="13" t="s">
        <v>82</v>
      </c>
      <c r="J2269" s="13" t="s">
        <v>5716</v>
      </c>
      <c r="K2269" s="13"/>
      <c r="L2269" s="13" t="s">
        <v>9063</v>
      </c>
      <c r="M2269" s="13" t="s">
        <v>9064</v>
      </c>
    </row>
    <row r="2270" customFormat="false" ht="35.05" hidden="false" customHeight="false" outlineLevel="0" collapsed="false">
      <c r="A2270" s="13" t="s">
        <v>4</v>
      </c>
      <c r="B2270" s="13" t="s">
        <v>4108</v>
      </c>
      <c r="C2270" s="13" t="n">
        <v>105</v>
      </c>
      <c r="D2270" s="13" t="s">
        <v>9059</v>
      </c>
      <c r="E2270" s="13" t="s">
        <v>9065</v>
      </c>
      <c r="F2270" s="13" t="s">
        <v>9061</v>
      </c>
      <c r="G2270" s="13" t="s">
        <v>9066</v>
      </c>
      <c r="H2270" s="13" t="s">
        <v>9067</v>
      </c>
      <c r="I2270" s="13" t="s">
        <v>82</v>
      </c>
      <c r="J2270" s="13" t="s">
        <v>5716</v>
      </c>
      <c r="K2270" s="13"/>
      <c r="L2270" s="13" t="s">
        <v>9063</v>
      </c>
      <c r="M2270" s="13" t="s">
        <v>9064</v>
      </c>
    </row>
    <row r="2271" customFormat="false" ht="57.45" hidden="false" customHeight="false" outlineLevel="0" collapsed="false">
      <c r="A2271" s="13" t="s">
        <v>4</v>
      </c>
      <c r="B2271" s="13" t="s">
        <v>4108</v>
      </c>
      <c r="C2271" s="13" t="n">
        <v>105</v>
      </c>
      <c r="D2271" s="13" t="s">
        <v>9068</v>
      </c>
      <c r="E2271" s="13" t="s">
        <v>9069</v>
      </c>
      <c r="F2271" s="13" t="s">
        <v>9070</v>
      </c>
      <c r="G2271" s="13" t="s">
        <v>2800</v>
      </c>
      <c r="H2271" s="13" t="s">
        <v>9062</v>
      </c>
      <c r="I2271" s="13" t="s">
        <v>82</v>
      </c>
      <c r="J2271" s="13" t="s">
        <v>5716</v>
      </c>
      <c r="K2271" s="13"/>
      <c r="L2271" s="13" t="s">
        <v>9071</v>
      </c>
      <c r="M2271" s="13" t="s">
        <v>9072</v>
      </c>
    </row>
    <row r="2272" customFormat="false" ht="57.45" hidden="false" customHeight="false" outlineLevel="0" collapsed="false">
      <c r="A2272" s="13" t="s">
        <v>4</v>
      </c>
      <c r="B2272" s="13" t="s">
        <v>4108</v>
      </c>
      <c r="C2272" s="13" t="n">
        <v>105</v>
      </c>
      <c r="D2272" s="13" t="s">
        <v>9068</v>
      </c>
      <c r="E2272" s="13" t="s">
        <v>9073</v>
      </c>
      <c r="F2272" s="13" t="s">
        <v>9070</v>
      </c>
      <c r="G2272" s="13" t="s">
        <v>9066</v>
      </c>
      <c r="H2272" s="13" t="s">
        <v>9074</v>
      </c>
      <c r="I2272" s="13" t="s">
        <v>82</v>
      </c>
      <c r="J2272" s="13" t="s">
        <v>5716</v>
      </c>
      <c r="K2272" s="13"/>
      <c r="L2272" s="13" t="s">
        <v>9071</v>
      </c>
      <c r="M2272" s="13" t="s">
        <v>9072</v>
      </c>
    </row>
    <row r="2273" customFormat="false" ht="35.05" hidden="false" customHeight="false" outlineLevel="0" collapsed="false">
      <c r="A2273" s="13" t="s">
        <v>4</v>
      </c>
      <c r="B2273" s="13" t="s">
        <v>4108</v>
      </c>
      <c r="C2273" s="13" t="n">
        <v>105</v>
      </c>
      <c r="D2273" s="13" t="s">
        <v>9075</v>
      </c>
      <c r="E2273" s="13" t="s">
        <v>9076</v>
      </c>
      <c r="F2273" s="13" t="s">
        <v>9077</v>
      </c>
      <c r="G2273" s="13" t="s">
        <v>2800</v>
      </c>
      <c r="H2273" s="13" t="s">
        <v>9062</v>
      </c>
      <c r="I2273" s="13" t="s">
        <v>82</v>
      </c>
      <c r="J2273" s="13" t="s">
        <v>5716</v>
      </c>
      <c r="K2273" s="13"/>
      <c r="L2273" s="13" t="s">
        <v>9078</v>
      </c>
      <c r="M2273" s="13" t="s">
        <v>9079</v>
      </c>
    </row>
    <row r="2274" customFormat="false" ht="35.05" hidden="false" customHeight="false" outlineLevel="0" collapsed="false">
      <c r="A2274" s="13" t="s">
        <v>4</v>
      </c>
      <c r="B2274" s="13" t="s">
        <v>4108</v>
      </c>
      <c r="C2274" s="13" t="n">
        <v>105</v>
      </c>
      <c r="D2274" s="13" t="s">
        <v>9075</v>
      </c>
      <c r="E2274" s="13" t="s">
        <v>9080</v>
      </c>
      <c r="F2274" s="13" t="s">
        <v>9077</v>
      </c>
      <c r="G2274" s="13" t="s">
        <v>9066</v>
      </c>
      <c r="H2274" s="13" t="s">
        <v>9081</v>
      </c>
      <c r="I2274" s="13" t="s">
        <v>82</v>
      </c>
      <c r="J2274" s="13" t="s">
        <v>5716</v>
      </c>
      <c r="K2274" s="13"/>
      <c r="L2274" s="13" t="s">
        <v>9078</v>
      </c>
      <c r="M2274" s="13" t="s">
        <v>9079</v>
      </c>
    </row>
    <row r="2275" customFormat="false" ht="35.05" hidden="false" customHeight="false" outlineLevel="0" collapsed="false">
      <c r="A2275" s="13" t="s">
        <v>4</v>
      </c>
      <c r="B2275" s="13" t="s">
        <v>4108</v>
      </c>
      <c r="C2275" s="13" t="n">
        <v>105</v>
      </c>
      <c r="D2275" s="13" t="s">
        <v>9082</v>
      </c>
      <c r="E2275" s="13" t="s">
        <v>9083</v>
      </c>
      <c r="F2275" s="13" t="s">
        <v>9084</v>
      </c>
      <c r="G2275" s="13" t="s">
        <v>6405</v>
      </c>
      <c r="H2275" s="13" t="s">
        <v>9062</v>
      </c>
      <c r="I2275" s="13" t="s">
        <v>82</v>
      </c>
      <c r="J2275" s="13" t="s">
        <v>5716</v>
      </c>
      <c r="K2275" s="13"/>
      <c r="L2275" s="13" t="s">
        <v>9085</v>
      </c>
      <c r="M2275" s="13" t="s">
        <v>9086</v>
      </c>
    </row>
    <row r="2276" customFormat="false" ht="35.05" hidden="false" customHeight="false" outlineLevel="0" collapsed="false">
      <c r="A2276" s="13" t="s">
        <v>4</v>
      </c>
      <c r="B2276" s="13" t="s">
        <v>4108</v>
      </c>
      <c r="C2276" s="13" t="n">
        <v>105</v>
      </c>
      <c r="D2276" s="13" t="s">
        <v>9082</v>
      </c>
      <c r="E2276" s="13" t="s">
        <v>9087</v>
      </c>
      <c r="F2276" s="13" t="s">
        <v>9084</v>
      </c>
      <c r="G2276" s="13" t="s">
        <v>9066</v>
      </c>
      <c r="H2276" s="13" t="s">
        <v>9088</v>
      </c>
      <c r="I2276" s="13" t="s">
        <v>82</v>
      </c>
      <c r="J2276" s="13" t="s">
        <v>5716</v>
      </c>
      <c r="K2276" s="13"/>
      <c r="L2276" s="13" t="s">
        <v>9085</v>
      </c>
      <c r="M2276" s="13" t="s">
        <v>9086</v>
      </c>
    </row>
    <row r="2277" customFormat="false" ht="23.85" hidden="false" customHeight="false" outlineLevel="0" collapsed="false">
      <c r="A2277" s="13" t="s">
        <v>4</v>
      </c>
      <c r="B2277" s="13" t="s">
        <v>4108</v>
      </c>
      <c r="C2277" s="13" t="n">
        <v>105</v>
      </c>
      <c r="D2277" s="13" t="s">
        <v>9089</v>
      </c>
      <c r="E2277" s="13" t="s">
        <v>9090</v>
      </c>
      <c r="F2277" s="13" t="s">
        <v>9091</v>
      </c>
      <c r="G2277" s="13" t="s">
        <v>6405</v>
      </c>
      <c r="H2277" s="13" t="s">
        <v>9062</v>
      </c>
      <c r="I2277" s="13" t="s">
        <v>82</v>
      </c>
      <c r="J2277" s="13" t="s">
        <v>5716</v>
      </c>
      <c r="K2277" s="13"/>
      <c r="L2277" s="13" t="s">
        <v>9092</v>
      </c>
      <c r="M2277" s="13" t="s">
        <v>9093</v>
      </c>
    </row>
    <row r="2278" customFormat="false" ht="23.85" hidden="false" customHeight="false" outlineLevel="0" collapsed="false">
      <c r="A2278" s="13" t="s">
        <v>4</v>
      </c>
      <c r="B2278" s="13" t="s">
        <v>4108</v>
      </c>
      <c r="C2278" s="13" t="n">
        <v>105</v>
      </c>
      <c r="D2278" s="13" t="s">
        <v>9089</v>
      </c>
      <c r="E2278" s="13" t="s">
        <v>9094</v>
      </c>
      <c r="F2278" s="13" t="s">
        <v>9091</v>
      </c>
      <c r="G2278" s="13" t="s">
        <v>9066</v>
      </c>
      <c r="H2278" s="13" t="s">
        <v>9095</v>
      </c>
      <c r="I2278" s="13" t="s">
        <v>82</v>
      </c>
      <c r="J2278" s="13" t="s">
        <v>5716</v>
      </c>
      <c r="K2278" s="13"/>
      <c r="L2278" s="13" t="s">
        <v>9092</v>
      </c>
      <c r="M2278" s="13" t="s">
        <v>9093</v>
      </c>
    </row>
    <row r="2279" customFormat="false" ht="35.05" hidden="false" customHeight="false" outlineLevel="0" collapsed="false">
      <c r="A2279" s="13" t="s">
        <v>4</v>
      </c>
      <c r="B2279" s="13" t="s">
        <v>4108</v>
      </c>
      <c r="C2279" s="13" t="n">
        <v>105</v>
      </c>
      <c r="D2279" s="13" t="s">
        <v>9096</v>
      </c>
      <c r="E2279" s="13" t="s">
        <v>9097</v>
      </c>
      <c r="F2279" s="13" t="s">
        <v>9098</v>
      </c>
      <c r="G2279" s="13" t="s">
        <v>2800</v>
      </c>
      <c r="H2279" s="13" t="s">
        <v>9062</v>
      </c>
      <c r="I2279" s="13" t="s">
        <v>82</v>
      </c>
      <c r="J2279" s="13" t="s">
        <v>5716</v>
      </c>
      <c r="K2279" s="13"/>
      <c r="L2279" s="13" t="s">
        <v>9099</v>
      </c>
      <c r="M2279" s="13" t="s">
        <v>9100</v>
      </c>
    </row>
    <row r="2280" customFormat="false" ht="35.05" hidden="false" customHeight="false" outlineLevel="0" collapsed="false">
      <c r="A2280" s="13" t="s">
        <v>4</v>
      </c>
      <c r="B2280" s="13" t="s">
        <v>4108</v>
      </c>
      <c r="C2280" s="13" t="n">
        <v>105</v>
      </c>
      <c r="D2280" s="13" t="s">
        <v>9096</v>
      </c>
      <c r="E2280" s="13" t="s">
        <v>9101</v>
      </c>
      <c r="F2280" s="13" t="s">
        <v>9098</v>
      </c>
      <c r="G2280" s="13" t="s">
        <v>9102</v>
      </c>
      <c r="H2280" s="13" t="s">
        <v>9103</v>
      </c>
      <c r="I2280" s="13" t="s">
        <v>82</v>
      </c>
      <c r="J2280" s="13" t="s">
        <v>5716</v>
      </c>
      <c r="K2280" s="13"/>
      <c r="L2280" s="13" t="s">
        <v>9099</v>
      </c>
      <c r="M2280" s="13" t="s">
        <v>9100</v>
      </c>
    </row>
    <row r="2281" customFormat="false" ht="57.45" hidden="false" customHeight="false" outlineLevel="0" collapsed="false">
      <c r="A2281" s="13" t="s">
        <v>4</v>
      </c>
      <c r="B2281" s="13" t="s">
        <v>4108</v>
      </c>
      <c r="C2281" s="13" t="n">
        <v>105</v>
      </c>
      <c r="D2281" s="13" t="s">
        <v>9104</v>
      </c>
      <c r="E2281" s="13" t="s">
        <v>9105</v>
      </c>
      <c r="F2281" s="13" t="s">
        <v>8866</v>
      </c>
      <c r="G2281" s="13" t="s">
        <v>9106</v>
      </c>
      <c r="H2281" s="13" t="s">
        <v>9107</v>
      </c>
      <c r="I2281" s="13" t="s">
        <v>82</v>
      </c>
      <c r="J2281" s="13" t="s">
        <v>5716</v>
      </c>
      <c r="K2281" s="13"/>
      <c r="L2281" s="13" t="s">
        <v>9108</v>
      </c>
      <c r="M2281" s="13" t="s">
        <v>9109</v>
      </c>
    </row>
    <row r="2282" customFormat="false" ht="57.45" hidden="false" customHeight="false" outlineLevel="0" collapsed="false">
      <c r="A2282" s="13" t="s">
        <v>4</v>
      </c>
      <c r="B2282" s="13" t="s">
        <v>4108</v>
      </c>
      <c r="C2282" s="13" t="n">
        <v>105</v>
      </c>
      <c r="D2282" s="13" t="s">
        <v>9104</v>
      </c>
      <c r="E2282" s="13" t="s">
        <v>9110</v>
      </c>
      <c r="F2282" s="13" t="s">
        <v>8866</v>
      </c>
      <c r="G2282" s="13" t="s">
        <v>9111</v>
      </c>
      <c r="H2282" s="13" t="s">
        <v>9112</v>
      </c>
      <c r="I2282" s="13" t="s">
        <v>82</v>
      </c>
      <c r="J2282" s="13" t="s">
        <v>5716</v>
      </c>
      <c r="K2282" s="13"/>
      <c r="L2282" s="13" t="s">
        <v>9108</v>
      </c>
      <c r="M2282" s="13" t="s">
        <v>9109</v>
      </c>
    </row>
    <row r="2283" customFormat="false" ht="46.25" hidden="false" customHeight="false" outlineLevel="0" collapsed="false">
      <c r="A2283" s="13" t="s">
        <v>4</v>
      </c>
      <c r="B2283" s="13" t="s">
        <v>4108</v>
      </c>
      <c r="C2283" s="13" t="n">
        <v>105</v>
      </c>
      <c r="D2283" s="13" t="s">
        <v>9113</v>
      </c>
      <c r="E2283" s="13" t="s">
        <v>9114</v>
      </c>
      <c r="F2283" s="13" t="s">
        <v>8866</v>
      </c>
      <c r="G2283" s="13" t="s">
        <v>9115</v>
      </c>
      <c r="H2283" s="13" t="s">
        <v>9116</v>
      </c>
      <c r="I2283" s="13" t="s">
        <v>82</v>
      </c>
      <c r="J2283" s="13" t="s">
        <v>5716</v>
      </c>
      <c r="K2283" s="13"/>
      <c r="L2283" s="13" t="s">
        <v>9117</v>
      </c>
      <c r="M2283" s="13" t="s">
        <v>9118</v>
      </c>
    </row>
    <row r="2284" customFormat="false" ht="46.25" hidden="false" customHeight="false" outlineLevel="0" collapsed="false">
      <c r="A2284" s="13" t="s">
        <v>4</v>
      </c>
      <c r="B2284" s="13" t="s">
        <v>4108</v>
      </c>
      <c r="C2284" s="13" t="n">
        <v>105</v>
      </c>
      <c r="D2284" s="13" t="s">
        <v>9113</v>
      </c>
      <c r="E2284" s="13" t="s">
        <v>9119</v>
      </c>
      <c r="F2284" s="13" t="s">
        <v>8866</v>
      </c>
      <c r="G2284" s="13" t="s">
        <v>9120</v>
      </c>
      <c r="H2284" s="13" t="s">
        <v>9121</v>
      </c>
      <c r="I2284" s="13" t="s">
        <v>82</v>
      </c>
      <c r="J2284" s="13" t="s">
        <v>5716</v>
      </c>
      <c r="K2284" s="13"/>
      <c r="L2284" s="13" t="s">
        <v>9117</v>
      </c>
      <c r="M2284" s="13" t="s">
        <v>9118</v>
      </c>
    </row>
    <row r="2285" customFormat="false" ht="46.25" hidden="false" customHeight="false" outlineLevel="0" collapsed="false">
      <c r="A2285" s="13" t="s">
        <v>4</v>
      </c>
      <c r="B2285" s="13" t="s">
        <v>4108</v>
      </c>
      <c r="C2285" s="13" t="n">
        <v>105</v>
      </c>
      <c r="D2285" s="13" t="s">
        <v>9122</v>
      </c>
      <c r="E2285" s="13" t="s">
        <v>9123</v>
      </c>
      <c r="F2285" s="13" t="s">
        <v>8866</v>
      </c>
      <c r="G2285" s="13" t="s">
        <v>1262</v>
      </c>
      <c r="H2285" s="13" t="s">
        <v>9124</v>
      </c>
      <c r="I2285" s="13" t="s">
        <v>82</v>
      </c>
      <c r="J2285" s="13" t="s">
        <v>5716</v>
      </c>
      <c r="K2285" s="13"/>
      <c r="L2285" s="13" t="s">
        <v>9125</v>
      </c>
      <c r="M2285" s="13" t="s">
        <v>9126</v>
      </c>
    </row>
    <row r="2286" customFormat="false" ht="46.25" hidden="false" customHeight="false" outlineLevel="0" collapsed="false">
      <c r="A2286" s="13" t="s">
        <v>4</v>
      </c>
      <c r="B2286" s="13" t="s">
        <v>4108</v>
      </c>
      <c r="C2286" s="13" t="n">
        <v>105</v>
      </c>
      <c r="D2286" s="13" t="s">
        <v>9122</v>
      </c>
      <c r="E2286" s="13" t="s">
        <v>9127</v>
      </c>
      <c r="F2286" s="13" t="s">
        <v>8866</v>
      </c>
      <c r="G2286" s="13" t="s">
        <v>9128</v>
      </c>
      <c r="H2286" s="13" t="s">
        <v>9129</v>
      </c>
      <c r="I2286" s="13" t="s">
        <v>82</v>
      </c>
      <c r="J2286" s="13" t="s">
        <v>5716</v>
      </c>
      <c r="K2286" s="13"/>
      <c r="L2286" s="13" t="s">
        <v>9125</v>
      </c>
      <c r="M2286" s="13" t="s">
        <v>9126</v>
      </c>
    </row>
    <row r="2287" customFormat="false" ht="35.05" hidden="false" customHeight="false" outlineLevel="0" collapsed="false">
      <c r="A2287" s="13" t="s">
        <v>4</v>
      </c>
      <c r="B2287" s="13" t="s">
        <v>4108</v>
      </c>
      <c r="C2287" s="13" t="n">
        <v>105</v>
      </c>
      <c r="D2287" s="13" t="s">
        <v>9130</v>
      </c>
      <c r="E2287" s="13" t="s">
        <v>9131</v>
      </c>
      <c r="F2287" s="13" t="s">
        <v>9124</v>
      </c>
      <c r="G2287" s="13" t="s">
        <v>9132</v>
      </c>
      <c r="H2287" s="13" t="s">
        <v>8866</v>
      </c>
      <c r="I2287" s="13" t="s">
        <v>82</v>
      </c>
      <c r="J2287" s="13" t="s">
        <v>5716</v>
      </c>
      <c r="K2287" s="13"/>
      <c r="L2287" s="13" t="s">
        <v>9133</v>
      </c>
      <c r="M2287" s="13" t="s">
        <v>9134</v>
      </c>
    </row>
    <row r="2288" customFormat="false" ht="35.05" hidden="false" customHeight="false" outlineLevel="0" collapsed="false">
      <c r="A2288" s="13" t="s">
        <v>4</v>
      </c>
      <c r="B2288" s="13" t="s">
        <v>4108</v>
      </c>
      <c r="C2288" s="13" t="n">
        <v>105</v>
      </c>
      <c r="D2288" s="13" t="s">
        <v>9135</v>
      </c>
      <c r="E2288" s="13" t="s">
        <v>9136</v>
      </c>
      <c r="F2288" s="13" t="s">
        <v>806</v>
      </c>
      <c r="G2288" s="13" t="s">
        <v>9137</v>
      </c>
      <c r="H2288" s="13" t="s">
        <v>9138</v>
      </c>
      <c r="I2288" s="13" t="s">
        <v>82</v>
      </c>
      <c r="J2288" s="13" t="s">
        <v>5716</v>
      </c>
      <c r="K2288" s="13"/>
      <c r="L2288" s="13" t="s">
        <v>9139</v>
      </c>
      <c r="M2288" s="13" t="s">
        <v>9140</v>
      </c>
    </row>
    <row r="2289" customFormat="false" ht="35.05" hidden="false" customHeight="false" outlineLevel="0" collapsed="false">
      <c r="A2289" s="13" t="s">
        <v>4</v>
      </c>
      <c r="B2289" s="13" t="s">
        <v>4108</v>
      </c>
      <c r="C2289" s="13" t="n">
        <v>105</v>
      </c>
      <c r="D2289" s="13" t="s">
        <v>9135</v>
      </c>
      <c r="E2289" s="13" t="s">
        <v>9141</v>
      </c>
      <c r="F2289" s="13" t="s">
        <v>806</v>
      </c>
      <c r="G2289" s="13" t="s">
        <v>9142</v>
      </c>
      <c r="H2289" s="13" t="s">
        <v>9143</v>
      </c>
      <c r="I2289" s="13" t="s">
        <v>82</v>
      </c>
      <c r="J2289" s="13" t="s">
        <v>5716</v>
      </c>
      <c r="K2289" s="13"/>
      <c r="L2289" s="13" t="s">
        <v>9139</v>
      </c>
      <c r="M2289" s="13" t="s">
        <v>9140</v>
      </c>
    </row>
    <row r="2290" customFormat="false" ht="393.25" hidden="false" customHeight="false" outlineLevel="0" collapsed="false">
      <c r="A2290" s="13" t="s">
        <v>4</v>
      </c>
      <c r="B2290" s="13" t="s">
        <v>4108</v>
      </c>
      <c r="C2290" s="13" t="n">
        <v>105</v>
      </c>
      <c r="D2290" s="13" t="s">
        <v>9144</v>
      </c>
      <c r="E2290" s="13" t="s">
        <v>9145</v>
      </c>
      <c r="F2290" s="13" t="s">
        <v>806</v>
      </c>
      <c r="G2290" s="13" t="s">
        <v>9146</v>
      </c>
      <c r="H2290" s="13" t="s">
        <v>173</v>
      </c>
      <c r="I2290" s="13" t="s">
        <v>82</v>
      </c>
      <c r="J2290" s="13" t="s">
        <v>5716</v>
      </c>
      <c r="K2290" s="13"/>
      <c r="L2290" s="13" t="s">
        <v>9147</v>
      </c>
      <c r="M2290" s="13" t="s">
        <v>9148</v>
      </c>
    </row>
    <row r="2291" customFormat="false" ht="393.25" hidden="false" customHeight="false" outlineLevel="0" collapsed="false">
      <c r="A2291" s="13" t="s">
        <v>4</v>
      </c>
      <c r="B2291" s="13" t="s">
        <v>4108</v>
      </c>
      <c r="C2291" s="13" t="n">
        <v>105</v>
      </c>
      <c r="D2291" s="13" t="s">
        <v>9144</v>
      </c>
      <c r="E2291" s="13" t="s">
        <v>9149</v>
      </c>
      <c r="F2291" s="13" t="s">
        <v>806</v>
      </c>
      <c r="G2291" s="13" t="s">
        <v>9150</v>
      </c>
      <c r="H2291" s="13" t="s">
        <v>9151</v>
      </c>
      <c r="I2291" s="13" t="s">
        <v>82</v>
      </c>
      <c r="J2291" s="13" t="s">
        <v>5716</v>
      </c>
      <c r="K2291" s="13"/>
      <c r="L2291" s="13" t="s">
        <v>9147</v>
      </c>
      <c r="M2291" s="13" t="s">
        <v>9148</v>
      </c>
    </row>
    <row r="2292" customFormat="false" ht="393.25" hidden="false" customHeight="false" outlineLevel="0" collapsed="false">
      <c r="A2292" s="13" t="s">
        <v>4</v>
      </c>
      <c r="B2292" s="13" t="s">
        <v>4108</v>
      </c>
      <c r="C2292" s="13" t="n">
        <v>105</v>
      </c>
      <c r="D2292" s="13" t="s">
        <v>9144</v>
      </c>
      <c r="E2292" s="13" t="s">
        <v>9152</v>
      </c>
      <c r="F2292" s="13" t="s">
        <v>806</v>
      </c>
      <c r="G2292" s="13" t="s">
        <v>9153</v>
      </c>
      <c r="H2292" s="13" t="s">
        <v>9154</v>
      </c>
      <c r="I2292" s="13" t="s">
        <v>82</v>
      </c>
      <c r="J2292" s="13" t="s">
        <v>5716</v>
      </c>
      <c r="K2292" s="13"/>
      <c r="L2292" s="13" t="s">
        <v>9147</v>
      </c>
      <c r="M2292" s="13" t="s">
        <v>9148</v>
      </c>
    </row>
    <row r="2293" customFormat="false" ht="393.25" hidden="false" customHeight="false" outlineLevel="0" collapsed="false">
      <c r="A2293" s="13" t="s">
        <v>4</v>
      </c>
      <c r="B2293" s="13" t="s">
        <v>4108</v>
      </c>
      <c r="C2293" s="13" t="n">
        <v>105</v>
      </c>
      <c r="D2293" s="13" t="s">
        <v>9144</v>
      </c>
      <c r="E2293" s="13" t="s">
        <v>9155</v>
      </c>
      <c r="F2293" s="13" t="s">
        <v>806</v>
      </c>
      <c r="G2293" s="13" t="s">
        <v>9156</v>
      </c>
      <c r="H2293" s="13" t="s">
        <v>9157</v>
      </c>
      <c r="I2293" s="13" t="s">
        <v>82</v>
      </c>
      <c r="J2293" s="13" t="s">
        <v>5716</v>
      </c>
      <c r="K2293" s="13"/>
      <c r="L2293" s="13" t="s">
        <v>9147</v>
      </c>
      <c r="M2293" s="13" t="s">
        <v>9148</v>
      </c>
    </row>
    <row r="2294" customFormat="false" ht="393.25" hidden="false" customHeight="false" outlineLevel="0" collapsed="false">
      <c r="A2294" s="13" t="s">
        <v>4</v>
      </c>
      <c r="B2294" s="13" t="s">
        <v>4108</v>
      </c>
      <c r="C2294" s="13" t="n">
        <v>105</v>
      </c>
      <c r="D2294" s="13" t="s">
        <v>9144</v>
      </c>
      <c r="E2294" s="13" t="s">
        <v>9158</v>
      </c>
      <c r="F2294" s="13" t="s">
        <v>806</v>
      </c>
      <c r="G2294" s="13" t="s">
        <v>9159</v>
      </c>
      <c r="H2294" s="13" t="s">
        <v>9151</v>
      </c>
      <c r="I2294" s="13" t="s">
        <v>82</v>
      </c>
      <c r="J2294" s="13" t="s">
        <v>5716</v>
      </c>
      <c r="K2294" s="13"/>
      <c r="L2294" s="13" t="s">
        <v>9147</v>
      </c>
      <c r="M2294" s="13" t="s">
        <v>9148</v>
      </c>
    </row>
    <row r="2295" customFormat="false" ht="46.25" hidden="false" customHeight="false" outlineLevel="0" collapsed="false">
      <c r="A2295" s="13" t="s">
        <v>4</v>
      </c>
      <c r="B2295" s="13" t="s">
        <v>4108</v>
      </c>
      <c r="C2295" s="13" t="n">
        <v>169</v>
      </c>
      <c r="D2295" s="13" t="s">
        <v>9160</v>
      </c>
      <c r="E2295" s="13" t="s">
        <v>9161</v>
      </c>
      <c r="F2295" s="13" t="s">
        <v>7745</v>
      </c>
      <c r="G2295" s="13" t="s">
        <v>9162</v>
      </c>
      <c r="H2295" s="13" t="s">
        <v>9163</v>
      </c>
      <c r="I2295" s="13" t="s">
        <v>82</v>
      </c>
      <c r="J2295" s="13" t="s">
        <v>5716</v>
      </c>
      <c r="K2295" s="13"/>
      <c r="L2295" s="13" t="s">
        <v>9164</v>
      </c>
      <c r="M2295" s="13" t="s">
        <v>9165</v>
      </c>
    </row>
    <row r="2296" customFormat="false" ht="46.25" hidden="false" customHeight="false" outlineLevel="0" collapsed="false">
      <c r="A2296" s="13" t="s">
        <v>4</v>
      </c>
      <c r="B2296" s="13" t="s">
        <v>4108</v>
      </c>
      <c r="C2296" s="13" t="n">
        <v>169</v>
      </c>
      <c r="D2296" s="13" t="s">
        <v>9160</v>
      </c>
      <c r="E2296" s="13" t="s">
        <v>9166</v>
      </c>
      <c r="F2296" s="13" t="s">
        <v>9167</v>
      </c>
      <c r="G2296" s="13" t="s">
        <v>9168</v>
      </c>
      <c r="H2296" s="13" t="s">
        <v>9163</v>
      </c>
      <c r="I2296" s="13" t="s">
        <v>82</v>
      </c>
      <c r="J2296" s="13" t="s">
        <v>5716</v>
      </c>
      <c r="K2296" s="13"/>
      <c r="L2296" s="13" t="s">
        <v>9164</v>
      </c>
      <c r="M2296" s="13" t="s">
        <v>9165</v>
      </c>
    </row>
    <row r="2297" customFormat="false" ht="135.8" hidden="false" customHeight="false" outlineLevel="0" collapsed="false">
      <c r="A2297" s="13" t="s">
        <v>4</v>
      </c>
      <c r="B2297" s="13" t="s">
        <v>4108</v>
      </c>
      <c r="C2297" s="13" t="n">
        <v>169</v>
      </c>
      <c r="D2297" s="13" t="s">
        <v>9169</v>
      </c>
      <c r="E2297" s="13" t="s">
        <v>9170</v>
      </c>
      <c r="F2297" s="13" t="s">
        <v>9171</v>
      </c>
      <c r="G2297" s="13" t="s">
        <v>9172</v>
      </c>
      <c r="H2297" s="13" t="s">
        <v>7745</v>
      </c>
      <c r="I2297" s="13" t="s">
        <v>82</v>
      </c>
      <c r="J2297" s="13" t="s">
        <v>5716</v>
      </c>
      <c r="K2297" s="13"/>
      <c r="L2297" s="13" t="s">
        <v>9173</v>
      </c>
      <c r="M2297" s="13" t="s">
        <v>9174</v>
      </c>
    </row>
    <row r="2298" customFormat="false" ht="135.8" hidden="false" customHeight="false" outlineLevel="0" collapsed="false">
      <c r="A2298" s="13" t="s">
        <v>4</v>
      </c>
      <c r="B2298" s="13" t="s">
        <v>4108</v>
      </c>
      <c r="C2298" s="13" t="n">
        <v>169</v>
      </c>
      <c r="D2298" s="13" t="s">
        <v>9169</v>
      </c>
      <c r="E2298" s="13" t="s">
        <v>9175</v>
      </c>
      <c r="F2298" s="13" t="s">
        <v>7745</v>
      </c>
      <c r="G2298" s="13" t="s">
        <v>554</v>
      </c>
      <c r="H2298" s="13" t="s">
        <v>9176</v>
      </c>
      <c r="I2298" s="13" t="s">
        <v>82</v>
      </c>
      <c r="J2298" s="13" t="s">
        <v>5716</v>
      </c>
      <c r="K2298" s="13"/>
      <c r="L2298" s="13" t="s">
        <v>9173</v>
      </c>
      <c r="M2298" s="13" t="s">
        <v>9174</v>
      </c>
    </row>
    <row r="2299" customFormat="false" ht="135.8" hidden="false" customHeight="false" outlineLevel="0" collapsed="false">
      <c r="A2299" s="13" t="s">
        <v>4</v>
      </c>
      <c r="B2299" s="13" t="s">
        <v>4108</v>
      </c>
      <c r="C2299" s="13" t="n">
        <v>169</v>
      </c>
      <c r="D2299" s="13" t="s">
        <v>9169</v>
      </c>
      <c r="E2299" s="13" t="s">
        <v>9177</v>
      </c>
      <c r="F2299" s="13" t="s">
        <v>7745</v>
      </c>
      <c r="G2299" s="13" t="s">
        <v>6902</v>
      </c>
      <c r="H2299" s="13" t="s">
        <v>9176</v>
      </c>
      <c r="I2299" s="13" t="s">
        <v>82</v>
      </c>
      <c r="J2299" s="13" t="s">
        <v>5716</v>
      </c>
      <c r="K2299" s="13"/>
      <c r="L2299" s="13" t="s">
        <v>9173</v>
      </c>
      <c r="M2299" s="13" t="s">
        <v>9174</v>
      </c>
    </row>
    <row r="2300" customFormat="false" ht="135.8" hidden="false" customHeight="false" outlineLevel="0" collapsed="false">
      <c r="A2300" s="13" t="s">
        <v>4</v>
      </c>
      <c r="B2300" s="13" t="s">
        <v>4108</v>
      </c>
      <c r="C2300" s="13" t="n">
        <v>169</v>
      </c>
      <c r="D2300" s="13" t="s">
        <v>9169</v>
      </c>
      <c r="E2300" s="13" t="s">
        <v>9178</v>
      </c>
      <c r="F2300" s="13" t="s">
        <v>9176</v>
      </c>
      <c r="G2300" s="13" t="s">
        <v>9179</v>
      </c>
      <c r="H2300" s="13" t="s">
        <v>9180</v>
      </c>
      <c r="I2300" s="13" t="s">
        <v>82</v>
      </c>
      <c r="J2300" s="13" t="s">
        <v>5716</v>
      </c>
      <c r="K2300" s="13"/>
      <c r="L2300" s="13" t="s">
        <v>9173</v>
      </c>
      <c r="M2300" s="13" t="s">
        <v>9174</v>
      </c>
    </row>
    <row r="2301" customFormat="false" ht="135.8" hidden="false" customHeight="false" outlineLevel="0" collapsed="false">
      <c r="A2301" s="13" t="s">
        <v>4</v>
      </c>
      <c r="B2301" s="13" t="s">
        <v>4108</v>
      </c>
      <c r="C2301" s="13" t="n">
        <v>169</v>
      </c>
      <c r="D2301" s="13" t="s">
        <v>9181</v>
      </c>
      <c r="E2301" s="13" t="s">
        <v>9182</v>
      </c>
      <c r="F2301" s="13" t="s">
        <v>7745</v>
      </c>
      <c r="G2301" s="13" t="s">
        <v>9183</v>
      </c>
      <c r="H2301" s="13" t="s">
        <v>9184</v>
      </c>
      <c r="I2301" s="13" t="s">
        <v>82</v>
      </c>
      <c r="J2301" s="13" t="s">
        <v>5716</v>
      </c>
      <c r="K2301" s="13"/>
      <c r="L2301" s="13" t="s">
        <v>9185</v>
      </c>
      <c r="M2301" s="13" t="s">
        <v>9186</v>
      </c>
    </row>
    <row r="2302" customFormat="false" ht="135.8" hidden="false" customHeight="false" outlineLevel="0" collapsed="false">
      <c r="A2302" s="13" t="s">
        <v>4</v>
      </c>
      <c r="B2302" s="13" t="s">
        <v>4108</v>
      </c>
      <c r="C2302" s="13" t="n">
        <v>169</v>
      </c>
      <c r="D2302" s="13" t="s">
        <v>9181</v>
      </c>
      <c r="E2302" s="13" t="s">
        <v>9187</v>
      </c>
      <c r="F2302" s="13" t="s">
        <v>7745</v>
      </c>
      <c r="G2302" s="13" t="s">
        <v>9188</v>
      </c>
      <c r="H2302" s="13" t="s">
        <v>9189</v>
      </c>
      <c r="I2302" s="13" t="s">
        <v>82</v>
      </c>
      <c r="J2302" s="13" t="s">
        <v>5716</v>
      </c>
      <c r="K2302" s="13"/>
      <c r="L2302" s="13" t="s">
        <v>9185</v>
      </c>
      <c r="M2302" s="13" t="s">
        <v>9186</v>
      </c>
    </row>
    <row r="2303" customFormat="false" ht="135.8" hidden="false" customHeight="false" outlineLevel="0" collapsed="false">
      <c r="A2303" s="13" t="s">
        <v>4</v>
      </c>
      <c r="B2303" s="13" t="s">
        <v>4108</v>
      </c>
      <c r="C2303" s="13" t="n">
        <v>169</v>
      </c>
      <c r="D2303" s="13" t="s">
        <v>9181</v>
      </c>
      <c r="E2303" s="13" t="s">
        <v>9190</v>
      </c>
      <c r="F2303" s="13" t="s">
        <v>7745</v>
      </c>
      <c r="G2303" s="13" t="s">
        <v>9191</v>
      </c>
      <c r="H2303" s="13" t="s">
        <v>9192</v>
      </c>
      <c r="I2303" s="13" t="s">
        <v>82</v>
      </c>
      <c r="J2303" s="13" t="s">
        <v>5716</v>
      </c>
      <c r="K2303" s="13"/>
      <c r="L2303" s="13" t="s">
        <v>9185</v>
      </c>
      <c r="M2303" s="13" t="s">
        <v>9186</v>
      </c>
    </row>
    <row r="2304" customFormat="false" ht="35.05" hidden="false" customHeight="false" outlineLevel="0" collapsed="false">
      <c r="A2304" s="13" t="s">
        <v>4</v>
      </c>
      <c r="B2304" s="13" t="s">
        <v>4108</v>
      </c>
      <c r="C2304" s="13" t="n">
        <v>169</v>
      </c>
      <c r="D2304" s="13" t="s">
        <v>9193</v>
      </c>
      <c r="E2304" s="13" t="s">
        <v>9194</v>
      </c>
      <c r="F2304" s="13" t="s">
        <v>7745</v>
      </c>
      <c r="G2304" s="13" t="s">
        <v>9195</v>
      </c>
      <c r="H2304" s="13" t="s">
        <v>9196</v>
      </c>
      <c r="I2304" s="13" t="s">
        <v>82</v>
      </c>
      <c r="J2304" s="13" t="s">
        <v>5716</v>
      </c>
      <c r="K2304" s="13"/>
      <c r="L2304" s="13" t="s">
        <v>9197</v>
      </c>
      <c r="M2304" s="13" t="s">
        <v>9198</v>
      </c>
    </row>
    <row r="2305" customFormat="false" ht="35.05" hidden="false" customHeight="false" outlineLevel="0" collapsed="false">
      <c r="A2305" s="13" t="s">
        <v>4</v>
      </c>
      <c r="B2305" s="13" t="s">
        <v>4108</v>
      </c>
      <c r="C2305" s="13" t="n">
        <v>169</v>
      </c>
      <c r="D2305" s="13" t="s">
        <v>9193</v>
      </c>
      <c r="E2305" s="13" t="s">
        <v>9199</v>
      </c>
      <c r="F2305" s="13" t="s">
        <v>9196</v>
      </c>
      <c r="G2305" s="13" t="s">
        <v>9200</v>
      </c>
      <c r="H2305" s="13" t="s">
        <v>7745</v>
      </c>
      <c r="I2305" s="13" t="s">
        <v>82</v>
      </c>
      <c r="J2305" s="13" t="s">
        <v>5716</v>
      </c>
      <c r="K2305" s="13"/>
      <c r="L2305" s="13" t="s">
        <v>9197</v>
      </c>
      <c r="M2305" s="13" t="s">
        <v>9198</v>
      </c>
    </row>
    <row r="2306" customFormat="false" ht="35.05" hidden="false" customHeight="false" outlineLevel="0" collapsed="false">
      <c r="A2306" s="13" t="s">
        <v>4</v>
      </c>
      <c r="B2306" s="13" t="s">
        <v>4108</v>
      </c>
      <c r="C2306" s="13" t="n">
        <v>169</v>
      </c>
      <c r="D2306" s="13" t="s">
        <v>9201</v>
      </c>
      <c r="E2306" s="13" t="s">
        <v>9202</v>
      </c>
      <c r="F2306" s="13" t="s">
        <v>7745</v>
      </c>
      <c r="G2306" s="13" t="s">
        <v>9195</v>
      </c>
      <c r="H2306" s="13" t="s">
        <v>9203</v>
      </c>
      <c r="I2306" s="13" t="s">
        <v>82</v>
      </c>
      <c r="J2306" s="13" t="s">
        <v>5716</v>
      </c>
      <c r="K2306" s="13"/>
      <c r="L2306" s="13" t="s">
        <v>9204</v>
      </c>
      <c r="M2306" s="13" t="s">
        <v>9205</v>
      </c>
    </row>
    <row r="2307" customFormat="false" ht="35.05" hidden="false" customHeight="false" outlineLevel="0" collapsed="false">
      <c r="A2307" s="13" t="s">
        <v>4</v>
      </c>
      <c r="B2307" s="13" t="s">
        <v>4108</v>
      </c>
      <c r="C2307" s="13" t="n">
        <v>169</v>
      </c>
      <c r="D2307" s="13" t="s">
        <v>9206</v>
      </c>
      <c r="E2307" s="13" t="s">
        <v>9207</v>
      </c>
      <c r="F2307" s="13" t="s">
        <v>7745</v>
      </c>
      <c r="G2307" s="13" t="s">
        <v>1532</v>
      </c>
      <c r="H2307" s="13" t="s">
        <v>9208</v>
      </c>
      <c r="I2307" s="13" t="s">
        <v>82</v>
      </c>
      <c r="J2307" s="13" t="s">
        <v>5716</v>
      </c>
      <c r="K2307" s="13"/>
      <c r="L2307" s="13" t="s">
        <v>9209</v>
      </c>
      <c r="M2307" s="13" t="s">
        <v>9210</v>
      </c>
    </row>
    <row r="2308" customFormat="false" ht="35.05" hidden="false" customHeight="false" outlineLevel="0" collapsed="false">
      <c r="A2308" s="13" t="s">
        <v>4</v>
      </c>
      <c r="B2308" s="13" t="s">
        <v>4108</v>
      </c>
      <c r="C2308" s="13" t="n">
        <v>169</v>
      </c>
      <c r="D2308" s="13" t="s">
        <v>9211</v>
      </c>
      <c r="E2308" s="13" t="s">
        <v>9212</v>
      </c>
      <c r="F2308" s="13" t="s">
        <v>9213</v>
      </c>
      <c r="G2308" s="13" t="s">
        <v>8355</v>
      </c>
      <c r="H2308" s="13" t="s">
        <v>7745</v>
      </c>
      <c r="I2308" s="13" t="s">
        <v>82</v>
      </c>
      <c r="J2308" s="13" t="s">
        <v>5716</v>
      </c>
      <c r="K2308" s="13"/>
      <c r="L2308" s="13" t="s">
        <v>9214</v>
      </c>
      <c r="M2308" s="13" t="s">
        <v>9215</v>
      </c>
    </row>
    <row r="2309" customFormat="false" ht="35.05" hidden="false" customHeight="false" outlineLevel="0" collapsed="false">
      <c r="A2309" s="13" t="s">
        <v>4</v>
      </c>
      <c r="B2309" s="13" t="s">
        <v>4108</v>
      </c>
      <c r="C2309" s="13" t="n">
        <v>169</v>
      </c>
      <c r="D2309" s="13" t="s">
        <v>9211</v>
      </c>
      <c r="E2309" s="13" t="s">
        <v>9216</v>
      </c>
      <c r="F2309" s="13" t="s">
        <v>7745</v>
      </c>
      <c r="G2309" s="13" t="s">
        <v>9217</v>
      </c>
      <c r="H2309" s="13" t="s">
        <v>9218</v>
      </c>
      <c r="I2309" s="13" t="s">
        <v>82</v>
      </c>
      <c r="J2309" s="13" t="s">
        <v>5716</v>
      </c>
      <c r="K2309" s="13"/>
      <c r="L2309" s="13" t="s">
        <v>9214</v>
      </c>
      <c r="M2309" s="13" t="s">
        <v>9215</v>
      </c>
    </row>
    <row r="2310" customFormat="false" ht="102.2" hidden="false" customHeight="false" outlineLevel="0" collapsed="false">
      <c r="A2310" s="13" t="s">
        <v>4</v>
      </c>
      <c r="B2310" s="13" t="s">
        <v>4108</v>
      </c>
      <c r="C2310" s="13" t="n">
        <v>169</v>
      </c>
      <c r="D2310" s="13" t="s">
        <v>9219</v>
      </c>
      <c r="E2310" s="13" t="s">
        <v>9220</v>
      </c>
      <c r="F2310" s="13" t="s">
        <v>9221</v>
      </c>
      <c r="G2310" s="13" t="s">
        <v>9222</v>
      </c>
      <c r="H2310" s="13" t="s">
        <v>9223</v>
      </c>
      <c r="I2310" s="13" t="s">
        <v>82</v>
      </c>
      <c r="J2310" s="13" t="s">
        <v>5716</v>
      </c>
      <c r="K2310" s="13"/>
      <c r="L2310" s="13" t="s">
        <v>9224</v>
      </c>
      <c r="M2310" s="13" t="s">
        <v>9225</v>
      </c>
    </row>
    <row r="2311" customFormat="false" ht="102.2" hidden="false" customHeight="false" outlineLevel="0" collapsed="false">
      <c r="A2311" s="13" t="s">
        <v>4</v>
      </c>
      <c r="B2311" s="13" t="s">
        <v>4108</v>
      </c>
      <c r="C2311" s="13" t="n">
        <v>169</v>
      </c>
      <c r="D2311" s="13" t="s">
        <v>9219</v>
      </c>
      <c r="E2311" s="13" t="s">
        <v>9226</v>
      </c>
      <c r="F2311" s="13" t="s">
        <v>7745</v>
      </c>
      <c r="G2311" s="13" t="s">
        <v>9227</v>
      </c>
      <c r="H2311" s="13" t="s">
        <v>9228</v>
      </c>
      <c r="I2311" s="13" t="s">
        <v>82</v>
      </c>
      <c r="J2311" s="13" t="s">
        <v>5716</v>
      </c>
      <c r="K2311" s="13"/>
      <c r="L2311" s="13" t="s">
        <v>9224</v>
      </c>
      <c r="M2311" s="13" t="s">
        <v>9225</v>
      </c>
    </row>
    <row r="2312" customFormat="false" ht="68.65" hidden="false" customHeight="false" outlineLevel="0" collapsed="false">
      <c r="A2312" s="13" t="s">
        <v>4</v>
      </c>
      <c r="B2312" s="13" t="s">
        <v>4108</v>
      </c>
      <c r="C2312" s="13" t="n">
        <v>173</v>
      </c>
      <c r="D2312" s="13" t="s">
        <v>9229</v>
      </c>
      <c r="E2312" s="13" t="s">
        <v>9230</v>
      </c>
      <c r="F2312" s="13" t="s">
        <v>806</v>
      </c>
      <c r="G2312" s="13" t="s">
        <v>2826</v>
      </c>
      <c r="H2312" s="13" t="s">
        <v>9231</v>
      </c>
      <c r="I2312" s="13" t="s">
        <v>82</v>
      </c>
      <c r="J2312" s="13" t="s">
        <v>5716</v>
      </c>
      <c r="K2312" s="13"/>
      <c r="L2312" s="13" t="s">
        <v>9232</v>
      </c>
      <c r="M2312" s="13" t="s">
        <v>9233</v>
      </c>
    </row>
    <row r="2313" customFormat="false" ht="68.65" hidden="false" customHeight="false" outlineLevel="0" collapsed="false">
      <c r="A2313" s="13" t="s">
        <v>4</v>
      </c>
      <c r="B2313" s="13" t="s">
        <v>4108</v>
      </c>
      <c r="C2313" s="13" t="n">
        <v>173</v>
      </c>
      <c r="D2313" s="13" t="s">
        <v>9229</v>
      </c>
      <c r="E2313" s="13" t="s">
        <v>9234</v>
      </c>
      <c r="F2313" s="13" t="s">
        <v>806</v>
      </c>
      <c r="G2313" s="13" t="s">
        <v>2826</v>
      </c>
      <c r="H2313" s="13" t="s">
        <v>9235</v>
      </c>
      <c r="I2313" s="13" t="s">
        <v>82</v>
      </c>
      <c r="J2313" s="13" t="s">
        <v>5716</v>
      </c>
      <c r="K2313" s="13"/>
      <c r="L2313" s="13" t="s">
        <v>9232</v>
      </c>
      <c r="M2313" s="13" t="s">
        <v>9233</v>
      </c>
    </row>
    <row r="2314" customFormat="false" ht="68.65" hidden="false" customHeight="false" outlineLevel="0" collapsed="false">
      <c r="A2314" s="13" t="s">
        <v>4</v>
      </c>
      <c r="B2314" s="13" t="s">
        <v>4108</v>
      </c>
      <c r="C2314" s="13" t="n">
        <v>173</v>
      </c>
      <c r="D2314" s="13" t="s">
        <v>9229</v>
      </c>
      <c r="E2314" s="13" t="s">
        <v>9236</v>
      </c>
      <c r="F2314" s="13" t="s">
        <v>806</v>
      </c>
      <c r="G2314" s="13" t="s">
        <v>2826</v>
      </c>
      <c r="H2314" s="13" t="s">
        <v>9237</v>
      </c>
      <c r="I2314" s="13" t="s">
        <v>82</v>
      </c>
      <c r="J2314" s="13" t="s">
        <v>5716</v>
      </c>
      <c r="K2314" s="13"/>
      <c r="L2314" s="13" t="s">
        <v>9232</v>
      </c>
      <c r="M2314" s="13" t="s">
        <v>9233</v>
      </c>
    </row>
    <row r="2315" customFormat="false" ht="68.65" hidden="false" customHeight="false" outlineLevel="0" collapsed="false">
      <c r="A2315" s="13" t="s">
        <v>4</v>
      </c>
      <c r="B2315" s="13" t="s">
        <v>4108</v>
      </c>
      <c r="C2315" s="13" t="n">
        <v>173</v>
      </c>
      <c r="D2315" s="13" t="s">
        <v>9229</v>
      </c>
      <c r="E2315" s="13" t="s">
        <v>9238</v>
      </c>
      <c r="F2315" s="13" t="s">
        <v>806</v>
      </c>
      <c r="G2315" s="13" t="s">
        <v>2826</v>
      </c>
      <c r="H2315" s="13" t="s">
        <v>9239</v>
      </c>
      <c r="I2315" s="13" t="s">
        <v>82</v>
      </c>
      <c r="J2315" s="13" t="s">
        <v>5716</v>
      </c>
      <c r="K2315" s="13"/>
      <c r="L2315" s="13" t="s">
        <v>9232</v>
      </c>
      <c r="M2315" s="13" t="s">
        <v>9233</v>
      </c>
    </row>
    <row r="2316" customFormat="false" ht="68.65" hidden="false" customHeight="false" outlineLevel="0" collapsed="false">
      <c r="A2316" s="13" t="s">
        <v>4</v>
      </c>
      <c r="B2316" s="13" t="s">
        <v>4108</v>
      </c>
      <c r="C2316" s="13" t="n">
        <v>173</v>
      </c>
      <c r="D2316" s="13" t="s">
        <v>9229</v>
      </c>
      <c r="E2316" s="13" t="s">
        <v>9240</v>
      </c>
      <c r="F2316" s="13" t="s">
        <v>806</v>
      </c>
      <c r="G2316" s="13" t="s">
        <v>2826</v>
      </c>
      <c r="H2316" s="13" t="s">
        <v>9241</v>
      </c>
      <c r="I2316" s="13" t="s">
        <v>114</v>
      </c>
      <c r="J2316" s="13" t="s">
        <v>9242</v>
      </c>
      <c r="K2316" s="13" t="s">
        <v>9243</v>
      </c>
      <c r="L2316" s="13" t="s">
        <v>9232</v>
      </c>
      <c r="M2316" s="13" t="s">
        <v>9233</v>
      </c>
    </row>
    <row r="2317" customFormat="false" ht="68.65" hidden="false" customHeight="false" outlineLevel="0" collapsed="false">
      <c r="A2317" s="13" t="s">
        <v>4</v>
      </c>
      <c r="B2317" s="13" t="s">
        <v>4108</v>
      </c>
      <c r="C2317" s="13" t="n">
        <v>173</v>
      </c>
      <c r="D2317" s="13" t="s">
        <v>9229</v>
      </c>
      <c r="E2317" s="13" t="s">
        <v>9244</v>
      </c>
      <c r="F2317" s="13" t="s">
        <v>806</v>
      </c>
      <c r="G2317" s="13" t="s">
        <v>2826</v>
      </c>
      <c r="H2317" s="13" t="s">
        <v>9245</v>
      </c>
      <c r="I2317" s="13" t="s">
        <v>82</v>
      </c>
      <c r="J2317" s="13" t="s">
        <v>5716</v>
      </c>
      <c r="K2317" s="13"/>
      <c r="L2317" s="13" t="s">
        <v>9232</v>
      </c>
      <c r="M2317" s="13" t="s">
        <v>9233</v>
      </c>
    </row>
    <row r="2318" customFormat="false" ht="68.65" hidden="false" customHeight="false" outlineLevel="0" collapsed="false">
      <c r="A2318" s="13" t="s">
        <v>4</v>
      </c>
      <c r="B2318" s="13" t="s">
        <v>4108</v>
      </c>
      <c r="C2318" s="13" t="n">
        <v>173</v>
      </c>
      <c r="D2318" s="13" t="s">
        <v>9229</v>
      </c>
      <c r="E2318" s="13" t="s">
        <v>9246</v>
      </c>
      <c r="F2318" s="13" t="s">
        <v>806</v>
      </c>
      <c r="G2318" s="13" t="s">
        <v>2826</v>
      </c>
      <c r="H2318" s="13" t="s">
        <v>9247</v>
      </c>
      <c r="I2318" s="13" t="s">
        <v>82</v>
      </c>
      <c r="J2318" s="13" t="s">
        <v>5716</v>
      </c>
      <c r="K2318" s="13"/>
      <c r="L2318" s="13" t="s">
        <v>9232</v>
      </c>
      <c r="M2318" s="13" t="s">
        <v>9233</v>
      </c>
    </row>
    <row r="2319" customFormat="false" ht="68.65" hidden="false" customHeight="false" outlineLevel="0" collapsed="false">
      <c r="A2319" s="13" t="s">
        <v>4</v>
      </c>
      <c r="B2319" s="13" t="s">
        <v>4108</v>
      </c>
      <c r="C2319" s="13" t="n">
        <v>173</v>
      </c>
      <c r="D2319" s="13" t="s">
        <v>9229</v>
      </c>
      <c r="E2319" s="13" t="s">
        <v>9248</v>
      </c>
      <c r="F2319" s="13" t="s">
        <v>806</v>
      </c>
      <c r="G2319" s="13" t="s">
        <v>2826</v>
      </c>
      <c r="H2319" s="13" t="s">
        <v>9249</v>
      </c>
      <c r="I2319" s="13" t="s">
        <v>82</v>
      </c>
      <c r="J2319" s="13" t="s">
        <v>5716</v>
      </c>
      <c r="K2319" s="13"/>
      <c r="L2319" s="13" t="s">
        <v>9232</v>
      </c>
      <c r="M2319" s="13" t="s">
        <v>9233</v>
      </c>
    </row>
    <row r="2320" customFormat="false" ht="23.85" hidden="false" customHeight="false" outlineLevel="0" collapsed="false">
      <c r="A2320" s="13" t="s">
        <v>4</v>
      </c>
      <c r="B2320" s="13" t="s">
        <v>4108</v>
      </c>
      <c r="C2320" s="13" t="n">
        <v>173</v>
      </c>
      <c r="D2320" s="13" t="s">
        <v>9250</v>
      </c>
      <c r="E2320" s="13" t="s">
        <v>9251</v>
      </c>
      <c r="F2320" s="13" t="s">
        <v>806</v>
      </c>
      <c r="G2320" s="13" t="s">
        <v>9252</v>
      </c>
      <c r="H2320" s="13" t="s">
        <v>9253</v>
      </c>
      <c r="I2320" s="13" t="s">
        <v>82</v>
      </c>
      <c r="J2320" s="13" t="s">
        <v>5716</v>
      </c>
      <c r="K2320" s="13"/>
      <c r="L2320" s="13" t="s">
        <v>9254</v>
      </c>
      <c r="M2320" s="13" t="s">
        <v>9255</v>
      </c>
    </row>
    <row r="2321" customFormat="false" ht="91" hidden="false" customHeight="false" outlineLevel="0" collapsed="false">
      <c r="A2321" s="13" t="s">
        <v>4</v>
      </c>
      <c r="B2321" s="13" t="s">
        <v>4108</v>
      </c>
      <c r="C2321" s="13" t="n">
        <v>173</v>
      </c>
      <c r="D2321" s="13" t="s">
        <v>9256</v>
      </c>
      <c r="E2321" s="13" t="s">
        <v>9257</v>
      </c>
      <c r="F2321" s="13" t="s">
        <v>806</v>
      </c>
      <c r="G2321" s="13" t="s">
        <v>9258</v>
      </c>
      <c r="H2321" s="13" t="s">
        <v>9259</v>
      </c>
      <c r="I2321" s="13" t="s">
        <v>82</v>
      </c>
      <c r="J2321" s="13" t="s">
        <v>5716</v>
      </c>
      <c r="K2321" s="13"/>
      <c r="L2321" s="13" t="s">
        <v>9260</v>
      </c>
      <c r="M2321" s="13" t="s">
        <v>9261</v>
      </c>
    </row>
    <row r="2322" customFormat="false" ht="91" hidden="false" customHeight="false" outlineLevel="0" collapsed="false">
      <c r="A2322" s="13" t="s">
        <v>4</v>
      </c>
      <c r="B2322" s="13" t="s">
        <v>4108</v>
      </c>
      <c r="C2322" s="13" t="n">
        <v>173</v>
      </c>
      <c r="D2322" s="13" t="s">
        <v>9256</v>
      </c>
      <c r="E2322" s="13" t="s">
        <v>9262</v>
      </c>
      <c r="F2322" s="13" t="s">
        <v>806</v>
      </c>
      <c r="G2322" s="13" t="s">
        <v>9258</v>
      </c>
      <c r="H2322" s="13" t="s">
        <v>9263</v>
      </c>
      <c r="I2322" s="13" t="s">
        <v>82</v>
      </c>
      <c r="J2322" s="13" t="s">
        <v>5716</v>
      </c>
      <c r="K2322" s="13"/>
      <c r="L2322" s="13" t="s">
        <v>9260</v>
      </c>
      <c r="M2322" s="13" t="s">
        <v>9261</v>
      </c>
    </row>
    <row r="2323" customFormat="false" ht="91" hidden="false" customHeight="false" outlineLevel="0" collapsed="false">
      <c r="A2323" s="13" t="s">
        <v>4</v>
      </c>
      <c r="B2323" s="13" t="s">
        <v>4108</v>
      </c>
      <c r="C2323" s="13" t="n">
        <v>173</v>
      </c>
      <c r="D2323" s="13" t="s">
        <v>9256</v>
      </c>
      <c r="E2323" s="13" t="s">
        <v>9264</v>
      </c>
      <c r="F2323" s="13" t="s">
        <v>806</v>
      </c>
      <c r="G2323" s="13" t="s">
        <v>9258</v>
      </c>
      <c r="H2323" s="13" t="s">
        <v>9265</v>
      </c>
      <c r="I2323" s="13" t="s">
        <v>82</v>
      </c>
      <c r="J2323" s="13" t="s">
        <v>5716</v>
      </c>
      <c r="K2323" s="13"/>
      <c r="L2323" s="13" t="s">
        <v>9260</v>
      </c>
      <c r="M2323" s="13" t="s">
        <v>9261</v>
      </c>
    </row>
    <row r="2324" customFormat="false" ht="91" hidden="false" customHeight="false" outlineLevel="0" collapsed="false">
      <c r="A2324" s="13" t="s">
        <v>4</v>
      </c>
      <c r="B2324" s="13" t="s">
        <v>4108</v>
      </c>
      <c r="C2324" s="13" t="n">
        <v>173</v>
      </c>
      <c r="D2324" s="13" t="s">
        <v>9256</v>
      </c>
      <c r="E2324" s="13" t="s">
        <v>9266</v>
      </c>
      <c r="F2324" s="13" t="s">
        <v>806</v>
      </c>
      <c r="G2324" s="13" t="s">
        <v>9258</v>
      </c>
      <c r="H2324" s="13" t="s">
        <v>9267</v>
      </c>
      <c r="I2324" s="13" t="s">
        <v>82</v>
      </c>
      <c r="J2324" s="13" t="s">
        <v>5716</v>
      </c>
      <c r="K2324" s="13"/>
      <c r="L2324" s="13" t="s">
        <v>9260</v>
      </c>
      <c r="M2324" s="13" t="s">
        <v>9261</v>
      </c>
    </row>
    <row r="2325" customFormat="false" ht="91" hidden="false" customHeight="false" outlineLevel="0" collapsed="false">
      <c r="A2325" s="13" t="s">
        <v>4</v>
      </c>
      <c r="B2325" s="13" t="s">
        <v>4108</v>
      </c>
      <c r="C2325" s="13" t="n">
        <v>173</v>
      </c>
      <c r="D2325" s="13" t="s">
        <v>9256</v>
      </c>
      <c r="E2325" s="13" t="s">
        <v>9268</v>
      </c>
      <c r="F2325" s="13" t="s">
        <v>806</v>
      </c>
      <c r="G2325" s="13" t="s">
        <v>9258</v>
      </c>
      <c r="H2325" s="13" t="s">
        <v>9269</v>
      </c>
      <c r="I2325" s="13" t="s">
        <v>82</v>
      </c>
      <c r="J2325" s="13" t="s">
        <v>5716</v>
      </c>
      <c r="K2325" s="13"/>
      <c r="L2325" s="13" t="s">
        <v>9260</v>
      </c>
      <c r="M2325" s="13" t="s">
        <v>9261</v>
      </c>
    </row>
    <row r="2326" customFormat="false" ht="91" hidden="false" customHeight="false" outlineLevel="0" collapsed="false">
      <c r="A2326" s="13" t="s">
        <v>4</v>
      </c>
      <c r="B2326" s="13" t="s">
        <v>4108</v>
      </c>
      <c r="C2326" s="13" t="n">
        <v>173</v>
      </c>
      <c r="D2326" s="13" t="s">
        <v>9256</v>
      </c>
      <c r="E2326" s="13" t="s">
        <v>9270</v>
      </c>
      <c r="F2326" s="13" t="s">
        <v>806</v>
      </c>
      <c r="G2326" s="13" t="s">
        <v>9258</v>
      </c>
      <c r="H2326" s="13" t="s">
        <v>9271</v>
      </c>
      <c r="I2326" s="13" t="s">
        <v>82</v>
      </c>
      <c r="J2326" s="13" t="s">
        <v>5716</v>
      </c>
      <c r="K2326" s="13"/>
      <c r="L2326" s="13" t="s">
        <v>9260</v>
      </c>
      <c r="M2326" s="13" t="s">
        <v>9261</v>
      </c>
    </row>
    <row r="2327" customFormat="false" ht="91" hidden="false" customHeight="false" outlineLevel="0" collapsed="false">
      <c r="A2327" s="13" t="s">
        <v>4</v>
      </c>
      <c r="B2327" s="13" t="s">
        <v>4108</v>
      </c>
      <c r="C2327" s="13" t="n">
        <v>173</v>
      </c>
      <c r="D2327" s="13" t="s">
        <v>9256</v>
      </c>
      <c r="E2327" s="13" t="s">
        <v>9272</v>
      </c>
      <c r="F2327" s="13" t="s">
        <v>806</v>
      </c>
      <c r="G2327" s="13" t="s">
        <v>9258</v>
      </c>
      <c r="H2327" s="13" t="s">
        <v>9273</v>
      </c>
      <c r="I2327" s="13" t="s">
        <v>82</v>
      </c>
      <c r="J2327" s="13" t="s">
        <v>5716</v>
      </c>
      <c r="K2327" s="13"/>
      <c r="L2327" s="13" t="s">
        <v>9260</v>
      </c>
      <c r="M2327" s="13" t="s">
        <v>9261</v>
      </c>
    </row>
    <row r="2328" customFormat="false" ht="91" hidden="false" customHeight="false" outlineLevel="0" collapsed="false">
      <c r="A2328" s="13" t="s">
        <v>4</v>
      </c>
      <c r="B2328" s="13" t="s">
        <v>4108</v>
      </c>
      <c r="C2328" s="13" t="n">
        <v>173</v>
      </c>
      <c r="D2328" s="13" t="s">
        <v>9256</v>
      </c>
      <c r="E2328" s="13" t="s">
        <v>9274</v>
      </c>
      <c r="F2328" s="13" t="s">
        <v>806</v>
      </c>
      <c r="G2328" s="13" t="s">
        <v>9258</v>
      </c>
      <c r="H2328" s="13" t="s">
        <v>9275</v>
      </c>
      <c r="I2328" s="13" t="s">
        <v>82</v>
      </c>
      <c r="J2328" s="13" t="s">
        <v>5716</v>
      </c>
      <c r="K2328" s="13"/>
      <c r="L2328" s="13" t="s">
        <v>9260</v>
      </c>
      <c r="M2328" s="13" t="s">
        <v>9261</v>
      </c>
    </row>
    <row r="2329" customFormat="false" ht="91" hidden="false" customHeight="false" outlineLevel="0" collapsed="false">
      <c r="A2329" s="13" t="s">
        <v>4</v>
      </c>
      <c r="B2329" s="13" t="s">
        <v>4108</v>
      </c>
      <c r="C2329" s="13" t="n">
        <v>173</v>
      </c>
      <c r="D2329" s="13" t="s">
        <v>9256</v>
      </c>
      <c r="E2329" s="13" t="s">
        <v>9276</v>
      </c>
      <c r="F2329" s="13" t="s">
        <v>806</v>
      </c>
      <c r="G2329" s="13" t="s">
        <v>9258</v>
      </c>
      <c r="H2329" s="13" t="s">
        <v>9277</v>
      </c>
      <c r="I2329" s="13" t="s">
        <v>82</v>
      </c>
      <c r="J2329" s="13" t="s">
        <v>5716</v>
      </c>
      <c r="K2329" s="13"/>
      <c r="L2329" s="13" t="s">
        <v>9260</v>
      </c>
      <c r="M2329" s="13" t="s">
        <v>9261</v>
      </c>
    </row>
    <row r="2330" customFormat="false" ht="91" hidden="false" customHeight="false" outlineLevel="0" collapsed="false">
      <c r="A2330" s="13" t="s">
        <v>4</v>
      </c>
      <c r="B2330" s="13" t="s">
        <v>4108</v>
      </c>
      <c r="C2330" s="13" t="n">
        <v>173</v>
      </c>
      <c r="D2330" s="13" t="s">
        <v>9256</v>
      </c>
      <c r="E2330" s="13" t="s">
        <v>9278</v>
      </c>
      <c r="F2330" s="13" t="s">
        <v>806</v>
      </c>
      <c r="G2330" s="13" t="s">
        <v>9258</v>
      </c>
      <c r="H2330" s="13" t="s">
        <v>9279</v>
      </c>
      <c r="I2330" s="13" t="s">
        <v>82</v>
      </c>
      <c r="J2330" s="13" t="s">
        <v>5716</v>
      </c>
      <c r="K2330" s="13"/>
      <c r="L2330" s="13" t="s">
        <v>9260</v>
      </c>
      <c r="M2330" s="13" t="s">
        <v>9261</v>
      </c>
    </row>
    <row r="2331" customFormat="false" ht="91" hidden="false" customHeight="false" outlineLevel="0" collapsed="false">
      <c r="A2331" s="13" t="s">
        <v>4</v>
      </c>
      <c r="B2331" s="13" t="s">
        <v>4108</v>
      </c>
      <c r="C2331" s="13" t="n">
        <v>173</v>
      </c>
      <c r="D2331" s="13" t="s">
        <v>9256</v>
      </c>
      <c r="E2331" s="13" t="s">
        <v>9280</v>
      </c>
      <c r="F2331" s="13" t="s">
        <v>806</v>
      </c>
      <c r="G2331" s="13" t="s">
        <v>9258</v>
      </c>
      <c r="H2331" s="13" t="s">
        <v>9281</v>
      </c>
      <c r="I2331" s="13" t="s">
        <v>82</v>
      </c>
      <c r="J2331" s="13" t="s">
        <v>5716</v>
      </c>
      <c r="K2331" s="13"/>
      <c r="L2331" s="13" t="s">
        <v>9260</v>
      </c>
      <c r="M2331" s="13" t="s">
        <v>9261</v>
      </c>
    </row>
    <row r="2332" customFormat="false" ht="91" hidden="false" customHeight="false" outlineLevel="0" collapsed="false">
      <c r="A2332" s="13" t="s">
        <v>4</v>
      </c>
      <c r="B2332" s="13" t="s">
        <v>4108</v>
      </c>
      <c r="C2332" s="13" t="n">
        <v>173</v>
      </c>
      <c r="D2332" s="13" t="s">
        <v>9256</v>
      </c>
      <c r="E2332" s="13" t="s">
        <v>9282</v>
      </c>
      <c r="F2332" s="13" t="s">
        <v>806</v>
      </c>
      <c r="G2332" s="13" t="s">
        <v>9258</v>
      </c>
      <c r="H2332" s="13" t="s">
        <v>9283</v>
      </c>
      <c r="I2332" s="13" t="s">
        <v>82</v>
      </c>
      <c r="J2332" s="13" t="s">
        <v>5716</v>
      </c>
      <c r="K2332" s="13"/>
      <c r="L2332" s="13" t="s">
        <v>9260</v>
      </c>
      <c r="M2332" s="13" t="s">
        <v>9261</v>
      </c>
    </row>
    <row r="2333" customFormat="false" ht="68.65" hidden="false" customHeight="false" outlineLevel="0" collapsed="false">
      <c r="A2333" s="13" t="s">
        <v>4</v>
      </c>
      <c r="B2333" s="13" t="s">
        <v>4108</v>
      </c>
      <c r="C2333" s="13" t="n">
        <v>173</v>
      </c>
      <c r="D2333" s="13" t="s">
        <v>9284</v>
      </c>
      <c r="E2333" s="13" t="s">
        <v>9285</v>
      </c>
      <c r="F2333" s="13" t="s">
        <v>806</v>
      </c>
      <c r="G2333" s="13" t="s">
        <v>9258</v>
      </c>
      <c r="H2333" s="13" t="s">
        <v>9286</v>
      </c>
      <c r="I2333" s="13" t="s">
        <v>82</v>
      </c>
      <c r="J2333" s="13" t="s">
        <v>5716</v>
      </c>
      <c r="K2333" s="13"/>
      <c r="L2333" s="13" t="s">
        <v>9287</v>
      </c>
      <c r="M2333" s="13" t="s">
        <v>9288</v>
      </c>
    </row>
    <row r="2334" customFormat="false" ht="68.65" hidden="false" customHeight="false" outlineLevel="0" collapsed="false">
      <c r="A2334" s="13" t="s">
        <v>4</v>
      </c>
      <c r="B2334" s="13" t="s">
        <v>4108</v>
      </c>
      <c r="C2334" s="13" t="n">
        <v>173</v>
      </c>
      <c r="D2334" s="13" t="s">
        <v>9284</v>
      </c>
      <c r="E2334" s="13" t="s">
        <v>9289</v>
      </c>
      <c r="F2334" s="13" t="s">
        <v>806</v>
      </c>
      <c r="G2334" s="13" t="s">
        <v>9258</v>
      </c>
      <c r="H2334" s="13" t="s">
        <v>9290</v>
      </c>
      <c r="I2334" s="13" t="s">
        <v>82</v>
      </c>
      <c r="J2334" s="13" t="s">
        <v>5716</v>
      </c>
      <c r="K2334" s="13"/>
      <c r="L2334" s="13" t="s">
        <v>9287</v>
      </c>
      <c r="M2334" s="13" t="s">
        <v>9288</v>
      </c>
    </row>
    <row r="2335" customFormat="false" ht="68.65" hidden="false" customHeight="false" outlineLevel="0" collapsed="false">
      <c r="A2335" s="13" t="s">
        <v>4</v>
      </c>
      <c r="B2335" s="13" t="s">
        <v>4108</v>
      </c>
      <c r="C2335" s="13" t="n">
        <v>173</v>
      </c>
      <c r="D2335" s="13" t="s">
        <v>9284</v>
      </c>
      <c r="E2335" s="13" t="s">
        <v>9291</v>
      </c>
      <c r="F2335" s="13" t="s">
        <v>806</v>
      </c>
      <c r="G2335" s="13" t="s">
        <v>9258</v>
      </c>
      <c r="H2335" s="13" t="s">
        <v>9292</v>
      </c>
      <c r="I2335" s="13" t="s">
        <v>82</v>
      </c>
      <c r="J2335" s="13" t="s">
        <v>5716</v>
      </c>
      <c r="K2335" s="13"/>
      <c r="L2335" s="13" t="s">
        <v>9287</v>
      </c>
      <c r="M2335" s="13" t="s">
        <v>9288</v>
      </c>
    </row>
    <row r="2336" customFormat="false" ht="68.65" hidden="false" customHeight="false" outlineLevel="0" collapsed="false">
      <c r="A2336" s="13" t="s">
        <v>4</v>
      </c>
      <c r="B2336" s="13" t="s">
        <v>4108</v>
      </c>
      <c r="C2336" s="13" t="n">
        <v>173</v>
      </c>
      <c r="D2336" s="13" t="s">
        <v>9284</v>
      </c>
      <c r="E2336" s="13" t="s">
        <v>9293</v>
      </c>
      <c r="F2336" s="13" t="s">
        <v>806</v>
      </c>
      <c r="G2336" s="13" t="s">
        <v>9258</v>
      </c>
      <c r="H2336" s="13" t="s">
        <v>9294</v>
      </c>
      <c r="I2336" s="13" t="s">
        <v>82</v>
      </c>
      <c r="J2336" s="13" t="s">
        <v>5716</v>
      </c>
      <c r="K2336" s="13"/>
      <c r="L2336" s="13" t="s">
        <v>9287</v>
      </c>
      <c r="M2336" s="13" t="s">
        <v>9288</v>
      </c>
    </row>
    <row r="2337" customFormat="false" ht="68.65" hidden="false" customHeight="false" outlineLevel="0" collapsed="false">
      <c r="A2337" s="13" t="s">
        <v>4</v>
      </c>
      <c r="B2337" s="13" t="s">
        <v>4108</v>
      </c>
      <c r="C2337" s="13" t="n">
        <v>173</v>
      </c>
      <c r="D2337" s="13" t="s">
        <v>9284</v>
      </c>
      <c r="E2337" s="13" t="s">
        <v>9295</v>
      </c>
      <c r="F2337" s="13" t="s">
        <v>806</v>
      </c>
      <c r="G2337" s="13" t="s">
        <v>9258</v>
      </c>
      <c r="H2337" s="13" t="s">
        <v>9296</v>
      </c>
      <c r="I2337" s="13" t="s">
        <v>82</v>
      </c>
      <c r="J2337" s="13" t="s">
        <v>5716</v>
      </c>
      <c r="K2337" s="13"/>
      <c r="L2337" s="13" t="s">
        <v>9287</v>
      </c>
      <c r="M2337" s="13" t="s">
        <v>9288</v>
      </c>
    </row>
    <row r="2338" customFormat="false" ht="68.65" hidden="false" customHeight="false" outlineLevel="0" collapsed="false">
      <c r="A2338" s="13" t="s">
        <v>4</v>
      </c>
      <c r="B2338" s="13" t="s">
        <v>4108</v>
      </c>
      <c r="C2338" s="13" t="n">
        <v>173</v>
      </c>
      <c r="D2338" s="13" t="s">
        <v>9284</v>
      </c>
      <c r="E2338" s="13" t="s">
        <v>9297</v>
      </c>
      <c r="F2338" s="13" t="s">
        <v>806</v>
      </c>
      <c r="G2338" s="13" t="s">
        <v>9258</v>
      </c>
      <c r="H2338" s="13" t="s">
        <v>9298</v>
      </c>
      <c r="I2338" s="13" t="s">
        <v>82</v>
      </c>
      <c r="J2338" s="13" t="s">
        <v>5716</v>
      </c>
      <c r="K2338" s="13"/>
      <c r="L2338" s="13" t="s">
        <v>9287</v>
      </c>
      <c r="M2338" s="13" t="s">
        <v>9288</v>
      </c>
    </row>
    <row r="2339" customFormat="false" ht="68.65" hidden="false" customHeight="false" outlineLevel="0" collapsed="false">
      <c r="A2339" s="13" t="s">
        <v>4</v>
      </c>
      <c r="B2339" s="13" t="s">
        <v>4108</v>
      </c>
      <c r="C2339" s="13" t="n">
        <v>173</v>
      </c>
      <c r="D2339" s="13" t="s">
        <v>9284</v>
      </c>
      <c r="E2339" s="13" t="s">
        <v>9299</v>
      </c>
      <c r="F2339" s="13" t="s">
        <v>806</v>
      </c>
      <c r="G2339" s="13" t="s">
        <v>9258</v>
      </c>
      <c r="H2339" s="13" t="s">
        <v>9300</v>
      </c>
      <c r="I2339" s="13" t="s">
        <v>82</v>
      </c>
      <c r="J2339" s="13" t="s">
        <v>5716</v>
      </c>
      <c r="K2339" s="13"/>
      <c r="L2339" s="13" t="s">
        <v>9287</v>
      </c>
      <c r="M2339" s="13" t="s">
        <v>9288</v>
      </c>
    </row>
    <row r="2340" customFormat="false" ht="68.65" hidden="false" customHeight="false" outlineLevel="0" collapsed="false">
      <c r="A2340" s="13" t="s">
        <v>4</v>
      </c>
      <c r="B2340" s="13" t="s">
        <v>4108</v>
      </c>
      <c r="C2340" s="13" t="n">
        <v>173</v>
      </c>
      <c r="D2340" s="13" t="s">
        <v>9284</v>
      </c>
      <c r="E2340" s="13" t="s">
        <v>9301</v>
      </c>
      <c r="F2340" s="13" t="s">
        <v>806</v>
      </c>
      <c r="G2340" s="13" t="s">
        <v>9258</v>
      </c>
      <c r="H2340" s="13" t="s">
        <v>9302</v>
      </c>
      <c r="I2340" s="13" t="s">
        <v>82</v>
      </c>
      <c r="J2340" s="13" t="s">
        <v>5716</v>
      </c>
      <c r="K2340" s="13"/>
      <c r="L2340" s="13" t="s">
        <v>9287</v>
      </c>
      <c r="M2340" s="13" t="s">
        <v>9288</v>
      </c>
    </row>
    <row r="2341" customFormat="false" ht="68.65" hidden="false" customHeight="false" outlineLevel="0" collapsed="false">
      <c r="A2341" s="13" t="s">
        <v>4</v>
      </c>
      <c r="B2341" s="13" t="s">
        <v>4108</v>
      </c>
      <c r="C2341" s="13" t="n">
        <v>173</v>
      </c>
      <c r="D2341" s="13" t="s">
        <v>9284</v>
      </c>
      <c r="E2341" s="13" t="s">
        <v>9303</v>
      </c>
      <c r="F2341" s="13" t="s">
        <v>806</v>
      </c>
      <c r="G2341" s="13" t="s">
        <v>9258</v>
      </c>
      <c r="H2341" s="13" t="s">
        <v>9304</v>
      </c>
      <c r="I2341" s="13" t="s">
        <v>82</v>
      </c>
      <c r="J2341" s="13" t="s">
        <v>5716</v>
      </c>
      <c r="K2341" s="13"/>
      <c r="L2341" s="13" t="s">
        <v>9287</v>
      </c>
      <c r="M2341" s="13" t="s">
        <v>9288</v>
      </c>
    </row>
    <row r="2342" customFormat="false" ht="68.65" hidden="false" customHeight="false" outlineLevel="0" collapsed="false">
      <c r="A2342" s="13" t="s">
        <v>4</v>
      </c>
      <c r="B2342" s="13" t="s">
        <v>4108</v>
      </c>
      <c r="C2342" s="13" t="n">
        <v>173</v>
      </c>
      <c r="D2342" s="13" t="s">
        <v>9284</v>
      </c>
      <c r="E2342" s="13" t="s">
        <v>9305</v>
      </c>
      <c r="F2342" s="13" t="s">
        <v>806</v>
      </c>
      <c r="G2342" s="13" t="s">
        <v>9258</v>
      </c>
      <c r="H2342" s="13" t="s">
        <v>9306</v>
      </c>
      <c r="I2342" s="13" t="s">
        <v>82</v>
      </c>
      <c r="J2342" s="13" t="s">
        <v>5716</v>
      </c>
      <c r="K2342" s="13"/>
      <c r="L2342" s="13" t="s">
        <v>9287</v>
      </c>
      <c r="M2342" s="13" t="s">
        <v>9288</v>
      </c>
    </row>
    <row r="2343" customFormat="false" ht="68.65" hidden="false" customHeight="false" outlineLevel="0" collapsed="false">
      <c r="A2343" s="13" t="s">
        <v>4</v>
      </c>
      <c r="B2343" s="13" t="s">
        <v>4108</v>
      </c>
      <c r="C2343" s="13" t="n">
        <v>173</v>
      </c>
      <c r="D2343" s="13" t="s">
        <v>9284</v>
      </c>
      <c r="E2343" s="13" t="s">
        <v>9307</v>
      </c>
      <c r="F2343" s="13" t="s">
        <v>806</v>
      </c>
      <c r="G2343" s="13" t="s">
        <v>9258</v>
      </c>
      <c r="H2343" s="13" t="s">
        <v>9308</v>
      </c>
      <c r="I2343" s="13" t="s">
        <v>82</v>
      </c>
      <c r="J2343" s="13" t="s">
        <v>5716</v>
      </c>
      <c r="K2343" s="13"/>
      <c r="L2343" s="13" t="s">
        <v>9287</v>
      </c>
      <c r="M2343" s="13" t="s">
        <v>9288</v>
      </c>
    </row>
    <row r="2344" customFormat="false" ht="68.65" hidden="false" customHeight="false" outlineLevel="0" collapsed="false">
      <c r="A2344" s="13" t="s">
        <v>4</v>
      </c>
      <c r="B2344" s="13" t="s">
        <v>4108</v>
      </c>
      <c r="C2344" s="13" t="n">
        <v>173</v>
      </c>
      <c r="D2344" s="13" t="s">
        <v>9284</v>
      </c>
      <c r="E2344" s="13" t="s">
        <v>9309</v>
      </c>
      <c r="F2344" s="13" t="s">
        <v>806</v>
      </c>
      <c r="G2344" s="13" t="s">
        <v>9258</v>
      </c>
      <c r="H2344" s="13" t="s">
        <v>9310</v>
      </c>
      <c r="I2344" s="13" t="s">
        <v>82</v>
      </c>
      <c r="J2344" s="13" t="s">
        <v>5716</v>
      </c>
      <c r="K2344" s="13"/>
      <c r="L2344" s="13" t="s">
        <v>9287</v>
      </c>
      <c r="M2344" s="13" t="s">
        <v>9288</v>
      </c>
    </row>
    <row r="2345" customFormat="false" ht="68.65" hidden="false" customHeight="false" outlineLevel="0" collapsed="false">
      <c r="A2345" s="13" t="s">
        <v>4</v>
      </c>
      <c r="B2345" s="13" t="s">
        <v>4108</v>
      </c>
      <c r="C2345" s="13" t="n">
        <v>173</v>
      </c>
      <c r="D2345" s="13" t="s">
        <v>9284</v>
      </c>
      <c r="E2345" s="13" t="s">
        <v>9311</v>
      </c>
      <c r="F2345" s="13" t="s">
        <v>806</v>
      </c>
      <c r="G2345" s="13" t="s">
        <v>9258</v>
      </c>
      <c r="H2345" s="13" t="s">
        <v>9312</v>
      </c>
      <c r="I2345" s="13" t="s">
        <v>82</v>
      </c>
      <c r="J2345" s="13" t="s">
        <v>5716</v>
      </c>
      <c r="K2345" s="13"/>
      <c r="L2345" s="13" t="s">
        <v>9287</v>
      </c>
      <c r="M2345" s="13" t="s">
        <v>9288</v>
      </c>
    </row>
    <row r="2346" customFormat="false" ht="23.85" hidden="false" customHeight="false" outlineLevel="0" collapsed="false">
      <c r="A2346" s="13" t="s">
        <v>4</v>
      </c>
      <c r="B2346" s="13" t="s">
        <v>4108</v>
      </c>
      <c r="C2346" s="13" t="n">
        <v>173</v>
      </c>
      <c r="D2346" s="13" t="s">
        <v>9313</v>
      </c>
      <c r="E2346" s="13" t="s">
        <v>9314</v>
      </c>
      <c r="F2346" s="13" t="s">
        <v>806</v>
      </c>
      <c r="G2346" s="13" t="s">
        <v>9315</v>
      </c>
      <c r="H2346" s="13" t="s">
        <v>9316</v>
      </c>
      <c r="I2346" s="13" t="s">
        <v>82</v>
      </c>
      <c r="J2346" s="13" t="s">
        <v>5716</v>
      </c>
      <c r="K2346" s="13"/>
      <c r="L2346" s="13" t="s">
        <v>9317</v>
      </c>
      <c r="M2346" s="13" t="s">
        <v>9318</v>
      </c>
    </row>
    <row r="2347" customFormat="false" ht="23.85" hidden="false" customHeight="false" outlineLevel="0" collapsed="false">
      <c r="A2347" s="13" t="s">
        <v>4</v>
      </c>
      <c r="B2347" s="13" t="s">
        <v>4108</v>
      </c>
      <c r="C2347" s="13" t="n">
        <v>173</v>
      </c>
      <c r="D2347" s="13" t="s">
        <v>9319</v>
      </c>
      <c r="E2347" s="13" t="s">
        <v>9320</v>
      </c>
      <c r="F2347" s="13" t="s">
        <v>806</v>
      </c>
      <c r="G2347" s="13" t="s">
        <v>9321</v>
      </c>
      <c r="H2347" s="13" t="s">
        <v>9322</v>
      </c>
      <c r="I2347" s="13" t="s">
        <v>82</v>
      </c>
      <c r="J2347" s="13" t="s">
        <v>5716</v>
      </c>
      <c r="K2347" s="13"/>
      <c r="L2347" s="13" t="s">
        <v>9323</v>
      </c>
      <c r="M2347" s="13" t="s">
        <v>9324</v>
      </c>
    </row>
    <row r="2348" customFormat="false" ht="147" hidden="false" customHeight="false" outlineLevel="0" collapsed="false">
      <c r="A2348" s="13" t="s">
        <v>4</v>
      </c>
      <c r="B2348" s="13" t="s">
        <v>4108</v>
      </c>
      <c r="C2348" s="13" t="n">
        <v>173</v>
      </c>
      <c r="D2348" s="13" t="s">
        <v>9325</v>
      </c>
      <c r="E2348" s="13" t="s">
        <v>9326</v>
      </c>
      <c r="F2348" s="13" t="s">
        <v>9327</v>
      </c>
      <c r="G2348" s="13" t="s">
        <v>9328</v>
      </c>
      <c r="H2348" s="13" t="s">
        <v>9329</v>
      </c>
      <c r="I2348" s="13" t="s">
        <v>114</v>
      </c>
      <c r="J2348" s="13" t="s">
        <v>9330</v>
      </c>
      <c r="K2348" s="13" t="s">
        <v>9331</v>
      </c>
      <c r="L2348" s="13" t="s">
        <v>9332</v>
      </c>
      <c r="M2348" s="13" t="s">
        <v>9333</v>
      </c>
    </row>
    <row r="2349" customFormat="false" ht="147" hidden="false" customHeight="false" outlineLevel="0" collapsed="false">
      <c r="A2349" s="13" t="s">
        <v>4</v>
      </c>
      <c r="B2349" s="13" t="s">
        <v>4108</v>
      </c>
      <c r="C2349" s="13" t="n">
        <v>173</v>
      </c>
      <c r="D2349" s="13" t="s">
        <v>9325</v>
      </c>
      <c r="E2349" s="13" t="s">
        <v>9334</v>
      </c>
      <c r="F2349" s="13" t="s">
        <v>9335</v>
      </c>
      <c r="G2349" s="13" t="s">
        <v>9336</v>
      </c>
      <c r="H2349" s="13" t="s">
        <v>9327</v>
      </c>
      <c r="I2349" s="13" t="s">
        <v>114</v>
      </c>
      <c r="J2349" s="13" t="s">
        <v>9337</v>
      </c>
      <c r="K2349" s="13" t="s">
        <v>9338</v>
      </c>
      <c r="L2349" s="13" t="s">
        <v>9332</v>
      </c>
      <c r="M2349" s="13" t="s">
        <v>9333</v>
      </c>
    </row>
    <row r="2350" customFormat="false" ht="147" hidden="false" customHeight="false" outlineLevel="0" collapsed="false">
      <c r="A2350" s="13" t="s">
        <v>4</v>
      </c>
      <c r="B2350" s="13" t="s">
        <v>4108</v>
      </c>
      <c r="C2350" s="13" t="n">
        <v>173</v>
      </c>
      <c r="D2350" s="13" t="s">
        <v>9325</v>
      </c>
      <c r="E2350" s="13" t="s">
        <v>9339</v>
      </c>
      <c r="F2350" s="13" t="s">
        <v>9340</v>
      </c>
      <c r="G2350" s="13" t="s">
        <v>1328</v>
      </c>
      <c r="H2350" s="13" t="s">
        <v>806</v>
      </c>
      <c r="I2350" s="13" t="s">
        <v>82</v>
      </c>
      <c r="J2350" s="13" t="s">
        <v>5716</v>
      </c>
      <c r="K2350" s="13"/>
      <c r="L2350" s="13" t="s">
        <v>9332</v>
      </c>
      <c r="M2350" s="13" t="s">
        <v>9333</v>
      </c>
    </row>
    <row r="2351" customFormat="false" ht="147" hidden="false" customHeight="false" outlineLevel="0" collapsed="false">
      <c r="A2351" s="13" t="s">
        <v>4</v>
      </c>
      <c r="B2351" s="13" t="s">
        <v>4108</v>
      </c>
      <c r="C2351" s="13" t="n">
        <v>173</v>
      </c>
      <c r="D2351" s="13" t="s">
        <v>9325</v>
      </c>
      <c r="E2351" s="13" t="s">
        <v>9341</v>
      </c>
      <c r="F2351" s="13" t="s">
        <v>9340</v>
      </c>
      <c r="G2351" s="13" t="s">
        <v>762</v>
      </c>
      <c r="H2351" s="13" t="s">
        <v>9342</v>
      </c>
      <c r="I2351" s="13" t="s">
        <v>82</v>
      </c>
      <c r="J2351" s="13" t="s">
        <v>5716</v>
      </c>
      <c r="K2351" s="13"/>
      <c r="L2351" s="13" t="s">
        <v>9332</v>
      </c>
      <c r="M2351" s="13" t="s">
        <v>9333</v>
      </c>
    </row>
    <row r="2352" customFormat="false" ht="147" hidden="false" customHeight="false" outlineLevel="0" collapsed="false">
      <c r="A2352" s="13" t="s">
        <v>4</v>
      </c>
      <c r="B2352" s="13" t="s">
        <v>4108</v>
      </c>
      <c r="C2352" s="13" t="n">
        <v>173</v>
      </c>
      <c r="D2352" s="13" t="s">
        <v>9325</v>
      </c>
      <c r="E2352" s="13" t="s">
        <v>9343</v>
      </c>
      <c r="F2352" s="13" t="s">
        <v>9340</v>
      </c>
      <c r="G2352" s="13" t="s">
        <v>762</v>
      </c>
      <c r="H2352" s="13" t="s">
        <v>9344</v>
      </c>
      <c r="I2352" s="13" t="s">
        <v>82</v>
      </c>
      <c r="J2352" s="13" t="s">
        <v>5716</v>
      </c>
      <c r="K2352" s="13"/>
      <c r="L2352" s="13" t="s">
        <v>9332</v>
      </c>
      <c r="M2352" s="13" t="s">
        <v>9333</v>
      </c>
    </row>
    <row r="2353" customFormat="false" ht="46.25" hidden="false" customHeight="false" outlineLevel="0" collapsed="false">
      <c r="A2353" s="13" t="s">
        <v>4</v>
      </c>
      <c r="B2353" s="13" t="s">
        <v>4108</v>
      </c>
      <c r="C2353" s="13" t="n">
        <v>183</v>
      </c>
      <c r="D2353" s="13" t="s">
        <v>9345</v>
      </c>
      <c r="E2353" s="13" t="s">
        <v>9346</v>
      </c>
      <c r="F2353" s="13" t="s">
        <v>5029</v>
      </c>
      <c r="G2353" s="13" t="s">
        <v>9347</v>
      </c>
      <c r="H2353" s="13" t="s">
        <v>9348</v>
      </c>
      <c r="I2353" s="13" t="s">
        <v>82</v>
      </c>
      <c r="J2353" s="13" t="s">
        <v>5716</v>
      </c>
      <c r="K2353" s="13"/>
      <c r="L2353" s="13" t="s">
        <v>9349</v>
      </c>
      <c r="M2353" s="13" t="s">
        <v>9350</v>
      </c>
    </row>
    <row r="2354" customFormat="false" ht="68.65" hidden="false" customHeight="false" outlineLevel="0" collapsed="false">
      <c r="A2354" s="13" t="s">
        <v>4</v>
      </c>
      <c r="B2354" s="13" t="s">
        <v>4108</v>
      </c>
      <c r="C2354" s="13" t="n">
        <v>183</v>
      </c>
      <c r="D2354" s="13" t="s">
        <v>9351</v>
      </c>
      <c r="E2354" s="13" t="s">
        <v>9352</v>
      </c>
      <c r="F2354" s="13" t="s">
        <v>5029</v>
      </c>
      <c r="G2354" s="13" t="s">
        <v>5329</v>
      </c>
      <c r="H2354" s="13" t="s">
        <v>9353</v>
      </c>
      <c r="I2354" s="13" t="s">
        <v>82</v>
      </c>
      <c r="J2354" s="13" t="s">
        <v>5716</v>
      </c>
      <c r="K2354" s="13"/>
      <c r="L2354" s="13" t="s">
        <v>9354</v>
      </c>
      <c r="M2354" s="13" t="s">
        <v>9355</v>
      </c>
    </row>
    <row r="2355" customFormat="false" ht="68.65" hidden="false" customHeight="false" outlineLevel="0" collapsed="false">
      <c r="A2355" s="13" t="s">
        <v>4</v>
      </c>
      <c r="B2355" s="13" t="s">
        <v>4108</v>
      </c>
      <c r="C2355" s="13" t="n">
        <v>183</v>
      </c>
      <c r="D2355" s="13" t="s">
        <v>9351</v>
      </c>
      <c r="E2355" s="13" t="s">
        <v>9356</v>
      </c>
      <c r="F2355" s="13" t="s">
        <v>9357</v>
      </c>
      <c r="G2355" s="13" t="s">
        <v>5406</v>
      </c>
      <c r="H2355" s="13" t="s">
        <v>9358</v>
      </c>
      <c r="I2355" s="13" t="s">
        <v>82</v>
      </c>
      <c r="J2355" s="13" t="s">
        <v>5716</v>
      </c>
      <c r="K2355" s="13"/>
      <c r="L2355" s="13" t="s">
        <v>9354</v>
      </c>
      <c r="M2355" s="13" t="s">
        <v>9355</v>
      </c>
    </row>
    <row r="2356" customFormat="false" ht="23.85" hidden="false" customHeight="false" outlineLevel="0" collapsed="false">
      <c r="A2356" s="13" t="s">
        <v>4</v>
      </c>
      <c r="B2356" s="13" t="s">
        <v>4108</v>
      </c>
      <c r="C2356" s="13" t="n">
        <v>183</v>
      </c>
      <c r="D2356" s="13" t="s">
        <v>9359</v>
      </c>
      <c r="E2356" s="13" t="s">
        <v>9360</v>
      </c>
      <c r="F2356" s="13" t="s">
        <v>9361</v>
      </c>
      <c r="G2356" s="13" t="s">
        <v>9362</v>
      </c>
      <c r="H2356" s="13" t="s">
        <v>9363</v>
      </c>
      <c r="I2356" s="13" t="s">
        <v>82</v>
      </c>
      <c r="J2356" s="13" t="s">
        <v>5716</v>
      </c>
      <c r="K2356" s="13"/>
      <c r="L2356" s="13" t="s">
        <v>9364</v>
      </c>
      <c r="M2356" s="13" t="s">
        <v>9365</v>
      </c>
    </row>
    <row r="2357" customFormat="false" ht="23.85" hidden="false" customHeight="false" outlineLevel="0" collapsed="false">
      <c r="A2357" s="13" t="s">
        <v>4</v>
      </c>
      <c r="B2357" s="13" t="s">
        <v>4108</v>
      </c>
      <c r="C2357" s="13" t="n">
        <v>183</v>
      </c>
      <c r="D2357" s="13" t="s">
        <v>9359</v>
      </c>
      <c r="E2357" s="13" t="s">
        <v>9366</v>
      </c>
      <c r="F2357" s="13" t="s">
        <v>4760</v>
      </c>
      <c r="G2357" s="13" t="s">
        <v>9362</v>
      </c>
      <c r="H2357" s="13" t="s">
        <v>9363</v>
      </c>
      <c r="I2357" s="13" t="s">
        <v>82</v>
      </c>
      <c r="J2357" s="13" t="s">
        <v>5716</v>
      </c>
      <c r="K2357" s="13"/>
      <c r="L2357" s="13" t="s">
        <v>9364</v>
      </c>
      <c r="M2357" s="13" t="s">
        <v>9365</v>
      </c>
    </row>
    <row r="2358" customFormat="false" ht="57.45" hidden="false" customHeight="false" outlineLevel="0" collapsed="false">
      <c r="A2358" s="13" t="s">
        <v>4</v>
      </c>
      <c r="B2358" s="13" t="s">
        <v>4108</v>
      </c>
      <c r="C2358" s="13" t="n">
        <v>183</v>
      </c>
      <c r="D2358" s="13" t="s">
        <v>9367</v>
      </c>
      <c r="E2358" s="13" t="s">
        <v>9368</v>
      </c>
      <c r="F2358" s="13" t="s">
        <v>9369</v>
      </c>
      <c r="G2358" s="13" t="s">
        <v>9362</v>
      </c>
      <c r="H2358" s="13" t="s">
        <v>9370</v>
      </c>
      <c r="I2358" s="13" t="s">
        <v>114</v>
      </c>
      <c r="J2358" s="13" t="s">
        <v>9371</v>
      </c>
      <c r="K2358" s="13" t="s">
        <v>9372</v>
      </c>
      <c r="L2358" s="13" t="s">
        <v>9373</v>
      </c>
      <c r="M2358" s="13" t="s">
        <v>9374</v>
      </c>
    </row>
    <row r="2359" customFormat="false" ht="102.2" hidden="false" customHeight="false" outlineLevel="0" collapsed="false">
      <c r="A2359" s="13" t="s">
        <v>4</v>
      </c>
      <c r="B2359" s="13" t="s">
        <v>4108</v>
      </c>
      <c r="C2359" s="13" t="n">
        <v>183</v>
      </c>
      <c r="D2359" s="13" t="s">
        <v>9375</v>
      </c>
      <c r="E2359" s="13" t="s">
        <v>9376</v>
      </c>
      <c r="F2359" s="13" t="s">
        <v>3227</v>
      </c>
      <c r="G2359" s="13" t="s">
        <v>9377</v>
      </c>
      <c r="H2359" s="13" t="s">
        <v>9378</v>
      </c>
      <c r="I2359" s="13" t="s">
        <v>82</v>
      </c>
      <c r="J2359" s="13" t="s">
        <v>5716</v>
      </c>
      <c r="K2359" s="13"/>
      <c r="L2359" s="13" t="s">
        <v>9379</v>
      </c>
      <c r="M2359" s="13" t="s">
        <v>9380</v>
      </c>
    </row>
    <row r="2360" customFormat="false" ht="102.2" hidden="false" customHeight="false" outlineLevel="0" collapsed="false">
      <c r="A2360" s="13" t="s">
        <v>4</v>
      </c>
      <c r="B2360" s="13" t="s">
        <v>4108</v>
      </c>
      <c r="C2360" s="13" t="n">
        <v>183</v>
      </c>
      <c r="D2360" s="13" t="s">
        <v>9375</v>
      </c>
      <c r="E2360" s="13" t="s">
        <v>9381</v>
      </c>
      <c r="F2360" s="13" t="s">
        <v>5029</v>
      </c>
      <c r="G2360" s="13" t="s">
        <v>9382</v>
      </c>
      <c r="H2360" s="13" t="s">
        <v>9378</v>
      </c>
      <c r="I2360" s="13" t="s">
        <v>82</v>
      </c>
      <c r="J2360" s="13" t="s">
        <v>5716</v>
      </c>
      <c r="K2360" s="13"/>
      <c r="L2360" s="13" t="s">
        <v>9379</v>
      </c>
      <c r="M2360" s="13" t="s">
        <v>9380</v>
      </c>
    </row>
    <row r="2361" customFormat="false" ht="35.05" hidden="false" customHeight="false" outlineLevel="0" collapsed="false">
      <c r="A2361" s="13" t="s">
        <v>4</v>
      </c>
      <c r="B2361" s="13" t="s">
        <v>4108</v>
      </c>
      <c r="C2361" s="13" t="n">
        <v>183</v>
      </c>
      <c r="D2361" s="13" t="s">
        <v>9383</v>
      </c>
      <c r="E2361" s="13" t="s">
        <v>9384</v>
      </c>
      <c r="F2361" s="13" t="s">
        <v>5029</v>
      </c>
      <c r="G2361" s="13" t="s">
        <v>9385</v>
      </c>
      <c r="H2361" s="13" t="s">
        <v>9386</v>
      </c>
      <c r="I2361" s="13" t="s">
        <v>82</v>
      </c>
      <c r="J2361" s="13" t="s">
        <v>5716</v>
      </c>
      <c r="K2361" s="13"/>
      <c r="L2361" s="13" t="s">
        <v>9387</v>
      </c>
      <c r="M2361" s="13" t="s">
        <v>9388</v>
      </c>
    </row>
    <row r="2362" customFormat="false" ht="23.85" hidden="false" customHeight="false" outlineLevel="0" collapsed="false">
      <c r="A2362" s="13" t="s">
        <v>4</v>
      </c>
      <c r="B2362" s="13" t="s">
        <v>4108</v>
      </c>
      <c r="C2362" s="13" t="n">
        <v>183</v>
      </c>
      <c r="D2362" s="13" t="s">
        <v>9389</v>
      </c>
      <c r="E2362" s="13" t="s">
        <v>9390</v>
      </c>
      <c r="F2362" s="13" t="s">
        <v>9391</v>
      </c>
      <c r="G2362" s="13" t="s">
        <v>9392</v>
      </c>
      <c r="H2362" s="13" t="s">
        <v>1596</v>
      </c>
      <c r="I2362" s="13" t="s">
        <v>82</v>
      </c>
      <c r="J2362" s="13" t="s">
        <v>5716</v>
      </c>
      <c r="K2362" s="13"/>
      <c r="L2362" s="13" t="s">
        <v>9393</v>
      </c>
      <c r="M2362" s="13" t="s">
        <v>9394</v>
      </c>
    </row>
    <row r="2363" customFormat="false" ht="46.25" hidden="false" customHeight="false" outlineLevel="0" collapsed="false">
      <c r="A2363" s="13" t="s">
        <v>4</v>
      </c>
      <c r="B2363" s="13" t="s">
        <v>4108</v>
      </c>
      <c r="C2363" s="13" t="n">
        <v>183</v>
      </c>
      <c r="D2363" s="13" t="s">
        <v>9395</v>
      </c>
      <c r="E2363" s="13" t="s">
        <v>9396</v>
      </c>
      <c r="F2363" s="13" t="s">
        <v>9397</v>
      </c>
      <c r="G2363" s="13" t="s">
        <v>9398</v>
      </c>
      <c r="H2363" s="13" t="s">
        <v>9399</v>
      </c>
      <c r="I2363" s="13" t="s">
        <v>82</v>
      </c>
      <c r="J2363" s="13" t="s">
        <v>5716</v>
      </c>
      <c r="K2363" s="13"/>
      <c r="L2363" s="13" t="s">
        <v>9400</v>
      </c>
      <c r="M2363" s="13" t="s">
        <v>9401</v>
      </c>
    </row>
    <row r="2364" customFormat="false" ht="23.85" hidden="false" customHeight="false" outlineLevel="0" collapsed="false">
      <c r="A2364" s="13" t="s">
        <v>4</v>
      </c>
      <c r="B2364" s="13" t="s">
        <v>4108</v>
      </c>
      <c r="C2364" s="13" t="n">
        <v>183</v>
      </c>
      <c r="D2364" s="13" t="s">
        <v>9402</v>
      </c>
      <c r="E2364" s="13" t="s">
        <v>9403</v>
      </c>
      <c r="F2364" s="13" t="s">
        <v>9397</v>
      </c>
      <c r="G2364" s="13" t="s">
        <v>9404</v>
      </c>
      <c r="H2364" s="13" t="s">
        <v>9405</v>
      </c>
      <c r="I2364" s="13" t="s">
        <v>82</v>
      </c>
      <c r="J2364" s="13" t="s">
        <v>5716</v>
      </c>
      <c r="K2364" s="13"/>
      <c r="L2364" s="13" t="s">
        <v>9406</v>
      </c>
      <c r="M2364" s="13" t="s">
        <v>9407</v>
      </c>
    </row>
    <row r="2365" customFormat="false" ht="35.05" hidden="false" customHeight="false" outlineLevel="0" collapsed="false">
      <c r="A2365" s="13" t="s">
        <v>4</v>
      </c>
      <c r="B2365" s="13" t="s">
        <v>4108</v>
      </c>
      <c r="C2365" s="13" t="n">
        <v>183</v>
      </c>
      <c r="D2365" s="13" t="s">
        <v>9408</v>
      </c>
      <c r="E2365" s="13" t="s">
        <v>9409</v>
      </c>
      <c r="F2365" s="13" t="s">
        <v>9410</v>
      </c>
      <c r="G2365" s="13" t="s">
        <v>9411</v>
      </c>
      <c r="H2365" s="13" t="s">
        <v>9412</v>
      </c>
      <c r="I2365" s="13" t="s">
        <v>82</v>
      </c>
      <c r="J2365" s="13" t="s">
        <v>5716</v>
      </c>
      <c r="K2365" s="13"/>
      <c r="L2365" s="13" t="s">
        <v>9413</v>
      </c>
      <c r="M2365" s="13" t="s">
        <v>9414</v>
      </c>
    </row>
    <row r="2366" customFormat="false" ht="46.25" hidden="false" customHeight="false" outlineLevel="0" collapsed="false">
      <c r="A2366" s="13" t="s">
        <v>4</v>
      </c>
      <c r="B2366" s="13" t="s">
        <v>4108</v>
      </c>
      <c r="C2366" s="13" t="n">
        <v>183</v>
      </c>
      <c r="D2366" s="13" t="s">
        <v>9415</v>
      </c>
      <c r="E2366" s="13" t="s">
        <v>9416</v>
      </c>
      <c r="F2366" s="13" t="s">
        <v>4974</v>
      </c>
      <c r="G2366" s="13" t="s">
        <v>9417</v>
      </c>
      <c r="H2366" s="13" t="s">
        <v>9412</v>
      </c>
      <c r="I2366" s="13" t="s">
        <v>82</v>
      </c>
      <c r="J2366" s="13" t="s">
        <v>5716</v>
      </c>
      <c r="K2366" s="13"/>
      <c r="L2366" s="13" t="s">
        <v>9418</v>
      </c>
      <c r="M2366" s="13" t="s">
        <v>9419</v>
      </c>
    </row>
    <row r="2367" customFormat="false" ht="46.25" hidden="false" customHeight="false" outlineLevel="0" collapsed="false">
      <c r="A2367" s="13" t="s">
        <v>4</v>
      </c>
      <c r="B2367" s="13" t="s">
        <v>4108</v>
      </c>
      <c r="C2367" s="13" t="n">
        <v>183</v>
      </c>
      <c r="D2367" s="13" t="s">
        <v>9415</v>
      </c>
      <c r="E2367" s="13" t="s">
        <v>9420</v>
      </c>
      <c r="F2367" s="13" t="s">
        <v>9421</v>
      </c>
      <c r="G2367" s="13" t="s">
        <v>9422</v>
      </c>
      <c r="H2367" s="13" t="s">
        <v>4974</v>
      </c>
      <c r="I2367" s="13" t="s">
        <v>82</v>
      </c>
      <c r="J2367" s="13" t="s">
        <v>5716</v>
      </c>
      <c r="K2367" s="13"/>
      <c r="L2367" s="13" t="s">
        <v>9418</v>
      </c>
      <c r="M2367" s="13" t="s">
        <v>9419</v>
      </c>
    </row>
    <row r="2368" customFormat="false" ht="46.25" hidden="false" customHeight="false" outlineLevel="0" collapsed="false">
      <c r="A2368" s="13" t="s">
        <v>4</v>
      </c>
      <c r="B2368" s="13" t="s">
        <v>4108</v>
      </c>
      <c r="C2368" s="13" t="n">
        <v>183</v>
      </c>
      <c r="D2368" s="13" t="s">
        <v>9415</v>
      </c>
      <c r="E2368" s="13" t="s">
        <v>9423</v>
      </c>
      <c r="F2368" s="13" t="s">
        <v>9424</v>
      </c>
      <c r="G2368" s="13" t="s">
        <v>9422</v>
      </c>
      <c r="H2368" s="13" t="s">
        <v>4974</v>
      </c>
      <c r="I2368" s="13" t="s">
        <v>82</v>
      </c>
      <c r="J2368" s="13" t="s">
        <v>5716</v>
      </c>
      <c r="K2368" s="13"/>
      <c r="L2368" s="13" t="s">
        <v>9418</v>
      </c>
      <c r="M2368" s="13" t="s">
        <v>9419</v>
      </c>
    </row>
    <row r="2369" customFormat="false" ht="46.25" hidden="false" customHeight="false" outlineLevel="0" collapsed="false">
      <c r="A2369" s="13" t="s">
        <v>4</v>
      </c>
      <c r="B2369" s="13" t="s">
        <v>4108</v>
      </c>
      <c r="C2369" s="13" t="n">
        <v>183</v>
      </c>
      <c r="D2369" s="13" t="s">
        <v>9415</v>
      </c>
      <c r="E2369" s="13" t="s">
        <v>9425</v>
      </c>
      <c r="F2369" s="13" t="s">
        <v>4974</v>
      </c>
      <c r="G2369" s="13" t="s">
        <v>9426</v>
      </c>
      <c r="H2369" s="13" t="s">
        <v>9427</v>
      </c>
      <c r="I2369" s="13" t="s">
        <v>82</v>
      </c>
      <c r="J2369" s="13" t="s">
        <v>5716</v>
      </c>
      <c r="K2369" s="13"/>
      <c r="L2369" s="13" t="s">
        <v>9418</v>
      </c>
      <c r="M2369" s="13" t="s">
        <v>9419</v>
      </c>
    </row>
    <row r="2370" customFormat="false" ht="35.05" hidden="false" customHeight="false" outlineLevel="0" collapsed="false">
      <c r="A2370" s="13" t="s">
        <v>4</v>
      </c>
      <c r="B2370" s="13" t="s">
        <v>4108</v>
      </c>
      <c r="C2370" s="13" t="n">
        <v>193</v>
      </c>
      <c r="D2370" s="13" t="s">
        <v>9428</v>
      </c>
      <c r="E2370" s="13" t="s">
        <v>9429</v>
      </c>
      <c r="F2370" s="13" t="s">
        <v>5029</v>
      </c>
      <c r="G2370" s="13" t="s">
        <v>9430</v>
      </c>
      <c r="H2370" s="13" t="s">
        <v>9431</v>
      </c>
      <c r="I2370" s="13" t="s">
        <v>82</v>
      </c>
      <c r="J2370" s="13" t="s">
        <v>5716</v>
      </c>
      <c r="K2370" s="13"/>
      <c r="L2370" s="13" t="s">
        <v>9432</v>
      </c>
      <c r="M2370" s="13" t="s">
        <v>9433</v>
      </c>
    </row>
    <row r="2371" customFormat="false" ht="35.05" hidden="false" customHeight="false" outlineLevel="0" collapsed="false">
      <c r="A2371" s="13" t="s">
        <v>4</v>
      </c>
      <c r="B2371" s="13" t="s">
        <v>4108</v>
      </c>
      <c r="C2371" s="13" t="n">
        <v>193</v>
      </c>
      <c r="D2371" s="13" t="s">
        <v>9428</v>
      </c>
      <c r="E2371" s="13" t="s">
        <v>9434</v>
      </c>
      <c r="F2371" s="13" t="s">
        <v>5029</v>
      </c>
      <c r="G2371" s="13" t="s">
        <v>9435</v>
      </c>
      <c r="H2371" s="13" t="s">
        <v>9436</v>
      </c>
      <c r="I2371" s="13" t="s">
        <v>82</v>
      </c>
      <c r="J2371" s="13" t="s">
        <v>5716</v>
      </c>
      <c r="K2371" s="13"/>
      <c r="L2371" s="13" t="s">
        <v>9432</v>
      </c>
      <c r="M2371" s="13" t="s">
        <v>9433</v>
      </c>
    </row>
    <row r="2372" customFormat="false" ht="191.75" hidden="false" customHeight="false" outlineLevel="0" collapsed="false">
      <c r="A2372" s="13" t="s">
        <v>4</v>
      </c>
      <c r="B2372" s="13" t="s">
        <v>4108</v>
      </c>
      <c r="C2372" s="13" t="n">
        <v>193</v>
      </c>
      <c r="D2372" s="13" t="s">
        <v>9437</v>
      </c>
      <c r="E2372" s="13" t="s">
        <v>9438</v>
      </c>
      <c r="F2372" s="13" t="s">
        <v>5029</v>
      </c>
      <c r="G2372" s="13" t="s">
        <v>9439</v>
      </c>
      <c r="H2372" s="13" t="s">
        <v>9440</v>
      </c>
      <c r="I2372" s="13" t="s">
        <v>82</v>
      </c>
      <c r="J2372" s="13" t="s">
        <v>5716</v>
      </c>
      <c r="K2372" s="13"/>
      <c r="L2372" s="13" t="s">
        <v>9441</v>
      </c>
      <c r="M2372" s="13" t="s">
        <v>9442</v>
      </c>
    </row>
    <row r="2373" customFormat="false" ht="191.75" hidden="false" customHeight="false" outlineLevel="0" collapsed="false">
      <c r="A2373" s="13" t="s">
        <v>4</v>
      </c>
      <c r="B2373" s="13" t="s">
        <v>4108</v>
      </c>
      <c r="C2373" s="13" t="n">
        <v>193</v>
      </c>
      <c r="D2373" s="13" t="s">
        <v>9437</v>
      </c>
      <c r="E2373" s="13" t="s">
        <v>9443</v>
      </c>
      <c r="F2373" s="13" t="s">
        <v>5029</v>
      </c>
      <c r="G2373" s="13" t="s">
        <v>6909</v>
      </c>
      <c r="H2373" s="13" t="s">
        <v>1601</v>
      </c>
      <c r="I2373" s="13" t="s">
        <v>74</v>
      </c>
      <c r="J2373" s="13" t="s">
        <v>9444</v>
      </c>
      <c r="K2373" s="13" t="s">
        <v>9445</v>
      </c>
      <c r="L2373" s="13" t="s">
        <v>9441</v>
      </c>
      <c r="M2373" s="13" t="s">
        <v>9442</v>
      </c>
    </row>
    <row r="2374" customFormat="false" ht="191.75" hidden="false" customHeight="false" outlineLevel="0" collapsed="false">
      <c r="A2374" s="13" t="s">
        <v>4</v>
      </c>
      <c r="B2374" s="13" t="s">
        <v>4108</v>
      </c>
      <c r="C2374" s="13" t="n">
        <v>193</v>
      </c>
      <c r="D2374" s="13" t="s">
        <v>9437</v>
      </c>
      <c r="E2374" s="13" t="s">
        <v>9446</v>
      </c>
      <c r="F2374" s="13" t="s">
        <v>5029</v>
      </c>
      <c r="G2374" s="13" t="s">
        <v>9447</v>
      </c>
      <c r="H2374" s="13" t="s">
        <v>9448</v>
      </c>
      <c r="I2374" s="13" t="s">
        <v>82</v>
      </c>
      <c r="J2374" s="13" t="s">
        <v>5716</v>
      </c>
      <c r="K2374" s="13"/>
      <c r="L2374" s="13" t="s">
        <v>9441</v>
      </c>
      <c r="M2374" s="13" t="s">
        <v>9442</v>
      </c>
    </row>
    <row r="2375" customFormat="false" ht="191.75" hidden="false" customHeight="false" outlineLevel="0" collapsed="false">
      <c r="A2375" s="13" t="s">
        <v>4</v>
      </c>
      <c r="B2375" s="13" t="s">
        <v>4108</v>
      </c>
      <c r="C2375" s="13" t="n">
        <v>193</v>
      </c>
      <c r="D2375" s="13" t="s">
        <v>9437</v>
      </c>
      <c r="E2375" s="13" t="s">
        <v>9449</v>
      </c>
      <c r="F2375" s="13" t="s">
        <v>5029</v>
      </c>
      <c r="G2375" s="13" t="s">
        <v>9450</v>
      </c>
      <c r="H2375" s="13" t="s">
        <v>9451</v>
      </c>
      <c r="I2375" s="13" t="s">
        <v>82</v>
      </c>
      <c r="J2375" s="13" t="s">
        <v>5716</v>
      </c>
      <c r="K2375" s="13"/>
      <c r="L2375" s="13" t="s">
        <v>9441</v>
      </c>
      <c r="M2375" s="13" t="s">
        <v>9442</v>
      </c>
    </row>
    <row r="2376" customFormat="false" ht="35.05" hidden="false" customHeight="false" outlineLevel="0" collapsed="false">
      <c r="A2376" s="13" t="s">
        <v>4</v>
      </c>
      <c r="B2376" s="13" t="s">
        <v>4108</v>
      </c>
      <c r="C2376" s="13" t="n">
        <v>193</v>
      </c>
      <c r="D2376" s="13" t="s">
        <v>9452</v>
      </c>
      <c r="E2376" s="13" t="s">
        <v>9453</v>
      </c>
      <c r="F2376" s="13" t="s">
        <v>5029</v>
      </c>
      <c r="G2376" s="13" t="s">
        <v>9454</v>
      </c>
      <c r="H2376" s="13" t="s">
        <v>9455</v>
      </c>
      <c r="I2376" s="13" t="s">
        <v>82</v>
      </c>
      <c r="J2376" s="13" t="s">
        <v>5716</v>
      </c>
      <c r="K2376" s="13"/>
      <c r="L2376" s="13" t="s">
        <v>9456</v>
      </c>
      <c r="M2376" s="13" t="s">
        <v>9457</v>
      </c>
    </row>
    <row r="2377" customFormat="false" ht="35.05" hidden="false" customHeight="false" outlineLevel="0" collapsed="false">
      <c r="A2377" s="13" t="s">
        <v>4</v>
      </c>
      <c r="B2377" s="13" t="s">
        <v>4108</v>
      </c>
      <c r="C2377" s="13" t="n">
        <v>193</v>
      </c>
      <c r="D2377" s="13" t="s">
        <v>9452</v>
      </c>
      <c r="E2377" s="13" t="s">
        <v>9458</v>
      </c>
      <c r="F2377" s="13" t="s">
        <v>5029</v>
      </c>
      <c r="G2377" s="13" t="s">
        <v>9459</v>
      </c>
      <c r="H2377" s="13" t="s">
        <v>9460</v>
      </c>
      <c r="I2377" s="13" t="s">
        <v>82</v>
      </c>
      <c r="J2377" s="13" t="s">
        <v>5716</v>
      </c>
      <c r="K2377" s="13"/>
      <c r="L2377" s="13" t="s">
        <v>9456</v>
      </c>
      <c r="M2377" s="13" t="s">
        <v>9457</v>
      </c>
    </row>
    <row r="2378" customFormat="false" ht="68.65" hidden="false" customHeight="false" outlineLevel="0" collapsed="false">
      <c r="A2378" s="13" t="s">
        <v>4</v>
      </c>
      <c r="B2378" s="13" t="s">
        <v>4108</v>
      </c>
      <c r="C2378" s="13" t="n">
        <v>193</v>
      </c>
      <c r="D2378" s="13" t="s">
        <v>9461</v>
      </c>
      <c r="E2378" s="13" t="s">
        <v>9462</v>
      </c>
      <c r="F2378" s="13" t="s">
        <v>5029</v>
      </c>
      <c r="G2378" s="13" t="s">
        <v>9463</v>
      </c>
      <c r="H2378" s="13" t="s">
        <v>9464</v>
      </c>
      <c r="I2378" s="13" t="s">
        <v>82</v>
      </c>
      <c r="J2378" s="13" t="s">
        <v>5716</v>
      </c>
      <c r="K2378" s="13"/>
      <c r="L2378" s="13" t="s">
        <v>9465</v>
      </c>
      <c r="M2378" s="13" t="s">
        <v>9466</v>
      </c>
    </row>
    <row r="2379" customFormat="false" ht="68.65" hidden="false" customHeight="false" outlineLevel="0" collapsed="false">
      <c r="A2379" s="13" t="s">
        <v>4</v>
      </c>
      <c r="B2379" s="13" t="s">
        <v>4108</v>
      </c>
      <c r="C2379" s="13" t="n">
        <v>193</v>
      </c>
      <c r="D2379" s="13" t="s">
        <v>9461</v>
      </c>
      <c r="E2379" s="13" t="s">
        <v>9467</v>
      </c>
      <c r="F2379" s="13" t="s">
        <v>5029</v>
      </c>
      <c r="G2379" s="13" t="s">
        <v>9468</v>
      </c>
      <c r="H2379" s="13" t="s">
        <v>9469</v>
      </c>
      <c r="I2379" s="13" t="s">
        <v>82</v>
      </c>
      <c r="J2379" s="13" t="s">
        <v>5716</v>
      </c>
      <c r="K2379" s="13"/>
      <c r="L2379" s="13" t="s">
        <v>9465</v>
      </c>
      <c r="M2379" s="13" t="s">
        <v>9466</v>
      </c>
    </row>
    <row r="2380" customFormat="false" ht="68.65" hidden="false" customHeight="false" outlineLevel="0" collapsed="false">
      <c r="A2380" s="13" t="s">
        <v>4</v>
      </c>
      <c r="B2380" s="13" t="s">
        <v>4108</v>
      </c>
      <c r="C2380" s="13" t="n">
        <v>193</v>
      </c>
      <c r="D2380" s="13" t="s">
        <v>9461</v>
      </c>
      <c r="E2380" s="13" t="s">
        <v>9470</v>
      </c>
      <c r="F2380" s="13" t="s">
        <v>5029</v>
      </c>
      <c r="G2380" s="13" t="s">
        <v>9471</v>
      </c>
      <c r="H2380" s="13" t="s">
        <v>9472</v>
      </c>
      <c r="I2380" s="13" t="s">
        <v>82</v>
      </c>
      <c r="J2380" s="13" t="s">
        <v>5716</v>
      </c>
      <c r="K2380" s="13"/>
      <c r="L2380" s="13" t="s">
        <v>9465</v>
      </c>
      <c r="M2380" s="13" t="s">
        <v>9466</v>
      </c>
    </row>
    <row r="2381" customFormat="false" ht="46.25" hidden="false" customHeight="false" outlineLevel="0" collapsed="false">
      <c r="A2381" s="13" t="s">
        <v>4</v>
      </c>
      <c r="B2381" s="13" t="s">
        <v>4108</v>
      </c>
      <c r="C2381" s="13" t="n">
        <v>193</v>
      </c>
      <c r="D2381" s="13" t="s">
        <v>9473</v>
      </c>
      <c r="E2381" s="13" t="s">
        <v>9474</v>
      </c>
      <c r="F2381" s="13" t="s">
        <v>5029</v>
      </c>
      <c r="G2381" s="13" t="s">
        <v>9475</v>
      </c>
      <c r="H2381" s="13" t="s">
        <v>9476</v>
      </c>
      <c r="I2381" s="13" t="s">
        <v>114</v>
      </c>
      <c r="J2381" s="13" t="s">
        <v>9477</v>
      </c>
      <c r="K2381" s="13" t="s">
        <v>9478</v>
      </c>
      <c r="L2381" s="13" t="s">
        <v>9479</v>
      </c>
      <c r="M2381" s="13" t="s">
        <v>9480</v>
      </c>
    </row>
    <row r="2382" customFormat="false" ht="46.25" hidden="false" customHeight="false" outlineLevel="0" collapsed="false">
      <c r="A2382" s="13" t="s">
        <v>4</v>
      </c>
      <c r="B2382" s="13" t="s">
        <v>4108</v>
      </c>
      <c r="C2382" s="13" t="n">
        <v>193</v>
      </c>
      <c r="D2382" s="13" t="s">
        <v>9473</v>
      </c>
      <c r="E2382" s="13" t="s">
        <v>9481</v>
      </c>
      <c r="F2382" s="13" t="s">
        <v>9482</v>
      </c>
      <c r="G2382" s="13" t="s">
        <v>9483</v>
      </c>
      <c r="H2382" s="13" t="s">
        <v>9484</v>
      </c>
      <c r="I2382" s="13" t="s">
        <v>82</v>
      </c>
      <c r="J2382" s="13" t="s">
        <v>5716</v>
      </c>
      <c r="K2382" s="13"/>
      <c r="L2382" s="13" t="s">
        <v>9479</v>
      </c>
      <c r="M2382" s="13" t="s">
        <v>9480</v>
      </c>
    </row>
    <row r="2383" customFormat="false" ht="147" hidden="false" customHeight="false" outlineLevel="0" collapsed="false">
      <c r="A2383" s="13" t="s">
        <v>4</v>
      </c>
      <c r="B2383" s="13" t="s">
        <v>4108</v>
      </c>
      <c r="C2383" s="13" t="n">
        <v>234</v>
      </c>
      <c r="D2383" s="13" t="s">
        <v>9485</v>
      </c>
      <c r="E2383" s="13" t="s">
        <v>9486</v>
      </c>
      <c r="F2383" s="13" t="s">
        <v>806</v>
      </c>
      <c r="G2383" s="13" t="s">
        <v>971</v>
      </c>
      <c r="H2383" s="13" t="s">
        <v>9487</v>
      </c>
      <c r="I2383" s="13" t="s">
        <v>82</v>
      </c>
      <c r="J2383" s="13" t="s">
        <v>5716</v>
      </c>
      <c r="K2383" s="13"/>
      <c r="L2383" s="13" t="s">
        <v>9488</v>
      </c>
      <c r="M2383" s="13" t="s">
        <v>9489</v>
      </c>
    </row>
    <row r="2384" customFormat="false" ht="147" hidden="false" customHeight="false" outlineLevel="0" collapsed="false">
      <c r="A2384" s="13" t="s">
        <v>4</v>
      </c>
      <c r="B2384" s="13" t="s">
        <v>4108</v>
      </c>
      <c r="C2384" s="13" t="n">
        <v>234</v>
      </c>
      <c r="D2384" s="13" t="s">
        <v>9485</v>
      </c>
      <c r="E2384" s="13" t="s">
        <v>9490</v>
      </c>
      <c r="F2384" s="13" t="s">
        <v>9491</v>
      </c>
      <c r="G2384" s="13" t="s">
        <v>5699</v>
      </c>
      <c r="H2384" s="13" t="s">
        <v>9492</v>
      </c>
      <c r="I2384" s="13" t="s">
        <v>82</v>
      </c>
      <c r="J2384" s="13" t="s">
        <v>5716</v>
      </c>
      <c r="K2384" s="13"/>
      <c r="L2384" s="13" t="s">
        <v>9488</v>
      </c>
      <c r="M2384" s="13" t="s">
        <v>9489</v>
      </c>
    </row>
    <row r="2385" customFormat="false" ht="147" hidden="false" customHeight="false" outlineLevel="0" collapsed="false">
      <c r="A2385" s="13" t="s">
        <v>4</v>
      </c>
      <c r="B2385" s="13" t="s">
        <v>4108</v>
      </c>
      <c r="C2385" s="13" t="n">
        <v>234</v>
      </c>
      <c r="D2385" s="13" t="s">
        <v>9485</v>
      </c>
      <c r="E2385" s="13" t="s">
        <v>9493</v>
      </c>
      <c r="F2385" s="13" t="s">
        <v>9492</v>
      </c>
      <c r="G2385" s="13" t="s">
        <v>4482</v>
      </c>
      <c r="H2385" s="13" t="s">
        <v>9494</v>
      </c>
      <c r="I2385" s="13" t="s">
        <v>82</v>
      </c>
      <c r="J2385" s="13" t="s">
        <v>5716</v>
      </c>
      <c r="K2385" s="13"/>
      <c r="L2385" s="13" t="s">
        <v>9488</v>
      </c>
      <c r="M2385" s="13" t="s">
        <v>9489</v>
      </c>
    </row>
    <row r="2386" customFormat="false" ht="147" hidden="false" customHeight="false" outlineLevel="0" collapsed="false">
      <c r="A2386" s="13" t="s">
        <v>4</v>
      </c>
      <c r="B2386" s="13" t="s">
        <v>4108</v>
      </c>
      <c r="C2386" s="13" t="n">
        <v>234</v>
      </c>
      <c r="D2386" s="13" t="s">
        <v>9485</v>
      </c>
      <c r="E2386" s="13" t="s">
        <v>9495</v>
      </c>
      <c r="F2386" s="13" t="s">
        <v>9496</v>
      </c>
      <c r="G2386" s="13" t="s">
        <v>9497</v>
      </c>
      <c r="H2386" s="13" t="s">
        <v>9487</v>
      </c>
      <c r="I2386" s="13" t="s">
        <v>82</v>
      </c>
      <c r="J2386" s="13" t="s">
        <v>5716</v>
      </c>
      <c r="K2386" s="13"/>
      <c r="L2386" s="13" t="s">
        <v>9488</v>
      </c>
      <c r="M2386" s="13" t="s">
        <v>9489</v>
      </c>
    </row>
    <row r="2387" customFormat="false" ht="35.05" hidden="false" customHeight="false" outlineLevel="0" collapsed="false">
      <c r="A2387" s="13" t="s">
        <v>4</v>
      </c>
      <c r="B2387" s="13" t="s">
        <v>4108</v>
      </c>
      <c r="C2387" s="13" t="n">
        <v>234</v>
      </c>
      <c r="D2387" s="13" t="s">
        <v>9498</v>
      </c>
      <c r="E2387" s="13" t="s">
        <v>9499</v>
      </c>
      <c r="F2387" s="13" t="s">
        <v>9500</v>
      </c>
      <c r="G2387" s="13" t="s">
        <v>9501</v>
      </c>
      <c r="H2387" s="13" t="s">
        <v>9502</v>
      </c>
      <c r="I2387" s="13" t="s">
        <v>82</v>
      </c>
      <c r="J2387" s="13" t="s">
        <v>5716</v>
      </c>
      <c r="K2387" s="13"/>
      <c r="L2387" s="13" t="s">
        <v>9503</v>
      </c>
      <c r="M2387" s="13" t="s">
        <v>9504</v>
      </c>
    </row>
    <row r="2388" customFormat="false" ht="35.05" hidden="false" customHeight="false" outlineLevel="0" collapsed="false">
      <c r="A2388" s="13" t="s">
        <v>4</v>
      </c>
      <c r="B2388" s="13" t="s">
        <v>4108</v>
      </c>
      <c r="C2388" s="13" t="n">
        <v>234</v>
      </c>
      <c r="D2388" s="13" t="s">
        <v>9498</v>
      </c>
      <c r="E2388" s="13" t="s">
        <v>9505</v>
      </c>
      <c r="F2388" s="13" t="s">
        <v>806</v>
      </c>
      <c r="G2388" s="13" t="s">
        <v>7608</v>
      </c>
      <c r="H2388" s="13" t="s">
        <v>9500</v>
      </c>
      <c r="I2388" s="13" t="s">
        <v>82</v>
      </c>
      <c r="J2388" s="13" t="s">
        <v>5716</v>
      </c>
      <c r="K2388" s="13"/>
      <c r="L2388" s="13" t="s">
        <v>9503</v>
      </c>
      <c r="M2388" s="13" t="s">
        <v>9504</v>
      </c>
    </row>
    <row r="2389" customFormat="false" ht="46.25" hidden="false" customHeight="false" outlineLevel="0" collapsed="false">
      <c r="A2389" s="13" t="s">
        <v>4</v>
      </c>
      <c r="B2389" s="13" t="s">
        <v>4108</v>
      </c>
      <c r="C2389" s="13" t="n">
        <v>234</v>
      </c>
      <c r="D2389" s="13" t="s">
        <v>9506</v>
      </c>
      <c r="E2389" s="13" t="s">
        <v>9507</v>
      </c>
      <c r="F2389" s="13" t="s">
        <v>9508</v>
      </c>
      <c r="G2389" s="13" t="s">
        <v>1978</v>
      </c>
      <c r="H2389" s="13" t="s">
        <v>9509</v>
      </c>
      <c r="I2389" s="13" t="s">
        <v>82</v>
      </c>
      <c r="J2389" s="13" t="s">
        <v>5716</v>
      </c>
      <c r="K2389" s="13"/>
      <c r="L2389" s="13" t="s">
        <v>9510</v>
      </c>
      <c r="M2389" s="13" t="s">
        <v>9511</v>
      </c>
    </row>
    <row r="2390" customFormat="false" ht="46.25" hidden="false" customHeight="false" outlineLevel="0" collapsed="false">
      <c r="A2390" s="13" t="s">
        <v>4</v>
      </c>
      <c r="B2390" s="13" t="s">
        <v>4108</v>
      </c>
      <c r="C2390" s="13" t="n">
        <v>234</v>
      </c>
      <c r="D2390" s="13" t="s">
        <v>9506</v>
      </c>
      <c r="E2390" s="13" t="s">
        <v>9512</v>
      </c>
      <c r="F2390" s="13" t="s">
        <v>3349</v>
      </c>
      <c r="G2390" s="13" t="s">
        <v>7463</v>
      </c>
      <c r="H2390" s="13" t="s">
        <v>9513</v>
      </c>
      <c r="I2390" s="13" t="s">
        <v>82</v>
      </c>
      <c r="J2390" s="13" t="s">
        <v>5716</v>
      </c>
      <c r="K2390" s="13"/>
      <c r="L2390" s="13" t="s">
        <v>9510</v>
      </c>
      <c r="M2390" s="13" t="s">
        <v>9511</v>
      </c>
    </row>
    <row r="2391" customFormat="false" ht="135.8" hidden="false" customHeight="false" outlineLevel="0" collapsed="false">
      <c r="A2391" s="13" t="s">
        <v>4</v>
      </c>
      <c r="B2391" s="13" t="s">
        <v>4108</v>
      </c>
      <c r="C2391" s="13" t="n">
        <v>234</v>
      </c>
      <c r="D2391" s="13" t="s">
        <v>9514</v>
      </c>
      <c r="E2391" s="13" t="s">
        <v>9515</v>
      </c>
      <c r="F2391" s="13" t="s">
        <v>9516</v>
      </c>
      <c r="G2391" s="13" t="s">
        <v>9517</v>
      </c>
      <c r="H2391" s="13" t="s">
        <v>9518</v>
      </c>
      <c r="I2391" s="13" t="s">
        <v>82</v>
      </c>
      <c r="J2391" s="13" t="s">
        <v>5716</v>
      </c>
      <c r="K2391" s="13"/>
      <c r="L2391" s="13" t="s">
        <v>9519</v>
      </c>
      <c r="M2391" s="13" t="s">
        <v>9520</v>
      </c>
    </row>
    <row r="2392" customFormat="false" ht="135.8" hidden="false" customHeight="false" outlineLevel="0" collapsed="false">
      <c r="A2392" s="13" t="s">
        <v>4</v>
      </c>
      <c r="B2392" s="13" t="s">
        <v>4108</v>
      </c>
      <c r="C2392" s="13" t="n">
        <v>234</v>
      </c>
      <c r="D2392" s="13" t="s">
        <v>9514</v>
      </c>
      <c r="E2392" s="13" t="s">
        <v>9521</v>
      </c>
      <c r="F2392" s="13" t="s">
        <v>806</v>
      </c>
      <c r="G2392" s="13" t="s">
        <v>9522</v>
      </c>
      <c r="H2392" s="13" t="s">
        <v>9523</v>
      </c>
      <c r="I2392" s="13" t="s">
        <v>82</v>
      </c>
      <c r="J2392" s="13" t="s">
        <v>5716</v>
      </c>
      <c r="K2392" s="13"/>
      <c r="L2392" s="13" t="s">
        <v>9519</v>
      </c>
      <c r="M2392" s="13" t="s">
        <v>9520</v>
      </c>
    </row>
    <row r="2393" customFormat="false" ht="135.8" hidden="false" customHeight="false" outlineLevel="0" collapsed="false">
      <c r="A2393" s="13" t="s">
        <v>4</v>
      </c>
      <c r="B2393" s="13" t="s">
        <v>4108</v>
      </c>
      <c r="C2393" s="13" t="n">
        <v>234</v>
      </c>
      <c r="D2393" s="13" t="s">
        <v>9514</v>
      </c>
      <c r="E2393" s="13" t="s">
        <v>9524</v>
      </c>
      <c r="F2393" s="13" t="s">
        <v>9525</v>
      </c>
      <c r="G2393" s="13" t="s">
        <v>2430</v>
      </c>
      <c r="H2393" s="13" t="s">
        <v>9526</v>
      </c>
      <c r="I2393" s="13" t="s">
        <v>82</v>
      </c>
      <c r="J2393" s="13" t="s">
        <v>5716</v>
      </c>
      <c r="K2393" s="13"/>
      <c r="L2393" s="13" t="s">
        <v>9519</v>
      </c>
      <c r="M2393" s="13" t="s">
        <v>9520</v>
      </c>
    </row>
    <row r="2394" customFormat="false" ht="135.8" hidden="false" customHeight="false" outlineLevel="0" collapsed="false">
      <c r="A2394" s="13" t="s">
        <v>4</v>
      </c>
      <c r="B2394" s="13" t="s">
        <v>4108</v>
      </c>
      <c r="C2394" s="13" t="n">
        <v>234</v>
      </c>
      <c r="D2394" s="13" t="s">
        <v>9514</v>
      </c>
      <c r="E2394" s="13" t="s">
        <v>9527</v>
      </c>
      <c r="F2394" s="13" t="s">
        <v>9525</v>
      </c>
      <c r="G2394" s="13" t="s">
        <v>2430</v>
      </c>
      <c r="H2394" s="13" t="s">
        <v>9528</v>
      </c>
      <c r="I2394" s="13" t="s">
        <v>82</v>
      </c>
      <c r="J2394" s="13" t="s">
        <v>5716</v>
      </c>
      <c r="K2394" s="13"/>
      <c r="L2394" s="13" t="s">
        <v>9519</v>
      </c>
      <c r="M2394" s="13" t="s">
        <v>9520</v>
      </c>
    </row>
    <row r="2395" customFormat="false" ht="135.8" hidden="false" customHeight="false" outlineLevel="0" collapsed="false">
      <c r="A2395" s="13" t="s">
        <v>4</v>
      </c>
      <c r="B2395" s="13" t="s">
        <v>4108</v>
      </c>
      <c r="C2395" s="13" t="n">
        <v>234</v>
      </c>
      <c r="D2395" s="13" t="s">
        <v>9514</v>
      </c>
      <c r="E2395" s="13" t="s">
        <v>9529</v>
      </c>
      <c r="F2395" s="13" t="s">
        <v>9525</v>
      </c>
      <c r="G2395" s="13" t="s">
        <v>261</v>
      </c>
      <c r="H2395" s="13" t="s">
        <v>9530</v>
      </c>
      <c r="I2395" s="13" t="s">
        <v>82</v>
      </c>
      <c r="J2395" s="13" t="s">
        <v>5716</v>
      </c>
      <c r="K2395" s="13"/>
      <c r="L2395" s="13" t="s">
        <v>9519</v>
      </c>
      <c r="M2395" s="13" t="s">
        <v>9520</v>
      </c>
    </row>
    <row r="2396" customFormat="false" ht="135.8" hidden="false" customHeight="false" outlineLevel="0" collapsed="false">
      <c r="A2396" s="13" t="s">
        <v>4</v>
      </c>
      <c r="B2396" s="13" t="s">
        <v>4108</v>
      </c>
      <c r="C2396" s="13" t="n">
        <v>234</v>
      </c>
      <c r="D2396" s="13" t="s">
        <v>9514</v>
      </c>
      <c r="E2396" s="13" t="s">
        <v>9531</v>
      </c>
      <c r="F2396" s="13" t="s">
        <v>9532</v>
      </c>
      <c r="G2396" s="13" t="s">
        <v>9533</v>
      </c>
      <c r="H2396" s="13" t="s">
        <v>9534</v>
      </c>
      <c r="I2396" s="13" t="s">
        <v>82</v>
      </c>
      <c r="J2396" s="13" t="s">
        <v>5716</v>
      </c>
      <c r="K2396" s="13"/>
      <c r="L2396" s="13" t="s">
        <v>9519</v>
      </c>
      <c r="M2396" s="13" t="s">
        <v>9520</v>
      </c>
    </row>
    <row r="2397" customFormat="false" ht="46.25" hidden="false" customHeight="false" outlineLevel="0" collapsed="false">
      <c r="A2397" s="13" t="s">
        <v>4</v>
      </c>
      <c r="B2397" s="13" t="s">
        <v>4108</v>
      </c>
      <c r="C2397" s="13" t="n">
        <v>234</v>
      </c>
      <c r="D2397" s="13" t="s">
        <v>9535</v>
      </c>
      <c r="E2397" s="13" t="s">
        <v>9536</v>
      </c>
      <c r="F2397" s="13" t="s">
        <v>3349</v>
      </c>
      <c r="G2397" s="13" t="s">
        <v>9537</v>
      </c>
      <c r="H2397" s="13" t="s">
        <v>9538</v>
      </c>
      <c r="I2397" s="13" t="s">
        <v>82</v>
      </c>
      <c r="J2397" s="13" t="s">
        <v>5716</v>
      </c>
      <c r="K2397" s="13"/>
      <c r="L2397" s="13" t="s">
        <v>9539</v>
      </c>
      <c r="M2397" s="13" t="s">
        <v>9540</v>
      </c>
    </row>
    <row r="2398" customFormat="false" ht="46.25" hidden="false" customHeight="false" outlineLevel="0" collapsed="false">
      <c r="A2398" s="13" t="s">
        <v>4</v>
      </c>
      <c r="B2398" s="13" t="s">
        <v>4108</v>
      </c>
      <c r="C2398" s="13" t="n">
        <v>234</v>
      </c>
      <c r="D2398" s="13" t="s">
        <v>9535</v>
      </c>
      <c r="E2398" s="13" t="s">
        <v>9541</v>
      </c>
      <c r="F2398" s="13" t="s">
        <v>9538</v>
      </c>
      <c r="G2398" s="13" t="s">
        <v>9542</v>
      </c>
      <c r="H2398" s="13" t="s">
        <v>9532</v>
      </c>
      <c r="I2398" s="13" t="s">
        <v>82</v>
      </c>
      <c r="J2398" s="13" t="s">
        <v>5716</v>
      </c>
      <c r="K2398" s="13"/>
      <c r="L2398" s="13" t="s">
        <v>9539</v>
      </c>
      <c r="M2398" s="13" t="s">
        <v>9540</v>
      </c>
    </row>
    <row r="2399" customFormat="false" ht="46.25" hidden="false" customHeight="false" outlineLevel="0" collapsed="false">
      <c r="A2399" s="13" t="s">
        <v>4</v>
      </c>
      <c r="B2399" s="13" t="s">
        <v>4108</v>
      </c>
      <c r="C2399" s="13" t="n">
        <v>234</v>
      </c>
      <c r="D2399" s="13" t="s">
        <v>9535</v>
      </c>
      <c r="E2399" s="13" t="s">
        <v>9543</v>
      </c>
      <c r="F2399" s="13" t="s">
        <v>1784</v>
      </c>
      <c r="G2399" s="13" t="s">
        <v>9544</v>
      </c>
      <c r="H2399" s="13" t="s">
        <v>9532</v>
      </c>
      <c r="I2399" s="13" t="s">
        <v>82</v>
      </c>
      <c r="J2399" s="13" t="s">
        <v>5716</v>
      </c>
      <c r="K2399" s="13"/>
      <c r="L2399" s="13" t="s">
        <v>9539</v>
      </c>
      <c r="M2399" s="13" t="s">
        <v>9540</v>
      </c>
    </row>
    <row r="2400" customFormat="false" ht="46.25" hidden="false" customHeight="false" outlineLevel="0" collapsed="false">
      <c r="A2400" s="13" t="s">
        <v>4</v>
      </c>
      <c r="B2400" s="13" t="s">
        <v>4108</v>
      </c>
      <c r="C2400" s="13" t="n">
        <v>234</v>
      </c>
      <c r="D2400" s="13" t="s">
        <v>9535</v>
      </c>
      <c r="E2400" s="13" t="s">
        <v>9545</v>
      </c>
      <c r="F2400" s="13" t="s">
        <v>1784</v>
      </c>
      <c r="G2400" s="13" t="s">
        <v>8747</v>
      </c>
      <c r="H2400" s="13" t="s">
        <v>806</v>
      </c>
      <c r="I2400" s="13" t="s">
        <v>82</v>
      </c>
      <c r="J2400" s="13" t="s">
        <v>5716</v>
      </c>
      <c r="K2400" s="13"/>
      <c r="L2400" s="13" t="s">
        <v>9539</v>
      </c>
      <c r="M2400" s="13" t="s">
        <v>9540</v>
      </c>
    </row>
    <row r="2401" customFormat="false" ht="23.85" hidden="false" customHeight="false" outlineLevel="0" collapsed="false">
      <c r="A2401" s="13" t="s">
        <v>4</v>
      </c>
      <c r="B2401" s="13" t="s">
        <v>4108</v>
      </c>
      <c r="C2401" s="13" t="n">
        <v>234</v>
      </c>
      <c r="D2401" s="13" t="s">
        <v>9546</v>
      </c>
      <c r="E2401" s="13" t="s">
        <v>9547</v>
      </c>
      <c r="F2401" s="13" t="s">
        <v>806</v>
      </c>
      <c r="G2401" s="13" t="s">
        <v>9548</v>
      </c>
      <c r="H2401" s="13" t="s">
        <v>9549</v>
      </c>
      <c r="I2401" s="13" t="s">
        <v>82</v>
      </c>
      <c r="J2401" s="13" t="s">
        <v>5716</v>
      </c>
      <c r="K2401" s="13"/>
      <c r="L2401" s="13" t="s">
        <v>9550</v>
      </c>
      <c r="M2401" s="13" t="s">
        <v>9551</v>
      </c>
    </row>
    <row r="2402" customFormat="false" ht="57.45" hidden="false" customHeight="false" outlineLevel="0" collapsed="false">
      <c r="A2402" s="13" t="s">
        <v>4</v>
      </c>
      <c r="B2402" s="13" t="s">
        <v>4108</v>
      </c>
      <c r="C2402" s="13" t="n">
        <v>234</v>
      </c>
      <c r="D2402" s="13" t="s">
        <v>9552</v>
      </c>
      <c r="E2402" s="13" t="s">
        <v>9553</v>
      </c>
      <c r="F2402" s="13" t="s">
        <v>9554</v>
      </c>
      <c r="G2402" s="13" t="s">
        <v>9555</v>
      </c>
      <c r="H2402" s="13" t="s">
        <v>9556</v>
      </c>
      <c r="I2402" s="13" t="s">
        <v>74</v>
      </c>
      <c r="J2402" s="13" t="s">
        <v>9557</v>
      </c>
      <c r="K2402" s="13" t="s">
        <v>9558</v>
      </c>
      <c r="L2402" s="13" t="s">
        <v>9559</v>
      </c>
      <c r="M2402" s="13" t="s">
        <v>9560</v>
      </c>
    </row>
    <row r="2403" customFormat="false" ht="57.45" hidden="false" customHeight="false" outlineLevel="0" collapsed="false">
      <c r="A2403" s="13" t="s">
        <v>4</v>
      </c>
      <c r="B2403" s="13" t="s">
        <v>4108</v>
      </c>
      <c r="C2403" s="13" t="n">
        <v>234</v>
      </c>
      <c r="D2403" s="13" t="s">
        <v>9552</v>
      </c>
      <c r="E2403" s="13" t="s">
        <v>9561</v>
      </c>
      <c r="F2403" s="13" t="s">
        <v>9556</v>
      </c>
      <c r="G2403" s="13" t="s">
        <v>9562</v>
      </c>
      <c r="H2403" s="13" t="s">
        <v>9554</v>
      </c>
      <c r="I2403" s="13" t="s">
        <v>74</v>
      </c>
      <c r="J2403" s="13" t="s">
        <v>9563</v>
      </c>
      <c r="K2403" s="13" t="s">
        <v>9564</v>
      </c>
      <c r="L2403" s="13" t="s">
        <v>9559</v>
      </c>
      <c r="M2403" s="13" t="s">
        <v>9560</v>
      </c>
    </row>
    <row r="2404" customFormat="false" ht="57.45" hidden="false" customHeight="false" outlineLevel="0" collapsed="false">
      <c r="A2404" s="13" t="s">
        <v>4</v>
      </c>
      <c r="B2404" s="13" t="s">
        <v>4108</v>
      </c>
      <c r="C2404" s="13" t="n">
        <v>234</v>
      </c>
      <c r="D2404" s="13" t="s">
        <v>9552</v>
      </c>
      <c r="E2404" s="13" t="s">
        <v>9565</v>
      </c>
      <c r="F2404" s="13" t="s">
        <v>9566</v>
      </c>
      <c r="G2404" s="13" t="s">
        <v>2430</v>
      </c>
      <c r="H2404" s="13" t="s">
        <v>9567</v>
      </c>
      <c r="I2404" s="13" t="s">
        <v>82</v>
      </c>
      <c r="J2404" s="13" t="s">
        <v>5716</v>
      </c>
      <c r="K2404" s="13"/>
      <c r="L2404" s="13" t="s">
        <v>9559</v>
      </c>
      <c r="M2404" s="13" t="s">
        <v>9560</v>
      </c>
    </row>
    <row r="2405" customFormat="false" ht="57.45" hidden="false" customHeight="false" outlineLevel="0" collapsed="false">
      <c r="A2405" s="13" t="s">
        <v>4</v>
      </c>
      <c r="B2405" s="13" t="s">
        <v>4108</v>
      </c>
      <c r="C2405" s="13" t="n">
        <v>234</v>
      </c>
      <c r="D2405" s="13" t="s">
        <v>9568</v>
      </c>
      <c r="E2405" s="13" t="s">
        <v>9569</v>
      </c>
      <c r="F2405" s="13" t="s">
        <v>9570</v>
      </c>
      <c r="G2405" s="13" t="s">
        <v>1978</v>
      </c>
      <c r="H2405" s="13" t="s">
        <v>9571</v>
      </c>
      <c r="I2405" s="13" t="s">
        <v>82</v>
      </c>
      <c r="J2405" s="13" t="s">
        <v>5716</v>
      </c>
      <c r="K2405" s="13"/>
      <c r="L2405" s="13" t="s">
        <v>9572</v>
      </c>
      <c r="M2405" s="13" t="s">
        <v>9573</v>
      </c>
    </row>
    <row r="2406" customFormat="false" ht="57.45" hidden="false" customHeight="false" outlineLevel="0" collapsed="false">
      <c r="A2406" s="13" t="s">
        <v>4</v>
      </c>
      <c r="B2406" s="13" t="s">
        <v>4108</v>
      </c>
      <c r="C2406" s="13" t="n">
        <v>234</v>
      </c>
      <c r="D2406" s="13" t="s">
        <v>9568</v>
      </c>
      <c r="E2406" s="13" t="s">
        <v>9574</v>
      </c>
      <c r="F2406" s="13" t="s">
        <v>9575</v>
      </c>
      <c r="G2406" s="13" t="s">
        <v>7463</v>
      </c>
      <c r="H2406" s="13" t="s">
        <v>9570</v>
      </c>
      <c r="I2406" s="13" t="s">
        <v>74</v>
      </c>
      <c r="J2406" s="13" t="s">
        <v>9576</v>
      </c>
      <c r="K2406" s="13" t="s">
        <v>9577</v>
      </c>
      <c r="L2406" s="13" t="s">
        <v>9572</v>
      </c>
      <c r="M2406" s="13" t="s">
        <v>9573</v>
      </c>
    </row>
    <row r="2407" customFormat="false" ht="57.45" hidden="false" customHeight="false" outlineLevel="0" collapsed="false">
      <c r="A2407" s="13" t="s">
        <v>4</v>
      </c>
      <c r="B2407" s="13" t="s">
        <v>4108</v>
      </c>
      <c r="C2407" s="13" t="n">
        <v>234</v>
      </c>
      <c r="D2407" s="13" t="s">
        <v>9568</v>
      </c>
      <c r="E2407" s="13" t="s">
        <v>9578</v>
      </c>
      <c r="F2407" s="13" t="s">
        <v>9566</v>
      </c>
      <c r="G2407" s="13" t="s">
        <v>4482</v>
      </c>
      <c r="H2407" s="13" t="s">
        <v>9579</v>
      </c>
      <c r="I2407" s="13" t="s">
        <v>82</v>
      </c>
      <c r="J2407" s="13" t="s">
        <v>5716</v>
      </c>
      <c r="K2407" s="13"/>
      <c r="L2407" s="13" t="s">
        <v>9572</v>
      </c>
      <c r="M2407" s="13" t="s">
        <v>9573</v>
      </c>
    </row>
    <row r="2408" customFormat="false" ht="23.85" hidden="false" customHeight="false" outlineLevel="0" collapsed="false">
      <c r="A2408" s="13" t="s">
        <v>4</v>
      </c>
      <c r="B2408" s="13" t="s">
        <v>4108</v>
      </c>
      <c r="C2408" s="13" t="n">
        <v>238</v>
      </c>
      <c r="D2408" s="13" t="s">
        <v>9580</v>
      </c>
      <c r="E2408" s="13" t="s">
        <v>9581</v>
      </c>
      <c r="F2408" s="13" t="s">
        <v>9582</v>
      </c>
      <c r="G2408" s="13" t="s">
        <v>9583</v>
      </c>
      <c r="H2408" s="13" t="s">
        <v>9584</v>
      </c>
      <c r="I2408" s="13" t="s">
        <v>82</v>
      </c>
      <c r="J2408" s="13" t="s">
        <v>5716</v>
      </c>
      <c r="K2408" s="13"/>
      <c r="L2408" s="13" t="s">
        <v>9585</v>
      </c>
      <c r="M2408" s="13" t="s">
        <v>9586</v>
      </c>
    </row>
    <row r="2409" customFormat="false" ht="35.05" hidden="false" customHeight="false" outlineLevel="0" collapsed="false">
      <c r="A2409" s="13" t="s">
        <v>4</v>
      </c>
      <c r="B2409" s="13" t="s">
        <v>4108</v>
      </c>
      <c r="C2409" s="13" t="n">
        <v>238</v>
      </c>
      <c r="D2409" s="13" t="s">
        <v>9587</v>
      </c>
      <c r="E2409" s="13" t="s">
        <v>9588</v>
      </c>
      <c r="F2409" s="13" t="s">
        <v>806</v>
      </c>
      <c r="G2409" s="13" t="s">
        <v>1587</v>
      </c>
      <c r="H2409" s="13" t="s">
        <v>9589</v>
      </c>
      <c r="I2409" s="13" t="s">
        <v>82</v>
      </c>
      <c r="J2409" s="13" t="s">
        <v>5716</v>
      </c>
      <c r="K2409" s="13"/>
      <c r="L2409" s="13" t="s">
        <v>9590</v>
      </c>
      <c r="M2409" s="13" t="s">
        <v>9591</v>
      </c>
    </row>
    <row r="2410" customFormat="false" ht="46.25" hidden="false" customHeight="false" outlineLevel="0" collapsed="false">
      <c r="A2410" s="13" t="s">
        <v>4</v>
      </c>
      <c r="B2410" s="13" t="s">
        <v>4108</v>
      </c>
      <c r="C2410" s="13" t="n">
        <v>238</v>
      </c>
      <c r="D2410" s="13" t="s">
        <v>9592</v>
      </c>
      <c r="E2410" s="13" t="s">
        <v>9593</v>
      </c>
      <c r="F2410" s="13" t="s">
        <v>806</v>
      </c>
      <c r="G2410" s="13" t="s">
        <v>9594</v>
      </c>
      <c r="H2410" s="13" t="s">
        <v>9595</v>
      </c>
      <c r="I2410" s="13" t="s">
        <v>114</v>
      </c>
      <c r="J2410" s="13" t="s">
        <v>9596</v>
      </c>
      <c r="K2410" s="13" t="s">
        <v>9597</v>
      </c>
      <c r="L2410" s="13" t="s">
        <v>9598</v>
      </c>
      <c r="M2410" s="13" t="s">
        <v>9599</v>
      </c>
    </row>
    <row r="2411" customFormat="false" ht="23.85" hidden="false" customHeight="false" outlineLevel="0" collapsed="false">
      <c r="A2411" s="13" t="s">
        <v>4</v>
      </c>
      <c r="B2411" s="13" t="s">
        <v>4108</v>
      </c>
      <c r="C2411" s="13" t="n">
        <v>238</v>
      </c>
      <c r="D2411" s="13" t="s">
        <v>9600</v>
      </c>
      <c r="E2411" s="13" t="s">
        <v>9601</v>
      </c>
      <c r="F2411" s="13" t="s">
        <v>9602</v>
      </c>
      <c r="G2411" s="13" t="s">
        <v>5699</v>
      </c>
      <c r="H2411" s="13" t="s">
        <v>9603</v>
      </c>
      <c r="I2411" s="13" t="s">
        <v>82</v>
      </c>
      <c r="J2411" s="13" t="s">
        <v>5716</v>
      </c>
      <c r="K2411" s="13"/>
      <c r="L2411" s="13" t="s">
        <v>9604</v>
      </c>
      <c r="M2411" s="13" t="s">
        <v>9605</v>
      </c>
    </row>
    <row r="2412" customFormat="false" ht="79.85" hidden="false" customHeight="false" outlineLevel="0" collapsed="false">
      <c r="A2412" s="13" t="s">
        <v>4</v>
      </c>
      <c r="B2412" s="13" t="s">
        <v>4108</v>
      </c>
      <c r="C2412" s="13" t="n">
        <v>238</v>
      </c>
      <c r="D2412" s="13" t="s">
        <v>9606</v>
      </c>
      <c r="E2412" s="13" t="s">
        <v>9607</v>
      </c>
      <c r="F2412" s="13" t="s">
        <v>806</v>
      </c>
      <c r="G2412" s="13" t="s">
        <v>9608</v>
      </c>
      <c r="H2412" s="13" t="s">
        <v>9609</v>
      </c>
      <c r="I2412" s="13" t="s">
        <v>82</v>
      </c>
      <c r="J2412" s="13" t="s">
        <v>5716</v>
      </c>
      <c r="K2412" s="13"/>
      <c r="L2412" s="13" t="s">
        <v>9610</v>
      </c>
      <c r="M2412" s="13" t="s">
        <v>9611</v>
      </c>
    </row>
    <row r="2413" customFormat="false" ht="79.85" hidden="false" customHeight="false" outlineLevel="0" collapsed="false">
      <c r="A2413" s="13" t="s">
        <v>4</v>
      </c>
      <c r="B2413" s="13" t="s">
        <v>4108</v>
      </c>
      <c r="C2413" s="13" t="n">
        <v>238</v>
      </c>
      <c r="D2413" s="13" t="s">
        <v>9606</v>
      </c>
      <c r="E2413" s="13" t="s">
        <v>9612</v>
      </c>
      <c r="F2413" s="13" t="s">
        <v>806</v>
      </c>
      <c r="G2413" s="13" t="s">
        <v>1777</v>
      </c>
      <c r="H2413" s="13" t="s">
        <v>9613</v>
      </c>
      <c r="I2413" s="13" t="s">
        <v>114</v>
      </c>
      <c r="J2413" s="13" t="s">
        <v>9614</v>
      </c>
      <c r="K2413" s="13" t="s">
        <v>9615</v>
      </c>
      <c r="L2413" s="13" t="s">
        <v>9610</v>
      </c>
      <c r="M2413" s="13" t="s">
        <v>9611</v>
      </c>
    </row>
    <row r="2414" customFormat="false" ht="79.85" hidden="false" customHeight="false" outlineLevel="0" collapsed="false">
      <c r="A2414" s="13" t="s">
        <v>4</v>
      </c>
      <c r="B2414" s="13" t="s">
        <v>4108</v>
      </c>
      <c r="C2414" s="13" t="n">
        <v>238</v>
      </c>
      <c r="D2414" s="13" t="s">
        <v>9606</v>
      </c>
      <c r="E2414" s="13" t="s">
        <v>9616</v>
      </c>
      <c r="F2414" s="13" t="s">
        <v>806</v>
      </c>
      <c r="G2414" s="13" t="s">
        <v>9617</v>
      </c>
      <c r="H2414" s="13" t="s">
        <v>9613</v>
      </c>
      <c r="I2414" s="13" t="s">
        <v>82</v>
      </c>
      <c r="J2414" s="13" t="s">
        <v>5716</v>
      </c>
      <c r="K2414" s="13"/>
      <c r="L2414" s="13" t="s">
        <v>9610</v>
      </c>
      <c r="M2414" s="13" t="s">
        <v>9611</v>
      </c>
    </row>
    <row r="2415" customFormat="false" ht="57.45" hidden="false" customHeight="false" outlineLevel="0" collapsed="false">
      <c r="A2415" s="13" t="s">
        <v>4</v>
      </c>
      <c r="B2415" s="13" t="s">
        <v>4108</v>
      </c>
      <c r="C2415" s="13" t="n">
        <v>238</v>
      </c>
      <c r="D2415" s="13" t="s">
        <v>9618</v>
      </c>
      <c r="E2415" s="13" t="s">
        <v>9619</v>
      </c>
      <c r="F2415" s="13" t="s">
        <v>9620</v>
      </c>
      <c r="G2415" s="13" t="s">
        <v>9621</v>
      </c>
      <c r="H2415" s="13" t="s">
        <v>9622</v>
      </c>
      <c r="I2415" s="13" t="s">
        <v>82</v>
      </c>
      <c r="J2415" s="13" t="s">
        <v>5716</v>
      </c>
      <c r="K2415" s="13"/>
      <c r="L2415" s="13" t="s">
        <v>9623</v>
      </c>
      <c r="M2415" s="13" t="s">
        <v>9624</v>
      </c>
    </row>
    <row r="2416" customFormat="false" ht="57.45" hidden="false" customHeight="false" outlineLevel="0" collapsed="false">
      <c r="A2416" s="13" t="s">
        <v>4</v>
      </c>
      <c r="B2416" s="13" t="s">
        <v>4108</v>
      </c>
      <c r="C2416" s="13" t="n">
        <v>238</v>
      </c>
      <c r="D2416" s="13" t="s">
        <v>9618</v>
      </c>
      <c r="E2416" s="13" t="s">
        <v>9625</v>
      </c>
      <c r="F2416" s="13" t="s">
        <v>806</v>
      </c>
      <c r="G2416" s="13" t="s">
        <v>9626</v>
      </c>
      <c r="H2416" s="13" t="s">
        <v>9627</v>
      </c>
      <c r="I2416" s="13" t="s">
        <v>82</v>
      </c>
      <c r="J2416" s="13" t="s">
        <v>5716</v>
      </c>
      <c r="K2416" s="13"/>
      <c r="L2416" s="13" t="s">
        <v>9623</v>
      </c>
      <c r="M2416" s="13" t="s">
        <v>9624</v>
      </c>
    </row>
    <row r="2417" customFormat="false" ht="23.85" hidden="false" customHeight="false" outlineLevel="0" collapsed="false">
      <c r="A2417" s="13" t="s">
        <v>4</v>
      </c>
      <c r="B2417" s="13" t="s">
        <v>4108</v>
      </c>
      <c r="C2417" s="13" t="n">
        <v>238</v>
      </c>
      <c r="D2417" s="13" t="s">
        <v>9628</v>
      </c>
      <c r="E2417" s="13" t="s">
        <v>9629</v>
      </c>
      <c r="F2417" s="13" t="s">
        <v>9630</v>
      </c>
      <c r="G2417" s="13" t="s">
        <v>9631</v>
      </c>
      <c r="H2417" s="13" t="s">
        <v>9632</v>
      </c>
      <c r="I2417" s="13" t="s">
        <v>82</v>
      </c>
      <c r="J2417" s="13" t="s">
        <v>5716</v>
      </c>
      <c r="K2417" s="13"/>
      <c r="L2417" s="13" t="s">
        <v>9633</v>
      </c>
      <c r="M2417" s="13" t="s">
        <v>9634</v>
      </c>
    </row>
    <row r="2418" customFormat="false" ht="23.85" hidden="false" customHeight="false" outlineLevel="0" collapsed="false">
      <c r="A2418" s="13" t="s">
        <v>4</v>
      </c>
      <c r="B2418" s="13" t="s">
        <v>4108</v>
      </c>
      <c r="C2418" s="13" t="n">
        <v>238</v>
      </c>
      <c r="D2418" s="13" t="s">
        <v>9635</v>
      </c>
      <c r="E2418" s="13" t="s">
        <v>9636</v>
      </c>
      <c r="F2418" s="13" t="s">
        <v>9637</v>
      </c>
      <c r="G2418" s="13" t="s">
        <v>9631</v>
      </c>
      <c r="H2418" s="13" t="s">
        <v>9638</v>
      </c>
      <c r="I2418" s="13" t="s">
        <v>82</v>
      </c>
      <c r="J2418" s="13" t="s">
        <v>5716</v>
      </c>
      <c r="K2418" s="13"/>
      <c r="L2418" s="13" t="s">
        <v>9639</v>
      </c>
      <c r="M2418" s="13" t="s">
        <v>9640</v>
      </c>
    </row>
    <row r="2419" customFormat="false" ht="23.85" hidden="false" customHeight="false" outlineLevel="0" collapsed="false">
      <c r="A2419" s="13" t="s">
        <v>4</v>
      </c>
      <c r="B2419" s="13" t="s">
        <v>4108</v>
      </c>
      <c r="C2419" s="13" t="n">
        <v>238</v>
      </c>
      <c r="D2419" s="13" t="s">
        <v>9641</v>
      </c>
      <c r="E2419" s="13" t="s">
        <v>9642</v>
      </c>
      <c r="F2419" s="13" t="s">
        <v>9637</v>
      </c>
      <c r="G2419" s="13" t="s">
        <v>9643</v>
      </c>
      <c r="H2419" s="13" t="s">
        <v>9644</v>
      </c>
      <c r="I2419" s="13" t="s">
        <v>82</v>
      </c>
      <c r="J2419" s="13" t="s">
        <v>5716</v>
      </c>
      <c r="K2419" s="13"/>
      <c r="L2419" s="13" t="s">
        <v>9645</v>
      </c>
      <c r="M2419" s="13" t="s">
        <v>9646</v>
      </c>
    </row>
    <row r="2420" customFormat="false" ht="35.05" hidden="false" customHeight="false" outlineLevel="0" collapsed="false">
      <c r="A2420" s="13" t="s">
        <v>4</v>
      </c>
      <c r="B2420" s="13" t="s">
        <v>4108</v>
      </c>
      <c r="C2420" s="13" t="n">
        <v>238</v>
      </c>
      <c r="D2420" s="13" t="s">
        <v>9647</v>
      </c>
      <c r="E2420" s="13" t="s">
        <v>9648</v>
      </c>
      <c r="F2420" s="13" t="s">
        <v>9637</v>
      </c>
      <c r="G2420" s="13" t="s">
        <v>9649</v>
      </c>
      <c r="H2420" s="13" t="s">
        <v>9650</v>
      </c>
      <c r="I2420" s="13" t="s">
        <v>82</v>
      </c>
      <c r="J2420" s="13" t="s">
        <v>5716</v>
      </c>
      <c r="K2420" s="13"/>
      <c r="L2420" s="13" t="s">
        <v>9651</v>
      </c>
      <c r="M2420" s="13" t="s">
        <v>9652</v>
      </c>
    </row>
    <row r="2421" customFormat="false" ht="46.25" hidden="false" customHeight="false" outlineLevel="0" collapsed="false">
      <c r="A2421" s="13" t="s">
        <v>4</v>
      </c>
      <c r="B2421" s="13" t="s">
        <v>4108</v>
      </c>
      <c r="C2421" s="13" t="n">
        <v>258</v>
      </c>
      <c r="D2421" s="13" t="s">
        <v>9653</v>
      </c>
      <c r="E2421" s="13" t="s">
        <v>9654</v>
      </c>
      <c r="F2421" s="13" t="s">
        <v>806</v>
      </c>
      <c r="G2421" s="13" t="s">
        <v>9655</v>
      </c>
      <c r="H2421" s="13" t="s">
        <v>9656</v>
      </c>
      <c r="I2421" s="13" t="s">
        <v>82</v>
      </c>
      <c r="J2421" s="13" t="s">
        <v>5716</v>
      </c>
      <c r="K2421" s="13"/>
      <c r="L2421" s="13" t="s">
        <v>9657</v>
      </c>
      <c r="M2421" s="13" t="s">
        <v>9658</v>
      </c>
    </row>
    <row r="2422" customFormat="false" ht="46.25" hidden="false" customHeight="false" outlineLevel="0" collapsed="false">
      <c r="A2422" s="13" t="s">
        <v>4</v>
      </c>
      <c r="B2422" s="13" t="s">
        <v>4108</v>
      </c>
      <c r="C2422" s="13" t="n">
        <v>258</v>
      </c>
      <c r="D2422" s="13" t="s">
        <v>9653</v>
      </c>
      <c r="E2422" s="13" t="s">
        <v>9659</v>
      </c>
      <c r="F2422" s="13" t="s">
        <v>9660</v>
      </c>
      <c r="G2422" s="13" t="s">
        <v>9661</v>
      </c>
      <c r="H2422" s="13" t="s">
        <v>806</v>
      </c>
      <c r="I2422" s="13" t="s">
        <v>82</v>
      </c>
      <c r="J2422" s="13" t="s">
        <v>5716</v>
      </c>
      <c r="K2422" s="13"/>
      <c r="L2422" s="13" t="s">
        <v>9657</v>
      </c>
      <c r="M2422" s="13" t="s">
        <v>9658</v>
      </c>
    </row>
    <row r="2423" customFormat="false" ht="46.25" hidden="false" customHeight="false" outlineLevel="0" collapsed="false">
      <c r="A2423" s="13" t="s">
        <v>4</v>
      </c>
      <c r="B2423" s="13" t="s">
        <v>4108</v>
      </c>
      <c r="C2423" s="13" t="n">
        <v>258</v>
      </c>
      <c r="D2423" s="13" t="s">
        <v>9653</v>
      </c>
      <c r="E2423" s="13" t="s">
        <v>9662</v>
      </c>
      <c r="F2423" s="13" t="s">
        <v>806</v>
      </c>
      <c r="G2423" s="13" t="s">
        <v>9663</v>
      </c>
      <c r="H2423" s="13" t="s">
        <v>9656</v>
      </c>
      <c r="I2423" s="13" t="s">
        <v>82</v>
      </c>
      <c r="J2423" s="13" t="s">
        <v>5716</v>
      </c>
      <c r="K2423" s="13"/>
      <c r="L2423" s="13" t="s">
        <v>9657</v>
      </c>
      <c r="M2423" s="13" t="s">
        <v>9658</v>
      </c>
    </row>
    <row r="2424" customFormat="false" ht="158.2" hidden="false" customHeight="false" outlineLevel="0" collapsed="false">
      <c r="A2424" s="13" t="s">
        <v>4</v>
      </c>
      <c r="B2424" s="13" t="s">
        <v>4108</v>
      </c>
      <c r="C2424" s="13" t="n">
        <v>258</v>
      </c>
      <c r="D2424" s="13" t="s">
        <v>9664</v>
      </c>
      <c r="E2424" s="13" t="s">
        <v>9665</v>
      </c>
      <c r="F2424" s="13" t="s">
        <v>9666</v>
      </c>
      <c r="G2424" s="13" t="s">
        <v>9667</v>
      </c>
      <c r="H2424" s="13" t="s">
        <v>9656</v>
      </c>
      <c r="I2424" s="13" t="s">
        <v>82</v>
      </c>
      <c r="J2424" s="13" t="s">
        <v>5716</v>
      </c>
      <c r="K2424" s="13"/>
      <c r="L2424" s="13" t="s">
        <v>9668</v>
      </c>
      <c r="M2424" s="13" t="s">
        <v>9669</v>
      </c>
    </row>
    <row r="2425" customFormat="false" ht="158.2" hidden="false" customHeight="false" outlineLevel="0" collapsed="false">
      <c r="A2425" s="13" t="s">
        <v>4</v>
      </c>
      <c r="B2425" s="13" t="s">
        <v>4108</v>
      </c>
      <c r="C2425" s="13" t="n">
        <v>258</v>
      </c>
      <c r="D2425" s="13" t="s">
        <v>9664</v>
      </c>
      <c r="E2425" s="13" t="s">
        <v>9670</v>
      </c>
      <c r="F2425" s="13" t="s">
        <v>9671</v>
      </c>
      <c r="G2425" s="13" t="s">
        <v>9667</v>
      </c>
      <c r="H2425" s="13" t="s">
        <v>9656</v>
      </c>
      <c r="I2425" s="13" t="s">
        <v>82</v>
      </c>
      <c r="J2425" s="13" t="s">
        <v>5716</v>
      </c>
      <c r="K2425" s="13"/>
      <c r="L2425" s="13" t="s">
        <v>9668</v>
      </c>
      <c r="M2425" s="13" t="s">
        <v>9669</v>
      </c>
    </row>
    <row r="2426" customFormat="false" ht="158.2" hidden="false" customHeight="false" outlineLevel="0" collapsed="false">
      <c r="A2426" s="13" t="s">
        <v>4</v>
      </c>
      <c r="B2426" s="13" t="s">
        <v>4108</v>
      </c>
      <c r="C2426" s="13" t="n">
        <v>258</v>
      </c>
      <c r="D2426" s="13" t="s">
        <v>9664</v>
      </c>
      <c r="E2426" s="13" t="s">
        <v>9672</v>
      </c>
      <c r="F2426" s="13" t="s">
        <v>9673</v>
      </c>
      <c r="G2426" s="13" t="s">
        <v>9674</v>
      </c>
      <c r="H2426" s="13" t="s">
        <v>4226</v>
      </c>
      <c r="I2426" s="13" t="s">
        <v>82</v>
      </c>
      <c r="J2426" s="13" t="s">
        <v>5716</v>
      </c>
      <c r="K2426" s="13"/>
      <c r="L2426" s="13" t="s">
        <v>9668</v>
      </c>
      <c r="M2426" s="13" t="s">
        <v>9669</v>
      </c>
    </row>
    <row r="2427" customFormat="false" ht="158.2" hidden="false" customHeight="false" outlineLevel="0" collapsed="false">
      <c r="A2427" s="13" t="s">
        <v>4</v>
      </c>
      <c r="B2427" s="13" t="s">
        <v>4108</v>
      </c>
      <c r="C2427" s="13" t="n">
        <v>258</v>
      </c>
      <c r="D2427" s="13" t="s">
        <v>9664</v>
      </c>
      <c r="E2427" s="13" t="s">
        <v>9675</v>
      </c>
      <c r="F2427" s="13" t="s">
        <v>9666</v>
      </c>
      <c r="G2427" s="13" t="s">
        <v>5525</v>
      </c>
      <c r="H2427" s="13" t="s">
        <v>9676</v>
      </c>
      <c r="I2427" s="13" t="s">
        <v>82</v>
      </c>
      <c r="J2427" s="13" t="s">
        <v>5716</v>
      </c>
      <c r="K2427" s="13"/>
      <c r="L2427" s="13" t="s">
        <v>9668</v>
      </c>
      <c r="M2427" s="13" t="s">
        <v>9669</v>
      </c>
    </row>
    <row r="2428" customFormat="false" ht="158.2" hidden="false" customHeight="false" outlineLevel="0" collapsed="false">
      <c r="A2428" s="13" t="s">
        <v>4</v>
      </c>
      <c r="B2428" s="13" t="s">
        <v>4108</v>
      </c>
      <c r="C2428" s="13" t="n">
        <v>258</v>
      </c>
      <c r="D2428" s="13" t="s">
        <v>9664</v>
      </c>
      <c r="E2428" s="13" t="s">
        <v>9677</v>
      </c>
      <c r="F2428" s="13" t="s">
        <v>9656</v>
      </c>
      <c r="G2428" s="13" t="s">
        <v>1141</v>
      </c>
      <c r="H2428" s="13" t="s">
        <v>9678</v>
      </c>
      <c r="I2428" s="13" t="s">
        <v>82</v>
      </c>
      <c r="J2428" s="13" t="s">
        <v>5716</v>
      </c>
      <c r="K2428" s="13"/>
      <c r="L2428" s="13" t="s">
        <v>9668</v>
      </c>
      <c r="M2428" s="13" t="s">
        <v>9669</v>
      </c>
    </row>
    <row r="2429" customFormat="false" ht="91" hidden="false" customHeight="false" outlineLevel="0" collapsed="false">
      <c r="A2429" s="13" t="s">
        <v>4</v>
      </c>
      <c r="B2429" s="13" t="s">
        <v>4108</v>
      </c>
      <c r="C2429" s="13" t="n">
        <v>258</v>
      </c>
      <c r="D2429" s="13" t="s">
        <v>9679</v>
      </c>
      <c r="E2429" s="13" t="s">
        <v>9680</v>
      </c>
      <c r="F2429" s="13" t="s">
        <v>9681</v>
      </c>
      <c r="G2429" s="13" t="s">
        <v>9682</v>
      </c>
      <c r="H2429" s="13" t="s">
        <v>9683</v>
      </c>
      <c r="I2429" s="13" t="s">
        <v>82</v>
      </c>
      <c r="J2429" s="13" t="s">
        <v>5716</v>
      </c>
      <c r="K2429" s="13"/>
      <c r="L2429" s="13" t="s">
        <v>9684</v>
      </c>
      <c r="M2429" s="13" t="s">
        <v>9685</v>
      </c>
    </row>
    <row r="2430" customFormat="false" ht="91" hidden="false" customHeight="false" outlineLevel="0" collapsed="false">
      <c r="A2430" s="13" t="s">
        <v>4</v>
      </c>
      <c r="B2430" s="13" t="s">
        <v>4108</v>
      </c>
      <c r="C2430" s="13" t="n">
        <v>258</v>
      </c>
      <c r="D2430" s="13" t="s">
        <v>9679</v>
      </c>
      <c r="E2430" s="13" t="s">
        <v>9686</v>
      </c>
      <c r="F2430" s="13" t="s">
        <v>9681</v>
      </c>
      <c r="G2430" s="13" t="s">
        <v>257</v>
      </c>
      <c r="H2430" s="13" t="s">
        <v>9687</v>
      </c>
      <c r="I2430" s="13" t="s">
        <v>82</v>
      </c>
      <c r="J2430" s="13" t="s">
        <v>5716</v>
      </c>
      <c r="K2430" s="13"/>
      <c r="L2430" s="13" t="s">
        <v>9684</v>
      </c>
      <c r="M2430" s="13" t="s">
        <v>9685</v>
      </c>
    </row>
    <row r="2431" customFormat="false" ht="91" hidden="false" customHeight="false" outlineLevel="0" collapsed="false">
      <c r="A2431" s="13" t="s">
        <v>4</v>
      </c>
      <c r="B2431" s="13" t="s">
        <v>4108</v>
      </c>
      <c r="C2431" s="13" t="n">
        <v>258</v>
      </c>
      <c r="D2431" s="13" t="s">
        <v>9679</v>
      </c>
      <c r="E2431" s="13" t="s">
        <v>9688</v>
      </c>
      <c r="F2431" s="13" t="s">
        <v>7781</v>
      </c>
      <c r="G2431" s="13" t="s">
        <v>3382</v>
      </c>
      <c r="H2431" s="13" t="s">
        <v>9689</v>
      </c>
      <c r="I2431" s="13" t="s">
        <v>82</v>
      </c>
      <c r="J2431" s="13" t="s">
        <v>5716</v>
      </c>
      <c r="K2431" s="13"/>
      <c r="L2431" s="13" t="s">
        <v>9684</v>
      </c>
      <c r="M2431" s="13" t="s">
        <v>9685</v>
      </c>
    </row>
    <row r="2432" customFormat="false" ht="91" hidden="false" customHeight="false" outlineLevel="0" collapsed="false">
      <c r="A2432" s="13" t="s">
        <v>4</v>
      </c>
      <c r="B2432" s="13" t="s">
        <v>4108</v>
      </c>
      <c r="C2432" s="13" t="n">
        <v>258</v>
      </c>
      <c r="D2432" s="13" t="s">
        <v>9679</v>
      </c>
      <c r="E2432" s="13" t="s">
        <v>9690</v>
      </c>
      <c r="F2432" s="13" t="s">
        <v>9691</v>
      </c>
      <c r="G2432" s="13" t="s">
        <v>9692</v>
      </c>
      <c r="H2432" s="13" t="s">
        <v>9689</v>
      </c>
      <c r="I2432" s="13" t="s">
        <v>82</v>
      </c>
      <c r="J2432" s="13" t="s">
        <v>5716</v>
      </c>
      <c r="K2432" s="13"/>
      <c r="L2432" s="13" t="s">
        <v>9684</v>
      </c>
      <c r="M2432" s="13" t="s">
        <v>9685</v>
      </c>
    </row>
    <row r="2433" customFormat="false" ht="91" hidden="false" customHeight="false" outlineLevel="0" collapsed="false">
      <c r="A2433" s="13" t="s">
        <v>4</v>
      </c>
      <c r="B2433" s="13" t="s">
        <v>4108</v>
      </c>
      <c r="C2433" s="13" t="n">
        <v>258</v>
      </c>
      <c r="D2433" s="13" t="s">
        <v>9679</v>
      </c>
      <c r="E2433" s="13" t="s">
        <v>9693</v>
      </c>
      <c r="F2433" s="13" t="s">
        <v>9694</v>
      </c>
      <c r="G2433" s="13" t="s">
        <v>9692</v>
      </c>
      <c r="H2433" s="13" t="s">
        <v>9689</v>
      </c>
      <c r="I2433" s="13" t="s">
        <v>82</v>
      </c>
      <c r="J2433" s="13" t="s">
        <v>5716</v>
      </c>
      <c r="K2433" s="13"/>
      <c r="L2433" s="13" t="s">
        <v>9684</v>
      </c>
      <c r="M2433" s="13" t="s">
        <v>9685</v>
      </c>
    </row>
    <row r="2434" customFormat="false" ht="46.25" hidden="false" customHeight="false" outlineLevel="0" collapsed="false">
      <c r="A2434" s="13" t="s">
        <v>4</v>
      </c>
      <c r="B2434" s="13" t="s">
        <v>4108</v>
      </c>
      <c r="C2434" s="13" t="n">
        <v>258</v>
      </c>
      <c r="D2434" s="13" t="s">
        <v>9695</v>
      </c>
      <c r="E2434" s="13" t="s">
        <v>9696</v>
      </c>
      <c r="F2434" s="13" t="s">
        <v>9697</v>
      </c>
      <c r="G2434" s="13" t="s">
        <v>257</v>
      </c>
      <c r="H2434" s="13" t="s">
        <v>306</v>
      </c>
      <c r="I2434" s="13" t="s">
        <v>74</v>
      </c>
      <c r="J2434" s="13" t="s">
        <v>9698</v>
      </c>
      <c r="K2434" s="13" t="s">
        <v>9699</v>
      </c>
      <c r="L2434" s="13" t="s">
        <v>9700</v>
      </c>
      <c r="M2434" s="13" t="s">
        <v>9701</v>
      </c>
    </row>
    <row r="2435" customFormat="false" ht="46.25" hidden="false" customHeight="false" outlineLevel="0" collapsed="false">
      <c r="A2435" s="13" t="s">
        <v>4</v>
      </c>
      <c r="B2435" s="13" t="s">
        <v>4108</v>
      </c>
      <c r="C2435" s="13" t="n">
        <v>258</v>
      </c>
      <c r="D2435" s="13" t="s">
        <v>9695</v>
      </c>
      <c r="E2435" s="13" t="s">
        <v>9702</v>
      </c>
      <c r="F2435" s="13" t="s">
        <v>9703</v>
      </c>
      <c r="G2435" s="13" t="s">
        <v>257</v>
      </c>
      <c r="H2435" s="13" t="s">
        <v>306</v>
      </c>
      <c r="I2435" s="13" t="s">
        <v>82</v>
      </c>
      <c r="J2435" s="13" t="s">
        <v>5716</v>
      </c>
      <c r="K2435" s="13"/>
      <c r="L2435" s="13" t="s">
        <v>9700</v>
      </c>
      <c r="M2435" s="13" t="s">
        <v>9701</v>
      </c>
    </row>
    <row r="2436" customFormat="false" ht="46.25" hidden="false" customHeight="false" outlineLevel="0" collapsed="false">
      <c r="A2436" s="13" t="s">
        <v>4</v>
      </c>
      <c r="B2436" s="13" t="s">
        <v>4108</v>
      </c>
      <c r="C2436" s="13" t="n">
        <v>258</v>
      </c>
      <c r="D2436" s="13" t="s">
        <v>9695</v>
      </c>
      <c r="E2436" s="13" t="s">
        <v>9704</v>
      </c>
      <c r="F2436" s="13" t="s">
        <v>9671</v>
      </c>
      <c r="G2436" s="13" t="s">
        <v>257</v>
      </c>
      <c r="H2436" s="13" t="s">
        <v>306</v>
      </c>
      <c r="I2436" s="13" t="s">
        <v>82</v>
      </c>
      <c r="J2436" s="13" t="s">
        <v>5716</v>
      </c>
      <c r="K2436" s="13"/>
      <c r="L2436" s="13" t="s">
        <v>9700</v>
      </c>
      <c r="M2436" s="13" t="s">
        <v>9701</v>
      </c>
    </row>
    <row r="2437" customFormat="false" ht="124.6" hidden="false" customHeight="false" outlineLevel="0" collapsed="false">
      <c r="A2437" s="13" t="s">
        <v>4</v>
      </c>
      <c r="B2437" s="13" t="s">
        <v>4108</v>
      </c>
      <c r="C2437" s="13" t="n">
        <v>258</v>
      </c>
      <c r="D2437" s="13" t="s">
        <v>9705</v>
      </c>
      <c r="E2437" s="13" t="s">
        <v>9706</v>
      </c>
      <c r="F2437" s="13" t="s">
        <v>9681</v>
      </c>
      <c r="G2437" s="13" t="s">
        <v>1506</v>
      </c>
      <c r="H2437" s="13" t="s">
        <v>9707</v>
      </c>
      <c r="I2437" s="13" t="s">
        <v>82</v>
      </c>
      <c r="J2437" s="13" t="s">
        <v>5716</v>
      </c>
      <c r="K2437" s="13"/>
      <c r="L2437" s="13" t="s">
        <v>9708</v>
      </c>
      <c r="M2437" s="13" t="s">
        <v>9709</v>
      </c>
    </row>
    <row r="2438" customFormat="false" ht="124.6" hidden="false" customHeight="false" outlineLevel="0" collapsed="false">
      <c r="A2438" s="13" t="s">
        <v>4</v>
      </c>
      <c r="B2438" s="13" t="s">
        <v>4108</v>
      </c>
      <c r="C2438" s="13" t="n">
        <v>258</v>
      </c>
      <c r="D2438" s="13" t="s">
        <v>9705</v>
      </c>
      <c r="E2438" s="13" t="s">
        <v>9710</v>
      </c>
      <c r="F2438" s="13" t="s">
        <v>9681</v>
      </c>
      <c r="G2438" s="13" t="s">
        <v>290</v>
      </c>
      <c r="H2438" s="13" t="s">
        <v>9711</v>
      </c>
      <c r="I2438" s="13" t="s">
        <v>82</v>
      </c>
      <c r="J2438" s="13" t="s">
        <v>5716</v>
      </c>
      <c r="K2438" s="13"/>
      <c r="L2438" s="13" t="s">
        <v>9708</v>
      </c>
      <c r="M2438" s="13" t="s">
        <v>9709</v>
      </c>
    </row>
    <row r="2439" customFormat="false" ht="124.6" hidden="false" customHeight="false" outlineLevel="0" collapsed="false">
      <c r="A2439" s="13" t="s">
        <v>4</v>
      </c>
      <c r="B2439" s="13" t="s">
        <v>4108</v>
      </c>
      <c r="C2439" s="13" t="n">
        <v>258</v>
      </c>
      <c r="D2439" s="13" t="s">
        <v>9705</v>
      </c>
      <c r="E2439" s="13" t="s">
        <v>9712</v>
      </c>
      <c r="F2439" s="13" t="s">
        <v>9681</v>
      </c>
      <c r="G2439" s="13" t="s">
        <v>9713</v>
      </c>
      <c r="H2439" s="13" t="s">
        <v>2561</v>
      </c>
      <c r="I2439" s="13" t="s">
        <v>82</v>
      </c>
      <c r="J2439" s="13" t="s">
        <v>5716</v>
      </c>
      <c r="K2439" s="13"/>
      <c r="L2439" s="13" t="s">
        <v>9708</v>
      </c>
      <c r="M2439" s="13" t="s">
        <v>9709</v>
      </c>
    </row>
    <row r="2440" customFormat="false" ht="124.6" hidden="false" customHeight="false" outlineLevel="0" collapsed="false">
      <c r="A2440" s="13" t="s">
        <v>4</v>
      </c>
      <c r="B2440" s="13" t="s">
        <v>4108</v>
      </c>
      <c r="C2440" s="13" t="n">
        <v>258</v>
      </c>
      <c r="D2440" s="13" t="s">
        <v>9705</v>
      </c>
      <c r="E2440" s="13" t="s">
        <v>9714</v>
      </c>
      <c r="F2440" s="13" t="s">
        <v>9681</v>
      </c>
      <c r="G2440" s="13" t="s">
        <v>9715</v>
      </c>
      <c r="H2440" s="13" t="s">
        <v>2561</v>
      </c>
      <c r="I2440" s="13" t="s">
        <v>82</v>
      </c>
      <c r="J2440" s="13" t="s">
        <v>5716</v>
      </c>
      <c r="K2440" s="13"/>
      <c r="L2440" s="13" t="s">
        <v>9708</v>
      </c>
      <c r="M2440" s="13" t="s">
        <v>9709</v>
      </c>
    </row>
    <row r="2441" customFormat="false" ht="124.6" hidden="false" customHeight="false" outlineLevel="0" collapsed="false">
      <c r="A2441" s="13" t="s">
        <v>4</v>
      </c>
      <c r="B2441" s="13" t="s">
        <v>4108</v>
      </c>
      <c r="C2441" s="13" t="n">
        <v>258</v>
      </c>
      <c r="D2441" s="13" t="s">
        <v>9705</v>
      </c>
      <c r="E2441" s="13" t="s">
        <v>9716</v>
      </c>
      <c r="F2441" s="13" t="s">
        <v>9681</v>
      </c>
      <c r="G2441" s="13" t="s">
        <v>9717</v>
      </c>
      <c r="H2441" s="13" t="s">
        <v>9711</v>
      </c>
      <c r="I2441" s="13" t="s">
        <v>82</v>
      </c>
      <c r="J2441" s="13" t="s">
        <v>5716</v>
      </c>
      <c r="K2441" s="13"/>
      <c r="L2441" s="13" t="s">
        <v>9708</v>
      </c>
      <c r="M2441" s="13" t="s">
        <v>9709</v>
      </c>
    </row>
    <row r="2442" customFormat="false" ht="68.65" hidden="false" customHeight="false" outlineLevel="0" collapsed="false">
      <c r="A2442" s="13" t="s">
        <v>4</v>
      </c>
      <c r="B2442" s="13" t="s">
        <v>4108</v>
      </c>
      <c r="C2442" s="13" t="n">
        <v>258</v>
      </c>
      <c r="D2442" s="13" t="s">
        <v>9718</v>
      </c>
      <c r="E2442" s="13" t="s">
        <v>9719</v>
      </c>
      <c r="F2442" s="13" t="s">
        <v>806</v>
      </c>
      <c r="G2442" s="13" t="s">
        <v>2705</v>
      </c>
      <c r="H2442" s="13" t="s">
        <v>9720</v>
      </c>
      <c r="I2442" s="13" t="s">
        <v>82</v>
      </c>
      <c r="J2442" s="13" t="s">
        <v>5716</v>
      </c>
      <c r="K2442" s="13"/>
      <c r="L2442" s="13" t="s">
        <v>9721</v>
      </c>
      <c r="M2442" s="13" t="s">
        <v>9722</v>
      </c>
    </row>
    <row r="2443" customFormat="false" ht="68.65" hidden="false" customHeight="false" outlineLevel="0" collapsed="false">
      <c r="A2443" s="13" t="s">
        <v>4</v>
      </c>
      <c r="B2443" s="13" t="s">
        <v>4108</v>
      </c>
      <c r="C2443" s="13" t="n">
        <v>258</v>
      </c>
      <c r="D2443" s="13" t="s">
        <v>9718</v>
      </c>
      <c r="E2443" s="13" t="s">
        <v>9723</v>
      </c>
      <c r="F2443" s="13" t="s">
        <v>9720</v>
      </c>
      <c r="G2443" s="13" t="s">
        <v>9724</v>
      </c>
      <c r="H2443" s="13" t="s">
        <v>9725</v>
      </c>
      <c r="I2443" s="13" t="s">
        <v>82</v>
      </c>
      <c r="J2443" s="13" t="s">
        <v>5716</v>
      </c>
      <c r="K2443" s="13"/>
      <c r="L2443" s="13" t="s">
        <v>9721</v>
      </c>
      <c r="M2443" s="13" t="s">
        <v>9722</v>
      </c>
    </row>
    <row r="2444" customFormat="false" ht="68.65" hidden="false" customHeight="false" outlineLevel="0" collapsed="false">
      <c r="A2444" s="13" t="s">
        <v>4</v>
      </c>
      <c r="B2444" s="13" t="s">
        <v>4108</v>
      </c>
      <c r="C2444" s="13" t="n">
        <v>258</v>
      </c>
      <c r="D2444" s="13" t="s">
        <v>9718</v>
      </c>
      <c r="E2444" s="13" t="s">
        <v>9726</v>
      </c>
      <c r="F2444" s="13" t="s">
        <v>806</v>
      </c>
      <c r="G2444" s="13" t="s">
        <v>1344</v>
      </c>
      <c r="H2444" s="13" t="s">
        <v>9727</v>
      </c>
      <c r="I2444" s="13" t="s">
        <v>82</v>
      </c>
      <c r="J2444" s="13" t="s">
        <v>5716</v>
      </c>
      <c r="K2444" s="13"/>
      <c r="L2444" s="13" t="s">
        <v>9721</v>
      </c>
      <c r="M2444" s="13" t="s">
        <v>9722</v>
      </c>
    </row>
    <row r="2445" customFormat="false" ht="68.65" hidden="false" customHeight="false" outlineLevel="0" collapsed="false">
      <c r="A2445" s="13" t="s">
        <v>4</v>
      </c>
      <c r="B2445" s="13" t="s">
        <v>4108</v>
      </c>
      <c r="C2445" s="13" t="n">
        <v>258</v>
      </c>
      <c r="D2445" s="13" t="s">
        <v>9718</v>
      </c>
      <c r="E2445" s="13" t="s">
        <v>9728</v>
      </c>
      <c r="F2445" s="13" t="s">
        <v>9727</v>
      </c>
      <c r="G2445" s="13" t="s">
        <v>9724</v>
      </c>
      <c r="H2445" s="13" t="s">
        <v>9729</v>
      </c>
      <c r="I2445" s="13" t="s">
        <v>82</v>
      </c>
      <c r="J2445" s="13" t="s">
        <v>5716</v>
      </c>
      <c r="K2445" s="13"/>
      <c r="L2445" s="13" t="s">
        <v>9721</v>
      </c>
      <c r="M2445" s="13" t="s">
        <v>9722</v>
      </c>
    </row>
    <row r="2446" customFormat="false" ht="46.25" hidden="false" customHeight="false" outlineLevel="0" collapsed="false">
      <c r="A2446" s="13" t="s">
        <v>4</v>
      </c>
      <c r="B2446" s="13" t="s">
        <v>4108</v>
      </c>
      <c r="C2446" s="13" t="n">
        <v>258</v>
      </c>
      <c r="D2446" s="13" t="s">
        <v>9730</v>
      </c>
      <c r="E2446" s="13" t="s">
        <v>9731</v>
      </c>
      <c r="F2446" s="13" t="s">
        <v>806</v>
      </c>
      <c r="G2446" s="13" t="s">
        <v>2705</v>
      </c>
      <c r="H2446" s="13" t="s">
        <v>9732</v>
      </c>
      <c r="I2446" s="13" t="s">
        <v>82</v>
      </c>
      <c r="J2446" s="13" t="s">
        <v>5716</v>
      </c>
      <c r="K2446" s="13"/>
      <c r="L2446" s="13" t="s">
        <v>9733</v>
      </c>
      <c r="M2446" s="13" t="s">
        <v>9734</v>
      </c>
    </row>
    <row r="2447" customFormat="false" ht="46.25" hidden="false" customHeight="false" outlineLevel="0" collapsed="false">
      <c r="A2447" s="13" t="s">
        <v>4</v>
      </c>
      <c r="B2447" s="13" t="s">
        <v>4108</v>
      </c>
      <c r="C2447" s="13" t="n">
        <v>258</v>
      </c>
      <c r="D2447" s="13" t="s">
        <v>9730</v>
      </c>
      <c r="E2447" s="13" t="s">
        <v>9735</v>
      </c>
      <c r="F2447" s="13" t="s">
        <v>9732</v>
      </c>
      <c r="G2447" s="13" t="s">
        <v>9724</v>
      </c>
      <c r="H2447" s="13" t="s">
        <v>9736</v>
      </c>
      <c r="I2447" s="13" t="s">
        <v>82</v>
      </c>
      <c r="J2447" s="13" t="s">
        <v>5716</v>
      </c>
      <c r="K2447" s="13"/>
      <c r="L2447" s="13" t="s">
        <v>9733</v>
      </c>
      <c r="M2447" s="13" t="s">
        <v>9734</v>
      </c>
    </row>
    <row r="2448" customFormat="false" ht="35.05" hidden="false" customHeight="false" outlineLevel="0" collapsed="false">
      <c r="A2448" s="13" t="s">
        <v>4</v>
      </c>
      <c r="B2448" s="13" t="s">
        <v>4108</v>
      </c>
      <c r="C2448" s="13" t="n">
        <v>271</v>
      </c>
      <c r="D2448" s="13" t="s">
        <v>9737</v>
      </c>
      <c r="E2448" s="13" t="s">
        <v>9738</v>
      </c>
      <c r="F2448" s="13" t="s">
        <v>5029</v>
      </c>
      <c r="G2448" s="13" t="s">
        <v>1587</v>
      </c>
      <c r="H2448" s="13" t="s">
        <v>1601</v>
      </c>
      <c r="I2448" s="13" t="s">
        <v>74</v>
      </c>
      <c r="J2448" s="13" t="s">
        <v>9739</v>
      </c>
      <c r="K2448" s="13" t="s">
        <v>9740</v>
      </c>
      <c r="L2448" s="13" t="s">
        <v>9741</v>
      </c>
      <c r="M2448" s="13" t="s">
        <v>9742</v>
      </c>
    </row>
    <row r="2449" customFormat="false" ht="23.85" hidden="false" customHeight="false" outlineLevel="0" collapsed="false">
      <c r="A2449" s="13" t="s">
        <v>4</v>
      </c>
      <c r="B2449" s="13" t="s">
        <v>4108</v>
      </c>
      <c r="C2449" s="13" t="n">
        <v>271</v>
      </c>
      <c r="D2449" s="13" t="s">
        <v>9743</v>
      </c>
      <c r="E2449" s="13" t="s">
        <v>9744</v>
      </c>
      <c r="F2449" s="13" t="s">
        <v>5029</v>
      </c>
      <c r="G2449" s="13" t="s">
        <v>9745</v>
      </c>
      <c r="H2449" s="13" t="s">
        <v>9746</v>
      </c>
      <c r="I2449" s="13" t="s">
        <v>74</v>
      </c>
      <c r="J2449" s="13" t="s">
        <v>9747</v>
      </c>
      <c r="K2449" s="13" t="s">
        <v>9748</v>
      </c>
      <c r="L2449" s="13" t="s">
        <v>9749</v>
      </c>
      <c r="M2449" s="13" t="s">
        <v>9750</v>
      </c>
    </row>
    <row r="2450" customFormat="false" ht="23.85" hidden="false" customHeight="false" outlineLevel="0" collapsed="false">
      <c r="A2450" s="13" t="s">
        <v>4</v>
      </c>
      <c r="B2450" s="13" t="s">
        <v>4108</v>
      </c>
      <c r="C2450" s="13" t="n">
        <v>271</v>
      </c>
      <c r="D2450" s="13" t="s">
        <v>9751</v>
      </c>
      <c r="E2450" s="13" t="s">
        <v>9752</v>
      </c>
      <c r="F2450" s="13" t="s">
        <v>5029</v>
      </c>
      <c r="G2450" s="13" t="s">
        <v>9753</v>
      </c>
      <c r="H2450" s="13" t="s">
        <v>9754</v>
      </c>
      <c r="I2450" s="13" t="s">
        <v>74</v>
      </c>
      <c r="J2450" s="13" t="s">
        <v>9755</v>
      </c>
      <c r="K2450" s="13" t="s">
        <v>9756</v>
      </c>
      <c r="L2450" s="13" t="s">
        <v>9757</v>
      </c>
      <c r="M2450" s="13" t="s">
        <v>9758</v>
      </c>
    </row>
    <row r="2451" customFormat="false" ht="35.05" hidden="false" customHeight="false" outlineLevel="0" collapsed="false">
      <c r="A2451" s="13" t="s">
        <v>4</v>
      </c>
      <c r="B2451" s="13" t="s">
        <v>4108</v>
      </c>
      <c r="C2451" s="13" t="n">
        <v>271</v>
      </c>
      <c r="D2451" s="13" t="s">
        <v>9759</v>
      </c>
      <c r="E2451" s="13" t="s">
        <v>9760</v>
      </c>
      <c r="F2451" s="13" t="s">
        <v>9761</v>
      </c>
      <c r="G2451" s="13" t="s">
        <v>9762</v>
      </c>
      <c r="H2451" s="13" t="s">
        <v>9763</v>
      </c>
      <c r="I2451" s="13" t="s">
        <v>82</v>
      </c>
      <c r="J2451" s="13" t="s">
        <v>5716</v>
      </c>
      <c r="K2451" s="13"/>
      <c r="L2451" s="13" t="s">
        <v>9764</v>
      </c>
      <c r="M2451" s="13" t="s">
        <v>9765</v>
      </c>
    </row>
    <row r="2452" customFormat="false" ht="91" hidden="false" customHeight="false" outlineLevel="0" collapsed="false">
      <c r="A2452" s="13" t="s">
        <v>4</v>
      </c>
      <c r="B2452" s="13" t="s">
        <v>4108</v>
      </c>
      <c r="C2452" s="13" t="n">
        <v>271</v>
      </c>
      <c r="D2452" s="13" t="s">
        <v>9766</v>
      </c>
      <c r="E2452" s="13" t="s">
        <v>9767</v>
      </c>
      <c r="F2452" s="13" t="s">
        <v>9768</v>
      </c>
      <c r="G2452" s="13" t="s">
        <v>9762</v>
      </c>
      <c r="H2452" s="13" t="s">
        <v>9769</v>
      </c>
      <c r="I2452" s="13" t="s">
        <v>82</v>
      </c>
      <c r="J2452" s="13" t="s">
        <v>5716</v>
      </c>
      <c r="K2452" s="13"/>
      <c r="L2452" s="13" t="s">
        <v>9770</v>
      </c>
      <c r="M2452" s="13" t="s">
        <v>9771</v>
      </c>
    </row>
    <row r="2453" customFormat="false" ht="91" hidden="false" customHeight="false" outlineLevel="0" collapsed="false">
      <c r="A2453" s="13" t="s">
        <v>4</v>
      </c>
      <c r="B2453" s="13" t="s">
        <v>4108</v>
      </c>
      <c r="C2453" s="13" t="n">
        <v>271</v>
      </c>
      <c r="D2453" s="13" t="s">
        <v>9766</v>
      </c>
      <c r="E2453" s="13" t="s">
        <v>9772</v>
      </c>
      <c r="F2453" s="13" t="s">
        <v>5029</v>
      </c>
      <c r="G2453" s="13" t="s">
        <v>1824</v>
      </c>
      <c r="H2453" s="13" t="s">
        <v>9768</v>
      </c>
      <c r="I2453" s="13" t="s">
        <v>74</v>
      </c>
      <c r="J2453" s="13" t="s">
        <v>9773</v>
      </c>
      <c r="K2453" s="13" t="s">
        <v>9774</v>
      </c>
      <c r="L2453" s="13" t="s">
        <v>9770</v>
      </c>
      <c r="M2453" s="13" t="s">
        <v>9771</v>
      </c>
    </row>
    <row r="2454" customFormat="false" ht="91" hidden="false" customHeight="false" outlineLevel="0" collapsed="false">
      <c r="A2454" s="13" t="s">
        <v>4</v>
      </c>
      <c r="B2454" s="13" t="s">
        <v>4108</v>
      </c>
      <c r="C2454" s="13" t="n">
        <v>271</v>
      </c>
      <c r="D2454" s="13" t="s">
        <v>9766</v>
      </c>
      <c r="E2454" s="13" t="s">
        <v>9775</v>
      </c>
      <c r="F2454" s="13" t="s">
        <v>9776</v>
      </c>
      <c r="G2454" s="13" t="s">
        <v>7236</v>
      </c>
      <c r="H2454" s="13" t="s">
        <v>9777</v>
      </c>
      <c r="I2454" s="13" t="s">
        <v>82</v>
      </c>
      <c r="J2454" s="13" t="s">
        <v>5716</v>
      </c>
      <c r="K2454" s="13"/>
      <c r="L2454" s="13" t="s">
        <v>9770</v>
      </c>
      <c r="M2454" s="13" t="s">
        <v>9771</v>
      </c>
    </row>
    <row r="2455" customFormat="false" ht="91" hidden="false" customHeight="false" outlineLevel="0" collapsed="false">
      <c r="A2455" s="13" t="s">
        <v>4</v>
      </c>
      <c r="B2455" s="13" t="s">
        <v>4108</v>
      </c>
      <c r="C2455" s="13" t="n">
        <v>271</v>
      </c>
      <c r="D2455" s="13" t="s">
        <v>9766</v>
      </c>
      <c r="E2455" s="13" t="s">
        <v>9778</v>
      </c>
      <c r="F2455" s="13" t="s">
        <v>9779</v>
      </c>
      <c r="G2455" s="13" t="s">
        <v>7236</v>
      </c>
      <c r="H2455" s="13" t="s">
        <v>9780</v>
      </c>
      <c r="I2455" s="13" t="s">
        <v>82</v>
      </c>
      <c r="J2455" s="13" t="s">
        <v>5716</v>
      </c>
      <c r="K2455" s="13"/>
      <c r="L2455" s="13" t="s">
        <v>9770</v>
      </c>
      <c r="M2455" s="13" t="s">
        <v>9771</v>
      </c>
    </row>
    <row r="2456" customFormat="false" ht="91" hidden="false" customHeight="false" outlineLevel="0" collapsed="false">
      <c r="A2456" s="13" t="s">
        <v>4</v>
      </c>
      <c r="B2456" s="13" t="s">
        <v>4108</v>
      </c>
      <c r="C2456" s="13" t="n">
        <v>271</v>
      </c>
      <c r="D2456" s="13" t="s">
        <v>9766</v>
      </c>
      <c r="E2456" s="13" t="s">
        <v>9781</v>
      </c>
      <c r="F2456" s="13" t="s">
        <v>9782</v>
      </c>
      <c r="G2456" s="13" t="s">
        <v>9762</v>
      </c>
      <c r="H2456" s="13" t="s">
        <v>9783</v>
      </c>
      <c r="I2456" s="13" t="s">
        <v>82</v>
      </c>
      <c r="J2456" s="13" t="s">
        <v>5716</v>
      </c>
      <c r="K2456" s="13"/>
      <c r="L2456" s="13" t="s">
        <v>9770</v>
      </c>
      <c r="M2456" s="13" t="s">
        <v>9771</v>
      </c>
    </row>
    <row r="2457" customFormat="false" ht="57.45" hidden="false" customHeight="false" outlineLevel="0" collapsed="false">
      <c r="A2457" s="13" t="s">
        <v>4</v>
      </c>
      <c r="B2457" s="13" t="s">
        <v>4108</v>
      </c>
      <c r="C2457" s="13" t="n">
        <v>271</v>
      </c>
      <c r="D2457" s="13" t="s">
        <v>9784</v>
      </c>
      <c r="E2457" s="13" t="s">
        <v>9785</v>
      </c>
      <c r="F2457" s="13" t="s">
        <v>9786</v>
      </c>
      <c r="G2457" s="13" t="s">
        <v>9762</v>
      </c>
      <c r="H2457" s="13" t="s">
        <v>3614</v>
      </c>
      <c r="I2457" s="13" t="s">
        <v>74</v>
      </c>
      <c r="J2457" s="13" t="s">
        <v>9787</v>
      </c>
      <c r="K2457" s="13" t="s">
        <v>9788</v>
      </c>
      <c r="L2457" s="13" t="s">
        <v>9789</v>
      </c>
      <c r="M2457" s="13" t="s">
        <v>9790</v>
      </c>
    </row>
    <row r="2458" customFormat="false" ht="57.45" hidden="false" customHeight="false" outlineLevel="0" collapsed="false">
      <c r="A2458" s="13" t="s">
        <v>4</v>
      </c>
      <c r="B2458" s="13" t="s">
        <v>4108</v>
      </c>
      <c r="C2458" s="13" t="n">
        <v>271</v>
      </c>
      <c r="D2458" s="13" t="s">
        <v>9784</v>
      </c>
      <c r="E2458" s="13" t="s">
        <v>9791</v>
      </c>
      <c r="F2458" s="13" t="s">
        <v>9786</v>
      </c>
      <c r="G2458" s="13" t="s">
        <v>7236</v>
      </c>
      <c r="H2458" s="13" t="s">
        <v>9792</v>
      </c>
      <c r="I2458" s="13" t="s">
        <v>74</v>
      </c>
      <c r="J2458" s="13" t="s">
        <v>9793</v>
      </c>
      <c r="K2458" s="13" t="s">
        <v>9794</v>
      </c>
      <c r="L2458" s="13" t="s">
        <v>9789</v>
      </c>
      <c r="M2458" s="13" t="s">
        <v>9790</v>
      </c>
    </row>
    <row r="2459" customFormat="false" ht="57.45" hidden="false" customHeight="false" outlineLevel="0" collapsed="false">
      <c r="A2459" s="13" t="s">
        <v>4</v>
      </c>
      <c r="B2459" s="13" t="s">
        <v>4108</v>
      </c>
      <c r="C2459" s="13" t="n">
        <v>271</v>
      </c>
      <c r="D2459" s="13" t="s">
        <v>9795</v>
      </c>
      <c r="E2459" s="13" t="s">
        <v>9796</v>
      </c>
      <c r="F2459" s="13" t="s">
        <v>9797</v>
      </c>
      <c r="G2459" s="13" t="s">
        <v>9762</v>
      </c>
      <c r="H2459" s="13" t="s">
        <v>9798</v>
      </c>
      <c r="I2459" s="13" t="s">
        <v>82</v>
      </c>
      <c r="J2459" s="13" t="s">
        <v>5716</v>
      </c>
      <c r="K2459" s="13"/>
      <c r="L2459" s="13" t="s">
        <v>9799</v>
      </c>
      <c r="M2459" s="13" t="s">
        <v>9800</v>
      </c>
    </row>
    <row r="2460" customFormat="false" ht="23.85" hidden="false" customHeight="false" outlineLevel="0" collapsed="false">
      <c r="A2460" s="13" t="s">
        <v>4</v>
      </c>
      <c r="B2460" s="13" t="s">
        <v>4108</v>
      </c>
      <c r="C2460" s="13" t="n">
        <v>271</v>
      </c>
      <c r="D2460" s="13" t="s">
        <v>9801</v>
      </c>
      <c r="E2460" s="13" t="s">
        <v>9802</v>
      </c>
      <c r="F2460" s="13" t="s">
        <v>9803</v>
      </c>
      <c r="G2460" s="13" t="s">
        <v>9804</v>
      </c>
      <c r="H2460" s="13" t="s">
        <v>9805</v>
      </c>
      <c r="I2460" s="13" t="s">
        <v>82</v>
      </c>
      <c r="J2460" s="13" t="s">
        <v>5716</v>
      </c>
      <c r="K2460" s="13"/>
      <c r="L2460" s="13" t="s">
        <v>9806</v>
      </c>
      <c r="M2460" s="13" t="s">
        <v>9807</v>
      </c>
    </row>
    <row r="2461" customFormat="false" ht="46.25" hidden="false" customHeight="false" outlineLevel="0" collapsed="false">
      <c r="A2461" s="13" t="s">
        <v>4</v>
      </c>
      <c r="B2461" s="13" t="s">
        <v>4108</v>
      </c>
      <c r="C2461" s="13" t="n">
        <v>271</v>
      </c>
      <c r="D2461" s="13" t="s">
        <v>9808</v>
      </c>
      <c r="E2461" s="13" t="s">
        <v>9809</v>
      </c>
      <c r="F2461" s="13" t="s">
        <v>5029</v>
      </c>
      <c r="G2461" s="13" t="s">
        <v>3053</v>
      </c>
      <c r="H2461" s="13" t="s">
        <v>9810</v>
      </c>
      <c r="I2461" s="13" t="s">
        <v>74</v>
      </c>
      <c r="J2461" s="13" t="s">
        <v>9811</v>
      </c>
      <c r="K2461" s="13" t="s">
        <v>9812</v>
      </c>
      <c r="L2461" s="13" t="s">
        <v>9813</v>
      </c>
      <c r="M2461" s="13" t="s">
        <v>9814</v>
      </c>
    </row>
    <row r="2462" customFormat="false" ht="46.25" hidden="false" customHeight="false" outlineLevel="0" collapsed="false">
      <c r="A2462" s="13" t="s">
        <v>4</v>
      </c>
      <c r="B2462" s="13" t="s">
        <v>4108</v>
      </c>
      <c r="C2462" s="13" t="n">
        <v>271</v>
      </c>
      <c r="D2462" s="13" t="s">
        <v>9815</v>
      </c>
      <c r="E2462" s="13" t="s">
        <v>9816</v>
      </c>
      <c r="F2462" s="13" t="s">
        <v>9817</v>
      </c>
      <c r="G2462" s="13" t="s">
        <v>9517</v>
      </c>
      <c r="H2462" s="13" t="s">
        <v>5029</v>
      </c>
      <c r="I2462" s="13" t="s">
        <v>82</v>
      </c>
      <c r="J2462" s="13" t="s">
        <v>5716</v>
      </c>
      <c r="K2462" s="13"/>
      <c r="L2462" s="13" t="s">
        <v>9818</v>
      </c>
      <c r="M2462" s="13" t="s">
        <v>9819</v>
      </c>
    </row>
    <row r="2463" customFormat="false" ht="46.25" hidden="false" customHeight="false" outlineLevel="0" collapsed="false">
      <c r="A2463" s="13" t="s">
        <v>4</v>
      </c>
      <c r="B2463" s="13" t="s">
        <v>4108</v>
      </c>
      <c r="C2463" s="13" t="n">
        <v>271</v>
      </c>
      <c r="D2463" s="13" t="s">
        <v>9815</v>
      </c>
      <c r="E2463" s="13" t="s">
        <v>9820</v>
      </c>
      <c r="F2463" s="13" t="s">
        <v>9817</v>
      </c>
      <c r="G2463" s="13" t="s">
        <v>9821</v>
      </c>
      <c r="H2463" s="13" t="s">
        <v>9822</v>
      </c>
      <c r="I2463" s="13" t="s">
        <v>82</v>
      </c>
      <c r="J2463" s="13" t="s">
        <v>5716</v>
      </c>
      <c r="K2463" s="13"/>
      <c r="L2463" s="13" t="s">
        <v>9818</v>
      </c>
      <c r="M2463" s="13" t="s">
        <v>9819</v>
      </c>
    </row>
    <row r="2464" customFormat="false" ht="35.05" hidden="false" customHeight="false" outlineLevel="0" collapsed="false">
      <c r="A2464" s="13" t="s">
        <v>4</v>
      </c>
      <c r="B2464" s="13" t="s">
        <v>4108</v>
      </c>
      <c r="C2464" s="13" t="n">
        <v>271</v>
      </c>
      <c r="D2464" s="13" t="s">
        <v>9823</v>
      </c>
      <c r="E2464" s="13" t="s">
        <v>9824</v>
      </c>
      <c r="F2464" s="13" t="s">
        <v>9825</v>
      </c>
      <c r="G2464" s="13" t="s">
        <v>9826</v>
      </c>
      <c r="H2464" s="13" t="s">
        <v>9827</v>
      </c>
      <c r="I2464" s="13" t="s">
        <v>114</v>
      </c>
      <c r="J2464" s="13" t="s">
        <v>9828</v>
      </c>
      <c r="K2464" s="13" t="s">
        <v>9829</v>
      </c>
      <c r="L2464" s="13" t="s">
        <v>9830</v>
      </c>
      <c r="M2464" s="13" t="s">
        <v>9831</v>
      </c>
    </row>
    <row r="2465" customFormat="false" ht="23.85" hidden="false" customHeight="false" outlineLevel="0" collapsed="false">
      <c r="A2465" s="13" t="s">
        <v>4</v>
      </c>
      <c r="B2465" s="13" t="s">
        <v>4108</v>
      </c>
      <c r="C2465" s="13" t="n">
        <v>271</v>
      </c>
      <c r="D2465" s="13" t="s">
        <v>9832</v>
      </c>
      <c r="E2465" s="13" t="s">
        <v>9833</v>
      </c>
      <c r="F2465" s="13" t="s">
        <v>9834</v>
      </c>
      <c r="G2465" s="13" t="s">
        <v>9826</v>
      </c>
      <c r="H2465" s="13" t="s">
        <v>9827</v>
      </c>
      <c r="I2465" s="13" t="s">
        <v>114</v>
      </c>
      <c r="J2465" s="13" t="s">
        <v>9835</v>
      </c>
      <c r="K2465" s="13" t="s">
        <v>9836</v>
      </c>
      <c r="L2465" s="13" t="s">
        <v>9837</v>
      </c>
      <c r="M2465" s="13" t="s">
        <v>9838</v>
      </c>
    </row>
    <row r="2466" customFormat="false" ht="23.85" hidden="false" customHeight="false" outlineLevel="0" collapsed="false">
      <c r="A2466" s="13" t="s">
        <v>4</v>
      </c>
      <c r="B2466" s="13" t="s">
        <v>4108</v>
      </c>
      <c r="C2466" s="13" t="n">
        <v>271</v>
      </c>
      <c r="D2466" s="13" t="s">
        <v>9839</v>
      </c>
      <c r="E2466" s="13" t="s">
        <v>9840</v>
      </c>
      <c r="F2466" s="13" t="s">
        <v>9841</v>
      </c>
      <c r="G2466" s="13" t="s">
        <v>9804</v>
      </c>
      <c r="H2466" s="13" t="s">
        <v>9805</v>
      </c>
      <c r="I2466" s="13" t="s">
        <v>82</v>
      </c>
      <c r="J2466" s="13" t="s">
        <v>5716</v>
      </c>
      <c r="K2466" s="13"/>
      <c r="L2466" s="13" t="s">
        <v>9842</v>
      </c>
      <c r="M2466" s="13" t="s">
        <v>9843</v>
      </c>
    </row>
    <row r="2467" customFormat="false" ht="46.25" hidden="false" customHeight="false" outlineLevel="0" collapsed="false">
      <c r="A2467" s="13" t="s">
        <v>4</v>
      </c>
      <c r="B2467" s="13" t="s">
        <v>4108</v>
      </c>
      <c r="C2467" s="13" t="n">
        <v>271</v>
      </c>
      <c r="D2467" s="13" t="s">
        <v>9844</v>
      </c>
      <c r="E2467" s="13" t="s">
        <v>9845</v>
      </c>
      <c r="F2467" s="13" t="s">
        <v>9846</v>
      </c>
      <c r="G2467" s="13" t="s">
        <v>9804</v>
      </c>
      <c r="H2467" s="13" t="s">
        <v>9805</v>
      </c>
      <c r="I2467" s="13" t="s">
        <v>82</v>
      </c>
      <c r="J2467" s="13" t="s">
        <v>5716</v>
      </c>
      <c r="K2467" s="13"/>
      <c r="L2467" s="13" t="s">
        <v>9847</v>
      </c>
      <c r="M2467" s="13" t="s">
        <v>9848</v>
      </c>
    </row>
    <row r="2468" customFormat="false" ht="46.25" hidden="false" customHeight="false" outlineLevel="0" collapsed="false">
      <c r="A2468" s="13" t="s">
        <v>4</v>
      </c>
      <c r="B2468" s="13" t="s">
        <v>4108</v>
      </c>
      <c r="C2468" s="13" t="n">
        <v>271</v>
      </c>
      <c r="D2468" s="13" t="s">
        <v>9844</v>
      </c>
      <c r="E2468" s="13" t="s">
        <v>9849</v>
      </c>
      <c r="F2468" s="13" t="s">
        <v>9850</v>
      </c>
      <c r="G2468" s="13" t="s">
        <v>9804</v>
      </c>
      <c r="H2468" s="13" t="s">
        <v>9805</v>
      </c>
      <c r="I2468" s="13" t="s">
        <v>82</v>
      </c>
      <c r="J2468" s="13" t="s">
        <v>5716</v>
      </c>
      <c r="K2468" s="13"/>
      <c r="L2468" s="13" t="s">
        <v>9847</v>
      </c>
      <c r="M2468" s="13" t="s">
        <v>9848</v>
      </c>
    </row>
    <row r="2469" customFormat="false" ht="79.85" hidden="false" customHeight="false" outlineLevel="0" collapsed="false">
      <c r="A2469" s="13" t="s">
        <v>4</v>
      </c>
      <c r="B2469" s="13" t="s">
        <v>4108</v>
      </c>
      <c r="C2469" s="13" t="n">
        <v>321</v>
      </c>
      <c r="D2469" s="13" t="s">
        <v>9851</v>
      </c>
      <c r="E2469" s="13" t="s">
        <v>9852</v>
      </c>
      <c r="F2469" s="13" t="s">
        <v>9853</v>
      </c>
      <c r="G2469" s="13" t="s">
        <v>9854</v>
      </c>
      <c r="H2469" s="13" t="s">
        <v>9855</v>
      </c>
      <c r="I2469" s="13" t="s">
        <v>82</v>
      </c>
      <c r="J2469" s="13" t="s">
        <v>5716</v>
      </c>
      <c r="K2469" s="13"/>
      <c r="L2469" s="13" t="s">
        <v>9856</v>
      </c>
      <c r="M2469" s="13" t="s">
        <v>9857</v>
      </c>
    </row>
    <row r="2470" customFormat="false" ht="79.85" hidden="false" customHeight="false" outlineLevel="0" collapsed="false">
      <c r="A2470" s="13" t="s">
        <v>4</v>
      </c>
      <c r="B2470" s="13" t="s">
        <v>4108</v>
      </c>
      <c r="C2470" s="13" t="n">
        <v>321</v>
      </c>
      <c r="D2470" s="13" t="s">
        <v>9851</v>
      </c>
      <c r="E2470" s="13" t="s">
        <v>9858</v>
      </c>
      <c r="F2470" s="13" t="s">
        <v>9853</v>
      </c>
      <c r="G2470" s="13" t="s">
        <v>9854</v>
      </c>
      <c r="H2470" s="13" t="s">
        <v>9859</v>
      </c>
      <c r="I2470" s="13" t="s">
        <v>82</v>
      </c>
      <c r="J2470" s="13" t="s">
        <v>5716</v>
      </c>
      <c r="K2470" s="13"/>
      <c r="L2470" s="13" t="s">
        <v>9856</v>
      </c>
      <c r="M2470" s="13" t="s">
        <v>9857</v>
      </c>
    </row>
    <row r="2471" customFormat="false" ht="79.85" hidden="false" customHeight="false" outlineLevel="0" collapsed="false">
      <c r="A2471" s="13" t="s">
        <v>4</v>
      </c>
      <c r="B2471" s="13" t="s">
        <v>4108</v>
      </c>
      <c r="C2471" s="13" t="n">
        <v>321</v>
      </c>
      <c r="D2471" s="13" t="s">
        <v>9851</v>
      </c>
      <c r="E2471" s="13" t="s">
        <v>9860</v>
      </c>
      <c r="F2471" s="13" t="s">
        <v>9853</v>
      </c>
      <c r="G2471" s="13" t="s">
        <v>9861</v>
      </c>
      <c r="H2471" s="13" t="s">
        <v>5005</v>
      </c>
      <c r="I2471" s="13" t="s">
        <v>82</v>
      </c>
      <c r="J2471" s="13" t="s">
        <v>5716</v>
      </c>
      <c r="K2471" s="13"/>
      <c r="L2471" s="13" t="s">
        <v>9856</v>
      </c>
      <c r="M2471" s="13" t="s">
        <v>9857</v>
      </c>
    </row>
    <row r="2472" customFormat="false" ht="79.85" hidden="false" customHeight="false" outlineLevel="0" collapsed="false">
      <c r="A2472" s="13" t="s">
        <v>4</v>
      </c>
      <c r="B2472" s="13" t="s">
        <v>4108</v>
      </c>
      <c r="C2472" s="13" t="n">
        <v>321</v>
      </c>
      <c r="D2472" s="13" t="s">
        <v>9851</v>
      </c>
      <c r="E2472" s="13" t="s">
        <v>9862</v>
      </c>
      <c r="F2472" s="13" t="s">
        <v>9853</v>
      </c>
      <c r="G2472" s="13" t="s">
        <v>9861</v>
      </c>
      <c r="H2472" s="13" t="s">
        <v>9863</v>
      </c>
      <c r="I2472" s="13" t="s">
        <v>82</v>
      </c>
      <c r="J2472" s="13" t="s">
        <v>5716</v>
      </c>
      <c r="K2472" s="13"/>
      <c r="L2472" s="13" t="s">
        <v>9856</v>
      </c>
      <c r="M2472" s="13" t="s">
        <v>9857</v>
      </c>
    </row>
    <row r="2473" customFormat="false" ht="79.85" hidden="false" customHeight="false" outlineLevel="0" collapsed="false">
      <c r="A2473" s="13" t="s">
        <v>4</v>
      </c>
      <c r="B2473" s="13" t="s">
        <v>4108</v>
      </c>
      <c r="C2473" s="13" t="n">
        <v>321</v>
      </c>
      <c r="D2473" s="13" t="s">
        <v>9864</v>
      </c>
      <c r="E2473" s="13" t="s">
        <v>9865</v>
      </c>
      <c r="F2473" s="13" t="s">
        <v>9853</v>
      </c>
      <c r="G2473" s="13" t="s">
        <v>9866</v>
      </c>
      <c r="H2473" s="13" t="s">
        <v>9867</v>
      </c>
      <c r="I2473" s="13" t="s">
        <v>82</v>
      </c>
      <c r="J2473" s="13" t="s">
        <v>5716</v>
      </c>
      <c r="K2473" s="13"/>
      <c r="L2473" s="13" t="s">
        <v>9868</v>
      </c>
      <c r="M2473" s="13" t="s">
        <v>9869</v>
      </c>
    </row>
    <row r="2474" customFormat="false" ht="79.85" hidden="false" customHeight="false" outlineLevel="0" collapsed="false">
      <c r="A2474" s="13" t="s">
        <v>4</v>
      </c>
      <c r="B2474" s="13" t="s">
        <v>4108</v>
      </c>
      <c r="C2474" s="13" t="n">
        <v>321</v>
      </c>
      <c r="D2474" s="13" t="s">
        <v>9864</v>
      </c>
      <c r="E2474" s="13" t="s">
        <v>9870</v>
      </c>
      <c r="F2474" s="13" t="s">
        <v>9853</v>
      </c>
      <c r="G2474" s="13" t="s">
        <v>9871</v>
      </c>
      <c r="H2474" s="13" t="s">
        <v>9863</v>
      </c>
      <c r="I2474" s="13" t="s">
        <v>82</v>
      </c>
      <c r="J2474" s="13" t="s">
        <v>5716</v>
      </c>
      <c r="K2474" s="13"/>
      <c r="L2474" s="13" t="s">
        <v>9868</v>
      </c>
      <c r="M2474" s="13" t="s">
        <v>9869</v>
      </c>
    </row>
    <row r="2475" customFormat="false" ht="79.85" hidden="false" customHeight="false" outlineLevel="0" collapsed="false">
      <c r="A2475" s="13" t="s">
        <v>4</v>
      </c>
      <c r="B2475" s="13" t="s">
        <v>4108</v>
      </c>
      <c r="C2475" s="13" t="n">
        <v>321</v>
      </c>
      <c r="D2475" s="13" t="s">
        <v>9864</v>
      </c>
      <c r="E2475" s="13" t="s">
        <v>9872</v>
      </c>
      <c r="F2475" s="13" t="s">
        <v>9873</v>
      </c>
      <c r="G2475" s="13" t="s">
        <v>9874</v>
      </c>
      <c r="H2475" s="13" t="s">
        <v>4002</v>
      </c>
      <c r="I2475" s="13" t="s">
        <v>82</v>
      </c>
      <c r="J2475" s="13" t="s">
        <v>5716</v>
      </c>
      <c r="K2475" s="13"/>
      <c r="L2475" s="13" t="s">
        <v>9868</v>
      </c>
      <c r="M2475" s="13" t="s">
        <v>9869</v>
      </c>
    </row>
    <row r="2476" customFormat="false" ht="79.85" hidden="false" customHeight="false" outlineLevel="0" collapsed="false">
      <c r="A2476" s="13" t="s">
        <v>4</v>
      </c>
      <c r="B2476" s="13" t="s">
        <v>4108</v>
      </c>
      <c r="C2476" s="13" t="n">
        <v>321</v>
      </c>
      <c r="D2476" s="13" t="s">
        <v>9864</v>
      </c>
      <c r="E2476" s="13" t="s">
        <v>9875</v>
      </c>
      <c r="F2476" s="13" t="s">
        <v>9873</v>
      </c>
      <c r="G2476" s="13" t="s">
        <v>9876</v>
      </c>
      <c r="H2476" s="13" t="s">
        <v>9877</v>
      </c>
      <c r="I2476" s="13" t="s">
        <v>82</v>
      </c>
      <c r="J2476" s="13" t="s">
        <v>5716</v>
      </c>
      <c r="K2476" s="13"/>
      <c r="L2476" s="13" t="s">
        <v>9868</v>
      </c>
      <c r="M2476" s="13" t="s">
        <v>9869</v>
      </c>
    </row>
    <row r="2477" customFormat="false" ht="169.4" hidden="false" customHeight="false" outlineLevel="0" collapsed="false">
      <c r="A2477" s="13" t="s">
        <v>4</v>
      </c>
      <c r="B2477" s="13" t="s">
        <v>4108</v>
      </c>
      <c r="C2477" s="13" t="n">
        <v>321</v>
      </c>
      <c r="D2477" s="13" t="s">
        <v>9878</v>
      </c>
      <c r="E2477" s="13" t="s">
        <v>9879</v>
      </c>
      <c r="F2477" s="13" t="s">
        <v>5029</v>
      </c>
      <c r="G2477" s="13" t="s">
        <v>8597</v>
      </c>
      <c r="H2477" s="13" t="s">
        <v>9880</v>
      </c>
      <c r="I2477" s="13" t="s">
        <v>82</v>
      </c>
      <c r="J2477" s="13" t="s">
        <v>5716</v>
      </c>
      <c r="K2477" s="13"/>
      <c r="L2477" s="13" t="s">
        <v>9881</v>
      </c>
      <c r="M2477" s="13" t="s">
        <v>9882</v>
      </c>
    </row>
    <row r="2478" customFormat="false" ht="169.4" hidden="false" customHeight="false" outlineLevel="0" collapsed="false">
      <c r="A2478" s="13" t="s">
        <v>4</v>
      </c>
      <c r="B2478" s="13" t="s">
        <v>4108</v>
      </c>
      <c r="C2478" s="13" t="n">
        <v>321</v>
      </c>
      <c r="D2478" s="13" t="s">
        <v>9878</v>
      </c>
      <c r="E2478" s="13" t="s">
        <v>9883</v>
      </c>
      <c r="F2478" s="13" t="s">
        <v>5029</v>
      </c>
      <c r="G2478" s="13" t="s">
        <v>7253</v>
      </c>
      <c r="H2478" s="13" t="s">
        <v>9884</v>
      </c>
      <c r="I2478" s="13" t="s">
        <v>82</v>
      </c>
      <c r="J2478" s="13" t="s">
        <v>5716</v>
      </c>
      <c r="K2478" s="13"/>
      <c r="L2478" s="13" t="s">
        <v>9881</v>
      </c>
      <c r="M2478" s="13" t="s">
        <v>9882</v>
      </c>
    </row>
    <row r="2479" customFormat="false" ht="169.4" hidden="false" customHeight="false" outlineLevel="0" collapsed="false">
      <c r="A2479" s="13" t="s">
        <v>4</v>
      </c>
      <c r="B2479" s="13" t="s">
        <v>4108</v>
      </c>
      <c r="C2479" s="13" t="n">
        <v>321</v>
      </c>
      <c r="D2479" s="13" t="s">
        <v>9878</v>
      </c>
      <c r="E2479" s="13" t="s">
        <v>9885</v>
      </c>
      <c r="F2479" s="13" t="s">
        <v>5029</v>
      </c>
      <c r="G2479" s="13" t="s">
        <v>2710</v>
      </c>
      <c r="H2479" s="13" t="s">
        <v>9886</v>
      </c>
      <c r="I2479" s="13" t="s">
        <v>82</v>
      </c>
      <c r="J2479" s="13" t="s">
        <v>5716</v>
      </c>
      <c r="K2479" s="13"/>
      <c r="L2479" s="13" t="s">
        <v>9881</v>
      </c>
      <c r="M2479" s="13" t="s">
        <v>9882</v>
      </c>
    </row>
    <row r="2480" customFormat="false" ht="169.4" hidden="false" customHeight="false" outlineLevel="0" collapsed="false">
      <c r="A2480" s="13" t="s">
        <v>4</v>
      </c>
      <c r="B2480" s="13" t="s">
        <v>4108</v>
      </c>
      <c r="C2480" s="13" t="n">
        <v>321</v>
      </c>
      <c r="D2480" s="13" t="s">
        <v>9878</v>
      </c>
      <c r="E2480" s="13" t="s">
        <v>9887</v>
      </c>
      <c r="F2480" s="13" t="s">
        <v>5029</v>
      </c>
      <c r="G2480" s="13" t="s">
        <v>9888</v>
      </c>
      <c r="H2480" s="13" t="s">
        <v>5005</v>
      </c>
      <c r="I2480" s="13" t="s">
        <v>82</v>
      </c>
      <c r="J2480" s="13" t="s">
        <v>5716</v>
      </c>
      <c r="K2480" s="13"/>
      <c r="L2480" s="13" t="s">
        <v>9881</v>
      </c>
      <c r="M2480" s="13" t="s">
        <v>9882</v>
      </c>
    </row>
    <row r="2481" customFormat="false" ht="169.4" hidden="false" customHeight="false" outlineLevel="0" collapsed="false">
      <c r="A2481" s="13" t="s">
        <v>4</v>
      </c>
      <c r="B2481" s="13" t="s">
        <v>4108</v>
      </c>
      <c r="C2481" s="13" t="n">
        <v>321</v>
      </c>
      <c r="D2481" s="13" t="s">
        <v>9878</v>
      </c>
      <c r="E2481" s="13" t="s">
        <v>9889</v>
      </c>
      <c r="F2481" s="13" t="s">
        <v>5029</v>
      </c>
      <c r="G2481" s="13" t="s">
        <v>9888</v>
      </c>
      <c r="H2481" s="13" t="s">
        <v>9867</v>
      </c>
      <c r="I2481" s="13" t="s">
        <v>82</v>
      </c>
      <c r="J2481" s="13" t="s">
        <v>5716</v>
      </c>
      <c r="K2481" s="13"/>
      <c r="L2481" s="13" t="s">
        <v>9881</v>
      </c>
      <c r="M2481" s="13" t="s">
        <v>9882</v>
      </c>
    </row>
    <row r="2482" customFormat="false" ht="124.6" hidden="false" customHeight="false" outlineLevel="0" collapsed="false">
      <c r="A2482" s="13" t="s">
        <v>4</v>
      </c>
      <c r="B2482" s="13" t="s">
        <v>4108</v>
      </c>
      <c r="C2482" s="13" t="n">
        <v>321</v>
      </c>
      <c r="D2482" s="13" t="s">
        <v>9890</v>
      </c>
      <c r="E2482" s="13" t="s">
        <v>9891</v>
      </c>
      <c r="F2482" s="13" t="s">
        <v>9853</v>
      </c>
      <c r="G2482" s="13" t="s">
        <v>9892</v>
      </c>
      <c r="H2482" s="13" t="s">
        <v>1552</v>
      </c>
      <c r="I2482" s="13" t="s">
        <v>82</v>
      </c>
      <c r="J2482" s="13" t="s">
        <v>5716</v>
      </c>
      <c r="K2482" s="13"/>
      <c r="L2482" s="13" t="s">
        <v>9893</v>
      </c>
      <c r="M2482" s="13" t="s">
        <v>9894</v>
      </c>
    </row>
    <row r="2483" customFormat="false" ht="124.6" hidden="false" customHeight="false" outlineLevel="0" collapsed="false">
      <c r="A2483" s="13" t="s">
        <v>4</v>
      </c>
      <c r="B2483" s="13" t="s">
        <v>4108</v>
      </c>
      <c r="C2483" s="13" t="n">
        <v>321</v>
      </c>
      <c r="D2483" s="13" t="s">
        <v>9890</v>
      </c>
      <c r="E2483" s="13" t="s">
        <v>9895</v>
      </c>
      <c r="F2483" s="13" t="s">
        <v>9853</v>
      </c>
      <c r="G2483" s="13" t="s">
        <v>9892</v>
      </c>
      <c r="H2483" s="13" t="s">
        <v>9896</v>
      </c>
      <c r="I2483" s="13" t="s">
        <v>82</v>
      </c>
      <c r="J2483" s="13" t="s">
        <v>5716</v>
      </c>
      <c r="K2483" s="13"/>
      <c r="L2483" s="13" t="s">
        <v>9893</v>
      </c>
      <c r="M2483" s="13" t="s">
        <v>9894</v>
      </c>
    </row>
    <row r="2484" customFormat="false" ht="124.6" hidden="false" customHeight="false" outlineLevel="0" collapsed="false">
      <c r="A2484" s="13" t="s">
        <v>4</v>
      </c>
      <c r="B2484" s="13" t="s">
        <v>4108</v>
      </c>
      <c r="C2484" s="13" t="n">
        <v>321</v>
      </c>
      <c r="D2484" s="13" t="s">
        <v>9890</v>
      </c>
      <c r="E2484" s="13" t="s">
        <v>9897</v>
      </c>
      <c r="F2484" s="13" t="s">
        <v>9853</v>
      </c>
      <c r="G2484" s="13" t="s">
        <v>9898</v>
      </c>
      <c r="H2484" s="13" t="s">
        <v>9899</v>
      </c>
      <c r="I2484" s="13" t="s">
        <v>82</v>
      </c>
      <c r="J2484" s="13" t="s">
        <v>5716</v>
      </c>
      <c r="K2484" s="13"/>
      <c r="L2484" s="13" t="s">
        <v>9893</v>
      </c>
      <c r="M2484" s="13" t="s">
        <v>9894</v>
      </c>
    </row>
    <row r="2485" customFormat="false" ht="124.6" hidden="false" customHeight="false" outlineLevel="0" collapsed="false">
      <c r="A2485" s="13" t="s">
        <v>4</v>
      </c>
      <c r="B2485" s="13" t="s">
        <v>4108</v>
      </c>
      <c r="C2485" s="13" t="n">
        <v>321</v>
      </c>
      <c r="D2485" s="13" t="s">
        <v>9890</v>
      </c>
      <c r="E2485" s="13" t="s">
        <v>9900</v>
      </c>
      <c r="F2485" s="13" t="s">
        <v>5029</v>
      </c>
      <c r="G2485" s="13" t="s">
        <v>9901</v>
      </c>
      <c r="H2485" s="13" t="s">
        <v>9902</v>
      </c>
      <c r="I2485" s="13" t="s">
        <v>82</v>
      </c>
      <c r="J2485" s="13" t="s">
        <v>5716</v>
      </c>
      <c r="K2485" s="13"/>
      <c r="L2485" s="13" t="s">
        <v>9893</v>
      </c>
      <c r="M2485" s="13" t="s">
        <v>9894</v>
      </c>
    </row>
    <row r="2486" customFormat="false" ht="124.6" hidden="false" customHeight="false" outlineLevel="0" collapsed="false">
      <c r="A2486" s="13" t="s">
        <v>4</v>
      </c>
      <c r="B2486" s="13" t="s">
        <v>4108</v>
      </c>
      <c r="C2486" s="13" t="n">
        <v>321</v>
      </c>
      <c r="D2486" s="13" t="s">
        <v>9890</v>
      </c>
      <c r="E2486" s="13" t="s">
        <v>9903</v>
      </c>
      <c r="F2486" s="13" t="s">
        <v>9853</v>
      </c>
      <c r="G2486" s="13" t="s">
        <v>9904</v>
      </c>
      <c r="H2486" s="13" t="s">
        <v>9905</v>
      </c>
      <c r="I2486" s="13" t="s">
        <v>82</v>
      </c>
      <c r="J2486" s="13" t="s">
        <v>5716</v>
      </c>
      <c r="K2486" s="13"/>
      <c r="L2486" s="13" t="s">
        <v>9893</v>
      </c>
      <c r="M2486" s="13" t="s">
        <v>9894</v>
      </c>
    </row>
    <row r="2487" customFormat="false" ht="169.4" hidden="false" customHeight="false" outlineLevel="0" collapsed="false">
      <c r="A2487" s="13" t="s">
        <v>4</v>
      </c>
      <c r="B2487" s="13" t="s">
        <v>4108</v>
      </c>
      <c r="C2487" s="13" t="n">
        <v>323</v>
      </c>
      <c r="D2487" s="13" t="s">
        <v>9906</v>
      </c>
      <c r="E2487" s="13" t="s">
        <v>9907</v>
      </c>
      <c r="F2487" s="13" t="s">
        <v>9908</v>
      </c>
      <c r="G2487" s="13" t="s">
        <v>5290</v>
      </c>
      <c r="H2487" s="13" t="s">
        <v>5029</v>
      </c>
      <c r="I2487" s="13" t="s">
        <v>82</v>
      </c>
      <c r="J2487" s="13" t="s">
        <v>5716</v>
      </c>
      <c r="K2487" s="13"/>
      <c r="L2487" s="13" t="s">
        <v>9909</v>
      </c>
      <c r="M2487" s="13" t="s">
        <v>9910</v>
      </c>
    </row>
    <row r="2488" customFormat="false" ht="169.4" hidden="false" customHeight="false" outlineLevel="0" collapsed="false">
      <c r="A2488" s="13" t="s">
        <v>4</v>
      </c>
      <c r="B2488" s="13" t="s">
        <v>4108</v>
      </c>
      <c r="C2488" s="13" t="n">
        <v>323</v>
      </c>
      <c r="D2488" s="13" t="s">
        <v>9906</v>
      </c>
      <c r="E2488" s="13" t="s">
        <v>9911</v>
      </c>
      <c r="F2488" s="13" t="s">
        <v>3227</v>
      </c>
      <c r="G2488" s="13" t="s">
        <v>5290</v>
      </c>
      <c r="H2488" s="13" t="s">
        <v>5029</v>
      </c>
      <c r="I2488" s="13" t="s">
        <v>82</v>
      </c>
      <c r="J2488" s="13" t="s">
        <v>5716</v>
      </c>
      <c r="K2488" s="13"/>
      <c r="L2488" s="13" t="s">
        <v>9909</v>
      </c>
      <c r="M2488" s="13" t="s">
        <v>9910</v>
      </c>
    </row>
    <row r="2489" customFormat="false" ht="169.4" hidden="false" customHeight="false" outlineLevel="0" collapsed="false">
      <c r="A2489" s="13" t="s">
        <v>4</v>
      </c>
      <c r="B2489" s="13" t="s">
        <v>4108</v>
      </c>
      <c r="C2489" s="13" t="n">
        <v>323</v>
      </c>
      <c r="D2489" s="13" t="s">
        <v>9906</v>
      </c>
      <c r="E2489" s="13" t="s">
        <v>9912</v>
      </c>
      <c r="F2489" s="13" t="s">
        <v>9913</v>
      </c>
      <c r="G2489" s="13" t="s">
        <v>5290</v>
      </c>
      <c r="H2489" s="13" t="s">
        <v>5029</v>
      </c>
      <c r="I2489" s="13" t="s">
        <v>82</v>
      </c>
      <c r="J2489" s="13" t="s">
        <v>5716</v>
      </c>
      <c r="K2489" s="13"/>
      <c r="L2489" s="13" t="s">
        <v>9909</v>
      </c>
      <c r="M2489" s="13" t="s">
        <v>9910</v>
      </c>
    </row>
    <row r="2490" customFormat="false" ht="169.4" hidden="false" customHeight="false" outlineLevel="0" collapsed="false">
      <c r="A2490" s="13" t="s">
        <v>4</v>
      </c>
      <c r="B2490" s="13" t="s">
        <v>4108</v>
      </c>
      <c r="C2490" s="13" t="n">
        <v>323</v>
      </c>
      <c r="D2490" s="13" t="s">
        <v>9906</v>
      </c>
      <c r="E2490" s="13" t="s">
        <v>9914</v>
      </c>
      <c r="F2490" s="13" t="s">
        <v>3349</v>
      </c>
      <c r="G2490" s="13" t="s">
        <v>1532</v>
      </c>
      <c r="H2490" s="13" t="s">
        <v>5263</v>
      </c>
      <c r="I2490" s="13" t="s">
        <v>82</v>
      </c>
      <c r="J2490" s="13" t="s">
        <v>5716</v>
      </c>
      <c r="K2490" s="13"/>
      <c r="L2490" s="13" t="s">
        <v>9909</v>
      </c>
      <c r="M2490" s="13" t="s">
        <v>9910</v>
      </c>
    </row>
    <row r="2491" customFormat="false" ht="169.4" hidden="false" customHeight="false" outlineLevel="0" collapsed="false">
      <c r="A2491" s="13" t="s">
        <v>4</v>
      </c>
      <c r="B2491" s="13" t="s">
        <v>4108</v>
      </c>
      <c r="C2491" s="13" t="n">
        <v>323</v>
      </c>
      <c r="D2491" s="13" t="s">
        <v>9906</v>
      </c>
      <c r="E2491" s="13" t="s">
        <v>9915</v>
      </c>
      <c r="F2491" s="13" t="s">
        <v>3349</v>
      </c>
      <c r="G2491" s="13" t="s">
        <v>9916</v>
      </c>
      <c r="H2491" s="13" t="s">
        <v>5268</v>
      </c>
      <c r="I2491" s="13" t="s">
        <v>82</v>
      </c>
      <c r="J2491" s="13" t="s">
        <v>5716</v>
      </c>
      <c r="K2491" s="13"/>
      <c r="L2491" s="13" t="s">
        <v>9909</v>
      </c>
      <c r="M2491" s="13" t="s">
        <v>9910</v>
      </c>
    </row>
    <row r="2492" customFormat="false" ht="169.4" hidden="false" customHeight="false" outlineLevel="0" collapsed="false">
      <c r="A2492" s="13" t="s">
        <v>4</v>
      </c>
      <c r="B2492" s="13" t="s">
        <v>4108</v>
      </c>
      <c r="C2492" s="13" t="n">
        <v>323</v>
      </c>
      <c r="D2492" s="13" t="s">
        <v>9906</v>
      </c>
      <c r="E2492" s="13" t="s">
        <v>9917</v>
      </c>
      <c r="F2492" s="13" t="s">
        <v>5029</v>
      </c>
      <c r="G2492" s="13" t="s">
        <v>9918</v>
      </c>
      <c r="H2492" s="13" t="s">
        <v>7745</v>
      </c>
      <c r="I2492" s="13" t="s">
        <v>82</v>
      </c>
      <c r="J2492" s="13" t="s">
        <v>5716</v>
      </c>
      <c r="K2492" s="13"/>
      <c r="L2492" s="13" t="s">
        <v>9909</v>
      </c>
      <c r="M2492" s="13" t="s">
        <v>9910</v>
      </c>
    </row>
    <row r="2493" customFormat="false" ht="169.4" hidden="false" customHeight="false" outlineLevel="0" collapsed="false">
      <c r="A2493" s="13" t="s">
        <v>4</v>
      </c>
      <c r="B2493" s="13" t="s">
        <v>4108</v>
      </c>
      <c r="C2493" s="13" t="n">
        <v>323</v>
      </c>
      <c r="D2493" s="13" t="s">
        <v>9906</v>
      </c>
      <c r="E2493" s="13" t="s">
        <v>9919</v>
      </c>
      <c r="F2493" s="13" t="s">
        <v>5029</v>
      </c>
      <c r="G2493" s="13" t="s">
        <v>9920</v>
      </c>
      <c r="H2493" s="13" t="s">
        <v>9921</v>
      </c>
      <c r="I2493" s="13" t="s">
        <v>82</v>
      </c>
      <c r="J2493" s="13" t="s">
        <v>5716</v>
      </c>
      <c r="K2493" s="13"/>
      <c r="L2493" s="13" t="s">
        <v>9909</v>
      </c>
      <c r="M2493" s="13" t="s">
        <v>9910</v>
      </c>
    </row>
    <row r="2494" customFormat="false" ht="102.2" hidden="false" customHeight="false" outlineLevel="0" collapsed="false">
      <c r="A2494" s="13" t="s">
        <v>4</v>
      </c>
      <c r="B2494" s="13" t="s">
        <v>4108</v>
      </c>
      <c r="C2494" s="13" t="n">
        <v>323</v>
      </c>
      <c r="D2494" s="13" t="s">
        <v>9922</v>
      </c>
      <c r="E2494" s="13" t="s">
        <v>9923</v>
      </c>
      <c r="F2494" s="13" t="s">
        <v>5029</v>
      </c>
      <c r="G2494" s="13" t="s">
        <v>9924</v>
      </c>
      <c r="H2494" s="13" t="s">
        <v>9925</v>
      </c>
      <c r="I2494" s="13" t="s">
        <v>82</v>
      </c>
      <c r="J2494" s="13" t="s">
        <v>5716</v>
      </c>
      <c r="K2494" s="13"/>
      <c r="L2494" s="13" t="s">
        <v>9926</v>
      </c>
      <c r="M2494" s="13" t="s">
        <v>9927</v>
      </c>
    </row>
    <row r="2495" customFormat="false" ht="102.2" hidden="false" customHeight="false" outlineLevel="0" collapsed="false">
      <c r="A2495" s="13" t="s">
        <v>4</v>
      </c>
      <c r="B2495" s="13" t="s">
        <v>4108</v>
      </c>
      <c r="C2495" s="13" t="n">
        <v>323</v>
      </c>
      <c r="D2495" s="13" t="s">
        <v>9922</v>
      </c>
      <c r="E2495" s="13" t="s">
        <v>9928</v>
      </c>
      <c r="F2495" s="13" t="s">
        <v>5029</v>
      </c>
      <c r="G2495" s="13" t="s">
        <v>9929</v>
      </c>
      <c r="H2495" s="13" t="s">
        <v>9930</v>
      </c>
      <c r="I2495" s="13" t="s">
        <v>82</v>
      </c>
      <c r="J2495" s="13" t="s">
        <v>5716</v>
      </c>
      <c r="K2495" s="13"/>
      <c r="L2495" s="13" t="s">
        <v>9926</v>
      </c>
      <c r="M2495" s="13" t="s">
        <v>9927</v>
      </c>
    </row>
    <row r="2496" customFormat="false" ht="102.2" hidden="false" customHeight="false" outlineLevel="0" collapsed="false">
      <c r="A2496" s="13" t="s">
        <v>4</v>
      </c>
      <c r="B2496" s="13" t="s">
        <v>4108</v>
      </c>
      <c r="C2496" s="13" t="n">
        <v>323</v>
      </c>
      <c r="D2496" s="13" t="s">
        <v>9922</v>
      </c>
      <c r="E2496" s="13" t="s">
        <v>9931</v>
      </c>
      <c r="F2496" s="13" t="s">
        <v>9930</v>
      </c>
      <c r="G2496" s="13" t="s">
        <v>9932</v>
      </c>
      <c r="H2496" s="13" t="s">
        <v>9933</v>
      </c>
      <c r="I2496" s="13" t="s">
        <v>74</v>
      </c>
      <c r="J2496" s="13" t="s">
        <v>9934</v>
      </c>
      <c r="K2496" s="13" t="s">
        <v>9935</v>
      </c>
      <c r="L2496" s="13" t="s">
        <v>9926</v>
      </c>
      <c r="M2496" s="13" t="s">
        <v>9927</v>
      </c>
    </row>
    <row r="2497" customFormat="false" ht="102.2" hidden="false" customHeight="false" outlineLevel="0" collapsed="false">
      <c r="A2497" s="13" t="s">
        <v>4</v>
      </c>
      <c r="B2497" s="13" t="s">
        <v>4108</v>
      </c>
      <c r="C2497" s="13" t="n">
        <v>323</v>
      </c>
      <c r="D2497" s="13" t="s">
        <v>9922</v>
      </c>
      <c r="E2497" s="13" t="s">
        <v>9936</v>
      </c>
      <c r="F2497" s="13" t="s">
        <v>5029</v>
      </c>
      <c r="G2497" s="13" t="s">
        <v>9937</v>
      </c>
      <c r="H2497" s="13" t="s">
        <v>9938</v>
      </c>
      <c r="I2497" s="13" t="s">
        <v>82</v>
      </c>
      <c r="J2497" s="13" t="s">
        <v>5716</v>
      </c>
      <c r="K2497" s="13"/>
      <c r="L2497" s="13" t="s">
        <v>9926</v>
      </c>
      <c r="M2497" s="13" t="s">
        <v>9927</v>
      </c>
    </row>
    <row r="2498" customFormat="false" ht="35.05" hidden="false" customHeight="false" outlineLevel="0" collapsed="false">
      <c r="A2498" s="13" t="s">
        <v>4</v>
      </c>
      <c r="B2498" s="13" t="s">
        <v>4108</v>
      </c>
      <c r="C2498" s="13" t="n">
        <v>323</v>
      </c>
      <c r="D2498" s="13" t="s">
        <v>9939</v>
      </c>
      <c r="E2498" s="13" t="s">
        <v>9940</v>
      </c>
      <c r="F2498" s="13" t="s">
        <v>9941</v>
      </c>
      <c r="G2498" s="13" t="s">
        <v>9942</v>
      </c>
      <c r="H2498" s="13" t="s">
        <v>9943</v>
      </c>
      <c r="I2498" s="13" t="s">
        <v>82</v>
      </c>
      <c r="J2498" s="13" t="s">
        <v>5716</v>
      </c>
      <c r="K2498" s="13"/>
      <c r="L2498" s="13" t="s">
        <v>9944</v>
      </c>
      <c r="M2498" s="13" t="s">
        <v>9945</v>
      </c>
    </row>
    <row r="2499" customFormat="false" ht="35.05" hidden="false" customHeight="false" outlineLevel="0" collapsed="false">
      <c r="A2499" s="13" t="s">
        <v>4</v>
      </c>
      <c r="B2499" s="13" t="s">
        <v>4108</v>
      </c>
      <c r="C2499" s="13" t="n">
        <v>323</v>
      </c>
      <c r="D2499" s="13" t="s">
        <v>9939</v>
      </c>
      <c r="E2499" s="13" t="s">
        <v>9946</v>
      </c>
      <c r="F2499" s="13" t="s">
        <v>9947</v>
      </c>
      <c r="G2499" s="13" t="s">
        <v>9942</v>
      </c>
      <c r="H2499" s="13" t="s">
        <v>9943</v>
      </c>
      <c r="I2499" s="13" t="s">
        <v>114</v>
      </c>
      <c r="J2499" s="13" t="s">
        <v>9948</v>
      </c>
      <c r="K2499" s="13" t="s">
        <v>9949</v>
      </c>
      <c r="L2499" s="13" t="s">
        <v>9944</v>
      </c>
      <c r="M2499" s="13" t="s">
        <v>9945</v>
      </c>
    </row>
    <row r="2500" customFormat="false" ht="35.05" hidden="false" customHeight="false" outlineLevel="0" collapsed="false">
      <c r="A2500" s="13" t="s">
        <v>4</v>
      </c>
      <c r="B2500" s="13" t="s">
        <v>4108</v>
      </c>
      <c r="C2500" s="13" t="n">
        <v>323</v>
      </c>
      <c r="D2500" s="13" t="s">
        <v>9939</v>
      </c>
      <c r="E2500" s="13" t="s">
        <v>9950</v>
      </c>
      <c r="F2500" s="13" t="s">
        <v>9951</v>
      </c>
      <c r="G2500" s="13" t="s">
        <v>9942</v>
      </c>
      <c r="H2500" s="13" t="s">
        <v>9943</v>
      </c>
      <c r="I2500" s="13" t="s">
        <v>82</v>
      </c>
      <c r="J2500" s="13" t="s">
        <v>5716</v>
      </c>
      <c r="K2500" s="13"/>
      <c r="L2500" s="13" t="s">
        <v>9944</v>
      </c>
      <c r="M2500" s="13" t="s">
        <v>9945</v>
      </c>
    </row>
    <row r="2501" customFormat="false" ht="35.05" hidden="false" customHeight="false" outlineLevel="0" collapsed="false">
      <c r="A2501" s="13" t="s">
        <v>4</v>
      </c>
      <c r="B2501" s="13" t="s">
        <v>4108</v>
      </c>
      <c r="C2501" s="13" t="n">
        <v>323</v>
      </c>
      <c r="D2501" s="13" t="s">
        <v>9939</v>
      </c>
      <c r="E2501" s="13" t="s">
        <v>9952</v>
      </c>
      <c r="F2501" s="13" t="s">
        <v>9953</v>
      </c>
      <c r="G2501" s="13" t="s">
        <v>9954</v>
      </c>
      <c r="H2501" s="13" t="s">
        <v>9943</v>
      </c>
      <c r="I2501" s="13" t="s">
        <v>82</v>
      </c>
      <c r="J2501" s="13" t="s">
        <v>5716</v>
      </c>
      <c r="K2501" s="13"/>
      <c r="L2501" s="13" t="s">
        <v>9944</v>
      </c>
      <c r="M2501" s="13" t="s">
        <v>9945</v>
      </c>
    </row>
    <row r="2502" customFormat="false" ht="135.8" hidden="false" customHeight="false" outlineLevel="0" collapsed="false">
      <c r="A2502" s="13" t="s">
        <v>4</v>
      </c>
      <c r="B2502" s="13" t="s">
        <v>4108</v>
      </c>
      <c r="C2502" s="13" t="n">
        <v>323</v>
      </c>
      <c r="D2502" s="13" t="s">
        <v>9955</v>
      </c>
      <c r="E2502" s="13" t="s">
        <v>9956</v>
      </c>
      <c r="F2502" s="13" t="s">
        <v>9953</v>
      </c>
      <c r="G2502" s="13" t="s">
        <v>9957</v>
      </c>
      <c r="H2502" s="13" t="s">
        <v>9943</v>
      </c>
      <c r="I2502" s="13" t="s">
        <v>82</v>
      </c>
      <c r="J2502" s="13" t="s">
        <v>5716</v>
      </c>
      <c r="K2502" s="13"/>
      <c r="L2502" s="13" t="s">
        <v>9958</v>
      </c>
      <c r="M2502" s="13" t="s">
        <v>9959</v>
      </c>
    </row>
    <row r="2503" customFormat="false" ht="135.8" hidden="false" customHeight="false" outlineLevel="0" collapsed="false">
      <c r="A2503" s="13" t="s">
        <v>4</v>
      </c>
      <c r="B2503" s="13" t="s">
        <v>4108</v>
      </c>
      <c r="C2503" s="13" t="n">
        <v>323</v>
      </c>
      <c r="D2503" s="13" t="s">
        <v>9955</v>
      </c>
      <c r="E2503" s="13" t="s">
        <v>9960</v>
      </c>
      <c r="F2503" s="13" t="s">
        <v>9913</v>
      </c>
      <c r="G2503" s="13" t="s">
        <v>7108</v>
      </c>
      <c r="H2503" s="13" t="s">
        <v>9943</v>
      </c>
      <c r="I2503" s="13" t="s">
        <v>82</v>
      </c>
      <c r="J2503" s="13" t="s">
        <v>5716</v>
      </c>
      <c r="K2503" s="13"/>
      <c r="L2503" s="13" t="s">
        <v>9958</v>
      </c>
      <c r="M2503" s="13" t="s">
        <v>9959</v>
      </c>
    </row>
    <row r="2504" customFormat="false" ht="135.8" hidden="false" customHeight="false" outlineLevel="0" collapsed="false">
      <c r="A2504" s="13" t="s">
        <v>4</v>
      </c>
      <c r="B2504" s="13" t="s">
        <v>4108</v>
      </c>
      <c r="C2504" s="13" t="n">
        <v>323</v>
      </c>
      <c r="D2504" s="13" t="s">
        <v>9955</v>
      </c>
      <c r="E2504" s="13" t="s">
        <v>9961</v>
      </c>
      <c r="F2504" s="13" t="s">
        <v>9943</v>
      </c>
      <c r="G2504" s="13" t="s">
        <v>9962</v>
      </c>
      <c r="H2504" s="13" t="s">
        <v>9963</v>
      </c>
      <c r="I2504" s="13" t="s">
        <v>82</v>
      </c>
      <c r="J2504" s="13" t="s">
        <v>5716</v>
      </c>
      <c r="K2504" s="13"/>
      <c r="L2504" s="13" t="s">
        <v>9958</v>
      </c>
      <c r="M2504" s="13" t="s">
        <v>9959</v>
      </c>
    </row>
    <row r="2505" customFormat="false" ht="135.8" hidden="false" customHeight="false" outlineLevel="0" collapsed="false">
      <c r="A2505" s="13" t="s">
        <v>4</v>
      </c>
      <c r="B2505" s="13" t="s">
        <v>4108</v>
      </c>
      <c r="C2505" s="13" t="n">
        <v>323</v>
      </c>
      <c r="D2505" s="13" t="s">
        <v>9955</v>
      </c>
      <c r="E2505" s="13" t="s">
        <v>9964</v>
      </c>
      <c r="F2505" s="13" t="s">
        <v>9943</v>
      </c>
      <c r="G2505" s="13" t="s">
        <v>9965</v>
      </c>
      <c r="H2505" s="13" t="s">
        <v>9966</v>
      </c>
      <c r="I2505" s="13" t="s">
        <v>82</v>
      </c>
      <c r="J2505" s="13" t="s">
        <v>5716</v>
      </c>
      <c r="K2505" s="13"/>
      <c r="L2505" s="13" t="s">
        <v>9958</v>
      </c>
      <c r="M2505" s="13" t="s">
        <v>9959</v>
      </c>
    </row>
    <row r="2506" customFormat="false" ht="135.8" hidden="false" customHeight="false" outlineLevel="0" collapsed="false">
      <c r="A2506" s="13" t="s">
        <v>4</v>
      </c>
      <c r="B2506" s="13" t="s">
        <v>4108</v>
      </c>
      <c r="C2506" s="13" t="n">
        <v>323</v>
      </c>
      <c r="D2506" s="13" t="s">
        <v>9955</v>
      </c>
      <c r="E2506" s="13" t="s">
        <v>9967</v>
      </c>
      <c r="F2506" s="13" t="s">
        <v>9968</v>
      </c>
      <c r="G2506" s="13" t="s">
        <v>9969</v>
      </c>
      <c r="H2506" s="13" t="s">
        <v>9943</v>
      </c>
      <c r="I2506" s="13" t="s">
        <v>82</v>
      </c>
      <c r="J2506" s="13" t="s">
        <v>5716</v>
      </c>
      <c r="K2506" s="13"/>
      <c r="L2506" s="13" t="s">
        <v>9958</v>
      </c>
      <c r="M2506" s="13" t="s">
        <v>9959</v>
      </c>
    </row>
    <row r="2507" customFormat="false" ht="91" hidden="false" customHeight="false" outlineLevel="0" collapsed="false">
      <c r="A2507" s="13" t="s">
        <v>4</v>
      </c>
      <c r="B2507" s="13" t="s">
        <v>4108</v>
      </c>
      <c r="C2507" s="13" t="n">
        <v>323</v>
      </c>
      <c r="D2507" s="13" t="s">
        <v>9970</v>
      </c>
      <c r="E2507" s="13" t="s">
        <v>9971</v>
      </c>
      <c r="F2507" s="13" t="s">
        <v>5029</v>
      </c>
      <c r="G2507" s="13" t="s">
        <v>1978</v>
      </c>
      <c r="H2507" s="13" t="s">
        <v>9972</v>
      </c>
      <c r="I2507" s="13" t="s">
        <v>82</v>
      </c>
      <c r="J2507" s="13" t="s">
        <v>5716</v>
      </c>
      <c r="K2507" s="13"/>
      <c r="L2507" s="13" t="s">
        <v>9973</v>
      </c>
      <c r="M2507" s="13" t="s">
        <v>9974</v>
      </c>
    </row>
    <row r="2508" customFormat="false" ht="91" hidden="false" customHeight="false" outlineLevel="0" collapsed="false">
      <c r="A2508" s="13" t="s">
        <v>4</v>
      </c>
      <c r="B2508" s="13" t="s">
        <v>4108</v>
      </c>
      <c r="C2508" s="13" t="n">
        <v>323</v>
      </c>
      <c r="D2508" s="13" t="s">
        <v>9970</v>
      </c>
      <c r="E2508" s="13" t="s">
        <v>9975</v>
      </c>
      <c r="F2508" s="13" t="s">
        <v>5029</v>
      </c>
      <c r="G2508" s="13" t="s">
        <v>9976</v>
      </c>
      <c r="H2508" s="13" t="s">
        <v>9977</v>
      </c>
      <c r="I2508" s="13" t="s">
        <v>82</v>
      </c>
      <c r="J2508" s="13" t="s">
        <v>5716</v>
      </c>
      <c r="K2508" s="13"/>
      <c r="L2508" s="13" t="s">
        <v>9973</v>
      </c>
      <c r="M2508" s="13" t="s">
        <v>9974</v>
      </c>
    </row>
    <row r="2509" customFormat="false" ht="91" hidden="false" customHeight="false" outlineLevel="0" collapsed="false">
      <c r="A2509" s="13" t="s">
        <v>4</v>
      </c>
      <c r="B2509" s="13" t="s">
        <v>4108</v>
      </c>
      <c r="C2509" s="13" t="n">
        <v>323</v>
      </c>
      <c r="D2509" s="13" t="s">
        <v>9970</v>
      </c>
      <c r="E2509" s="13" t="s">
        <v>9978</v>
      </c>
      <c r="F2509" s="13" t="s">
        <v>5029</v>
      </c>
      <c r="G2509" s="13" t="s">
        <v>9979</v>
      </c>
      <c r="H2509" s="13" t="s">
        <v>9980</v>
      </c>
      <c r="I2509" s="13" t="s">
        <v>82</v>
      </c>
      <c r="J2509" s="13" t="s">
        <v>5716</v>
      </c>
      <c r="K2509" s="13"/>
      <c r="L2509" s="13" t="s">
        <v>9973</v>
      </c>
      <c r="M2509" s="13" t="s">
        <v>9974</v>
      </c>
    </row>
    <row r="2510" customFormat="false" ht="91" hidden="false" customHeight="false" outlineLevel="0" collapsed="false">
      <c r="A2510" s="13" t="s">
        <v>4</v>
      </c>
      <c r="B2510" s="13" t="s">
        <v>4108</v>
      </c>
      <c r="C2510" s="13" t="n">
        <v>323</v>
      </c>
      <c r="D2510" s="13" t="s">
        <v>9970</v>
      </c>
      <c r="E2510" s="13" t="s">
        <v>9981</v>
      </c>
      <c r="F2510" s="13" t="s">
        <v>5029</v>
      </c>
      <c r="G2510" s="13" t="s">
        <v>9982</v>
      </c>
      <c r="H2510" s="13" t="s">
        <v>9983</v>
      </c>
      <c r="I2510" s="13" t="s">
        <v>82</v>
      </c>
      <c r="J2510" s="13" t="s">
        <v>5716</v>
      </c>
      <c r="K2510" s="13"/>
      <c r="L2510" s="13" t="s">
        <v>9973</v>
      </c>
      <c r="M2510" s="13" t="s">
        <v>9974</v>
      </c>
    </row>
    <row r="2511" customFormat="false" ht="23.85" hidden="false" customHeight="false" outlineLevel="0" collapsed="false">
      <c r="A2511" s="13" t="s">
        <v>4</v>
      </c>
      <c r="B2511" s="13" t="s">
        <v>4108</v>
      </c>
      <c r="C2511" s="13" t="n">
        <v>327</v>
      </c>
      <c r="D2511" s="13" t="s">
        <v>9984</v>
      </c>
      <c r="E2511" s="13" t="s">
        <v>9985</v>
      </c>
      <c r="F2511" s="13" t="s">
        <v>806</v>
      </c>
      <c r="G2511" s="13" t="s">
        <v>3209</v>
      </c>
      <c r="H2511" s="13" t="s">
        <v>9986</v>
      </c>
      <c r="I2511" s="13" t="s">
        <v>82</v>
      </c>
      <c r="J2511" s="13" t="s">
        <v>5716</v>
      </c>
      <c r="K2511" s="13"/>
      <c r="L2511" s="13" t="s">
        <v>9987</v>
      </c>
      <c r="M2511" s="13" t="s">
        <v>9988</v>
      </c>
    </row>
    <row r="2512" customFormat="false" ht="23.85" hidden="false" customHeight="false" outlineLevel="0" collapsed="false">
      <c r="A2512" s="13" t="s">
        <v>4</v>
      </c>
      <c r="B2512" s="13" t="s">
        <v>4108</v>
      </c>
      <c r="C2512" s="13" t="n">
        <v>327</v>
      </c>
      <c r="D2512" s="13" t="s">
        <v>9984</v>
      </c>
      <c r="E2512" s="13" t="s">
        <v>9989</v>
      </c>
      <c r="F2512" s="13" t="s">
        <v>806</v>
      </c>
      <c r="G2512" s="13" t="s">
        <v>2202</v>
      </c>
      <c r="H2512" s="13" t="s">
        <v>9990</v>
      </c>
      <c r="I2512" s="13" t="s">
        <v>82</v>
      </c>
      <c r="J2512" s="13" t="s">
        <v>5716</v>
      </c>
      <c r="K2512" s="13"/>
      <c r="L2512" s="13" t="s">
        <v>9987</v>
      </c>
      <c r="M2512" s="13" t="s">
        <v>9988</v>
      </c>
    </row>
    <row r="2513" customFormat="false" ht="23.85" hidden="false" customHeight="false" outlineLevel="0" collapsed="false">
      <c r="A2513" s="13" t="s">
        <v>4</v>
      </c>
      <c r="B2513" s="13" t="s">
        <v>4108</v>
      </c>
      <c r="C2513" s="13" t="n">
        <v>327</v>
      </c>
      <c r="D2513" s="13" t="s">
        <v>9984</v>
      </c>
      <c r="E2513" s="13" t="s">
        <v>9991</v>
      </c>
      <c r="F2513" s="13" t="s">
        <v>9990</v>
      </c>
      <c r="G2513" s="13" t="s">
        <v>9992</v>
      </c>
      <c r="H2513" s="13" t="s">
        <v>9993</v>
      </c>
      <c r="I2513" s="13" t="s">
        <v>82</v>
      </c>
      <c r="J2513" s="13" t="s">
        <v>5716</v>
      </c>
      <c r="K2513" s="13"/>
      <c r="L2513" s="13" t="s">
        <v>9987</v>
      </c>
      <c r="M2513" s="13" t="s">
        <v>9988</v>
      </c>
    </row>
    <row r="2514" customFormat="false" ht="35.05" hidden="false" customHeight="false" outlineLevel="0" collapsed="false">
      <c r="A2514" s="13" t="s">
        <v>4</v>
      </c>
      <c r="B2514" s="13" t="s">
        <v>4108</v>
      </c>
      <c r="C2514" s="13" t="n">
        <v>327</v>
      </c>
      <c r="D2514" s="13" t="s">
        <v>9994</v>
      </c>
      <c r="E2514" s="13" t="s">
        <v>9995</v>
      </c>
      <c r="F2514" s="13" t="s">
        <v>806</v>
      </c>
      <c r="G2514" s="13" t="s">
        <v>3209</v>
      </c>
      <c r="H2514" s="13" t="s">
        <v>9986</v>
      </c>
      <c r="I2514" s="13" t="s">
        <v>82</v>
      </c>
      <c r="J2514" s="13" t="s">
        <v>5716</v>
      </c>
      <c r="K2514" s="13"/>
      <c r="L2514" s="13" t="s">
        <v>9996</v>
      </c>
      <c r="M2514" s="13" t="s">
        <v>9997</v>
      </c>
    </row>
    <row r="2515" customFormat="false" ht="35.05" hidden="false" customHeight="false" outlineLevel="0" collapsed="false">
      <c r="A2515" s="13" t="s">
        <v>4</v>
      </c>
      <c r="B2515" s="13" t="s">
        <v>4108</v>
      </c>
      <c r="C2515" s="13" t="n">
        <v>327</v>
      </c>
      <c r="D2515" s="13" t="s">
        <v>9994</v>
      </c>
      <c r="E2515" s="13" t="s">
        <v>9998</v>
      </c>
      <c r="F2515" s="13" t="s">
        <v>806</v>
      </c>
      <c r="G2515" s="13" t="s">
        <v>2202</v>
      </c>
      <c r="H2515" s="13" t="s">
        <v>9990</v>
      </c>
      <c r="I2515" s="13" t="s">
        <v>82</v>
      </c>
      <c r="J2515" s="13" t="s">
        <v>5716</v>
      </c>
      <c r="K2515" s="13"/>
      <c r="L2515" s="13" t="s">
        <v>9996</v>
      </c>
      <c r="M2515" s="13" t="s">
        <v>9997</v>
      </c>
    </row>
    <row r="2516" customFormat="false" ht="35.05" hidden="false" customHeight="false" outlineLevel="0" collapsed="false">
      <c r="A2516" s="13" t="s">
        <v>4</v>
      </c>
      <c r="B2516" s="13" t="s">
        <v>4108</v>
      </c>
      <c r="C2516" s="13" t="n">
        <v>327</v>
      </c>
      <c r="D2516" s="13" t="s">
        <v>9994</v>
      </c>
      <c r="E2516" s="13" t="s">
        <v>9999</v>
      </c>
      <c r="F2516" s="13" t="s">
        <v>9990</v>
      </c>
      <c r="G2516" s="13" t="s">
        <v>9992</v>
      </c>
      <c r="H2516" s="13" t="s">
        <v>10000</v>
      </c>
      <c r="I2516" s="13" t="s">
        <v>82</v>
      </c>
      <c r="J2516" s="13" t="s">
        <v>5716</v>
      </c>
      <c r="K2516" s="13"/>
      <c r="L2516" s="13" t="s">
        <v>9996</v>
      </c>
      <c r="M2516" s="13" t="s">
        <v>9997</v>
      </c>
    </row>
    <row r="2517" customFormat="false" ht="35.05" hidden="false" customHeight="false" outlineLevel="0" collapsed="false">
      <c r="A2517" s="13" t="s">
        <v>4</v>
      </c>
      <c r="B2517" s="13" t="s">
        <v>4108</v>
      </c>
      <c r="C2517" s="13" t="n">
        <v>327</v>
      </c>
      <c r="D2517" s="13" t="s">
        <v>10001</v>
      </c>
      <c r="E2517" s="13" t="s">
        <v>10002</v>
      </c>
      <c r="F2517" s="13" t="s">
        <v>806</v>
      </c>
      <c r="G2517" s="13" t="s">
        <v>3209</v>
      </c>
      <c r="H2517" s="13" t="s">
        <v>10003</v>
      </c>
      <c r="I2517" s="13" t="s">
        <v>82</v>
      </c>
      <c r="J2517" s="13" t="s">
        <v>5716</v>
      </c>
      <c r="K2517" s="13"/>
      <c r="L2517" s="13" t="s">
        <v>10004</v>
      </c>
      <c r="M2517" s="13" t="s">
        <v>10005</v>
      </c>
    </row>
    <row r="2518" customFormat="false" ht="35.05" hidden="false" customHeight="false" outlineLevel="0" collapsed="false">
      <c r="A2518" s="13" t="s">
        <v>4</v>
      </c>
      <c r="B2518" s="13" t="s">
        <v>4108</v>
      </c>
      <c r="C2518" s="13" t="n">
        <v>327</v>
      </c>
      <c r="D2518" s="13" t="s">
        <v>10001</v>
      </c>
      <c r="E2518" s="13" t="s">
        <v>10006</v>
      </c>
      <c r="F2518" s="13" t="s">
        <v>806</v>
      </c>
      <c r="G2518" s="13" t="s">
        <v>3209</v>
      </c>
      <c r="H2518" s="13" t="s">
        <v>10007</v>
      </c>
      <c r="I2518" s="13" t="s">
        <v>82</v>
      </c>
      <c r="J2518" s="13" t="s">
        <v>5716</v>
      </c>
      <c r="K2518" s="13"/>
      <c r="L2518" s="13" t="s">
        <v>10004</v>
      </c>
      <c r="M2518" s="13" t="s">
        <v>10005</v>
      </c>
    </row>
    <row r="2519" customFormat="false" ht="46.25" hidden="false" customHeight="false" outlineLevel="0" collapsed="false">
      <c r="A2519" s="13" t="s">
        <v>4</v>
      </c>
      <c r="B2519" s="13" t="s">
        <v>4108</v>
      </c>
      <c r="C2519" s="13" t="n">
        <v>327</v>
      </c>
      <c r="D2519" s="13" t="s">
        <v>10008</v>
      </c>
      <c r="E2519" s="13" t="s">
        <v>10009</v>
      </c>
      <c r="F2519" s="13" t="s">
        <v>806</v>
      </c>
      <c r="G2519" s="13" t="s">
        <v>10010</v>
      </c>
      <c r="H2519" s="13" t="s">
        <v>9986</v>
      </c>
      <c r="I2519" s="13" t="s">
        <v>82</v>
      </c>
      <c r="J2519" s="13" t="s">
        <v>5716</v>
      </c>
      <c r="K2519" s="13"/>
      <c r="L2519" s="13" t="s">
        <v>10011</v>
      </c>
      <c r="M2519" s="13" t="s">
        <v>10012</v>
      </c>
    </row>
    <row r="2520" customFormat="false" ht="46.25" hidden="false" customHeight="false" outlineLevel="0" collapsed="false">
      <c r="A2520" s="13" t="s">
        <v>4</v>
      </c>
      <c r="B2520" s="13" t="s">
        <v>4108</v>
      </c>
      <c r="C2520" s="13" t="n">
        <v>327</v>
      </c>
      <c r="D2520" s="13" t="s">
        <v>10008</v>
      </c>
      <c r="E2520" s="13" t="s">
        <v>10013</v>
      </c>
      <c r="F2520" s="13" t="s">
        <v>806</v>
      </c>
      <c r="G2520" s="13" t="s">
        <v>2202</v>
      </c>
      <c r="H2520" s="13" t="s">
        <v>10014</v>
      </c>
      <c r="I2520" s="13" t="s">
        <v>82</v>
      </c>
      <c r="J2520" s="13" t="s">
        <v>5716</v>
      </c>
      <c r="K2520" s="13"/>
      <c r="L2520" s="13" t="s">
        <v>10011</v>
      </c>
      <c r="M2520" s="13" t="s">
        <v>10012</v>
      </c>
    </row>
    <row r="2521" customFormat="false" ht="46.25" hidden="false" customHeight="false" outlineLevel="0" collapsed="false">
      <c r="A2521" s="13" t="s">
        <v>4</v>
      </c>
      <c r="B2521" s="13" t="s">
        <v>4108</v>
      </c>
      <c r="C2521" s="13" t="n">
        <v>327</v>
      </c>
      <c r="D2521" s="13" t="s">
        <v>10008</v>
      </c>
      <c r="E2521" s="13" t="s">
        <v>10015</v>
      </c>
      <c r="F2521" s="13" t="s">
        <v>10014</v>
      </c>
      <c r="G2521" s="13" t="s">
        <v>9992</v>
      </c>
      <c r="H2521" s="13" t="s">
        <v>10016</v>
      </c>
      <c r="I2521" s="13" t="s">
        <v>82</v>
      </c>
      <c r="J2521" s="13" t="s">
        <v>5716</v>
      </c>
      <c r="K2521" s="13"/>
      <c r="L2521" s="13" t="s">
        <v>10011</v>
      </c>
      <c r="M2521" s="13" t="s">
        <v>10012</v>
      </c>
    </row>
    <row r="2522" customFormat="false" ht="46.25" hidden="false" customHeight="false" outlineLevel="0" collapsed="false">
      <c r="A2522" s="13" t="s">
        <v>4</v>
      </c>
      <c r="B2522" s="13" t="s">
        <v>4108</v>
      </c>
      <c r="C2522" s="13" t="n">
        <v>327</v>
      </c>
      <c r="D2522" s="13" t="s">
        <v>10008</v>
      </c>
      <c r="E2522" s="13" t="s">
        <v>10017</v>
      </c>
      <c r="F2522" s="13" t="s">
        <v>806</v>
      </c>
      <c r="G2522" s="13" t="s">
        <v>8089</v>
      </c>
      <c r="H2522" s="13" t="s">
        <v>8090</v>
      </c>
      <c r="I2522" s="13" t="s">
        <v>82</v>
      </c>
      <c r="J2522" s="13" t="s">
        <v>5716</v>
      </c>
      <c r="K2522" s="13"/>
      <c r="L2522" s="13" t="s">
        <v>10011</v>
      </c>
      <c r="M2522" s="13" t="s">
        <v>10012</v>
      </c>
    </row>
    <row r="2523" customFormat="false" ht="79.85" hidden="false" customHeight="false" outlineLevel="0" collapsed="false">
      <c r="A2523" s="13" t="s">
        <v>4</v>
      </c>
      <c r="B2523" s="13" t="s">
        <v>4108</v>
      </c>
      <c r="C2523" s="13" t="n">
        <v>327</v>
      </c>
      <c r="D2523" s="13" t="s">
        <v>10018</v>
      </c>
      <c r="E2523" s="13" t="s">
        <v>10019</v>
      </c>
      <c r="F2523" s="13" t="s">
        <v>806</v>
      </c>
      <c r="G2523" s="13" t="s">
        <v>2202</v>
      </c>
      <c r="H2523" s="13" t="s">
        <v>10020</v>
      </c>
      <c r="I2523" s="13" t="s">
        <v>82</v>
      </c>
      <c r="J2523" s="13" t="s">
        <v>5716</v>
      </c>
      <c r="K2523" s="13"/>
      <c r="L2523" s="13" t="s">
        <v>10021</v>
      </c>
      <c r="M2523" s="13" t="s">
        <v>10022</v>
      </c>
    </row>
    <row r="2524" customFormat="false" ht="79.85" hidden="false" customHeight="false" outlineLevel="0" collapsed="false">
      <c r="A2524" s="13" t="s">
        <v>4</v>
      </c>
      <c r="B2524" s="13" t="s">
        <v>4108</v>
      </c>
      <c r="C2524" s="13" t="n">
        <v>327</v>
      </c>
      <c r="D2524" s="13" t="s">
        <v>10018</v>
      </c>
      <c r="E2524" s="13" t="s">
        <v>10023</v>
      </c>
      <c r="F2524" s="13" t="s">
        <v>806</v>
      </c>
      <c r="G2524" s="13" t="s">
        <v>2202</v>
      </c>
      <c r="H2524" s="13" t="s">
        <v>10024</v>
      </c>
      <c r="I2524" s="13" t="s">
        <v>82</v>
      </c>
      <c r="J2524" s="13" t="s">
        <v>5716</v>
      </c>
      <c r="K2524" s="13"/>
      <c r="L2524" s="13" t="s">
        <v>10021</v>
      </c>
      <c r="M2524" s="13" t="s">
        <v>10022</v>
      </c>
    </row>
    <row r="2525" customFormat="false" ht="79.85" hidden="false" customHeight="false" outlineLevel="0" collapsed="false">
      <c r="A2525" s="13" t="s">
        <v>4</v>
      </c>
      <c r="B2525" s="13" t="s">
        <v>4108</v>
      </c>
      <c r="C2525" s="13" t="n">
        <v>327</v>
      </c>
      <c r="D2525" s="13" t="s">
        <v>10018</v>
      </c>
      <c r="E2525" s="13" t="s">
        <v>10025</v>
      </c>
      <c r="F2525" s="13" t="s">
        <v>806</v>
      </c>
      <c r="G2525" s="13" t="s">
        <v>2202</v>
      </c>
      <c r="H2525" s="13" t="s">
        <v>10026</v>
      </c>
      <c r="I2525" s="13" t="s">
        <v>82</v>
      </c>
      <c r="J2525" s="13" t="s">
        <v>5716</v>
      </c>
      <c r="K2525" s="13"/>
      <c r="L2525" s="13" t="s">
        <v>10021</v>
      </c>
      <c r="M2525" s="13" t="s">
        <v>10022</v>
      </c>
    </row>
    <row r="2526" customFormat="false" ht="79.85" hidden="false" customHeight="false" outlineLevel="0" collapsed="false">
      <c r="A2526" s="13" t="s">
        <v>4</v>
      </c>
      <c r="B2526" s="13" t="s">
        <v>4108</v>
      </c>
      <c r="C2526" s="13" t="n">
        <v>327</v>
      </c>
      <c r="D2526" s="13" t="s">
        <v>10018</v>
      </c>
      <c r="E2526" s="13" t="s">
        <v>10027</v>
      </c>
      <c r="F2526" s="13" t="s">
        <v>806</v>
      </c>
      <c r="G2526" s="13" t="s">
        <v>2202</v>
      </c>
      <c r="H2526" s="13" t="s">
        <v>9990</v>
      </c>
      <c r="I2526" s="13" t="s">
        <v>82</v>
      </c>
      <c r="J2526" s="13" t="s">
        <v>5716</v>
      </c>
      <c r="K2526" s="13"/>
      <c r="L2526" s="13" t="s">
        <v>10021</v>
      </c>
      <c r="M2526" s="13" t="s">
        <v>10022</v>
      </c>
    </row>
    <row r="2527" customFormat="false" ht="79.85" hidden="false" customHeight="false" outlineLevel="0" collapsed="false">
      <c r="A2527" s="13" t="s">
        <v>4</v>
      </c>
      <c r="B2527" s="13" t="s">
        <v>4108</v>
      </c>
      <c r="C2527" s="13" t="n">
        <v>327</v>
      </c>
      <c r="D2527" s="13" t="s">
        <v>10018</v>
      </c>
      <c r="E2527" s="13" t="s">
        <v>10028</v>
      </c>
      <c r="F2527" s="13" t="s">
        <v>806</v>
      </c>
      <c r="G2527" s="13" t="s">
        <v>2202</v>
      </c>
      <c r="H2527" s="13" t="s">
        <v>10029</v>
      </c>
      <c r="I2527" s="13" t="s">
        <v>82</v>
      </c>
      <c r="J2527" s="13" t="s">
        <v>5716</v>
      </c>
      <c r="K2527" s="13"/>
      <c r="L2527" s="13" t="s">
        <v>10021</v>
      </c>
      <c r="M2527" s="13" t="s">
        <v>10022</v>
      </c>
    </row>
    <row r="2528" customFormat="false" ht="57.45" hidden="false" customHeight="false" outlineLevel="0" collapsed="false">
      <c r="A2528" s="13" t="s">
        <v>4</v>
      </c>
      <c r="B2528" s="13" t="s">
        <v>4108</v>
      </c>
      <c r="C2528" s="13" t="n">
        <v>327</v>
      </c>
      <c r="D2528" s="13" t="s">
        <v>10030</v>
      </c>
      <c r="E2528" s="13" t="s">
        <v>10031</v>
      </c>
      <c r="F2528" s="13" t="s">
        <v>806</v>
      </c>
      <c r="G2528" s="13" t="s">
        <v>2202</v>
      </c>
      <c r="H2528" s="13" t="s">
        <v>10032</v>
      </c>
      <c r="I2528" s="13" t="s">
        <v>82</v>
      </c>
      <c r="J2528" s="13" t="s">
        <v>5716</v>
      </c>
      <c r="K2528" s="13"/>
      <c r="L2528" s="13" t="s">
        <v>10033</v>
      </c>
      <c r="M2528" s="13" t="s">
        <v>10034</v>
      </c>
    </row>
    <row r="2529" customFormat="false" ht="57.45" hidden="false" customHeight="false" outlineLevel="0" collapsed="false">
      <c r="A2529" s="13" t="s">
        <v>4</v>
      </c>
      <c r="B2529" s="13" t="s">
        <v>4108</v>
      </c>
      <c r="C2529" s="13" t="n">
        <v>327</v>
      </c>
      <c r="D2529" s="13" t="s">
        <v>10030</v>
      </c>
      <c r="E2529" s="13" t="s">
        <v>10035</v>
      </c>
      <c r="F2529" s="13" t="s">
        <v>806</v>
      </c>
      <c r="G2529" s="13" t="s">
        <v>1587</v>
      </c>
      <c r="H2529" s="13" t="s">
        <v>10036</v>
      </c>
      <c r="I2529" s="13" t="s">
        <v>82</v>
      </c>
      <c r="J2529" s="13" t="s">
        <v>5716</v>
      </c>
      <c r="K2529" s="13"/>
      <c r="L2529" s="13" t="s">
        <v>10033</v>
      </c>
      <c r="M2529" s="13" t="s">
        <v>10034</v>
      </c>
    </row>
    <row r="2530" customFormat="false" ht="57.45" hidden="false" customHeight="false" outlineLevel="0" collapsed="false">
      <c r="A2530" s="13" t="s">
        <v>4</v>
      </c>
      <c r="B2530" s="13" t="s">
        <v>4108</v>
      </c>
      <c r="C2530" s="13" t="n">
        <v>327</v>
      </c>
      <c r="D2530" s="13" t="s">
        <v>10030</v>
      </c>
      <c r="E2530" s="13" t="s">
        <v>10037</v>
      </c>
      <c r="F2530" s="13" t="s">
        <v>10036</v>
      </c>
      <c r="G2530" s="13" t="s">
        <v>1978</v>
      </c>
      <c r="H2530" s="13" t="s">
        <v>10038</v>
      </c>
      <c r="I2530" s="13" t="s">
        <v>82</v>
      </c>
      <c r="J2530" s="13" t="s">
        <v>5716</v>
      </c>
      <c r="K2530" s="13"/>
      <c r="L2530" s="13" t="s">
        <v>10033</v>
      </c>
      <c r="M2530" s="13" t="s">
        <v>10034</v>
      </c>
    </row>
    <row r="2531" customFormat="false" ht="35.05" hidden="false" customHeight="false" outlineLevel="0" collapsed="false">
      <c r="A2531" s="13" t="s">
        <v>4</v>
      </c>
      <c r="B2531" s="13" t="s">
        <v>4108</v>
      </c>
      <c r="C2531" s="13" t="n">
        <v>327</v>
      </c>
      <c r="D2531" s="13" t="s">
        <v>10039</v>
      </c>
      <c r="E2531" s="13" t="s">
        <v>10040</v>
      </c>
      <c r="F2531" s="13" t="s">
        <v>806</v>
      </c>
      <c r="G2531" s="13" t="s">
        <v>10041</v>
      </c>
      <c r="H2531" s="13" t="s">
        <v>10042</v>
      </c>
      <c r="I2531" s="13" t="s">
        <v>82</v>
      </c>
      <c r="J2531" s="13" t="s">
        <v>5716</v>
      </c>
      <c r="K2531" s="13"/>
      <c r="L2531" s="13" t="s">
        <v>10043</v>
      </c>
      <c r="M2531" s="13" t="s">
        <v>10044</v>
      </c>
    </row>
    <row r="2532" customFormat="false" ht="35.05" hidden="false" customHeight="false" outlineLevel="0" collapsed="false">
      <c r="A2532" s="13" t="s">
        <v>4</v>
      </c>
      <c r="B2532" s="13" t="s">
        <v>4108</v>
      </c>
      <c r="C2532" s="13" t="n">
        <v>327</v>
      </c>
      <c r="D2532" s="13" t="s">
        <v>10039</v>
      </c>
      <c r="E2532" s="13" t="s">
        <v>10045</v>
      </c>
      <c r="F2532" s="13" t="s">
        <v>10042</v>
      </c>
      <c r="G2532" s="13" t="s">
        <v>10046</v>
      </c>
      <c r="H2532" s="13" t="s">
        <v>10047</v>
      </c>
      <c r="I2532" s="13" t="s">
        <v>82</v>
      </c>
      <c r="J2532" s="13" t="s">
        <v>5716</v>
      </c>
      <c r="K2532" s="13"/>
      <c r="L2532" s="13" t="s">
        <v>10043</v>
      </c>
      <c r="M2532" s="13" t="s">
        <v>10044</v>
      </c>
    </row>
    <row r="2533" customFormat="false" ht="23.85" hidden="false" customHeight="false" outlineLevel="0" collapsed="false">
      <c r="A2533" s="13" t="s">
        <v>4</v>
      </c>
      <c r="B2533" s="13" t="s">
        <v>4108</v>
      </c>
      <c r="C2533" s="13" t="n">
        <v>327</v>
      </c>
      <c r="D2533" s="13" t="s">
        <v>10048</v>
      </c>
      <c r="E2533" s="13" t="s">
        <v>10049</v>
      </c>
      <c r="F2533" s="13" t="s">
        <v>806</v>
      </c>
      <c r="G2533" s="13" t="s">
        <v>2202</v>
      </c>
      <c r="H2533" s="13" t="s">
        <v>10050</v>
      </c>
      <c r="I2533" s="13" t="s">
        <v>82</v>
      </c>
      <c r="J2533" s="13" t="s">
        <v>5716</v>
      </c>
      <c r="K2533" s="13"/>
      <c r="L2533" s="13" t="s">
        <v>10051</v>
      </c>
      <c r="M2533" s="13" t="s">
        <v>10052</v>
      </c>
    </row>
    <row r="2534" customFormat="false" ht="23.85" hidden="false" customHeight="false" outlineLevel="0" collapsed="false">
      <c r="A2534" s="13" t="s">
        <v>4</v>
      </c>
      <c r="B2534" s="13" t="s">
        <v>4108</v>
      </c>
      <c r="C2534" s="13" t="n">
        <v>327</v>
      </c>
      <c r="D2534" s="13" t="s">
        <v>10048</v>
      </c>
      <c r="E2534" s="13" t="s">
        <v>10053</v>
      </c>
      <c r="F2534" s="13" t="s">
        <v>10050</v>
      </c>
      <c r="G2534" s="13" t="s">
        <v>9992</v>
      </c>
      <c r="H2534" s="13" t="s">
        <v>10054</v>
      </c>
      <c r="I2534" s="13" t="s">
        <v>82</v>
      </c>
      <c r="J2534" s="13" t="s">
        <v>5716</v>
      </c>
      <c r="K2534" s="13"/>
      <c r="L2534" s="13" t="s">
        <v>10051</v>
      </c>
      <c r="M2534" s="13" t="s">
        <v>10052</v>
      </c>
    </row>
    <row r="2535" customFormat="false" ht="23.85" hidden="false" customHeight="false" outlineLevel="0" collapsed="false">
      <c r="A2535" s="13" t="s">
        <v>4</v>
      </c>
      <c r="B2535" s="13" t="s">
        <v>4108</v>
      </c>
      <c r="C2535" s="13" t="n">
        <v>327</v>
      </c>
      <c r="D2535" s="13" t="s">
        <v>10055</v>
      </c>
      <c r="E2535" s="13" t="s">
        <v>10056</v>
      </c>
      <c r="F2535" s="13" t="s">
        <v>806</v>
      </c>
      <c r="G2535" s="13" t="s">
        <v>10057</v>
      </c>
      <c r="H2535" s="13" t="s">
        <v>10058</v>
      </c>
      <c r="I2535" s="13" t="s">
        <v>82</v>
      </c>
      <c r="J2535" s="13" t="s">
        <v>5716</v>
      </c>
      <c r="K2535" s="13"/>
      <c r="L2535" s="13" t="s">
        <v>10059</v>
      </c>
      <c r="M2535" s="13" t="s">
        <v>10060</v>
      </c>
    </row>
    <row r="2536" customFormat="false" ht="23.85" hidden="false" customHeight="false" outlineLevel="0" collapsed="false">
      <c r="A2536" s="13" t="s">
        <v>4</v>
      </c>
      <c r="B2536" s="13" t="s">
        <v>4108</v>
      </c>
      <c r="C2536" s="13" t="n">
        <v>327</v>
      </c>
      <c r="D2536" s="13" t="s">
        <v>10055</v>
      </c>
      <c r="E2536" s="13" t="s">
        <v>10061</v>
      </c>
      <c r="F2536" s="13" t="s">
        <v>806</v>
      </c>
      <c r="G2536" s="13" t="s">
        <v>10057</v>
      </c>
      <c r="H2536" s="13" t="s">
        <v>10062</v>
      </c>
      <c r="I2536" s="13" t="s">
        <v>82</v>
      </c>
      <c r="J2536" s="13" t="s">
        <v>5716</v>
      </c>
      <c r="K2536" s="13"/>
      <c r="L2536" s="13" t="s">
        <v>10059</v>
      </c>
      <c r="M2536" s="13" t="s">
        <v>10060</v>
      </c>
    </row>
    <row r="2537" customFormat="false" ht="23.85" hidden="false" customHeight="false" outlineLevel="0" collapsed="false">
      <c r="A2537" s="13" t="s">
        <v>4</v>
      </c>
      <c r="B2537" s="13" t="s">
        <v>4108</v>
      </c>
      <c r="C2537" s="13" t="n">
        <v>327</v>
      </c>
      <c r="D2537" s="13" t="s">
        <v>10055</v>
      </c>
      <c r="E2537" s="13" t="s">
        <v>10063</v>
      </c>
      <c r="F2537" s="13" t="s">
        <v>806</v>
      </c>
      <c r="G2537" s="13" t="s">
        <v>10057</v>
      </c>
      <c r="H2537" s="13" t="s">
        <v>10064</v>
      </c>
      <c r="I2537" s="13" t="s">
        <v>82</v>
      </c>
      <c r="J2537" s="13" t="s">
        <v>5716</v>
      </c>
      <c r="K2537" s="13"/>
      <c r="L2537" s="13" t="s">
        <v>10059</v>
      </c>
      <c r="M2537" s="13" t="s">
        <v>10060</v>
      </c>
    </row>
    <row r="2538" customFormat="false" ht="23.85" hidden="false" customHeight="false" outlineLevel="0" collapsed="false">
      <c r="A2538" s="13" t="s">
        <v>4</v>
      </c>
      <c r="B2538" s="13" t="s">
        <v>4108</v>
      </c>
      <c r="C2538" s="13" t="n">
        <v>327</v>
      </c>
      <c r="D2538" s="13" t="s">
        <v>10055</v>
      </c>
      <c r="E2538" s="13" t="s">
        <v>10065</v>
      </c>
      <c r="F2538" s="13" t="s">
        <v>806</v>
      </c>
      <c r="G2538" s="13" t="s">
        <v>10057</v>
      </c>
      <c r="H2538" s="13" t="s">
        <v>10066</v>
      </c>
      <c r="I2538" s="13" t="s">
        <v>82</v>
      </c>
      <c r="J2538" s="13" t="s">
        <v>5716</v>
      </c>
      <c r="K2538" s="13"/>
      <c r="L2538" s="13" t="s">
        <v>10059</v>
      </c>
      <c r="M2538" s="13" t="s">
        <v>10060</v>
      </c>
    </row>
    <row r="2539" customFormat="false" ht="35.05" hidden="false" customHeight="false" outlineLevel="0" collapsed="false">
      <c r="A2539" s="13" t="s">
        <v>4</v>
      </c>
      <c r="B2539" s="13" t="s">
        <v>4108</v>
      </c>
      <c r="C2539" s="13" t="n">
        <v>327</v>
      </c>
      <c r="D2539" s="13" t="s">
        <v>10067</v>
      </c>
      <c r="E2539" s="13" t="s">
        <v>10068</v>
      </c>
      <c r="F2539" s="13" t="s">
        <v>806</v>
      </c>
      <c r="G2539" s="13" t="s">
        <v>10041</v>
      </c>
      <c r="H2539" s="13" t="s">
        <v>10069</v>
      </c>
      <c r="I2539" s="13" t="s">
        <v>82</v>
      </c>
      <c r="J2539" s="13" t="s">
        <v>5716</v>
      </c>
      <c r="K2539" s="13"/>
      <c r="L2539" s="13" t="s">
        <v>10070</v>
      </c>
      <c r="M2539" s="13" t="s">
        <v>10071</v>
      </c>
    </row>
    <row r="2540" customFormat="false" ht="57.45" hidden="false" customHeight="false" outlineLevel="0" collapsed="false">
      <c r="A2540" s="13" t="s">
        <v>4</v>
      </c>
      <c r="B2540" s="13" t="s">
        <v>4108</v>
      </c>
      <c r="C2540" s="13" t="n">
        <v>327</v>
      </c>
      <c r="D2540" s="13" t="s">
        <v>10072</v>
      </c>
      <c r="E2540" s="13" t="s">
        <v>10073</v>
      </c>
      <c r="F2540" s="13" t="s">
        <v>806</v>
      </c>
      <c r="G2540" s="13" t="s">
        <v>10074</v>
      </c>
      <c r="H2540" s="13" t="s">
        <v>10075</v>
      </c>
      <c r="I2540" s="13" t="s">
        <v>82</v>
      </c>
      <c r="J2540" s="13" t="s">
        <v>5716</v>
      </c>
      <c r="K2540" s="13"/>
      <c r="L2540" s="13" t="s">
        <v>10076</v>
      </c>
      <c r="M2540" s="13" t="s">
        <v>10077</v>
      </c>
    </row>
    <row r="2541" customFormat="false" ht="57.45" hidden="false" customHeight="false" outlineLevel="0" collapsed="false">
      <c r="A2541" s="13" t="s">
        <v>4</v>
      </c>
      <c r="B2541" s="13" t="s">
        <v>4108</v>
      </c>
      <c r="C2541" s="13" t="n">
        <v>327</v>
      </c>
      <c r="D2541" s="13" t="s">
        <v>10072</v>
      </c>
      <c r="E2541" s="13" t="s">
        <v>10078</v>
      </c>
      <c r="F2541" s="13" t="s">
        <v>806</v>
      </c>
      <c r="G2541" s="13" t="s">
        <v>10079</v>
      </c>
      <c r="H2541" s="13" t="s">
        <v>10080</v>
      </c>
      <c r="I2541" s="13" t="s">
        <v>82</v>
      </c>
      <c r="J2541" s="13" t="s">
        <v>5716</v>
      </c>
      <c r="K2541" s="13"/>
      <c r="L2541" s="13" t="s">
        <v>10076</v>
      </c>
      <c r="M2541" s="13" t="s">
        <v>10077</v>
      </c>
    </row>
    <row r="2542" customFormat="false" ht="46.25" hidden="false" customHeight="false" outlineLevel="0" collapsed="false">
      <c r="A2542" s="13" t="s">
        <v>4</v>
      </c>
      <c r="B2542" s="13" t="s">
        <v>4108</v>
      </c>
      <c r="C2542" s="13" t="n">
        <v>327</v>
      </c>
      <c r="D2542" s="13" t="s">
        <v>10081</v>
      </c>
      <c r="E2542" s="13" t="s">
        <v>10082</v>
      </c>
      <c r="F2542" s="13" t="s">
        <v>806</v>
      </c>
      <c r="G2542" s="13" t="s">
        <v>10083</v>
      </c>
      <c r="H2542" s="13" t="s">
        <v>10084</v>
      </c>
      <c r="I2542" s="13" t="s">
        <v>82</v>
      </c>
      <c r="J2542" s="13" t="s">
        <v>5716</v>
      </c>
      <c r="K2542" s="13"/>
      <c r="L2542" s="13" t="s">
        <v>10085</v>
      </c>
      <c r="M2542" s="13" t="s">
        <v>10086</v>
      </c>
    </row>
    <row r="2543" customFormat="false" ht="46.25" hidden="false" customHeight="false" outlineLevel="0" collapsed="false">
      <c r="A2543" s="13" t="s">
        <v>4</v>
      </c>
      <c r="B2543" s="13" t="s">
        <v>4108</v>
      </c>
      <c r="C2543" s="13" t="n">
        <v>327</v>
      </c>
      <c r="D2543" s="13" t="s">
        <v>10081</v>
      </c>
      <c r="E2543" s="13" t="s">
        <v>10087</v>
      </c>
      <c r="F2543" s="13" t="s">
        <v>806</v>
      </c>
      <c r="G2543" s="13" t="s">
        <v>10083</v>
      </c>
      <c r="H2543" s="13" t="s">
        <v>10088</v>
      </c>
      <c r="I2543" s="13" t="s">
        <v>82</v>
      </c>
      <c r="J2543" s="13" t="s">
        <v>5716</v>
      </c>
      <c r="K2543" s="13"/>
      <c r="L2543" s="13" t="s">
        <v>10085</v>
      </c>
      <c r="M2543" s="13" t="s">
        <v>10086</v>
      </c>
    </row>
    <row r="2544" customFormat="false" ht="57.45" hidden="false" customHeight="false" outlineLevel="0" collapsed="false">
      <c r="A2544" s="13" t="s">
        <v>4</v>
      </c>
      <c r="B2544" s="13" t="s">
        <v>4108</v>
      </c>
      <c r="C2544" s="13" t="n">
        <v>327</v>
      </c>
      <c r="D2544" s="13" t="s">
        <v>10089</v>
      </c>
      <c r="E2544" s="13" t="s">
        <v>10090</v>
      </c>
      <c r="F2544" s="13" t="s">
        <v>806</v>
      </c>
      <c r="G2544" s="13" t="s">
        <v>2202</v>
      </c>
      <c r="H2544" s="13" t="s">
        <v>10091</v>
      </c>
      <c r="I2544" s="13" t="s">
        <v>82</v>
      </c>
      <c r="J2544" s="13" t="s">
        <v>5716</v>
      </c>
      <c r="K2544" s="13"/>
      <c r="L2544" s="13" t="s">
        <v>10092</v>
      </c>
      <c r="M2544" s="13" t="s">
        <v>10093</v>
      </c>
    </row>
    <row r="2545" customFormat="false" ht="57.45" hidden="false" customHeight="false" outlineLevel="0" collapsed="false">
      <c r="A2545" s="13" t="s">
        <v>4</v>
      </c>
      <c r="B2545" s="13" t="s">
        <v>4108</v>
      </c>
      <c r="C2545" s="13" t="n">
        <v>327</v>
      </c>
      <c r="D2545" s="13" t="s">
        <v>10089</v>
      </c>
      <c r="E2545" s="13" t="s">
        <v>10094</v>
      </c>
      <c r="F2545" s="13" t="s">
        <v>806</v>
      </c>
      <c r="G2545" s="13" t="s">
        <v>1587</v>
      </c>
      <c r="H2545" s="13" t="s">
        <v>10095</v>
      </c>
      <c r="I2545" s="13" t="s">
        <v>82</v>
      </c>
      <c r="J2545" s="13" t="s">
        <v>5716</v>
      </c>
      <c r="K2545" s="13"/>
      <c r="L2545" s="13" t="s">
        <v>10092</v>
      </c>
      <c r="M2545" s="13" t="s">
        <v>10093</v>
      </c>
    </row>
    <row r="2546" customFormat="false" ht="57.45" hidden="false" customHeight="false" outlineLevel="0" collapsed="false">
      <c r="A2546" s="13" t="s">
        <v>4</v>
      </c>
      <c r="B2546" s="13" t="s">
        <v>4108</v>
      </c>
      <c r="C2546" s="13" t="n">
        <v>327</v>
      </c>
      <c r="D2546" s="13" t="s">
        <v>10089</v>
      </c>
      <c r="E2546" s="13" t="s">
        <v>10096</v>
      </c>
      <c r="F2546" s="13" t="s">
        <v>10095</v>
      </c>
      <c r="G2546" s="13" t="s">
        <v>1978</v>
      </c>
      <c r="H2546" s="13" t="s">
        <v>10097</v>
      </c>
      <c r="I2546" s="13" t="s">
        <v>82</v>
      </c>
      <c r="J2546" s="13" t="s">
        <v>5716</v>
      </c>
      <c r="K2546" s="13"/>
      <c r="L2546" s="13" t="s">
        <v>10092</v>
      </c>
      <c r="M2546" s="13" t="s">
        <v>10093</v>
      </c>
    </row>
    <row r="2547" customFormat="false" ht="23.85" hidden="false" customHeight="false" outlineLevel="0" collapsed="false">
      <c r="A2547" s="13" t="s">
        <v>4</v>
      </c>
      <c r="B2547" s="13" t="s">
        <v>4108</v>
      </c>
      <c r="C2547" s="13" t="n">
        <v>327</v>
      </c>
      <c r="D2547" s="13" t="s">
        <v>10098</v>
      </c>
      <c r="E2547" s="13" t="s">
        <v>10099</v>
      </c>
      <c r="F2547" s="13" t="s">
        <v>806</v>
      </c>
      <c r="G2547" s="13" t="s">
        <v>2202</v>
      </c>
      <c r="H2547" s="13" t="s">
        <v>10100</v>
      </c>
      <c r="I2547" s="13" t="s">
        <v>82</v>
      </c>
      <c r="J2547" s="13" t="s">
        <v>5716</v>
      </c>
      <c r="K2547" s="13"/>
      <c r="L2547" s="13" t="s">
        <v>10101</v>
      </c>
      <c r="M2547" s="13" t="s">
        <v>10102</v>
      </c>
    </row>
    <row r="2548" customFormat="false" ht="23.85" hidden="false" customHeight="false" outlineLevel="0" collapsed="false">
      <c r="A2548" s="13" t="s">
        <v>4</v>
      </c>
      <c r="B2548" s="13" t="s">
        <v>4108</v>
      </c>
      <c r="C2548" s="13" t="n">
        <v>327</v>
      </c>
      <c r="D2548" s="13" t="s">
        <v>10098</v>
      </c>
      <c r="E2548" s="13" t="s">
        <v>10103</v>
      </c>
      <c r="F2548" s="13" t="s">
        <v>806</v>
      </c>
      <c r="G2548" s="13" t="s">
        <v>1587</v>
      </c>
      <c r="H2548" s="13" t="s">
        <v>10104</v>
      </c>
      <c r="I2548" s="13" t="s">
        <v>82</v>
      </c>
      <c r="J2548" s="13" t="s">
        <v>5716</v>
      </c>
      <c r="K2548" s="13"/>
      <c r="L2548" s="13" t="s">
        <v>10101</v>
      </c>
      <c r="M2548" s="13" t="s">
        <v>10102</v>
      </c>
    </row>
    <row r="2549" customFormat="false" ht="35.05" hidden="false" customHeight="false" outlineLevel="0" collapsed="false">
      <c r="A2549" s="13" t="s">
        <v>4</v>
      </c>
      <c r="B2549" s="13" t="s">
        <v>4108</v>
      </c>
      <c r="C2549" s="13" t="n">
        <v>329</v>
      </c>
      <c r="D2549" s="13" t="s">
        <v>10105</v>
      </c>
      <c r="E2549" s="13" t="s">
        <v>10106</v>
      </c>
      <c r="F2549" s="13" t="s">
        <v>1439</v>
      </c>
      <c r="G2549" s="13" t="s">
        <v>10107</v>
      </c>
      <c r="H2549" s="13" t="s">
        <v>10108</v>
      </c>
      <c r="I2549" s="13" t="s">
        <v>82</v>
      </c>
      <c r="J2549" s="13" t="s">
        <v>5716</v>
      </c>
      <c r="K2549" s="13"/>
      <c r="L2549" s="13" t="s">
        <v>10109</v>
      </c>
      <c r="M2549" s="13" t="s">
        <v>10110</v>
      </c>
    </row>
    <row r="2550" customFormat="false" ht="35.05" hidden="false" customHeight="false" outlineLevel="0" collapsed="false">
      <c r="A2550" s="13" t="s">
        <v>4</v>
      </c>
      <c r="B2550" s="13" t="s">
        <v>4108</v>
      </c>
      <c r="C2550" s="13" t="n">
        <v>329</v>
      </c>
      <c r="D2550" s="13" t="s">
        <v>10111</v>
      </c>
      <c r="E2550" s="13" t="s">
        <v>10112</v>
      </c>
      <c r="F2550" s="13" t="s">
        <v>1439</v>
      </c>
      <c r="G2550" s="13" t="s">
        <v>10113</v>
      </c>
      <c r="H2550" s="13" t="s">
        <v>10114</v>
      </c>
      <c r="I2550" s="13" t="s">
        <v>82</v>
      </c>
      <c r="J2550" s="13" t="s">
        <v>5716</v>
      </c>
      <c r="K2550" s="13"/>
      <c r="L2550" s="13" t="s">
        <v>10115</v>
      </c>
      <c r="M2550" s="13" t="s">
        <v>10116</v>
      </c>
    </row>
    <row r="2551" customFormat="false" ht="35.05" hidden="false" customHeight="false" outlineLevel="0" collapsed="false">
      <c r="A2551" s="13" t="s">
        <v>4</v>
      </c>
      <c r="B2551" s="13" t="s">
        <v>4108</v>
      </c>
      <c r="C2551" s="13" t="n">
        <v>329</v>
      </c>
      <c r="D2551" s="13" t="s">
        <v>10111</v>
      </c>
      <c r="E2551" s="13" t="s">
        <v>10117</v>
      </c>
      <c r="F2551" s="13" t="s">
        <v>1439</v>
      </c>
      <c r="G2551" s="13" t="s">
        <v>10118</v>
      </c>
      <c r="H2551" s="13" t="s">
        <v>10119</v>
      </c>
      <c r="I2551" s="13" t="s">
        <v>82</v>
      </c>
      <c r="J2551" s="13" t="s">
        <v>5716</v>
      </c>
      <c r="K2551" s="13"/>
      <c r="L2551" s="13" t="s">
        <v>10115</v>
      </c>
      <c r="M2551" s="13" t="s">
        <v>10116</v>
      </c>
    </row>
    <row r="2552" customFormat="false" ht="46.25" hidden="false" customHeight="false" outlineLevel="0" collapsed="false">
      <c r="A2552" s="13" t="s">
        <v>4</v>
      </c>
      <c r="B2552" s="13" t="s">
        <v>4108</v>
      </c>
      <c r="C2552" s="13" t="n">
        <v>329</v>
      </c>
      <c r="D2552" s="13" t="s">
        <v>10120</v>
      </c>
      <c r="E2552" s="13" t="s">
        <v>10121</v>
      </c>
      <c r="F2552" s="13" t="s">
        <v>10122</v>
      </c>
      <c r="G2552" s="13" t="s">
        <v>10123</v>
      </c>
      <c r="H2552" s="13" t="s">
        <v>10124</v>
      </c>
      <c r="I2552" s="13" t="s">
        <v>114</v>
      </c>
      <c r="J2552" s="13" t="s">
        <v>10125</v>
      </c>
      <c r="K2552" s="13" t="s">
        <v>10126</v>
      </c>
      <c r="L2552" s="13" t="s">
        <v>10127</v>
      </c>
      <c r="M2552" s="13" t="s">
        <v>10128</v>
      </c>
    </row>
    <row r="2553" customFormat="false" ht="57.45" hidden="false" customHeight="false" outlineLevel="0" collapsed="false">
      <c r="A2553" s="13" t="s">
        <v>4</v>
      </c>
      <c r="B2553" s="13" t="s">
        <v>4108</v>
      </c>
      <c r="C2553" s="13" t="n">
        <v>329</v>
      </c>
      <c r="D2553" s="13" t="s">
        <v>10129</v>
      </c>
      <c r="E2553" s="13" t="s">
        <v>10130</v>
      </c>
      <c r="F2553" s="13" t="s">
        <v>10131</v>
      </c>
      <c r="G2553" s="13" t="s">
        <v>10123</v>
      </c>
      <c r="H2553" s="13" t="s">
        <v>10132</v>
      </c>
      <c r="I2553" s="13" t="s">
        <v>82</v>
      </c>
      <c r="J2553" s="13" t="s">
        <v>5716</v>
      </c>
      <c r="K2553" s="13"/>
      <c r="L2553" s="13" t="s">
        <v>10133</v>
      </c>
      <c r="M2553" s="13" t="s">
        <v>10134</v>
      </c>
    </row>
    <row r="2554" customFormat="false" ht="57.45" hidden="false" customHeight="false" outlineLevel="0" collapsed="false">
      <c r="A2554" s="13" t="s">
        <v>4</v>
      </c>
      <c r="B2554" s="13" t="s">
        <v>4108</v>
      </c>
      <c r="C2554" s="13" t="n">
        <v>329</v>
      </c>
      <c r="D2554" s="13" t="s">
        <v>10129</v>
      </c>
      <c r="E2554" s="13" t="s">
        <v>10135</v>
      </c>
      <c r="F2554" s="13" t="s">
        <v>10132</v>
      </c>
      <c r="G2554" s="13" t="s">
        <v>10136</v>
      </c>
      <c r="H2554" s="13" t="s">
        <v>10137</v>
      </c>
      <c r="I2554" s="13" t="s">
        <v>82</v>
      </c>
      <c r="J2554" s="13" t="s">
        <v>5716</v>
      </c>
      <c r="K2554" s="13"/>
      <c r="L2554" s="13" t="s">
        <v>10133</v>
      </c>
      <c r="M2554" s="13" t="s">
        <v>10134</v>
      </c>
    </row>
    <row r="2555" customFormat="false" ht="57.45" hidden="false" customHeight="false" outlineLevel="0" collapsed="false">
      <c r="A2555" s="13" t="s">
        <v>4</v>
      </c>
      <c r="B2555" s="13" t="s">
        <v>4108</v>
      </c>
      <c r="C2555" s="13" t="n">
        <v>329</v>
      </c>
      <c r="D2555" s="13" t="s">
        <v>10138</v>
      </c>
      <c r="E2555" s="13" t="s">
        <v>10139</v>
      </c>
      <c r="F2555" s="13" t="s">
        <v>10140</v>
      </c>
      <c r="G2555" s="13" t="s">
        <v>10123</v>
      </c>
      <c r="H2555" s="13" t="s">
        <v>10141</v>
      </c>
      <c r="I2555" s="13" t="s">
        <v>82</v>
      </c>
      <c r="J2555" s="13" t="s">
        <v>5716</v>
      </c>
      <c r="K2555" s="13"/>
      <c r="L2555" s="13" t="s">
        <v>10142</v>
      </c>
      <c r="M2555" s="13" t="s">
        <v>10143</v>
      </c>
    </row>
    <row r="2556" customFormat="false" ht="68.65" hidden="false" customHeight="false" outlineLevel="0" collapsed="false">
      <c r="A2556" s="13" t="s">
        <v>4</v>
      </c>
      <c r="B2556" s="13" t="s">
        <v>4108</v>
      </c>
      <c r="C2556" s="13" t="n">
        <v>329</v>
      </c>
      <c r="D2556" s="13" t="s">
        <v>10144</v>
      </c>
      <c r="E2556" s="13" t="s">
        <v>10145</v>
      </c>
      <c r="F2556" s="13" t="s">
        <v>10146</v>
      </c>
      <c r="G2556" s="13" t="s">
        <v>10123</v>
      </c>
      <c r="H2556" s="13" t="s">
        <v>10147</v>
      </c>
      <c r="I2556" s="13" t="s">
        <v>1145</v>
      </c>
      <c r="J2556" s="13" t="s">
        <v>10148</v>
      </c>
      <c r="K2556" s="13" t="s">
        <v>10149</v>
      </c>
      <c r="L2556" s="13" t="s">
        <v>10150</v>
      </c>
      <c r="M2556" s="13" t="s">
        <v>10151</v>
      </c>
    </row>
    <row r="2557" customFormat="false" ht="68.65" hidden="false" customHeight="false" outlineLevel="0" collapsed="false">
      <c r="A2557" s="13" t="s">
        <v>4</v>
      </c>
      <c r="B2557" s="13" t="s">
        <v>4108</v>
      </c>
      <c r="C2557" s="13" t="n">
        <v>329</v>
      </c>
      <c r="D2557" s="13" t="s">
        <v>10144</v>
      </c>
      <c r="E2557" s="13" t="s">
        <v>10152</v>
      </c>
      <c r="F2557" s="13" t="s">
        <v>10147</v>
      </c>
      <c r="G2557" s="13" t="s">
        <v>10136</v>
      </c>
      <c r="H2557" s="13" t="s">
        <v>10153</v>
      </c>
      <c r="I2557" s="13" t="s">
        <v>82</v>
      </c>
      <c r="J2557" s="13" t="s">
        <v>5716</v>
      </c>
      <c r="K2557" s="13"/>
      <c r="L2557" s="13" t="s">
        <v>10150</v>
      </c>
      <c r="M2557" s="13" t="s">
        <v>10151</v>
      </c>
    </row>
    <row r="2558" customFormat="false" ht="91" hidden="false" customHeight="false" outlineLevel="0" collapsed="false">
      <c r="A2558" s="13" t="s">
        <v>4</v>
      </c>
      <c r="B2558" s="13" t="s">
        <v>4108</v>
      </c>
      <c r="C2558" s="13" t="n">
        <v>329</v>
      </c>
      <c r="D2558" s="13" t="s">
        <v>10154</v>
      </c>
      <c r="E2558" s="13" t="s">
        <v>10155</v>
      </c>
      <c r="F2558" s="13" t="s">
        <v>10156</v>
      </c>
      <c r="G2558" s="13" t="s">
        <v>10123</v>
      </c>
      <c r="H2558" s="13" t="s">
        <v>10157</v>
      </c>
      <c r="I2558" s="13" t="s">
        <v>74</v>
      </c>
      <c r="J2558" s="13" t="s">
        <v>10158</v>
      </c>
      <c r="K2558" s="13" t="s">
        <v>10159</v>
      </c>
      <c r="L2558" s="13" t="s">
        <v>10160</v>
      </c>
      <c r="M2558" s="13" t="s">
        <v>10161</v>
      </c>
    </row>
    <row r="2559" customFormat="false" ht="91" hidden="false" customHeight="false" outlineLevel="0" collapsed="false">
      <c r="A2559" s="13" t="s">
        <v>4</v>
      </c>
      <c r="B2559" s="13" t="s">
        <v>4108</v>
      </c>
      <c r="C2559" s="13" t="n">
        <v>329</v>
      </c>
      <c r="D2559" s="13" t="s">
        <v>10154</v>
      </c>
      <c r="E2559" s="13" t="s">
        <v>10162</v>
      </c>
      <c r="F2559" s="13" t="s">
        <v>10157</v>
      </c>
      <c r="G2559" s="13" t="s">
        <v>10136</v>
      </c>
      <c r="H2559" s="13" t="s">
        <v>10163</v>
      </c>
      <c r="I2559" s="13" t="s">
        <v>82</v>
      </c>
      <c r="J2559" s="13" t="s">
        <v>5716</v>
      </c>
      <c r="K2559" s="13"/>
      <c r="L2559" s="13" t="s">
        <v>10160</v>
      </c>
      <c r="M2559" s="13" t="s">
        <v>10161</v>
      </c>
    </row>
    <row r="2560" customFormat="false" ht="91" hidden="false" customHeight="false" outlineLevel="0" collapsed="false">
      <c r="A2560" s="13" t="s">
        <v>4</v>
      </c>
      <c r="B2560" s="13" t="s">
        <v>4108</v>
      </c>
      <c r="C2560" s="13" t="n">
        <v>329</v>
      </c>
      <c r="D2560" s="13" t="s">
        <v>10154</v>
      </c>
      <c r="E2560" s="13" t="s">
        <v>10164</v>
      </c>
      <c r="F2560" s="13" t="s">
        <v>10156</v>
      </c>
      <c r="G2560" s="13" t="s">
        <v>10165</v>
      </c>
      <c r="H2560" s="13" t="s">
        <v>10166</v>
      </c>
      <c r="I2560" s="13" t="s">
        <v>82</v>
      </c>
      <c r="J2560" s="13" t="s">
        <v>5716</v>
      </c>
      <c r="K2560" s="13"/>
      <c r="L2560" s="13" t="s">
        <v>10160</v>
      </c>
      <c r="M2560" s="13" t="s">
        <v>10161</v>
      </c>
    </row>
    <row r="2561" customFormat="false" ht="35.05" hidden="false" customHeight="false" outlineLevel="0" collapsed="false">
      <c r="A2561" s="13" t="s">
        <v>4</v>
      </c>
      <c r="B2561" s="13" t="s">
        <v>4108</v>
      </c>
      <c r="C2561" s="13" t="n">
        <v>329</v>
      </c>
      <c r="D2561" s="13" t="s">
        <v>10167</v>
      </c>
      <c r="E2561" s="13" t="s">
        <v>10168</v>
      </c>
      <c r="F2561" s="13" t="s">
        <v>5287</v>
      </c>
      <c r="G2561" s="13" t="s">
        <v>10169</v>
      </c>
      <c r="H2561" s="13" t="s">
        <v>10170</v>
      </c>
      <c r="I2561" s="13" t="s">
        <v>82</v>
      </c>
      <c r="J2561" s="13" t="s">
        <v>5716</v>
      </c>
      <c r="K2561" s="13"/>
      <c r="L2561" s="13" t="s">
        <v>10171</v>
      </c>
      <c r="M2561" s="13" t="s">
        <v>10172</v>
      </c>
    </row>
    <row r="2562" customFormat="false" ht="35.05" hidden="false" customHeight="false" outlineLevel="0" collapsed="false">
      <c r="A2562" s="13" t="s">
        <v>4</v>
      </c>
      <c r="B2562" s="13" t="s">
        <v>4108</v>
      </c>
      <c r="C2562" s="13" t="n">
        <v>329</v>
      </c>
      <c r="D2562" s="13" t="s">
        <v>10167</v>
      </c>
      <c r="E2562" s="13" t="s">
        <v>10173</v>
      </c>
      <c r="F2562" s="13" t="s">
        <v>5287</v>
      </c>
      <c r="G2562" s="13" t="s">
        <v>10169</v>
      </c>
      <c r="H2562" s="13" t="s">
        <v>10174</v>
      </c>
      <c r="I2562" s="13" t="s">
        <v>82</v>
      </c>
      <c r="J2562" s="13" t="s">
        <v>5716</v>
      </c>
      <c r="K2562" s="13"/>
      <c r="L2562" s="13" t="s">
        <v>10171</v>
      </c>
      <c r="M2562" s="13" t="s">
        <v>10172</v>
      </c>
    </row>
    <row r="2563" customFormat="false" ht="23.85" hidden="false" customHeight="false" outlineLevel="0" collapsed="false">
      <c r="A2563" s="13" t="s">
        <v>4</v>
      </c>
      <c r="B2563" s="13" t="s">
        <v>4108</v>
      </c>
      <c r="C2563" s="13" t="n">
        <v>329</v>
      </c>
      <c r="D2563" s="13" t="s">
        <v>10175</v>
      </c>
      <c r="E2563" s="13" t="s">
        <v>10176</v>
      </c>
      <c r="F2563" s="13" t="s">
        <v>5287</v>
      </c>
      <c r="G2563" s="13" t="s">
        <v>10177</v>
      </c>
      <c r="H2563" s="13" t="s">
        <v>10178</v>
      </c>
      <c r="I2563" s="13" t="s">
        <v>82</v>
      </c>
      <c r="J2563" s="13" t="s">
        <v>5716</v>
      </c>
      <c r="K2563" s="13"/>
      <c r="L2563" s="13" t="s">
        <v>10179</v>
      </c>
      <c r="M2563" s="13" t="s">
        <v>10180</v>
      </c>
    </row>
    <row r="2564" customFormat="false" ht="46.25" hidden="false" customHeight="false" outlineLevel="0" collapsed="false">
      <c r="A2564" s="13" t="s">
        <v>4</v>
      </c>
      <c r="B2564" s="13" t="s">
        <v>4108</v>
      </c>
      <c r="C2564" s="13" t="n">
        <v>329</v>
      </c>
      <c r="D2564" s="13" t="s">
        <v>10181</v>
      </c>
      <c r="E2564" s="13" t="s">
        <v>10182</v>
      </c>
      <c r="F2564" s="13" t="s">
        <v>5287</v>
      </c>
      <c r="G2564" s="13" t="s">
        <v>10183</v>
      </c>
      <c r="H2564" s="13" t="s">
        <v>10184</v>
      </c>
      <c r="I2564" s="13" t="s">
        <v>82</v>
      </c>
      <c r="J2564" s="13" t="s">
        <v>5716</v>
      </c>
      <c r="K2564" s="13"/>
      <c r="L2564" s="13" t="s">
        <v>10185</v>
      </c>
      <c r="M2564" s="13" t="s">
        <v>10186</v>
      </c>
    </row>
    <row r="2565" customFormat="false" ht="23.85" hidden="false" customHeight="false" outlineLevel="0" collapsed="false">
      <c r="A2565" s="13" t="s">
        <v>4</v>
      </c>
      <c r="B2565" s="13" t="s">
        <v>4108</v>
      </c>
      <c r="C2565" s="13" t="n">
        <v>329</v>
      </c>
      <c r="D2565" s="13" t="s">
        <v>10187</v>
      </c>
      <c r="E2565" s="13" t="s">
        <v>10188</v>
      </c>
      <c r="F2565" s="13" t="s">
        <v>5287</v>
      </c>
      <c r="G2565" s="13" t="s">
        <v>10183</v>
      </c>
      <c r="H2565" s="13" t="s">
        <v>10189</v>
      </c>
      <c r="I2565" s="13" t="s">
        <v>82</v>
      </c>
      <c r="J2565" s="13" t="s">
        <v>5716</v>
      </c>
      <c r="K2565" s="13"/>
      <c r="L2565" s="13" t="s">
        <v>10190</v>
      </c>
      <c r="M2565" s="13" t="s">
        <v>10191</v>
      </c>
    </row>
    <row r="2566" customFormat="false" ht="46.25" hidden="false" customHeight="false" outlineLevel="0" collapsed="false">
      <c r="A2566" s="13" t="s">
        <v>4</v>
      </c>
      <c r="B2566" s="13" t="s">
        <v>4108</v>
      </c>
      <c r="C2566" s="13" t="n">
        <v>339</v>
      </c>
      <c r="D2566" s="13" t="s">
        <v>10192</v>
      </c>
      <c r="E2566" s="13" t="s">
        <v>10193</v>
      </c>
      <c r="F2566" s="13" t="s">
        <v>806</v>
      </c>
      <c r="G2566" s="13" t="s">
        <v>10194</v>
      </c>
      <c r="H2566" s="13" t="s">
        <v>10195</v>
      </c>
      <c r="I2566" s="13" t="s">
        <v>82</v>
      </c>
      <c r="J2566" s="13" t="s">
        <v>5716</v>
      </c>
      <c r="K2566" s="13"/>
      <c r="L2566" s="13" t="s">
        <v>10196</v>
      </c>
      <c r="M2566" s="13" t="s">
        <v>10197</v>
      </c>
    </row>
    <row r="2567" customFormat="false" ht="46.25" hidden="false" customHeight="false" outlineLevel="0" collapsed="false">
      <c r="A2567" s="13" t="s">
        <v>4</v>
      </c>
      <c r="B2567" s="13" t="s">
        <v>4108</v>
      </c>
      <c r="C2567" s="13" t="n">
        <v>339</v>
      </c>
      <c r="D2567" s="13" t="s">
        <v>10192</v>
      </c>
      <c r="E2567" s="13" t="s">
        <v>10198</v>
      </c>
      <c r="F2567" s="13" t="s">
        <v>806</v>
      </c>
      <c r="G2567" s="13" t="s">
        <v>10194</v>
      </c>
      <c r="H2567" s="13" t="s">
        <v>4919</v>
      </c>
      <c r="I2567" s="13" t="s">
        <v>82</v>
      </c>
      <c r="J2567" s="13" t="s">
        <v>5716</v>
      </c>
      <c r="K2567" s="13"/>
      <c r="L2567" s="13" t="s">
        <v>10196</v>
      </c>
      <c r="M2567" s="13" t="s">
        <v>10197</v>
      </c>
    </row>
    <row r="2568" customFormat="false" ht="46.25" hidden="false" customHeight="false" outlineLevel="0" collapsed="false">
      <c r="A2568" s="13" t="s">
        <v>4</v>
      </c>
      <c r="B2568" s="13" t="s">
        <v>4108</v>
      </c>
      <c r="C2568" s="13" t="n">
        <v>339</v>
      </c>
      <c r="D2568" s="13" t="s">
        <v>10192</v>
      </c>
      <c r="E2568" s="13" t="s">
        <v>10199</v>
      </c>
      <c r="F2568" s="13" t="s">
        <v>806</v>
      </c>
      <c r="G2568" s="13" t="s">
        <v>10194</v>
      </c>
      <c r="H2568" s="13" t="s">
        <v>10200</v>
      </c>
      <c r="I2568" s="13" t="s">
        <v>82</v>
      </c>
      <c r="J2568" s="13" t="s">
        <v>5716</v>
      </c>
      <c r="K2568" s="13"/>
      <c r="L2568" s="13" t="s">
        <v>10196</v>
      </c>
      <c r="M2568" s="13" t="s">
        <v>10197</v>
      </c>
    </row>
    <row r="2569" customFormat="false" ht="46.25" hidden="false" customHeight="false" outlineLevel="0" collapsed="false">
      <c r="A2569" s="13" t="s">
        <v>4</v>
      </c>
      <c r="B2569" s="13" t="s">
        <v>4108</v>
      </c>
      <c r="C2569" s="13" t="n">
        <v>339</v>
      </c>
      <c r="D2569" s="13" t="s">
        <v>10192</v>
      </c>
      <c r="E2569" s="13" t="s">
        <v>10201</v>
      </c>
      <c r="F2569" s="13" t="s">
        <v>10202</v>
      </c>
      <c r="G2569" s="13" t="s">
        <v>10203</v>
      </c>
      <c r="H2569" s="13" t="s">
        <v>806</v>
      </c>
      <c r="I2569" s="13" t="s">
        <v>82</v>
      </c>
      <c r="J2569" s="13" t="s">
        <v>5716</v>
      </c>
      <c r="K2569" s="13"/>
      <c r="L2569" s="13" t="s">
        <v>10196</v>
      </c>
      <c r="M2569" s="13" t="s">
        <v>10197</v>
      </c>
    </row>
    <row r="2570" customFormat="false" ht="35.05" hidden="false" customHeight="false" outlineLevel="0" collapsed="false">
      <c r="A2570" s="13" t="s">
        <v>4</v>
      </c>
      <c r="B2570" s="13" t="s">
        <v>4108</v>
      </c>
      <c r="C2570" s="13" t="n">
        <v>339</v>
      </c>
      <c r="D2570" s="13" t="s">
        <v>10204</v>
      </c>
      <c r="E2570" s="13" t="s">
        <v>10205</v>
      </c>
      <c r="F2570" s="13" t="s">
        <v>806</v>
      </c>
      <c r="G2570" s="13" t="s">
        <v>10206</v>
      </c>
      <c r="H2570" s="13" t="s">
        <v>7699</v>
      </c>
      <c r="I2570" s="13" t="s">
        <v>82</v>
      </c>
      <c r="J2570" s="13" t="s">
        <v>5716</v>
      </c>
      <c r="K2570" s="13"/>
      <c r="L2570" s="13" t="s">
        <v>10207</v>
      </c>
      <c r="M2570" s="13" t="s">
        <v>10208</v>
      </c>
    </row>
    <row r="2571" customFormat="false" ht="35.05" hidden="false" customHeight="false" outlineLevel="0" collapsed="false">
      <c r="A2571" s="13" t="s">
        <v>4</v>
      </c>
      <c r="B2571" s="13" t="s">
        <v>4108</v>
      </c>
      <c r="C2571" s="13" t="n">
        <v>339</v>
      </c>
      <c r="D2571" s="13" t="s">
        <v>10204</v>
      </c>
      <c r="E2571" s="13" t="s">
        <v>10209</v>
      </c>
      <c r="F2571" s="13" t="s">
        <v>806</v>
      </c>
      <c r="G2571" s="13" t="s">
        <v>10210</v>
      </c>
      <c r="H2571" s="13" t="s">
        <v>10211</v>
      </c>
      <c r="I2571" s="13" t="s">
        <v>82</v>
      </c>
      <c r="J2571" s="13" t="s">
        <v>5716</v>
      </c>
      <c r="K2571" s="13"/>
      <c r="L2571" s="13" t="s">
        <v>10207</v>
      </c>
      <c r="M2571" s="13" t="s">
        <v>10208</v>
      </c>
    </row>
    <row r="2572" customFormat="false" ht="35.05" hidden="false" customHeight="false" outlineLevel="0" collapsed="false">
      <c r="A2572" s="13" t="s">
        <v>4</v>
      </c>
      <c r="B2572" s="13" t="s">
        <v>4108</v>
      </c>
      <c r="C2572" s="13" t="n">
        <v>339</v>
      </c>
      <c r="D2572" s="13" t="s">
        <v>10204</v>
      </c>
      <c r="E2572" s="13" t="s">
        <v>10212</v>
      </c>
      <c r="F2572" s="13" t="s">
        <v>10211</v>
      </c>
      <c r="G2572" s="13" t="s">
        <v>10213</v>
      </c>
      <c r="H2572" s="13" t="s">
        <v>806</v>
      </c>
      <c r="I2572" s="13" t="s">
        <v>82</v>
      </c>
      <c r="J2572" s="13" t="s">
        <v>5716</v>
      </c>
      <c r="K2572" s="13"/>
      <c r="L2572" s="13" t="s">
        <v>10207</v>
      </c>
      <c r="M2572" s="13" t="s">
        <v>10208</v>
      </c>
    </row>
    <row r="2573" customFormat="false" ht="46.25" hidden="false" customHeight="false" outlineLevel="0" collapsed="false">
      <c r="A2573" s="13" t="s">
        <v>4</v>
      </c>
      <c r="B2573" s="13" t="s">
        <v>4108</v>
      </c>
      <c r="C2573" s="13" t="n">
        <v>339</v>
      </c>
      <c r="D2573" s="13" t="s">
        <v>10214</v>
      </c>
      <c r="E2573" s="13" t="s">
        <v>10215</v>
      </c>
      <c r="F2573" s="13" t="s">
        <v>806</v>
      </c>
      <c r="G2573" s="13" t="s">
        <v>10216</v>
      </c>
      <c r="H2573" s="13" t="s">
        <v>10217</v>
      </c>
      <c r="I2573" s="13" t="s">
        <v>82</v>
      </c>
      <c r="J2573" s="13" t="s">
        <v>5716</v>
      </c>
      <c r="K2573" s="13"/>
      <c r="L2573" s="13" t="s">
        <v>10218</v>
      </c>
      <c r="M2573" s="13" t="s">
        <v>10219</v>
      </c>
    </row>
    <row r="2574" customFormat="false" ht="46.25" hidden="false" customHeight="false" outlineLevel="0" collapsed="false">
      <c r="A2574" s="13" t="s">
        <v>4</v>
      </c>
      <c r="B2574" s="13" t="s">
        <v>4108</v>
      </c>
      <c r="C2574" s="13" t="n">
        <v>339</v>
      </c>
      <c r="D2574" s="13" t="s">
        <v>10214</v>
      </c>
      <c r="E2574" s="13" t="s">
        <v>10220</v>
      </c>
      <c r="F2574" s="13" t="s">
        <v>10221</v>
      </c>
      <c r="G2574" s="13" t="s">
        <v>10222</v>
      </c>
      <c r="H2574" s="13" t="s">
        <v>10223</v>
      </c>
      <c r="I2574" s="13" t="s">
        <v>82</v>
      </c>
      <c r="J2574" s="13" t="s">
        <v>5716</v>
      </c>
      <c r="K2574" s="13"/>
      <c r="L2574" s="13" t="s">
        <v>10218</v>
      </c>
      <c r="M2574" s="13" t="s">
        <v>10219</v>
      </c>
    </row>
    <row r="2575" customFormat="false" ht="46.25" hidden="false" customHeight="false" outlineLevel="0" collapsed="false">
      <c r="A2575" s="13" t="s">
        <v>4</v>
      </c>
      <c r="B2575" s="13" t="s">
        <v>4108</v>
      </c>
      <c r="C2575" s="13" t="n">
        <v>339</v>
      </c>
      <c r="D2575" s="13" t="s">
        <v>10224</v>
      </c>
      <c r="E2575" s="13" t="s">
        <v>10225</v>
      </c>
      <c r="F2575" s="13" t="s">
        <v>806</v>
      </c>
      <c r="G2575" s="13" t="s">
        <v>10226</v>
      </c>
      <c r="H2575" s="13" t="s">
        <v>10227</v>
      </c>
      <c r="I2575" s="13" t="s">
        <v>82</v>
      </c>
      <c r="J2575" s="13" t="s">
        <v>5716</v>
      </c>
      <c r="K2575" s="13"/>
      <c r="L2575" s="13" t="s">
        <v>10228</v>
      </c>
      <c r="M2575" s="13" t="s">
        <v>10229</v>
      </c>
    </row>
    <row r="2576" customFormat="false" ht="46.25" hidden="false" customHeight="false" outlineLevel="0" collapsed="false">
      <c r="A2576" s="13" t="s">
        <v>4</v>
      </c>
      <c r="B2576" s="13" t="s">
        <v>4108</v>
      </c>
      <c r="C2576" s="13" t="n">
        <v>339</v>
      </c>
      <c r="D2576" s="13" t="s">
        <v>10224</v>
      </c>
      <c r="E2576" s="13" t="s">
        <v>10230</v>
      </c>
      <c r="F2576" s="13" t="s">
        <v>10231</v>
      </c>
      <c r="G2576" s="13" t="s">
        <v>10232</v>
      </c>
      <c r="H2576" s="13" t="s">
        <v>10227</v>
      </c>
      <c r="I2576" s="13" t="s">
        <v>82</v>
      </c>
      <c r="J2576" s="13" t="s">
        <v>5716</v>
      </c>
      <c r="K2576" s="13"/>
      <c r="L2576" s="13" t="s">
        <v>10228</v>
      </c>
      <c r="M2576" s="13" t="s">
        <v>10229</v>
      </c>
    </row>
    <row r="2577" customFormat="false" ht="46.25" hidden="false" customHeight="false" outlineLevel="0" collapsed="false">
      <c r="A2577" s="13" t="s">
        <v>4</v>
      </c>
      <c r="B2577" s="13" t="s">
        <v>4108</v>
      </c>
      <c r="C2577" s="13" t="n">
        <v>339</v>
      </c>
      <c r="D2577" s="13" t="s">
        <v>10224</v>
      </c>
      <c r="E2577" s="13" t="s">
        <v>10233</v>
      </c>
      <c r="F2577" s="13" t="s">
        <v>10227</v>
      </c>
      <c r="G2577" s="13" t="s">
        <v>10234</v>
      </c>
      <c r="H2577" s="13" t="s">
        <v>806</v>
      </c>
      <c r="I2577" s="13" t="s">
        <v>82</v>
      </c>
      <c r="J2577" s="13" t="s">
        <v>5716</v>
      </c>
      <c r="K2577" s="13"/>
      <c r="L2577" s="13" t="s">
        <v>10228</v>
      </c>
      <c r="M2577" s="13" t="s">
        <v>10229</v>
      </c>
    </row>
    <row r="2578" customFormat="false" ht="23.85" hidden="false" customHeight="false" outlineLevel="0" collapsed="false">
      <c r="A2578" s="13" t="s">
        <v>4</v>
      </c>
      <c r="B2578" s="13" t="s">
        <v>4108</v>
      </c>
      <c r="C2578" s="13" t="n">
        <v>339</v>
      </c>
      <c r="D2578" s="13" t="s">
        <v>10235</v>
      </c>
      <c r="E2578" s="13" t="s">
        <v>10236</v>
      </c>
      <c r="F2578" s="13" t="s">
        <v>806</v>
      </c>
      <c r="G2578" s="13" t="s">
        <v>10237</v>
      </c>
      <c r="H2578" s="13" t="s">
        <v>10238</v>
      </c>
      <c r="I2578" s="13" t="s">
        <v>82</v>
      </c>
      <c r="J2578" s="13" t="s">
        <v>5716</v>
      </c>
      <c r="K2578" s="13"/>
      <c r="L2578" s="13" t="s">
        <v>10239</v>
      </c>
      <c r="M2578" s="13" t="s">
        <v>10240</v>
      </c>
    </row>
    <row r="2579" customFormat="false" ht="23.85" hidden="false" customHeight="false" outlineLevel="0" collapsed="false">
      <c r="A2579" s="13" t="s">
        <v>4</v>
      </c>
      <c r="B2579" s="13" t="s">
        <v>4108</v>
      </c>
      <c r="C2579" s="13" t="n">
        <v>339</v>
      </c>
      <c r="D2579" s="13" t="s">
        <v>10241</v>
      </c>
      <c r="E2579" s="13" t="s">
        <v>10242</v>
      </c>
      <c r="F2579" s="13" t="s">
        <v>806</v>
      </c>
      <c r="G2579" s="13" t="s">
        <v>10243</v>
      </c>
      <c r="H2579" s="13" t="s">
        <v>10244</v>
      </c>
      <c r="I2579" s="13" t="s">
        <v>82</v>
      </c>
      <c r="J2579" s="13" t="s">
        <v>5716</v>
      </c>
      <c r="K2579" s="13"/>
      <c r="L2579" s="13" t="s">
        <v>10245</v>
      </c>
      <c r="M2579" s="13" t="s">
        <v>10246</v>
      </c>
    </row>
    <row r="2580" customFormat="false" ht="147" hidden="false" customHeight="false" outlineLevel="0" collapsed="false">
      <c r="A2580" s="13" t="s">
        <v>4</v>
      </c>
      <c r="B2580" s="13" t="s">
        <v>4108</v>
      </c>
      <c r="C2580" s="13" t="n">
        <v>339</v>
      </c>
      <c r="D2580" s="13" t="s">
        <v>10247</v>
      </c>
      <c r="E2580" s="13" t="s">
        <v>10248</v>
      </c>
      <c r="F2580" s="13" t="s">
        <v>806</v>
      </c>
      <c r="G2580" s="13" t="s">
        <v>7463</v>
      </c>
      <c r="H2580" s="13" t="s">
        <v>10249</v>
      </c>
      <c r="I2580" s="13" t="s">
        <v>82</v>
      </c>
      <c r="J2580" s="13" t="s">
        <v>5716</v>
      </c>
      <c r="K2580" s="13"/>
      <c r="L2580" s="13" t="s">
        <v>10250</v>
      </c>
      <c r="M2580" s="13" t="s">
        <v>10251</v>
      </c>
    </row>
    <row r="2581" customFormat="false" ht="147" hidden="false" customHeight="false" outlineLevel="0" collapsed="false">
      <c r="A2581" s="13" t="s">
        <v>4</v>
      </c>
      <c r="B2581" s="13" t="s">
        <v>4108</v>
      </c>
      <c r="C2581" s="13" t="n">
        <v>339</v>
      </c>
      <c r="D2581" s="13" t="s">
        <v>10247</v>
      </c>
      <c r="E2581" s="13" t="s">
        <v>10252</v>
      </c>
      <c r="F2581" s="13" t="s">
        <v>10249</v>
      </c>
      <c r="G2581" s="13" t="s">
        <v>10253</v>
      </c>
      <c r="H2581" s="13" t="s">
        <v>10254</v>
      </c>
      <c r="I2581" s="13" t="s">
        <v>82</v>
      </c>
      <c r="J2581" s="13" t="s">
        <v>5716</v>
      </c>
      <c r="K2581" s="13"/>
      <c r="L2581" s="13" t="s">
        <v>10250</v>
      </c>
      <c r="M2581" s="13" t="s">
        <v>10251</v>
      </c>
    </row>
    <row r="2582" customFormat="false" ht="147" hidden="false" customHeight="false" outlineLevel="0" collapsed="false">
      <c r="A2582" s="13" t="s">
        <v>4</v>
      </c>
      <c r="B2582" s="13" t="s">
        <v>4108</v>
      </c>
      <c r="C2582" s="13" t="n">
        <v>339</v>
      </c>
      <c r="D2582" s="13" t="s">
        <v>10247</v>
      </c>
      <c r="E2582" s="13" t="s">
        <v>10255</v>
      </c>
      <c r="F2582" s="13" t="s">
        <v>10254</v>
      </c>
      <c r="G2582" s="13" t="s">
        <v>10256</v>
      </c>
      <c r="H2582" s="13" t="s">
        <v>10257</v>
      </c>
      <c r="I2582" s="13" t="s">
        <v>74</v>
      </c>
      <c r="J2582" s="13" t="s">
        <v>10258</v>
      </c>
      <c r="K2582" s="13" t="s">
        <v>10259</v>
      </c>
      <c r="L2582" s="13" t="s">
        <v>10250</v>
      </c>
      <c r="M2582" s="13" t="s">
        <v>10251</v>
      </c>
    </row>
    <row r="2583" customFormat="false" ht="214.15" hidden="false" customHeight="false" outlineLevel="0" collapsed="false">
      <c r="A2583" s="13" t="s">
        <v>4</v>
      </c>
      <c r="B2583" s="13" t="s">
        <v>4108</v>
      </c>
      <c r="C2583" s="13" t="n">
        <v>339</v>
      </c>
      <c r="D2583" s="13" t="s">
        <v>10260</v>
      </c>
      <c r="E2583" s="13" t="s">
        <v>10261</v>
      </c>
      <c r="F2583" s="13" t="s">
        <v>10262</v>
      </c>
      <c r="G2583" s="13" t="s">
        <v>6799</v>
      </c>
      <c r="H2583" s="13" t="s">
        <v>10263</v>
      </c>
      <c r="I2583" s="13" t="s">
        <v>82</v>
      </c>
      <c r="J2583" s="13" t="s">
        <v>5716</v>
      </c>
      <c r="K2583" s="13"/>
      <c r="L2583" s="13" t="s">
        <v>10264</v>
      </c>
      <c r="M2583" s="13" t="s">
        <v>10265</v>
      </c>
    </row>
    <row r="2584" customFormat="false" ht="214.15" hidden="false" customHeight="false" outlineLevel="0" collapsed="false">
      <c r="A2584" s="13" t="s">
        <v>4</v>
      </c>
      <c r="B2584" s="13" t="s">
        <v>4108</v>
      </c>
      <c r="C2584" s="13" t="n">
        <v>339</v>
      </c>
      <c r="D2584" s="13" t="s">
        <v>10260</v>
      </c>
      <c r="E2584" s="13" t="s">
        <v>10266</v>
      </c>
      <c r="F2584" s="13" t="s">
        <v>10262</v>
      </c>
      <c r="G2584" s="13" t="s">
        <v>10267</v>
      </c>
      <c r="H2584" s="13" t="s">
        <v>10268</v>
      </c>
      <c r="I2584" s="13" t="s">
        <v>82</v>
      </c>
      <c r="J2584" s="13" t="s">
        <v>5716</v>
      </c>
      <c r="K2584" s="13"/>
      <c r="L2584" s="13" t="s">
        <v>10264</v>
      </c>
      <c r="M2584" s="13" t="s">
        <v>10265</v>
      </c>
    </row>
    <row r="2585" customFormat="false" ht="214.15" hidden="false" customHeight="false" outlineLevel="0" collapsed="false">
      <c r="A2585" s="13" t="s">
        <v>4</v>
      </c>
      <c r="B2585" s="13" t="s">
        <v>4108</v>
      </c>
      <c r="C2585" s="13" t="n">
        <v>339</v>
      </c>
      <c r="D2585" s="13" t="s">
        <v>10260</v>
      </c>
      <c r="E2585" s="13" t="s">
        <v>10269</v>
      </c>
      <c r="F2585" s="13" t="s">
        <v>10262</v>
      </c>
      <c r="G2585" s="13" t="s">
        <v>10270</v>
      </c>
      <c r="H2585" s="13" t="s">
        <v>10271</v>
      </c>
      <c r="I2585" s="13" t="s">
        <v>82</v>
      </c>
      <c r="J2585" s="13" t="s">
        <v>5716</v>
      </c>
      <c r="K2585" s="13"/>
      <c r="L2585" s="13" t="s">
        <v>10264</v>
      </c>
      <c r="M2585" s="13" t="s">
        <v>10265</v>
      </c>
    </row>
    <row r="2586" customFormat="false" ht="214.15" hidden="false" customHeight="false" outlineLevel="0" collapsed="false">
      <c r="A2586" s="13" t="s">
        <v>4</v>
      </c>
      <c r="B2586" s="13" t="s">
        <v>4108</v>
      </c>
      <c r="C2586" s="13" t="n">
        <v>339</v>
      </c>
      <c r="D2586" s="13" t="s">
        <v>10260</v>
      </c>
      <c r="E2586" s="13" t="s">
        <v>10272</v>
      </c>
      <c r="F2586" s="13" t="s">
        <v>10262</v>
      </c>
      <c r="G2586" s="13" t="s">
        <v>10273</v>
      </c>
      <c r="H2586" s="13" t="s">
        <v>10274</v>
      </c>
      <c r="I2586" s="13" t="s">
        <v>82</v>
      </c>
      <c r="J2586" s="13" t="s">
        <v>5716</v>
      </c>
      <c r="K2586" s="13"/>
      <c r="L2586" s="13" t="s">
        <v>10264</v>
      </c>
      <c r="M2586" s="13" t="s">
        <v>10265</v>
      </c>
    </row>
    <row r="2587" customFormat="false" ht="214.15" hidden="false" customHeight="false" outlineLevel="0" collapsed="false">
      <c r="A2587" s="13" t="s">
        <v>4</v>
      </c>
      <c r="B2587" s="13" t="s">
        <v>4108</v>
      </c>
      <c r="C2587" s="13" t="n">
        <v>339</v>
      </c>
      <c r="D2587" s="13" t="s">
        <v>10260</v>
      </c>
      <c r="E2587" s="13" t="s">
        <v>10275</v>
      </c>
      <c r="F2587" s="13" t="s">
        <v>10262</v>
      </c>
      <c r="G2587" s="13" t="s">
        <v>10276</v>
      </c>
      <c r="H2587" s="13" t="s">
        <v>9886</v>
      </c>
      <c r="I2587" s="13" t="s">
        <v>82</v>
      </c>
      <c r="J2587" s="13" t="s">
        <v>5716</v>
      </c>
      <c r="K2587" s="13"/>
      <c r="L2587" s="13" t="s">
        <v>10264</v>
      </c>
      <c r="M2587" s="13" t="s">
        <v>10265</v>
      </c>
    </row>
    <row r="2588" customFormat="false" ht="214.15" hidden="false" customHeight="false" outlineLevel="0" collapsed="false">
      <c r="A2588" s="13" t="s">
        <v>4</v>
      </c>
      <c r="B2588" s="13" t="s">
        <v>4108</v>
      </c>
      <c r="C2588" s="13" t="n">
        <v>339</v>
      </c>
      <c r="D2588" s="13" t="s">
        <v>10260</v>
      </c>
      <c r="E2588" s="13" t="s">
        <v>10277</v>
      </c>
      <c r="F2588" s="13" t="s">
        <v>10262</v>
      </c>
      <c r="G2588" s="13" t="s">
        <v>10278</v>
      </c>
      <c r="H2588" s="13" t="s">
        <v>10279</v>
      </c>
      <c r="I2588" s="13" t="s">
        <v>82</v>
      </c>
      <c r="J2588" s="13" t="s">
        <v>5716</v>
      </c>
      <c r="K2588" s="13"/>
      <c r="L2588" s="13" t="s">
        <v>10264</v>
      </c>
      <c r="M2588" s="13" t="s">
        <v>10265</v>
      </c>
    </row>
    <row r="2589" customFormat="false" ht="214.15" hidden="false" customHeight="false" outlineLevel="0" collapsed="false">
      <c r="A2589" s="13" t="s">
        <v>4</v>
      </c>
      <c r="B2589" s="13" t="s">
        <v>4108</v>
      </c>
      <c r="C2589" s="13" t="n">
        <v>339</v>
      </c>
      <c r="D2589" s="13" t="s">
        <v>10260</v>
      </c>
      <c r="E2589" s="13" t="s">
        <v>10280</v>
      </c>
      <c r="F2589" s="13" t="s">
        <v>10262</v>
      </c>
      <c r="G2589" s="13" t="s">
        <v>10281</v>
      </c>
      <c r="H2589" s="13" t="s">
        <v>10282</v>
      </c>
      <c r="I2589" s="13" t="s">
        <v>82</v>
      </c>
      <c r="J2589" s="13" t="s">
        <v>5716</v>
      </c>
      <c r="K2589" s="13"/>
      <c r="L2589" s="13" t="s">
        <v>10264</v>
      </c>
      <c r="M2589" s="13" t="s">
        <v>10265</v>
      </c>
    </row>
    <row r="2590" customFormat="false" ht="214.15" hidden="false" customHeight="false" outlineLevel="0" collapsed="false">
      <c r="A2590" s="13" t="s">
        <v>4</v>
      </c>
      <c r="B2590" s="13" t="s">
        <v>4108</v>
      </c>
      <c r="C2590" s="13" t="n">
        <v>339</v>
      </c>
      <c r="D2590" s="13" t="s">
        <v>10260</v>
      </c>
      <c r="E2590" s="13" t="s">
        <v>10283</v>
      </c>
      <c r="F2590" s="13" t="s">
        <v>10262</v>
      </c>
      <c r="G2590" s="13" t="s">
        <v>10284</v>
      </c>
      <c r="H2590" s="13" t="s">
        <v>10285</v>
      </c>
      <c r="I2590" s="13" t="s">
        <v>82</v>
      </c>
      <c r="J2590" s="13" t="s">
        <v>5716</v>
      </c>
      <c r="K2590" s="13"/>
      <c r="L2590" s="13" t="s">
        <v>10264</v>
      </c>
      <c r="M2590" s="13" t="s">
        <v>10265</v>
      </c>
    </row>
    <row r="2591" customFormat="false" ht="35.05" hidden="false" customHeight="false" outlineLevel="0" collapsed="false">
      <c r="A2591" s="13" t="s">
        <v>4</v>
      </c>
      <c r="B2591" s="13" t="s">
        <v>4108</v>
      </c>
      <c r="C2591" s="13" t="n">
        <v>366</v>
      </c>
      <c r="D2591" s="13" t="s">
        <v>10286</v>
      </c>
      <c r="E2591" s="13" t="s">
        <v>10287</v>
      </c>
      <c r="F2591" s="13" t="s">
        <v>806</v>
      </c>
      <c r="G2591" s="13" t="s">
        <v>10288</v>
      </c>
      <c r="H2591" s="13" t="s">
        <v>10289</v>
      </c>
      <c r="I2591" s="13" t="s">
        <v>82</v>
      </c>
      <c r="J2591" s="13" t="s">
        <v>5716</v>
      </c>
      <c r="K2591" s="13"/>
      <c r="L2591" s="13" t="s">
        <v>10290</v>
      </c>
      <c r="M2591" s="13" t="s">
        <v>10291</v>
      </c>
    </row>
    <row r="2592" customFormat="false" ht="102.2" hidden="false" customHeight="false" outlineLevel="0" collapsed="false">
      <c r="A2592" s="13" t="s">
        <v>4</v>
      </c>
      <c r="B2592" s="13" t="s">
        <v>4108</v>
      </c>
      <c r="C2592" s="13" t="n">
        <v>366</v>
      </c>
      <c r="D2592" s="13" t="s">
        <v>10292</v>
      </c>
      <c r="E2592" s="13" t="s">
        <v>10293</v>
      </c>
      <c r="F2592" s="13" t="s">
        <v>806</v>
      </c>
      <c r="G2592" s="13" t="s">
        <v>10294</v>
      </c>
      <c r="H2592" s="13" t="s">
        <v>10295</v>
      </c>
      <c r="I2592" s="13" t="s">
        <v>82</v>
      </c>
      <c r="J2592" s="13" t="s">
        <v>5716</v>
      </c>
      <c r="K2592" s="13"/>
      <c r="L2592" s="13" t="s">
        <v>10296</v>
      </c>
      <c r="M2592" s="13" t="s">
        <v>10297</v>
      </c>
    </row>
    <row r="2593" customFormat="false" ht="102.2" hidden="false" customHeight="false" outlineLevel="0" collapsed="false">
      <c r="A2593" s="13" t="s">
        <v>4</v>
      </c>
      <c r="B2593" s="13" t="s">
        <v>4108</v>
      </c>
      <c r="C2593" s="13" t="n">
        <v>366</v>
      </c>
      <c r="D2593" s="13" t="s">
        <v>10292</v>
      </c>
      <c r="E2593" s="13" t="s">
        <v>10298</v>
      </c>
      <c r="F2593" s="13" t="s">
        <v>806</v>
      </c>
      <c r="G2593" s="13" t="s">
        <v>10299</v>
      </c>
      <c r="H2593" s="13" t="s">
        <v>10300</v>
      </c>
      <c r="I2593" s="13" t="s">
        <v>82</v>
      </c>
      <c r="J2593" s="13" t="s">
        <v>5716</v>
      </c>
      <c r="K2593" s="13"/>
      <c r="L2593" s="13" t="s">
        <v>10296</v>
      </c>
      <c r="M2593" s="13" t="s">
        <v>10297</v>
      </c>
    </row>
    <row r="2594" customFormat="false" ht="46.25" hidden="false" customHeight="false" outlineLevel="0" collapsed="false">
      <c r="A2594" s="13" t="s">
        <v>4</v>
      </c>
      <c r="B2594" s="13" t="s">
        <v>4108</v>
      </c>
      <c r="C2594" s="13" t="n">
        <v>366</v>
      </c>
      <c r="D2594" s="13" t="s">
        <v>10301</v>
      </c>
      <c r="E2594" s="13" t="s">
        <v>10302</v>
      </c>
      <c r="F2594" s="13" t="s">
        <v>806</v>
      </c>
      <c r="G2594" s="13" t="s">
        <v>10303</v>
      </c>
      <c r="H2594" s="13" t="s">
        <v>10304</v>
      </c>
      <c r="I2594" s="13" t="s">
        <v>82</v>
      </c>
      <c r="J2594" s="13" t="s">
        <v>5716</v>
      </c>
      <c r="K2594" s="13"/>
      <c r="L2594" s="13" t="s">
        <v>10305</v>
      </c>
      <c r="M2594" s="13" t="s">
        <v>10306</v>
      </c>
    </row>
    <row r="2595" customFormat="false" ht="46.25" hidden="false" customHeight="false" outlineLevel="0" collapsed="false">
      <c r="A2595" s="13" t="s">
        <v>4</v>
      </c>
      <c r="B2595" s="13" t="s">
        <v>4108</v>
      </c>
      <c r="C2595" s="13" t="n">
        <v>366</v>
      </c>
      <c r="D2595" s="13" t="s">
        <v>10301</v>
      </c>
      <c r="E2595" s="13" t="s">
        <v>10307</v>
      </c>
      <c r="F2595" s="13" t="s">
        <v>806</v>
      </c>
      <c r="G2595" s="13" t="s">
        <v>10308</v>
      </c>
      <c r="H2595" s="13" t="s">
        <v>10304</v>
      </c>
      <c r="I2595" s="13" t="s">
        <v>82</v>
      </c>
      <c r="J2595" s="13" t="s">
        <v>5716</v>
      </c>
      <c r="K2595" s="13"/>
      <c r="L2595" s="13" t="s">
        <v>10305</v>
      </c>
      <c r="M2595" s="13" t="s">
        <v>10306</v>
      </c>
    </row>
    <row r="2596" customFormat="false" ht="79.85" hidden="false" customHeight="false" outlineLevel="0" collapsed="false">
      <c r="A2596" s="13" t="s">
        <v>4</v>
      </c>
      <c r="B2596" s="13" t="s">
        <v>4108</v>
      </c>
      <c r="C2596" s="13" t="n">
        <v>366</v>
      </c>
      <c r="D2596" s="13" t="s">
        <v>10309</v>
      </c>
      <c r="E2596" s="13" t="s">
        <v>10310</v>
      </c>
      <c r="F2596" s="13" t="s">
        <v>806</v>
      </c>
      <c r="G2596" s="13" t="s">
        <v>10311</v>
      </c>
      <c r="H2596" s="13" t="s">
        <v>10312</v>
      </c>
      <c r="I2596" s="13" t="s">
        <v>74</v>
      </c>
      <c r="J2596" s="13" t="s">
        <v>10313</v>
      </c>
      <c r="K2596" s="13" t="s">
        <v>10314</v>
      </c>
      <c r="L2596" s="13" t="s">
        <v>10315</v>
      </c>
      <c r="M2596" s="13" t="s">
        <v>10316</v>
      </c>
    </row>
    <row r="2597" customFormat="false" ht="79.85" hidden="false" customHeight="false" outlineLevel="0" collapsed="false">
      <c r="A2597" s="13" t="s">
        <v>4</v>
      </c>
      <c r="B2597" s="13" t="s">
        <v>4108</v>
      </c>
      <c r="C2597" s="13" t="n">
        <v>366</v>
      </c>
      <c r="D2597" s="13" t="s">
        <v>10309</v>
      </c>
      <c r="E2597" s="13" t="s">
        <v>10317</v>
      </c>
      <c r="F2597" s="13" t="s">
        <v>806</v>
      </c>
      <c r="G2597" s="13" t="s">
        <v>10318</v>
      </c>
      <c r="H2597" s="13" t="s">
        <v>10312</v>
      </c>
      <c r="I2597" s="13" t="s">
        <v>82</v>
      </c>
      <c r="J2597" s="13" t="s">
        <v>5716</v>
      </c>
      <c r="K2597" s="13"/>
      <c r="L2597" s="13" t="s">
        <v>10315</v>
      </c>
      <c r="M2597" s="13" t="s">
        <v>10316</v>
      </c>
    </row>
    <row r="2598" customFormat="false" ht="124.6" hidden="false" customHeight="false" outlineLevel="0" collapsed="false">
      <c r="A2598" s="13" t="s">
        <v>4</v>
      </c>
      <c r="B2598" s="13" t="s">
        <v>4108</v>
      </c>
      <c r="C2598" s="13" t="n">
        <v>366</v>
      </c>
      <c r="D2598" s="13" t="s">
        <v>10319</v>
      </c>
      <c r="E2598" s="13" t="s">
        <v>10320</v>
      </c>
      <c r="F2598" s="13" t="s">
        <v>806</v>
      </c>
      <c r="G2598" s="13" t="s">
        <v>4394</v>
      </c>
      <c r="H2598" s="13" t="s">
        <v>10321</v>
      </c>
      <c r="I2598" s="13" t="s">
        <v>82</v>
      </c>
      <c r="J2598" s="13" t="s">
        <v>5716</v>
      </c>
      <c r="K2598" s="13"/>
      <c r="L2598" s="13" t="s">
        <v>10322</v>
      </c>
      <c r="M2598" s="13" t="s">
        <v>10323</v>
      </c>
    </row>
    <row r="2599" customFormat="false" ht="124.6" hidden="false" customHeight="false" outlineLevel="0" collapsed="false">
      <c r="A2599" s="13" t="s">
        <v>4</v>
      </c>
      <c r="B2599" s="13" t="s">
        <v>4108</v>
      </c>
      <c r="C2599" s="13" t="n">
        <v>366</v>
      </c>
      <c r="D2599" s="13" t="s">
        <v>10319</v>
      </c>
      <c r="E2599" s="13" t="s">
        <v>10324</v>
      </c>
      <c r="F2599" s="13" t="s">
        <v>806</v>
      </c>
      <c r="G2599" s="13" t="s">
        <v>10325</v>
      </c>
      <c r="H2599" s="13" t="s">
        <v>10326</v>
      </c>
      <c r="I2599" s="13" t="s">
        <v>82</v>
      </c>
      <c r="J2599" s="13" t="s">
        <v>5716</v>
      </c>
      <c r="K2599" s="13"/>
      <c r="L2599" s="13" t="s">
        <v>10322</v>
      </c>
      <c r="M2599" s="13" t="s">
        <v>10323</v>
      </c>
    </row>
    <row r="2600" customFormat="false" ht="124.6" hidden="false" customHeight="false" outlineLevel="0" collapsed="false">
      <c r="A2600" s="13" t="s">
        <v>4</v>
      </c>
      <c r="B2600" s="13" t="s">
        <v>4108</v>
      </c>
      <c r="C2600" s="13" t="n">
        <v>366</v>
      </c>
      <c r="D2600" s="13" t="s">
        <v>10319</v>
      </c>
      <c r="E2600" s="13" t="s">
        <v>10327</v>
      </c>
      <c r="F2600" s="13" t="s">
        <v>806</v>
      </c>
      <c r="G2600" s="13" t="s">
        <v>10328</v>
      </c>
      <c r="H2600" s="13" t="s">
        <v>10329</v>
      </c>
      <c r="I2600" s="13" t="s">
        <v>82</v>
      </c>
      <c r="J2600" s="13" t="s">
        <v>5716</v>
      </c>
      <c r="K2600" s="13"/>
      <c r="L2600" s="13" t="s">
        <v>10322</v>
      </c>
      <c r="M2600" s="13" t="s">
        <v>10323</v>
      </c>
    </row>
    <row r="2601" customFormat="false" ht="124.6" hidden="false" customHeight="false" outlineLevel="0" collapsed="false">
      <c r="A2601" s="13" t="s">
        <v>4</v>
      </c>
      <c r="B2601" s="13" t="s">
        <v>4108</v>
      </c>
      <c r="C2601" s="13" t="n">
        <v>366</v>
      </c>
      <c r="D2601" s="13" t="s">
        <v>10319</v>
      </c>
      <c r="E2601" s="13" t="s">
        <v>10330</v>
      </c>
      <c r="F2601" s="13" t="s">
        <v>806</v>
      </c>
      <c r="G2601" s="13" t="s">
        <v>10331</v>
      </c>
      <c r="H2601" s="13" t="s">
        <v>10332</v>
      </c>
      <c r="I2601" s="13" t="s">
        <v>82</v>
      </c>
      <c r="J2601" s="13" t="s">
        <v>5716</v>
      </c>
      <c r="K2601" s="13"/>
      <c r="L2601" s="13" t="s">
        <v>10322</v>
      </c>
      <c r="M2601" s="13" t="s">
        <v>10323</v>
      </c>
    </row>
    <row r="2602" customFormat="false" ht="124.6" hidden="false" customHeight="false" outlineLevel="0" collapsed="false">
      <c r="A2602" s="13" t="s">
        <v>4</v>
      </c>
      <c r="B2602" s="13" t="s">
        <v>4108</v>
      </c>
      <c r="C2602" s="13" t="n">
        <v>366</v>
      </c>
      <c r="D2602" s="13" t="s">
        <v>10319</v>
      </c>
      <c r="E2602" s="13" t="s">
        <v>10333</v>
      </c>
      <c r="F2602" s="13" t="s">
        <v>806</v>
      </c>
      <c r="G2602" s="13" t="s">
        <v>10334</v>
      </c>
      <c r="H2602" s="13" t="s">
        <v>10335</v>
      </c>
      <c r="I2602" s="13" t="s">
        <v>82</v>
      </c>
      <c r="J2602" s="13" t="s">
        <v>5716</v>
      </c>
      <c r="K2602" s="13"/>
      <c r="L2602" s="13" t="s">
        <v>10322</v>
      </c>
      <c r="M2602" s="13" t="s">
        <v>10323</v>
      </c>
    </row>
    <row r="2603" customFormat="false" ht="124.6" hidden="false" customHeight="false" outlineLevel="0" collapsed="false">
      <c r="A2603" s="13" t="s">
        <v>4</v>
      </c>
      <c r="B2603" s="13" t="s">
        <v>4108</v>
      </c>
      <c r="C2603" s="13" t="n">
        <v>366</v>
      </c>
      <c r="D2603" s="13" t="s">
        <v>10319</v>
      </c>
      <c r="E2603" s="13" t="s">
        <v>10336</v>
      </c>
      <c r="F2603" s="13" t="s">
        <v>806</v>
      </c>
      <c r="G2603" s="13" t="s">
        <v>10337</v>
      </c>
      <c r="H2603" s="13" t="s">
        <v>10338</v>
      </c>
      <c r="I2603" s="13" t="s">
        <v>114</v>
      </c>
      <c r="J2603" s="13" t="s">
        <v>10339</v>
      </c>
      <c r="K2603" s="13" t="s">
        <v>10340</v>
      </c>
      <c r="L2603" s="13" t="s">
        <v>10322</v>
      </c>
      <c r="M2603" s="13" t="s">
        <v>10323</v>
      </c>
    </row>
    <row r="2604" customFormat="false" ht="124.6" hidden="false" customHeight="false" outlineLevel="0" collapsed="false">
      <c r="A2604" s="13" t="s">
        <v>4</v>
      </c>
      <c r="B2604" s="13" t="s">
        <v>4108</v>
      </c>
      <c r="C2604" s="13" t="n">
        <v>366</v>
      </c>
      <c r="D2604" s="13" t="s">
        <v>10319</v>
      </c>
      <c r="E2604" s="13" t="s">
        <v>10341</v>
      </c>
      <c r="F2604" s="13" t="s">
        <v>806</v>
      </c>
      <c r="G2604" s="13" t="s">
        <v>10342</v>
      </c>
      <c r="H2604" s="13" t="s">
        <v>10343</v>
      </c>
      <c r="I2604" s="13" t="s">
        <v>82</v>
      </c>
      <c r="J2604" s="13" t="s">
        <v>5716</v>
      </c>
      <c r="K2604" s="13"/>
      <c r="L2604" s="13" t="s">
        <v>10322</v>
      </c>
      <c r="M2604" s="13" t="s">
        <v>10323</v>
      </c>
    </row>
    <row r="2605" customFormat="false" ht="124.6" hidden="false" customHeight="false" outlineLevel="0" collapsed="false">
      <c r="A2605" s="13" t="s">
        <v>4</v>
      </c>
      <c r="B2605" s="13" t="s">
        <v>4108</v>
      </c>
      <c r="C2605" s="13" t="n">
        <v>366</v>
      </c>
      <c r="D2605" s="13" t="s">
        <v>10319</v>
      </c>
      <c r="E2605" s="13" t="s">
        <v>10344</v>
      </c>
      <c r="F2605" s="13" t="s">
        <v>806</v>
      </c>
      <c r="G2605" s="13" t="s">
        <v>10345</v>
      </c>
      <c r="H2605" s="13" t="s">
        <v>10346</v>
      </c>
      <c r="I2605" s="13" t="s">
        <v>82</v>
      </c>
      <c r="J2605" s="13" t="s">
        <v>5716</v>
      </c>
      <c r="K2605" s="13"/>
      <c r="L2605" s="13" t="s">
        <v>10322</v>
      </c>
      <c r="M2605" s="13" t="s">
        <v>10323</v>
      </c>
    </row>
    <row r="2606" customFormat="false" ht="35.05" hidden="false" customHeight="false" outlineLevel="0" collapsed="false">
      <c r="A2606" s="13" t="s">
        <v>4</v>
      </c>
      <c r="B2606" s="13" t="s">
        <v>4108</v>
      </c>
      <c r="C2606" s="13" t="n">
        <v>366</v>
      </c>
      <c r="D2606" s="13" t="s">
        <v>10347</v>
      </c>
      <c r="E2606" s="13" t="s">
        <v>10348</v>
      </c>
      <c r="F2606" s="13" t="s">
        <v>10349</v>
      </c>
      <c r="G2606" s="13" t="s">
        <v>8355</v>
      </c>
      <c r="H2606" s="13" t="s">
        <v>806</v>
      </c>
      <c r="I2606" s="13" t="s">
        <v>82</v>
      </c>
      <c r="J2606" s="13" t="s">
        <v>5716</v>
      </c>
      <c r="K2606" s="13"/>
      <c r="L2606" s="13" t="s">
        <v>10350</v>
      </c>
      <c r="M2606" s="13" t="s">
        <v>10351</v>
      </c>
    </row>
    <row r="2607" customFormat="false" ht="35.05" hidden="false" customHeight="false" outlineLevel="0" collapsed="false">
      <c r="A2607" s="13" t="s">
        <v>4</v>
      </c>
      <c r="B2607" s="13" t="s">
        <v>4108</v>
      </c>
      <c r="C2607" s="13" t="n">
        <v>366</v>
      </c>
      <c r="D2607" s="13" t="s">
        <v>10347</v>
      </c>
      <c r="E2607" s="13" t="s">
        <v>10352</v>
      </c>
      <c r="F2607" s="13" t="s">
        <v>10353</v>
      </c>
      <c r="G2607" s="13" t="s">
        <v>8355</v>
      </c>
      <c r="H2607" s="13" t="s">
        <v>806</v>
      </c>
      <c r="I2607" s="13" t="s">
        <v>74</v>
      </c>
      <c r="J2607" s="13" t="s">
        <v>10354</v>
      </c>
      <c r="K2607" s="13" t="s">
        <v>10355</v>
      </c>
      <c r="L2607" s="13" t="s">
        <v>10350</v>
      </c>
      <c r="M2607" s="13" t="s">
        <v>10351</v>
      </c>
    </row>
    <row r="2608" customFormat="false" ht="35.05" hidden="false" customHeight="false" outlineLevel="0" collapsed="false">
      <c r="A2608" s="13" t="s">
        <v>4</v>
      </c>
      <c r="B2608" s="13" t="s">
        <v>4108</v>
      </c>
      <c r="C2608" s="13" t="n">
        <v>366</v>
      </c>
      <c r="D2608" s="13" t="s">
        <v>10356</v>
      </c>
      <c r="E2608" s="13" t="s">
        <v>10357</v>
      </c>
      <c r="F2608" s="13" t="s">
        <v>806</v>
      </c>
      <c r="G2608" s="13" t="s">
        <v>10358</v>
      </c>
      <c r="H2608" s="13" t="s">
        <v>10359</v>
      </c>
      <c r="I2608" s="13" t="s">
        <v>82</v>
      </c>
      <c r="J2608" s="13" t="s">
        <v>5716</v>
      </c>
      <c r="K2608" s="13"/>
      <c r="L2608" s="13" t="s">
        <v>10360</v>
      </c>
      <c r="M2608" s="13" t="s">
        <v>10361</v>
      </c>
    </row>
    <row r="2609" customFormat="false" ht="270.1" hidden="false" customHeight="false" outlineLevel="0" collapsed="false">
      <c r="A2609" s="13" t="s">
        <v>4</v>
      </c>
      <c r="B2609" s="13" t="s">
        <v>4108</v>
      </c>
      <c r="C2609" s="13" t="n">
        <v>366</v>
      </c>
      <c r="D2609" s="13" t="s">
        <v>10362</v>
      </c>
      <c r="E2609" s="13" t="s">
        <v>10363</v>
      </c>
      <c r="F2609" s="13" t="s">
        <v>10364</v>
      </c>
      <c r="G2609" s="13" t="s">
        <v>10365</v>
      </c>
      <c r="H2609" s="13" t="s">
        <v>4783</v>
      </c>
      <c r="I2609" s="13" t="s">
        <v>82</v>
      </c>
      <c r="J2609" s="13" t="s">
        <v>5716</v>
      </c>
      <c r="K2609" s="13"/>
      <c r="L2609" s="13" t="s">
        <v>10366</v>
      </c>
      <c r="M2609" s="13" t="s">
        <v>10367</v>
      </c>
    </row>
    <row r="2610" customFormat="false" ht="270.1" hidden="false" customHeight="false" outlineLevel="0" collapsed="false">
      <c r="A2610" s="13" t="s">
        <v>4</v>
      </c>
      <c r="B2610" s="13" t="s">
        <v>4108</v>
      </c>
      <c r="C2610" s="13" t="n">
        <v>366</v>
      </c>
      <c r="D2610" s="13" t="s">
        <v>10362</v>
      </c>
      <c r="E2610" s="13" t="s">
        <v>10368</v>
      </c>
      <c r="F2610" s="13" t="s">
        <v>5029</v>
      </c>
      <c r="G2610" s="13" t="s">
        <v>10369</v>
      </c>
      <c r="H2610" s="13" t="s">
        <v>10370</v>
      </c>
      <c r="I2610" s="13" t="s">
        <v>82</v>
      </c>
      <c r="J2610" s="13" t="s">
        <v>5716</v>
      </c>
      <c r="K2610" s="13"/>
      <c r="L2610" s="13" t="s">
        <v>10366</v>
      </c>
      <c r="M2610" s="13" t="s">
        <v>10367</v>
      </c>
    </row>
    <row r="2611" customFormat="false" ht="270.1" hidden="false" customHeight="false" outlineLevel="0" collapsed="false">
      <c r="A2611" s="13" t="s">
        <v>4</v>
      </c>
      <c r="B2611" s="13" t="s">
        <v>4108</v>
      </c>
      <c r="C2611" s="13" t="n">
        <v>366</v>
      </c>
      <c r="D2611" s="13" t="s">
        <v>10362</v>
      </c>
      <c r="E2611" s="13" t="s">
        <v>10371</v>
      </c>
      <c r="F2611" s="13" t="s">
        <v>10370</v>
      </c>
      <c r="G2611" s="13" t="s">
        <v>10372</v>
      </c>
      <c r="H2611" s="13" t="s">
        <v>10373</v>
      </c>
      <c r="I2611" s="13" t="s">
        <v>82</v>
      </c>
      <c r="J2611" s="13" t="s">
        <v>5716</v>
      </c>
      <c r="K2611" s="13"/>
      <c r="L2611" s="13" t="s">
        <v>10366</v>
      </c>
      <c r="M2611" s="13" t="s">
        <v>10367</v>
      </c>
    </row>
    <row r="2612" customFormat="false" ht="270.1" hidden="false" customHeight="false" outlineLevel="0" collapsed="false">
      <c r="A2612" s="13" t="s">
        <v>4</v>
      </c>
      <c r="B2612" s="13" t="s">
        <v>4108</v>
      </c>
      <c r="C2612" s="13" t="n">
        <v>366</v>
      </c>
      <c r="D2612" s="13" t="s">
        <v>10362</v>
      </c>
      <c r="E2612" s="13" t="s">
        <v>10374</v>
      </c>
      <c r="F2612" s="13" t="s">
        <v>10375</v>
      </c>
      <c r="G2612" s="13" t="s">
        <v>10376</v>
      </c>
      <c r="H2612" s="13" t="s">
        <v>1289</v>
      </c>
      <c r="I2612" s="13" t="s">
        <v>82</v>
      </c>
      <c r="J2612" s="13" t="s">
        <v>5716</v>
      </c>
      <c r="K2612" s="13"/>
      <c r="L2612" s="13" t="s">
        <v>10366</v>
      </c>
      <c r="M2612" s="13" t="s">
        <v>10367</v>
      </c>
    </row>
    <row r="2613" customFormat="false" ht="158.2" hidden="false" customHeight="false" outlineLevel="0" collapsed="false">
      <c r="A2613" s="13" t="s">
        <v>4</v>
      </c>
      <c r="B2613" s="13" t="s">
        <v>4108</v>
      </c>
      <c r="C2613" s="13" t="n">
        <v>380</v>
      </c>
      <c r="D2613" s="13" t="s">
        <v>10377</v>
      </c>
      <c r="E2613" s="13" t="s">
        <v>10378</v>
      </c>
      <c r="F2613" s="13" t="s">
        <v>806</v>
      </c>
      <c r="G2613" s="13" t="s">
        <v>10379</v>
      </c>
      <c r="H2613" s="13" t="s">
        <v>10380</v>
      </c>
      <c r="I2613" s="13" t="s">
        <v>82</v>
      </c>
      <c r="J2613" s="13" t="s">
        <v>5716</v>
      </c>
      <c r="K2613" s="13"/>
      <c r="L2613" s="13" t="s">
        <v>10381</v>
      </c>
      <c r="M2613" s="13" t="s">
        <v>10382</v>
      </c>
    </row>
    <row r="2614" customFormat="false" ht="158.2" hidden="false" customHeight="false" outlineLevel="0" collapsed="false">
      <c r="A2614" s="13" t="s">
        <v>4</v>
      </c>
      <c r="B2614" s="13" t="s">
        <v>4108</v>
      </c>
      <c r="C2614" s="13" t="n">
        <v>380</v>
      </c>
      <c r="D2614" s="13" t="s">
        <v>10377</v>
      </c>
      <c r="E2614" s="13" t="s">
        <v>10383</v>
      </c>
      <c r="F2614" s="13" t="s">
        <v>806</v>
      </c>
      <c r="G2614" s="13" t="s">
        <v>1991</v>
      </c>
      <c r="H2614" s="13" t="s">
        <v>10380</v>
      </c>
      <c r="I2614" s="13" t="s">
        <v>82</v>
      </c>
      <c r="J2614" s="13" t="s">
        <v>5716</v>
      </c>
      <c r="K2614" s="13"/>
      <c r="L2614" s="13" t="s">
        <v>10381</v>
      </c>
      <c r="M2614" s="13" t="s">
        <v>10382</v>
      </c>
    </row>
    <row r="2615" customFormat="false" ht="158.2" hidden="false" customHeight="false" outlineLevel="0" collapsed="false">
      <c r="A2615" s="13" t="s">
        <v>4</v>
      </c>
      <c r="B2615" s="13" t="s">
        <v>4108</v>
      </c>
      <c r="C2615" s="13" t="n">
        <v>380</v>
      </c>
      <c r="D2615" s="13" t="s">
        <v>10377</v>
      </c>
      <c r="E2615" s="13" t="s">
        <v>10384</v>
      </c>
      <c r="F2615" s="13" t="s">
        <v>806</v>
      </c>
      <c r="G2615" s="13" t="s">
        <v>10385</v>
      </c>
      <c r="H2615" s="13" t="s">
        <v>10380</v>
      </c>
      <c r="I2615" s="13" t="s">
        <v>82</v>
      </c>
      <c r="J2615" s="13" t="s">
        <v>5716</v>
      </c>
      <c r="K2615" s="13"/>
      <c r="L2615" s="13" t="s">
        <v>10381</v>
      </c>
      <c r="M2615" s="13" t="s">
        <v>10382</v>
      </c>
    </row>
    <row r="2616" customFormat="false" ht="158.2" hidden="false" customHeight="false" outlineLevel="0" collapsed="false">
      <c r="A2616" s="13" t="s">
        <v>4</v>
      </c>
      <c r="B2616" s="13" t="s">
        <v>4108</v>
      </c>
      <c r="C2616" s="13" t="n">
        <v>380</v>
      </c>
      <c r="D2616" s="13" t="s">
        <v>10377</v>
      </c>
      <c r="E2616" s="13" t="s">
        <v>10386</v>
      </c>
      <c r="F2616" s="13" t="s">
        <v>806</v>
      </c>
      <c r="G2616" s="13" t="s">
        <v>10387</v>
      </c>
      <c r="H2616" s="13" t="s">
        <v>1601</v>
      </c>
      <c r="I2616" s="13" t="s">
        <v>82</v>
      </c>
      <c r="J2616" s="13" t="s">
        <v>5716</v>
      </c>
      <c r="K2616" s="13"/>
      <c r="L2616" s="13" t="s">
        <v>10381</v>
      </c>
      <c r="M2616" s="13" t="s">
        <v>10382</v>
      </c>
    </row>
    <row r="2617" customFormat="false" ht="46.25" hidden="false" customHeight="false" outlineLevel="0" collapsed="false">
      <c r="A2617" s="13" t="s">
        <v>4</v>
      </c>
      <c r="B2617" s="13" t="s">
        <v>4108</v>
      </c>
      <c r="C2617" s="13" t="n">
        <v>380</v>
      </c>
      <c r="D2617" s="13" t="s">
        <v>10388</v>
      </c>
      <c r="E2617" s="13" t="s">
        <v>10389</v>
      </c>
      <c r="F2617" s="13" t="s">
        <v>10390</v>
      </c>
      <c r="G2617" s="13" t="s">
        <v>10391</v>
      </c>
      <c r="H2617" s="13" t="s">
        <v>10392</v>
      </c>
      <c r="I2617" s="13" t="s">
        <v>82</v>
      </c>
      <c r="J2617" s="13" t="s">
        <v>5716</v>
      </c>
      <c r="K2617" s="13"/>
      <c r="L2617" s="13" t="s">
        <v>10393</v>
      </c>
      <c r="M2617" s="13" t="s">
        <v>10394</v>
      </c>
    </row>
    <row r="2618" customFormat="false" ht="46.25" hidden="false" customHeight="false" outlineLevel="0" collapsed="false">
      <c r="A2618" s="13" t="s">
        <v>4</v>
      </c>
      <c r="B2618" s="13" t="s">
        <v>4108</v>
      </c>
      <c r="C2618" s="13" t="n">
        <v>380</v>
      </c>
      <c r="D2618" s="13" t="s">
        <v>10388</v>
      </c>
      <c r="E2618" s="13" t="s">
        <v>10395</v>
      </c>
      <c r="F2618" s="13" t="s">
        <v>10390</v>
      </c>
      <c r="G2618" s="13" t="s">
        <v>10396</v>
      </c>
      <c r="H2618" s="13" t="s">
        <v>10397</v>
      </c>
      <c r="I2618" s="13" t="s">
        <v>82</v>
      </c>
      <c r="J2618" s="13" t="s">
        <v>5716</v>
      </c>
      <c r="K2618" s="13"/>
      <c r="L2618" s="13" t="s">
        <v>10393</v>
      </c>
      <c r="M2618" s="13" t="s">
        <v>10394</v>
      </c>
    </row>
    <row r="2619" customFormat="false" ht="35.05" hidden="false" customHeight="false" outlineLevel="0" collapsed="false">
      <c r="A2619" s="13" t="s">
        <v>4</v>
      </c>
      <c r="B2619" s="13" t="s">
        <v>4108</v>
      </c>
      <c r="C2619" s="13" t="n">
        <v>380</v>
      </c>
      <c r="D2619" s="13" t="s">
        <v>10398</v>
      </c>
      <c r="E2619" s="13" t="s">
        <v>10399</v>
      </c>
      <c r="F2619" s="13" t="s">
        <v>806</v>
      </c>
      <c r="G2619" s="13" t="s">
        <v>4335</v>
      </c>
      <c r="H2619" s="13" t="s">
        <v>10400</v>
      </c>
      <c r="I2619" s="13" t="s">
        <v>82</v>
      </c>
      <c r="J2619" s="13" t="s">
        <v>5716</v>
      </c>
      <c r="K2619" s="13"/>
      <c r="L2619" s="13" t="s">
        <v>10401</v>
      </c>
      <c r="M2619" s="13" t="s">
        <v>10402</v>
      </c>
    </row>
    <row r="2620" customFormat="false" ht="35.05" hidden="false" customHeight="false" outlineLevel="0" collapsed="false">
      <c r="A2620" s="13" t="s">
        <v>4</v>
      </c>
      <c r="B2620" s="13" t="s">
        <v>4108</v>
      </c>
      <c r="C2620" s="13" t="n">
        <v>380</v>
      </c>
      <c r="D2620" s="13" t="s">
        <v>10398</v>
      </c>
      <c r="E2620" s="13" t="s">
        <v>10403</v>
      </c>
      <c r="F2620" s="13" t="s">
        <v>806</v>
      </c>
      <c r="G2620" s="13" t="s">
        <v>4335</v>
      </c>
      <c r="H2620" s="13" t="s">
        <v>10404</v>
      </c>
      <c r="I2620" s="13" t="s">
        <v>82</v>
      </c>
      <c r="J2620" s="13" t="s">
        <v>5716</v>
      </c>
      <c r="K2620" s="13"/>
      <c r="L2620" s="13" t="s">
        <v>10401</v>
      </c>
      <c r="M2620" s="13" t="s">
        <v>10402</v>
      </c>
    </row>
    <row r="2621" customFormat="false" ht="23.85" hidden="false" customHeight="false" outlineLevel="0" collapsed="false">
      <c r="A2621" s="13" t="s">
        <v>4</v>
      </c>
      <c r="B2621" s="13" t="s">
        <v>4108</v>
      </c>
      <c r="C2621" s="13" t="n">
        <v>380</v>
      </c>
      <c r="D2621" s="13" t="s">
        <v>10405</v>
      </c>
      <c r="E2621" s="13" t="s">
        <v>10406</v>
      </c>
      <c r="F2621" s="13" t="s">
        <v>806</v>
      </c>
      <c r="G2621" s="13" t="s">
        <v>10407</v>
      </c>
      <c r="H2621" s="13" t="s">
        <v>10408</v>
      </c>
      <c r="I2621" s="13" t="s">
        <v>82</v>
      </c>
      <c r="J2621" s="13" t="s">
        <v>5716</v>
      </c>
      <c r="K2621" s="13"/>
      <c r="L2621" s="13" t="s">
        <v>10409</v>
      </c>
      <c r="M2621" s="13" t="s">
        <v>10410</v>
      </c>
    </row>
    <row r="2622" customFormat="false" ht="124.6" hidden="false" customHeight="false" outlineLevel="0" collapsed="false">
      <c r="A2622" s="13" t="s">
        <v>4</v>
      </c>
      <c r="B2622" s="13" t="s">
        <v>4108</v>
      </c>
      <c r="C2622" s="13" t="n">
        <v>380</v>
      </c>
      <c r="D2622" s="13" t="s">
        <v>10411</v>
      </c>
      <c r="E2622" s="13" t="s">
        <v>10412</v>
      </c>
      <c r="F2622" s="13" t="s">
        <v>806</v>
      </c>
      <c r="G2622" s="13" t="s">
        <v>10413</v>
      </c>
      <c r="H2622" s="13" t="s">
        <v>10414</v>
      </c>
      <c r="I2622" s="13" t="s">
        <v>82</v>
      </c>
      <c r="J2622" s="13" t="s">
        <v>5716</v>
      </c>
      <c r="K2622" s="13"/>
      <c r="L2622" s="13" t="s">
        <v>10415</v>
      </c>
      <c r="M2622" s="13" t="s">
        <v>10416</v>
      </c>
    </row>
    <row r="2623" customFormat="false" ht="124.6" hidden="false" customHeight="false" outlineLevel="0" collapsed="false">
      <c r="A2623" s="13" t="s">
        <v>4</v>
      </c>
      <c r="B2623" s="13" t="s">
        <v>4108</v>
      </c>
      <c r="C2623" s="13" t="n">
        <v>380</v>
      </c>
      <c r="D2623" s="13" t="s">
        <v>10411</v>
      </c>
      <c r="E2623" s="13" t="s">
        <v>10417</v>
      </c>
      <c r="F2623" s="13" t="s">
        <v>10414</v>
      </c>
      <c r="G2623" s="13" t="s">
        <v>10418</v>
      </c>
      <c r="H2623" s="13" t="s">
        <v>10419</v>
      </c>
      <c r="I2623" s="13" t="s">
        <v>82</v>
      </c>
      <c r="J2623" s="13" t="s">
        <v>5716</v>
      </c>
      <c r="K2623" s="13"/>
      <c r="L2623" s="13" t="s">
        <v>10415</v>
      </c>
      <c r="M2623" s="13" t="s">
        <v>10416</v>
      </c>
    </row>
    <row r="2624" customFormat="false" ht="124.6" hidden="false" customHeight="false" outlineLevel="0" collapsed="false">
      <c r="A2624" s="13" t="s">
        <v>4</v>
      </c>
      <c r="B2624" s="13" t="s">
        <v>4108</v>
      </c>
      <c r="C2624" s="13" t="n">
        <v>380</v>
      </c>
      <c r="D2624" s="13" t="s">
        <v>10411</v>
      </c>
      <c r="E2624" s="13" t="s">
        <v>10420</v>
      </c>
      <c r="F2624" s="13" t="s">
        <v>10421</v>
      </c>
      <c r="G2624" s="13" t="s">
        <v>10422</v>
      </c>
      <c r="H2624" s="13" t="s">
        <v>10423</v>
      </c>
      <c r="I2624" s="13" t="s">
        <v>82</v>
      </c>
      <c r="J2624" s="13" t="s">
        <v>5716</v>
      </c>
      <c r="K2624" s="13"/>
      <c r="L2624" s="13" t="s">
        <v>10415</v>
      </c>
      <c r="M2624" s="13" t="s">
        <v>10416</v>
      </c>
    </row>
    <row r="2625" customFormat="false" ht="191.75" hidden="false" customHeight="false" outlineLevel="0" collapsed="false">
      <c r="A2625" s="13" t="s">
        <v>4</v>
      </c>
      <c r="B2625" s="13" t="s">
        <v>4108</v>
      </c>
      <c r="C2625" s="13" t="n">
        <v>380</v>
      </c>
      <c r="D2625" s="13" t="s">
        <v>10424</v>
      </c>
      <c r="E2625" s="13" t="s">
        <v>10425</v>
      </c>
      <c r="F2625" s="13" t="s">
        <v>10421</v>
      </c>
      <c r="G2625" s="13" t="s">
        <v>10426</v>
      </c>
      <c r="H2625" s="13" t="s">
        <v>10427</v>
      </c>
      <c r="I2625" s="13" t="s">
        <v>82</v>
      </c>
      <c r="J2625" s="13" t="s">
        <v>5716</v>
      </c>
      <c r="K2625" s="13"/>
      <c r="L2625" s="13" t="s">
        <v>10428</v>
      </c>
      <c r="M2625" s="13" t="s">
        <v>10429</v>
      </c>
    </row>
    <row r="2626" customFormat="false" ht="191.75" hidden="false" customHeight="false" outlineLevel="0" collapsed="false">
      <c r="A2626" s="13" t="s">
        <v>4</v>
      </c>
      <c r="B2626" s="13" t="s">
        <v>4108</v>
      </c>
      <c r="C2626" s="13" t="n">
        <v>380</v>
      </c>
      <c r="D2626" s="13" t="s">
        <v>10424</v>
      </c>
      <c r="E2626" s="13" t="s">
        <v>10430</v>
      </c>
      <c r="F2626" s="13" t="s">
        <v>10431</v>
      </c>
      <c r="G2626" s="13" t="s">
        <v>10432</v>
      </c>
      <c r="H2626" s="13" t="s">
        <v>10433</v>
      </c>
      <c r="I2626" s="13" t="s">
        <v>82</v>
      </c>
      <c r="J2626" s="13" t="s">
        <v>5716</v>
      </c>
      <c r="K2626" s="13"/>
      <c r="L2626" s="13" t="s">
        <v>10428</v>
      </c>
      <c r="M2626" s="13" t="s">
        <v>10429</v>
      </c>
    </row>
    <row r="2627" customFormat="false" ht="191.75" hidden="false" customHeight="false" outlineLevel="0" collapsed="false">
      <c r="A2627" s="13" t="s">
        <v>4</v>
      </c>
      <c r="B2627" s="13" t="s">
        <v>4108</v>
      </c>
      <c r="C2627" s="13" t="n">
        <v>380</v>
      </c>
      <c r="D2627" s="13" t="s">
        <v>10424</v>
      </c>
      <c r="E2627" s="13" t="s">
        <v>10434</v>
      </c>
      <c r="F2627" s="13" t="s">
        <v>10431</v>
      </c>
      <c r="G2627" s="13" t="s">
        <v>10432</v>
      </c>
      <c r="H2627" s="13" t="s">
        <v>10435</v>
      </c>
      <c r="I2627" s="13" t="s">
        <v>82</v>
      </c>
      <c r="J2627" s="13" t="s">
        <v>5716</v>
      </c>
      <c r="K2627" s="13"/>
      <c r="L2627" s="13" t="s">
        <v>10428</v>
      </c>
      <c r="M2627" s="13" t="s">
        <v>10429</v>
      </c>
    </row>
    <row r="2628" customFormat="false" ht="135.8" hidden="false" customHeight="false" outlineLevel="0" collapsed="false">
      <c r="A2628" s="13" t="s">
        <v>4</v>
      </c>
      <c r="B2628" s="13" t="s">
        <v>4108</v>
      </c>
      <c r="C2628" s="13" t="n">
        <v>388</v>
      </c>
      <c r="D2628" s="13" t="s">
        <v>10436</v>
      </c>
      <c r="E2628" s="13" t="s">
        <v>10437</v>
      </c>
      <c r="F2628" s="13" t="s">
        <v>806</v>
      </c>
      <c r="G2628" s="13" t="s">
        <v>10438</v>
      </c>
      <c r="H2628" s="13" t="s">
        <v>10439</v>
      </c>
      <c r="I2628" s="13" t="s">
        <v>82</v>
      </c>
      <c r="J2628" s="13" t="s">
        <v>5716</v>
      </c>
      <c r="K2628" s="13"/>
      <c r="L2628" s="13" t="s">
        <v>10440</v>
      </c>
      <c r="M2628" s="13" t="s">
        <v>10441</v>
      </c>
    </row>
    <row r="2629" customFormat="false" ht="135.8" hidden="false" customHeight="false" outlineLevel="0" collapsed="false">
      <c r="A2629" s="13" t="s">
        <v>4</v>
      </c>
      <c r="B2629" s="13" t="s">
        <v>4108</v>
      </c>
      <c r="C2629" s="13" t="n">
        <v>388</v>
      </c>
      <c r="D2629" s="13" t="s">
        <v>10436</v>
      </c>
      <c r="E2629" s="13" t="s">
        <v>10442</v>
      </c>
      <c r="F2629" s="13" t="s">
        <v>806</v>
      </c>
      <c r="G2629" s="13" t="s">
        <v>10443</v>
      </c>
      <c r="H2629" s="13" t="s">
        <v>10444</v>
      </c>
      <c r="I2629" s="13" t="s">
        <v>82</v>
      </c>
      <c r="J2629" s="13" t="s">
        <v>5716</v>
      </c>
      <c r="K2629" s="13"/>
      <c r="L2629" s="13" t="s">
        <v>10440</v>
      </c>
      <c r="M2629" s="13" t="s">
        <v>10441</v>
      </c>
    </row>
    <row r="2630" customFormat="false" ht="135.8" hidden="false" customHeight="false" outlineLevel="0" collapsed="false">
      <c r="A2630" s="13" t="s">
        <v>4</v>
      </c>
      <c r="B2630" s="13" t="s">
        <v>4108</v>
      </c>
      <c r="C2630" s="13" t="n">
        <v>388</v>
      </c>
      <c r="D2630" s="13" t="s">
        <v>10436</v>
      </c>
      <c r="E2630" s="13" t="s">
        <v>10445</v>
      </c>
      <c r="F2630" s="13" t="s">
        <v>806</v>
      </c>
      <c r="G2630" s="13" t="s">
        <v>10446</v>
      </c>
      <c r="H2630" s="13" t="s">
        <v>10447</v>
      </c>
      <c r="I2630" s="13" t="s">
        <v>82</v>
      </c>
      <c r="J2630" s="13" t="s">
        <v>5716</v>
      </c>
      <c r="K2630" s="13"/>
      <c r="L2630" s="13" t="s">
        <v>10440</v>
      </c>
      <c r="M2630" s="13" t="s">
        <v>10441</v>
      </c>
    </row>
    <row r="2631" customFormat="false" ht="135.8" hidden="false" customHeight="false" outlineLevel="0" collapsed="false">
      <c r="A2631" s="13" t="s">
        <v>4</v>
      </c>
      <c r="B2631" s="13" t="s">
        <v>4108</v>
      </c>
      <c r="C2631" s="13" t="n">
        <v>388</v>
      </c>
      <c r="D2631" s="13" t="s">
        <v>10436</v>
      </c>
      <c r="E2631" s="13" t="s">
        <v>10448</v>
      </c>
      <c r="F2631" s="13" t="s">
        <v>806</v>
      </c>
      <c r="G2631" s="13" t="s">
        <v>10449</v>
      </c>
      <c r="H2631" s="13" t="s">
        <v>10450</v>
      </c>
      <c r="I2631" s="13" t="s">
        <v>82</v>
      </c>
      <c r="J2631" s="13" t="s">
        <v>5716</v>
      </c>
      <c r="K2631" s="13"/>
      <c r="L2631" s="13" t="s">
        <v>10440</v>
      </c>
      <c r="M2631" s="13" t="s">
        <v>10441</v>
      </c>
    </row>
    <row r="2632" customFormat="false" ht="135.8" hidden="false" customHeight="false" outlineLevel="0" collapsed="false">
      <c r="A2632" s="13" t="s">
        <v>4</v>
      </c>
      <c r="B2632" s="13" t="s">
        <v>4108</v>
      </c>
      <c r="C2632" s="13" t="n">
        <v>388</v>
      </c>
      <c r="D2632" s="13" t="s">
        <v>10436</v>
      </c>
      <c r="E2632" s="13" t="s">
        <v>10451</v>
      </c>
      <c r="F2632" s="13" t="s">
        <v>806</v>
      </c>
      <c r="G2632" s="13" t="s">
        <v>10452</v>
      </c>
      <c r="H2632" s="13" t="s">
        <v>10453</v>
      </c>
      <c r="I2632" s="13" t="s">
        <v>82</v>
      </c>
      <c r="J2632" s="13" t="s">
        <v>5716</v>
      </c>
      <c r="K2632" s="13"/>
      <c r="L2632" s="13" t="s">
        <v>10440</v>
      </c>
      <c r="M2632" s="13" t="s">
        <v>10441</v>
      </c>
    </row>
    <row r="2633" customFormat="false" ht="46.25" hidden="false" customHeight="false" outlineLevel="0" collapsed="false">
      <c r="A2633" s="13" t="s">
        <v>4</v>
      </c>
      <c r="B2633" s="13" t="s">
        <v>4108</v>
      </c>
      <c r="C2633" s="13" t="n">
        <v>388</v>
      </c>
      <c r="D2633" s="13" t="s">
        <v>10454</v>
      </c>
      <c r="E2633" s="13" t="s">
        <v>10455</v>
      </c>
      <c r="F2633" s="13" t="s">
        <v>10456</v>
      </c>
      <c r="G2633" s="13" t="s">
        <v>2011</v>
      </c>
      <c r="H2633" s="13" t="s">
        <v>10457</v>
      </c>
      <c r="I2633" s="13" t="s">
        <v>82</v>
      </c>
      <c r="J2633" s="13" t="s">
        <v>5716</v>
      </c>
      <c r="K2633" s="13"/>
      <c r="L2633" s="13" t="s">
        <v>10458</v>
      </c>
      <c r="M2633" s="13" t="s">
        <v>10459</v>
      </c>
    </row>
    <row r="2634" customFormat="false" ht="46.25" hidden="false" customHeight="false" outlineLevel="0" collapsed="false">
      <c r="A2634" s="13" t="s">
        <v>4</v>
      </c>
      <c r="B2634" s="13" t="s">
        <v>4108</v>
      </c>
      <c r="C2634" s="13" t="n">
        <v>388</v>
      </c>
      <c r="D2634" s="13" t="s">
        <v>10454</v>
      </c>
      <c r="E2634" s="13" t="s">
        <v>10460</v>
      </c>
      <c r="F2634" s="13" t="s">
        <v>10456</v>
      </c>
      <c r="G2634" s="13" t="s">
        <v>10461</v>
      </c>
      <c r="H2634" s="13" t="s">
        <v>806</v>
      </c>
      <c r="I2634" s="13" t="s">
        <v>82</v>
      </c>
      <c r="J2634" s="13" t="s">
        <v>5716</v>
      </c>
      <c r="K2634" s="13"/>
      <c r="L2634" s="13" t="s">
        <v>10458</v>
      </c>
      <c r="M2634" s="13" t="s">
        <v>10459</v>
      </c>
    </row>
    <row r="2635" customFormat="false" ht="46.25" hidden="false" customHeight="false" outlineLevel="0" collapsed="false">
      <c r="A2635" s="13" t="s">
        <v>4</v>
      </c>
      <c r="B2635" s="13" t="s">
        <v>4108</v>
      </c>
      <c r="C2635" s="13" t="n">
        <v>388</v>
      </c>
      <c r="D2635" s="13" t="s">
        <v>10454</v>
      </c>
      <c r="E2635" s="13" t="s">
        <v>10462</v>
      </c>
      <c r="F2635" s="13" t="s">
        <v>10456</v>
      </c>
      <c r="G2635" s="13" t="s">
        <v>10463</v>
      </c>
      <c r="H2635" s="13" t="s">
        <v>10464</v>
      </c>
      <c r="I2635" s="13" t="s">
        <v>82</v>
      </c>
      <c r="J2635" s="13" t="s">
        <v>5716</v>
      </c>
      <c r="K2635" s="13"/>
      <c r="L2635" s="13" t="s">
        <v>10458</v>
      </c>
      <c r="M2635" s="13" t="s">
        <v>10459</v>
      </c>
    </row>
    <row r="2636" customFormat="false" ht="35.05" hidden="false" customHeight="false" outlineLevel="0" collapsed="false">
      <c r="A2636" s="13" t="s">
        <v>4</v>
      </c>
      <c r="B2636" s="13" t="s">
        <v>4108</v>
      </c>
      <c r="C2636" s="13" t="n">
        <v>388</v>
      </c>
      <c r="D2636" s="13" t="s">
        <v>10465</v>
      </c>
      <c r="E2636" s="13" t="s">
        <v>10466</v>
      </c>
      <c r="F2636" s="13" t="s">
        <v>10467</v>
      </c>
      <c r="G2636" s="13" t="s">
        <v>5496</v>
      </c>
      <c r="H2636" s="13" t="s">
        <v>10468</v>
      </c>
      <c r="I2636" s="13" t="s">
        <v>82</v>
      </c>
      <c r="J2636" s="13" t="s">
        <v>5716</v>
      </c>
      <c r="K2636" s="13"/>
      <c r="L2636" s="13" t="s">
        <v>10469</v>
      </c>
      <c r="M2636" s="13" t="s">
        <v>10470</v>
      </c>
    </row>
    <row r="2637" customFormat="false" ht="35.05" hidden="false" customHeight="false" outlineLevel="0" collapsed="false">
      <c r="A2637" s="13" t="s">
        <v>4</v>
      </c>
      <c r="B2637" s="13" t="s">
        <v>4108</v>
      </c>
      <c r="C2637" s="13" t="n">
        <v>388</v>
      </c>
      <c r="D2637" s="13" t="s">
        <v>10465</v>
      </c>
      <c r="E2637" s="13" t="s">
        <v>10471</v>
      </c>
      <c r="F2637" s="13" t="s">
        <v>806</v>
      </c>
      <c r="G2637" s="13" t="s">
        <v>1803</v>
      </c>
      <c r="H2637" s="13" t="s">
        <v>10467</v>
      </c>
      <c r="I2637" s="13" t="s">
        <v>82</v>
      </c>
      <c r="J2637" s="13" t="s">
        <v>5716</v>
      </c>
      <c r="K2637" s="13"/>
      <c r="L2637" s="13" t="s">
        <v>10469</v>
      </c>
      <c r="M2637" s="13" t="s">
        <v>10470</v>
      </c>
    </row>
    <row r="2638" customFormat="false" ht="35.05" hidden="false" customHeight="false" outlineLevel="0" collapsed="false">
      <c r="A2638" s="13" t="s">
        <v>4</v>
      </c>
      <c r="B2638" s="13" t="s">
        <v>4108</v>
      </c>
      <c r="C2638" s="13" t="n">
        <v>388</v>
      </c>
      <c r="D2638" s="13" t="s">
        <v>10472</v>
      </c>
      <c r="E2638" s="13" t="s">
        <v>10473</v>
      </c>
      <c r="F2638" s="13" t="s">
        <v>10474</v>
      </c>
      <c r="G2638" s="13" t="s">
        <v>2011</v>
      </c>
      <c r="H2638" s="13" t="s">
        <v>10475</v>
      </c>
      <c r="I2638" s="13" t="s">
        <v>82</v>
      </c>
      <c r="J2638" s="13" t="s">
        <v>5716</v>
      </c>
      <c r="K2638" s="13"/>
      <c r="L2638" s="13" t="s">
        <v>10476</v>
      </c>
      <c r="M2638" s="13" t="s">
        <v>10477</v>
      </c>
    </row>
    <row r="2639" customFormat="false" ht="35.05" hidden="false" customHeight="false" outlineLevel="0" collapsed="false">
      <c r="A2639" s="13" t="s">
        <v>4</v>
      </c>
      <c r="B2639" s="13" t="s">
        <v>4108</v>
      </c>
      <c r="C2639" s="13" t="n">
        <v>388</v>
      </c>
      <c r="D2639" s="13" t="s">
        <v>10472</v>
      </c>
      <c r="E2639" s="13" t="s">
        <v>10478</v>
      </c>
      <c r="F2639" s="13" t="s">
        <v>10474</v>
      </c>
      <c r="G2639" s="13" t="s">
        <v>1685</v>
      </c>
      <c r="H2639" s="13" t="s">
        <v>10479</v>
      </c>
      <c r="I2639" s="13" t="s">
        <v>82</v>
      </c>
      <c r="J2639" s="13" t="s">
        <v>5716</v>
      </c>
      <c r="K2639" s="13"/>
      <c r="L2639" s="13" t="s">
        <v>10476</v>
      </c>
      <c r="M2639" s="13" t="s">
        <v>10477</v>
      </c>
    </row>
    <row r="2640" customFormat="false" ht="35.05" hidden="false" customHeight="false" outlineLevel="0" collapsed="false">
      <c r="A2640" s="13" t="s">
        <v>4</v>
      </c>
      <c r="B2640" s="13" t="s">
        <v>4108</v>
      </c>
      <c r="C2640" s="13" t="n">
        <v>388</v>
      </c>
      <c r="D2640" s="13" t="s">
        <v>10472</v>
      </c>
      <c r="E2640" s="13" t="s">
        <v>10480</v>
      </c>
      <c r="F2640" s="13" t="s">
        <v>10474</v>
      </c>
      <c r="G2640" s="13" t="s">
        <v>10481</v>
      </c>
      <c r="H2640" s="13" t="s">
        <v>10482</v>
      </c>
      <c r="I2640" s="13" t="s">
        <v>82</v>
      </c>
      <c r="J2640" s="13" t="s">
        <v>5716</v>
      </c>
      <c r="K2640" s="13"/>
      <c r="L2640" s="13" t="s">
        <v>10476</v>
      </c>
      <c r="M2640" s="13" t="s">
        <v>10477</v>
      </c>
    </row>
    <row r="2641" customFormat="false" ht="57.45" hidden="false" customHeight="false" outlineLevel="0" collapsed="false">
      <c r="A2641" s="13" t="s">
        <v>4</v>
      </c>
      <c r="B2641" s="13" t="s">
        <v>4108</v>
      </c>
      <c r="C2641" s="13" t="n">
        <v>388</v>
      </c>
      <c r="D2641" s="13" t="s">
        <v>10483</v>
      </c>
      <c r="E2641" s="13" t="s">
        <v>10484</v>
      </c>
      <c r="F2641" s="13" t="s">
        <v>806</v>
      </c>
      <c r="G2641" s="13" t="s">
        <v>10485</v>
      </c>
      <c r="H2641" s="13" t="s">
        <v>10486</v>
      </c>
      <c r="I2641" s="13" t="s">
        <v>82</v>
      </c>
      <c r="J2641" s="13" t="s">
        <v>5716</v>
      </c>
      <c r="K2641" s="13"/>
      <c r="L2641" s="13" t="s">
        <v>10487</v>
      </c>
      <c r="M2641" s="13" t="s">
        <v>10488</v>
      </c>
    </row>
    <row r="2642" customFormat="false" ht="57.45" hidden="false" customHeight="false" outlineLevel="0" collapsed="false">
      <c r="A2642" s="13" t="s">
        <v>4</v>
      </c>
      <c r="B2642" s="13" t="s">
        <v>4108</v>
      </c>
      <c r="C2642" s="13" t="n">
        <v>388</v>
      </c>
      <c r="D2642" s="13" t="s">
        <v>10483</v>
      </c>
      <c r="E2642" s="13" t="s">
        <v>10489</v>
      </c>
      <c r="F2642" s="13" t="s">
        <v>806</v>
      </c>
      <c r="G2642" s="13" t="s">
        <v>10490</v>
      </c>
      <c r="H2642" s="13" t="s">
        <v>10491</v>
      </c>
      <c r="I2642" s="13" t="s">
        <v>82</v>
      </c>
      <c r="J2642" s="13" t="s">
        <v>5716</v>
      </c>
      <c r="K2642" s="13"/>
      <c r="L2642" s="13" t="s">
        <v>10487</v>
      </c>
      <c r="M2642" s="13" t="s">
        <v>10488</v>
      </c>
    </row>
    <row r="2643" customFormat="false" ht="57.45" hidden="false" customHeight="false" outlineLevel="0" collapsed="false">
      <c r="A2643" s="13" t="s">
        <v>4</v>
      </c>
      <c r="B2643" s="13" t="s">
        <v>4108</v>
      </c>
      <c r="C2643" s="13" t="n">
        <v>388</v>
      </c>
      <c r="D2643" s="13" t="s">
        <v>10483</v>
      </c>
      <c r="E2643" s="13" t="s">
        <v>10492</v>
      </c>
      <c r="F2643" s="13" t="s">
        <v>10493</v>
      </c>
      <c r="G2643" s="13" t="s">
        <v>10494</v>
      </c>
      <c r="H2643" s="13" t="s">
        <v>10495</v>
      </c>
      <c r="I2643" s="13" t="s">
        <v>82</v>
      </c>
      <c r="J2643" s="13" t="s">
        <v>5716</v>
      </c>
      <c r="K2643" s="13"/>
      <c r="L2643" s="13" t="s">
        <v>10487</v>
      </c>
      <c r="M2643" s="13" t="s">
        <v>10488</v>
      </c>
    </row>
    <row r="2644" customFormat="false" ht="68.65" hidden="false" customHeight="false" outlineLevel="0" collapsed="false">
      <c r="A2644" s="13" t="s">
        <v>4</v>
      </c>
      <c r="B2644" s="13" t="s">
        <v>4108</v>
      </c>
      <c r="C2644" s="13" t="n">
        <v>388</v>
      </c>
      <c r="D2644" s="13" t="s">
        <v>10496</v>
      </c>
      <c r="E2644" s="13" t="s">
        <v>10497</v>
      </c>
      <c r="F2644" s="13" t="s">
        <v>806</v>
      </c>
      <c r="G2644" s="13" t="s">
        <v>10485</v>
      </c>
      <c r="H2644" s="13" t="s">
        <v>10498</v>
      </c>
      <c r="I2644" s="13" t="s">
        <v>82</v>
      </c>
      <c r="J2644" s="13" t="s">
        <v>5716</v>
      </c>
      <c r="K2644" s="13"/>
      <c r="L2644" s="13" t="s">
        <v>10499</v>
      </c>
      <c r="M2644" s="13" t="s">
        <v>10500</v>
      </c>
    </row>
    <row r="2645" customFormat="false" ht="68.65" hidden="false" customHeight="false" outlineLevel="0" collapsed="false">
      <c r="A2645" s="13" t="s">
        <v>4</v>
      </c>
      <c r="B2645" s="13" t="s">
        <v>4108</v>
      </c>
      <c r="C2645" s="13" t="n">
        <v>388</v>
      </c>
      <c r="D2645" s="13" t="s">
        <v>10496</v>
      </c>
      <c r="E2645" s="13" t="s">
        <v>10501</v>
      </c>
      <c r="F2645" s="13" t="s">
        <v>806</v>
      </c>
      <c r="G2645" s="13" t="s">
        <v>10502</v>
      </c>
      <c r="H2645" s="13" t="s">
        <v>10503</v>
      </c>
      <c r="I2645" s="13" t="s">
        <v>82</v>
      </c>
      <c r="J2645" s="13" t="s">
        <v>5716</v>
      </c>
      <c r="K2645" s="13"/>
      <c r="L2645" s="13" t="s">
        <v>10499</v>
      </c>
      <c r="M2645" s="13" t="s">
        <v>10500</v>
      </c>
    </row>
    <row r="2646" customFormat="false" ht="68.65" hidden="false" customHeight="false" outlineLevel="0" collapsed="false">
      <c r="A2646" s="13" t="s">
        <v>4</v>
      </c>
      <c r="B2646" s="13" t="s">
        <v>4108</v>
      </c>
      <c r="C2646" s="13" t="n">
        <v>388</v>
      </c>
      <c r="D2646" s="13" t="s">
        <v>10496</v>
      </c>
      <c r="E2646" s="13" t="s">
        <v>10504</v>
      </c>
      <c r="F2646" s="13" t="s">
        <v>806</v>
      </c>
      <c r="G2646" s="13" t="s">
        <v>10505</v>
      </c>
      <c r="H2646" s="13" t="s">
        <v>10506</v>
      </c>
      <c r="I2646" s="13" t="s">
        <v>82</v>
      </c>
      <c r="J2646" s="13" t="s">
        <v>5716</v>
      </c>
      <c r="K2646" s="13"/>
      <c r="L2646" s="13" t="s">
        <v>10499</v>
      </c>
      <c r="M2646" s="13" t="s">
        <v>10500</v>
      </c>
    </row>
    <row r="2647" customFormat="false" ht="57.45" hidden="false" customHeight="false" outlineLevel="0" collapsed="false">
      <c r="A2647" s="13" t="s">
        <v>4</v>
      </c>
      <c r="B2647" s="13" t="s">
        <v>4108</v>
      </c>
      <c r="C2647" s="13" t="n">
        <v>442</v>
      </c>
      <c r="D2647" s="13" t="s">
        <v>10507</v>
      </c>
      <c r="E2647" s="13" t="s">
        <v>10508</v>
      </c>
      <c r="F2647" s="13" t="s">
        <v>10509</v>
      </c>
      <c r="G2647" s="13" t="s">
        <v>10510</v>
      </c>
      <c r="H2647" s="13" t="s">
        <v>10511</v>
      </c>
      <c r="I2647" s="13" t="s">
        <v>82</v>
      </c>
      <c r="J2647" s="13" t="s">
        <v>5716</v>
      </c>
      <c r="K2647" s="13"/>
      <c r="L2647" s="13" t="s">
        <v>10512</v>
      </c>
      <c r="M2647" s="13" t="s">
        <v>10513</v>
      </c>
    </row>
    <row r="2648" customFormat="false" ht="57.45" hidden="false" customHeight="false" outlineLevel="0" collapsed="false">
      <c r="A2648" s="13" t="s">
        <v>4</v>
      </c>
      <c r="B2648" s="13" t="s">
        <v>4108</v>
      </c>
      <c r="C2648" s="13" t="n">
        <v>442</v>
      </c>
      <c r="D2648" s="13" t="s">
        <v>10507</v>
      </c>
      <c r="E2648" s="13" t="s">
        <v>10514</v>
      </c>
      <c r="F2648" s="13" t="s">
        <v>806</v>
      </c>
      <c r="G2648" s="13" t="s">
        <v>10515</v>
      </c>
      <c r="H2648" s="13" t="s">
        <v>10509</v>
      </c>
      <c r="I2648" s="13" t="s">
        <v>82</v>
      </c>
      <c r="J2648" s="13" t="s">
        <v>5716</v>
      </c>
      <c r="K2648" s="13"/>
      <c r="L2648" s="13" t="s">
        <v>10512</v>
      </c>
      <c r="M2648" s="13" t="s">
        <v>10513</v>
      </c>
    </row>
    <row r="2649" customFormat="false" ht="57.45" hidden="false" customHeight="false" outlineLevel="0" collapsed="false">
      <c r="A2649" s="13" t="s">
        <v>4</v>
      </c>
      <c r="B2649" s="13" t="s">
        <v>4108</v>
      </c>
      <c r="C2649" s="13" t="n">
        <v>442</v>
      </c>
      <c r="D2649" s="13" t="s">
        <v>10507</v>
      </c>
      <c r="E2649" s="13" t="s">
        <v>10516</v>
      </c>
      <c r="F2649" s="13" t="s">
        <v>10509</v>
      </c>
      <c r="G2649" s="13" t="s">
        <v>10517</v>
      </c>
      <c r="H2649" s="13" t="s">
        <v>10509</v>
      </c>
      <c r="I2649" s="13" t="s">
        <v>114</v>
      </c>
      <c r="J2649" s="13" t="s">
        <v>10518</v>
      </c>
      <c r="K2649" s="13" t="s">
        <v>10519</v>
      </c>
      <c r="L2649" s="13" t="s">
        <v>10512</v>
      </c>
      <c r="M2649" s="13" t="s">
        <v>10513</v>
      </c>
    </row>
    <row r="2650" customFormat="false" ht="57.45" hidden="false" customHeight="false" outlineLevel="0" collapsed="false">
      <c r="A2650" s="13" t="s">
        <v>4</v>
      </c>
      <c r="B2650" s="13" t="s">
        <v>4108</v>
      </c>
      <c r="C2650" s="13" t="n">
        <v>442</v>
      </c>
      <c r="D2650" s="13" t="s">
        <v>10507</v>
      </c>
      <c r="E2650" s="13" t="s">
        <v>10520</v>
      </c>
      <c r="F2650" s="13" t="s">
        <v>10509</v>
      </c>
      <c r="G2650" s="13" t="s">
        <v>10521</v>
      </c>
      <c r="H2650" s="13" t="s">
        <v>10509</v>
      </c>
      <c r="I2650" s="13" t="s">
        <v>114</v>
      </c>
      <c r="J2650" s="13" t="s">
        <v>10518</v>
      </c>
      <c r="K2650" s="13" t="s">
        <v>10519</v>
      </c>
      <c r="L2650" s="13" t="s">
        <v>10512</v>
      </c>
      <c r="M2650" s="13" t="s">
        <v>10513</v>
      </c>
    </row>
    <row r="2651" customFormat="false" ht="35.05" hidden="false" customHeight="false" outlineLevel="0" collapsed="false">
      <c r="A2651" s="13" t="s">
        <v>4</v>
      </c>
      <c r="B2651" s="13" t="s">
        <v>4108</v>
      </c>
      <c r="C2651" s="13" t="n">
        <v>442</v>
      </c>
      <c r="D2651" s="13" t="s">
        <v>10522</v>
      </c>
      <c r="E2651" s="13" t="s">
        <v>10523</v>
      </c>
      <c r="F2651" s="13" t="s">
        <v>10524</v>
      </c>
      <c r="G2651" s="13" t="s">
        <v>10525</v>
      </c>
      <c r="H2651" s="13" t="s">
        <v>5463</v>
      </c>
      <c r="I2651" s="13" t="s">
        <v>82</v>
      </c>
      <c r="J2651" s="13" t="s">
        <v>5716</v>
      </c>
      <c r="K2651" s="13"/>
      <c r="L2651" s="13" t="s">
        <v>10526</v>
      </c>
      <c r="M2651" s="13" t="s">
        <v>10527</v>
      </c>
    </row>
    <row r="2652" customFormat="false" ht="35.05" hidden="false" customHeight="false" outlineLevel="0" collapsed="false">
      <c r="A2652" s="13" t="s">
        <v>4</v>
      </c>
      <c r="B2652" s="13" t="s">
        <v>4108</v>
      </c>
      <c r="C2652" s="13" t="n">
        <v>442</v>
      </c>
      <c r="D2652" s="13" t="s">
        <v>10522</v>
      </c>
      <c r="E2652" s="13" t="s">
        <v>10528</v>
      </c>
      <c r="F2652" s="13" t="s">
        <v>10529</v>
      </c>
      <c r="G2652" s="13" t="s">
        <v>10530</v>
      </c>
      <c r="H2652" s="13" t="s">
        <v>5463</v>
      </c>
      <c r="I2652" s="13" t="s">
        <v>82</v>
      </c>
      <c r="J2652" s="13" t="s">
        <v>5716</v>
      </c>
      <c r="K2652" s="13"/>
      <c r="L2652" s="13" t="s">
        <v>10526</v>
      </c>
      <c r="M2652" s="13" t="s">
        <v>10527</v>
      </c>
    </row>
    <row r="2653" customFormat="false" ht="46.25" hidden="false" customHeight="false" outlineLevel="0" collapsed="false">
      <c r="A2653" s="13" t="s">
        <v>4</v>
      </c>
      <c r="B2653" s="13" t="s">
        <v>4108</v>
      </c>
      <c r="C2653" s="13" t="n">
        <v>442</v>
      </c>
      <c r="D2653" s="13" t="s">
        <v>10531</v>
      </c>
      <c r="E2653" s="13" t="s">
        <v>10532</v>
      </c>
      <c r="F2653" s="13" t="s">
        <v>806</v>
      </c>
      <c r="G2653" s="13" t="s">
        <v>2319</v>
      </c>
      <c r="H2653" s="13" t="s">
        <v>10533</v>
      </c>
      <c r="I2653" s="13" t="s">
        <v>114</v>
      </c>
      <c r="J2653" s="13" t="s">
        <v>10534</v>
      </c>
      <c r="K2653" s="13" t="s">
        <v>10535</v>
      </c>
      <c r="L2653" s="13" t="s">
        <v>10536</v>
      </c>
      <c r="M2653" s="13" t="s">
        <v>10537</v>
      </c>
    </row>
    <row r="2654" customFormat="false" ht="46.25" hidden="false" customHeight="false" outlineLevel="0" collapsed="false">
      <c r="A2654" s="13" t="s">
        <v>4</v>
      </c>
      <c r="B2654" s="13" t="s">
        <v>4108</v>
      </c>
      <c r="C2654" s="13" t="n">
        <v>442</v>
      </c>
      <c r="D2654" s="13" t="s">
        <v>10531</v>
      </c>
      <c r="E2654" s="13" t="s">
        <v>10538</v>
      </c>
      <c r="F2654" s="13" t="s">
        <v>806</v>
      </c>
      <c r="G2654" s="13" t="s">
        <v>10539</v>
      </c>
      <c r="H2654" s="13" t="s">
        <v>10533</v>
      </c>
      <c r="I2654" s="13" t="s">
        <v>114</v>
      </c>
      <c r="J2654" s="13" t="s">
        <v>10534</v>
      </c>
      <c r="K2654" s="13" t="s">
        <v>10535</v>
      </c>
      <c r="L2654" s="13" t="s">
        <v>10536</v>
      </c>
      <c r="M2654" s="13" t="s">
        <v>10537</v>
      </c>
    </row>
    <row r="2655" customFormat="false" ht="46.25" hidden="false" customHeight="false" outlineLevel="0" collapsed="false">
      <c r="A2655" s="13" t="s">
        <v>4</v>
      </c>
      <c r="B2655" s="13" t="s">
        <v>4108</v>
      </c>
      <c r="C2655" s="13" t="n">
        <v>442</v>
      </c>
      <c r="D2655" s="13" t="s">
        <v>10531</v>
      </c>
      <c r="E2655" s="13" t="s">
        <v>10540</v>
      </c>
      <c r="F2655" s="13" t="s">
        <v>10533</v>
      </c>
      <c r="G2655" s="13" t="s">
        <v>10541</v>
      </c>
      <c r="H2655" s="13" t="s">
        <v>10542</v>
      </c>
      <c r="I2655" s="13" t="s">
        <v>114</v>
      </c>
      <c r="J2655" s="13" t="s">
        <v>10534</v>
      </c>
      <c r="K2655" s="13" t="s">
        <v>10535</v>
      </c>
      <c r="L2655" s="13" t="s">
        <v>10536</v>
      </c>
      <c r="M2655" s="13" t="s">
        <v>10537</v>
      </c>
    </row>
    <row r="2656" customFormat="false" ht="35.05" hidden="false" customHeight="false" outlineLevel="0" collapsed="false">
      <c r="A2656" s="13" t="s">
        <v>4</v>
      </c>
      <c r="B2656" s="13" t="s">
        <v>4108</v>
      </c>
      <c r="C2656" s="13" t="n">
        <v>442</v>
      </c>
      <c r="D2656" s="13" t="s">
        <v>10543</v>
      </c>
      <c r="E2656" s="13" t="s">
        <v>10544</v>
      </c>
      <c r="F2656" s="13" t="s">
        <v>806</v>
      </c>
      <c r="G2656" s="13" t="s">
        <v>1532</v>
      </c>
      <c r="H2656" s="13" t="s">
        <v>10545</v>
      </c>
      <c r="I2656" s="13" t="s">
        <v>82</v>
      </c>
      <c r="J2656" s="13" t="s">
        <v>5716</v>
      </c>
      <c r="K2656" s="13"/>
      <c r="L2656" s="13" t="s">
        <v>10546</v>
      </c>
      <c r="M2656" s="13" t="s">
        <v>10547</v>
      </c>
    </row>
    <row r="2657" customFormat="false" ht="35.05" hidden="false" customHeight="false" outlineLevel="0" collapsed="false">
      <c r="A2657" s="13" t="s">
        <v>4</v>
      </c>
      <c r="B2657" s="13" t="s">
        <v>4108</v>
      </c>
      <c r="C2657" s="13" t="n">
        <v>442</v>
      </c>
      <c r="D2657" s="13" t="s">
        <v>10543</v>
      </c>
      <c r="E2657" s="13" t="s">
        <v>10548</v>
      </c>
      <c r="F2657" s="13" t="s">
        <v>10545</v>
      </c>
      <c r="G2657" s="13" t="s">
        <v>10549</v>
      </c>
      <c r="H2657" s="13" t="s">
        <v>10545</v>
      </c>
      <c r="I2657" s="13" t="s">
        <v>114</v>
      </c>
      <c r="J2657" s="13" t="s">
        <v>10518</v>
      </c>
      <c r="K2657" s="13" t="s">
        <v>10519</v>
      </c>
      <c r="L2657" s="13" t="s">
        <v>10546</v>
      </c>
      <c r="M2657" s="13" t="s">
        <v>10547</v>
      </c>
    </row>
    <row r="2658" customFormat="false" ht="35.05" hidden="false" customHeight="false" outlineLevel="0" collapsed="false">
      <c r="A2658" s="13" t="s">
        <v>4</v>
      </c>
      <c r="B2658" s="13" t="s">
        <v>4108</v>
      </c>
      <c r="C2658" s="13" t="n">
        <v>442</v>
      </c>
      <c r="D2658" s="13" t="s">
        <v>10543</v>
      </c>
      <c r="E2658" s="13" t="s">
        <v>10550</v>
      </c>
      <c r="F2658" s="13" t="s">
        <v>10545</v>
      </c>
      <c r="G2658" s="13" t="s">
        <v>10551</v>
      </c>
      <c r="H2658" s="13" t="s">
        <v>10545</v>
      </c>
      <c r="I2658" s="13" t="s">
        <v>114</v>
      </c>
      <c r="J2658" s="13" t="s">
        <v>10518</v>
      </c>
      <c r="K2658" s="13" t="s">
        <v>10519</v>
      </c>
      <c r="L2658" s="13" t="s">
        <v>10546</v>
      </c>
      <c r="M2658" s="13" t="s">
        <v>10547</v>
      </c>
    </row>
    <row r="2659" customFormat="false" ht="46.25" hidden="false" customHeight="false" outlineLevel="0" collapsed="false">
      <c r="A2659" s="13" t="s">
        <v>4</v>
      </c>
      <c r="B2659" s="13" t="s">
        <v>4108</v>
      </c>
      <c r="C2659" s="13" t="n">
        <v>442</v>
      </c>
      <c r="D2659" s="13" t="s">
        <v>10552</v>
      </c>
      <c r="E2659" s="13" t="s">
        <v>10553</v>
      </c>
      <c r="F2659" s="13" t="s">
        <v>806</v>
      </c>
      <c r="G2659" s="13" t="s">
        <v>10554</v>
      </c>
      <c r="H2659" s="13" t="s">
        <v>10555</v>
      </c>
      <c r="I2659" s="13" t="s">
        <v>82</v>
      </c>
      <c r="J2659" s="13" t="s">
        <v>5716</v>
      </c>
      <c r="K2659" s="13"/>
      <c r="L2659" s="13" t="s">
        <v>10556</v>
      </c>
      <c r="M2659" s="13" t="s">
        <v>10557</v>
      </c>
    </row>
    <row r="2660" customFormat="false" ht="46.25" hidden="false" customHeight="false" outlineLevel="0" collapsed="false">
      <c r="A2660" s="13" t="s">
        <v>4</v>
      </c>
      <c r="B2660" s="13" t="s">
        <v>4108</v>
      </c>
      <c r="C2660" s="13" t="n">
        <v>442</v>
      </c>
      <c r="D2660" s="13" t="s">
        <v>10552</v>
      </c>
      <c r="E2660" s="13" t="s">
        <v>10558</v>
      </c>
      <c r="F2660" s="13" t="s">
        <v>10555</v>
      </c>
      <c r="G2660" s="13" t="s">
        <v>10559</v>
      </c>
      <c r="H2660" s="13" t="s">
        <v>806</v>
      </c>
      <c r="I2660" s="13" t="s">
        <v>82</v>
      </c>
      <c r="J2660" s="13" t="s">
        <v>5716</v>
      </c>
      <c r="K2660" s="13"/>
      <c r="L2660" s="13" t="s">
        <v>10556</v>
      </c>
      <c r="M2660" s="13" t="s">
        <v>10557</v>
      </c>
    </row>
    <row r="2661" customFormat="false" ht="113.4" hidden="false" customHeight="false" outlineLevel="0" collapsed="false">
      <c r="A2661" s="13" t="s">
        <v>4</v>
      </c>
      <c r="B2661" s="13" t="s">
        <v>4108</v>
      </c>
      <c r="C2661" s="13" t="n">
        <v>442</v>
      </c>
      <c r="D2661" s="13" t="s">
        <v>10560</v>
      </c>
      <c r="E2661" s="13" t="s">
        <v>10561</v>
      </c>
      <c r="F2661" s="13" t="s">
        <v>806</v>
      </c>
      <c r="G2661" s="13" t="s">
        <v>10562</v>
      </c>
      <c r="H2661" s="13" t="s">
        <v>10563</v>
      </c>
      <c r="I2661" s="13" t="s">
        <v>82</v>
      </c>
      <c r="J2661" s="13" t="s">
        <v>5716</v>
      </c>
      <c r="K2661" s="13"/>
      <c r="L2661" s="13" t="s">
        <v>10564</v>
      </c>
      <c r="M2661" s="13" t="s">
        <v>10565</v>
      </c>
    </row>
    <row r="2662" customFormat="false" ht="113.4" hidden="false" customHeight="false" outlineLevel="0" collapsed="false">
      <c r="A2662" s="13" t="s">
        <v>4</v>
      </c>
      <c r="B2662" s="13" t="s">
        <v>4108</v>
      </c>
      <c r="C2662" s="13" t="n">
        <v>442</v>
      </c>
      <c r="D2662" s="13" t="s">
        <v>10560</v>
      </c>
      <c r="E2662" s="13" t="s">
        <v>10566</v>
      </c>
      <c r="F2662" s="13" t="s">
        <v>806</v>
      </c>
      <c r="G2662" s="13" t="s">
        <v>10562</v>
      </c>
      <c r="H2662" s="13" t="s">
        <v>10567</v>
      </c>
      <c r="I2662" s="13" t="s">
        <v>82</v>
      </c>
      <c r="J2662" s="13" t="s">
        <v>5716</v>
      </c>
      <c r="K2662" s="13"/>
      <c r="L2662" s="13" t="s">
        <v>10564</v>
      </c>
      <c r="M2662" s="13" t="s">
        <v>10565</v>
      </c>
    </row>
    <row r="2663" customFormat="false" ht="113.4" hidden="false" customHeight="false" outlineLevel="0" collapsed="false">
      <c r="A2663" s="13" t="s">
        <v>4</v>
      </c>
      <c r="B2663" s="13" t="s">
        <v>4108</v>
      </c>
      <c r="C2663" s="13" t="n">
        <v>442</v>
      </c>
      <c r="D2663" s="13" t="s">
        <v>10560</v>
      </c>
      <c r="E2663" s="13" t="s">
        <v>10568</v>
      </c>
      <c r="F2663" s="13" t="s">
        <v>806</v>
      </c>
      <c r="G2663" s="13" t="s">
        <v>10562</v>
      </c>
      <c r="H2663" s="13" t="s">
        <v>10569</v>
      </c>
      <c r="I2663" s="13" t="s">
        <v>82</v>
      </c>
      <c r="J2663" s="13" t="s">
        <v>5716</v>
      </c>
      <c r="K2663" s="13"/>
      <c r="L2663" s="13" t="s">
        <v>10564</v>
      </c>
      <c r="M2663" s="13" t="s">
        <v>10565</v>
      </c>
    </row>
    <row r="2664" customFormat="false" ht="113.4" hidden="false" customHeight="false" outlineLevel="0" collapsed="false">
      <c r="A2664" s="13" t="s">
        <v>4</v>
      </c>
      <c r="B2664" s="13" t="s">
        <v>4108</v>
      </c>
      <c r="C2664" s="13" t="n">
        <v>442</v>
      </c>
      <c r="D2664" s="13" t="s">
        <v>10560</v>
      </c>
      <c r="E2664" s="13" t="s">
        <v>10570</v>
      </c>
      <c r="F2664" s="13" t="s">
        <v>806</v>
      </c>
      <c r="G2664" s="13" t="s">
        <v>10562</v>
      </c>
      <c r="H2664" s="13" t="s">
        <v>10571</v>
      </c>
      <c r="I2664" s="13" t="s">
        <v>82</v>
      </c>
      <c r="J2664" s="13" t="s">
        <v>5716</v>
      </c>
      <c r="K2664" s="13"/>
      <c r="L2664" s="13" t="s">
        <v>10564</v>
      </c>
      <c r="M2664" s="13" t="s">
        <v>10565</v>
      </c>
    </row>
    <row r="2665" customFormat="false" ht="113.4" hidden="false" customHeight="false" outlineLevel="0" collapsed="false">
      <c r="A2665" s="13" t="s">
        <v>4</v>
      </c>
      <c r="B2665" s="13" t="s">
        <v>4108</v>
      </c>
      <c r="C2665" s="13" t="n">
        <v>442</v>
      </c>
      <c r="D2665" s="13" t="s">
        <v>10560</v>
      </c>
      <c r="E2665" s="13" t="s">
        <v>10572</v>
      </c>
      <c r="F2665" s="13" t="s">
        <v>806</v>
      </c>
      <c r="G2665" s="13" t="s">
        <v>10562</v>
      </c>
      <c r="H2665" s="13" t="s">
        <v>10573</v>
      </c>
      <c r="I2665" s="13" t="s">
        <v>82</v>
      </c>
      <c r="J2665" s="13" t="s">
        <v>5716</v>
      </c>
      <c r="K2665" s="13"/>
      <c r="L2665" s="13" t="s">
        <v>10564</v>
      </c>
      <c r="M2665" s="13" t="s">
        <v>10565</v>
      </c>
    </row>
    <row r="2666" customFormat="false" ht="113.4" hidden="false" customHeight="false" outlineLevel="0" collapsed="false">
      <c r="A2666" s="13" t="s">
        <v>4</v>
      </c>
      <c r="B2666" s="13" t="s">
        <v>4108</v>
      </c>
      <c r="C2666" s="13" t="n">
        <v>442</v>
      </c>
      <c r="D2666" s="13" t="s">
        <v>10560</v>
      </c>
      <c r="E2666" s="13" t="s">
        <v>10574</v>
      </c>
      <c r="F2666" s="13" t="s">
        <v>10563</v>
      </c>
      <c r="G2666" s="13" t="s">
        <v>10575</v>
      </c>
      <c r="H2666" s="13" t="s">
        <v>1928</v>
      </c>
      <c r="I2666" s="13" t="s">
        <v>82</v>
      </c>
      <c r="J2666" s="13" t="s">
        <v>5716</v>
      </c>
      <c r="K2666" s="13"/>
      <c r="L2666" s="13" t="s">
        <v>10564</v>
      </c>
      <c r="M2666" s="13" t="s">
        <v>10565</v>
      </c>
    </row>
    <row r="2667" customFormat="false" ht="113.4" hidden="false" customHeight="false" outlineLevel="0" collapsed="false">
      <c r="A2667" s="13" t="s">
        <v>4</v>
      </c>
      <c r="B2667" s="13" t="s">
        <v>4108</v>
      </c>
      <c r="C2667" s="13" t="n">
        <v>442</v>
      </c>
      <c r="D2667" s="13" t="s">
        <v>10560</v>
      </c>
      <c r="E2667" s="13" t="s">
        <v>10576</v>
      </c>
      <c r="F2667" s="13" t="s">
        <v>10569</v>
      </c>
      <c r="G2667" s="13" t="s">
        <v>10575</v>
      </c>
      <c r="H2667" s="13" t="s">
        <v>10577</v>
      </c>
      <c r="I2667" s="13" t="s">
        <v>82</v>
      </c>
      <c r="J2667" s="13" t="s">
        <v>5716</v>
      </c>
      <c r="K2667" s="13"/>
      <c r="L2667" s="13" t="s">
        <v>10564</v>
      </c>
      <c r="M2667" s="13" t="s">
        <v>10565</v>
      </c>
    </row>
    <row r="2668" customFormat="false" ht="113.4" hidden="false" customHeight="false" outlineLevel="0" collapsed="false">
      <c r="A2668" s="13" t="s">
        <v>4</v>
      </c>
      <c r="B2668" s="13" t="s">
        <v>4108</v>
      </c>
      <c r="C2668" s="13" t="n">
        <v>442</v>
      </c>
      <c r="D2668" s="13" t="s">
        <v>10560</v>
      </c>
      <c r="E2668" s="13" t="s">
        <v>10578</v>
      </c>
      <c r="F2668" s="13" t="s">
        <v>10571</v>
      </c>
      <c r="G2668" s="13" t="s">
        <v>10575</v>
      </c>
      <c r="H2668" s="13" t="s">
        <v>10579</v>
      </c>
      <c r="I2668" s="13" t="s">
        <v>82</v>
      </c>
      <c r="J2668" s="13" t="s">
        <v>5716</v>
      </c>
      <c r="K2668" s="13"/>
      <c r="L2668" s="13" t="s">
        <v>10564</v>
      </c>
      <c r="M2668" s="13" t="s">
        <v>10565</v>
      </c>
    </row>
    <row r="2669" customFormat="false" ht="35.05" hidden="false" customHeight="false" outlineLevel="0" collapsed="false">
      <c r="A2669" s="13" t="s">
        <v>4</v>
      </c>
      <c r="B2669" s="13" t="s">
        <v>4108</v>
      </c>
      <c r="C2669" s="13" t="n">
        <v>442</v>
      </c>
      <c r="D2669" s="13" t="s">
        <v>10580</v>
      </c>
      <c r="E2669" s="13" t="s">
        <v>10581</v>
      </c>
      <c r="F2669" s="13" t="s">
        <v>806</v>
      </c>
      <c r="G2669" s="13" t="s">
        <v>1532</v>
      </c>
      <c r="H2669" s="13" t="s">
        <v>10582</v>
      </c>
      <c r="I2669" s="13" t="s">
        <v>82</v>
      </c>
      <c r="J2669" s="13" t="s">
        <v>5716</v>
      </c>
      <c r="K2669" s="13"/>
      <c r="L2669" s="13" t="s">
        <v>10583</v>
      </c>
      <c r="M2669" s="13" t="s">
        <v>10584</v>
      </c>
    </row>
    <row r="2670" customFormat="false" ht="35.05" hidden="false" customHeight="false" outlineLevel="0" collapsed="false">
      <c r="A2670" s="13" t="s">
        <v>4</v>
      </c>
      <c r="B2670" s="13" t="s">
        <v>4108</v>
      </c>
      <c r="C2670" s="13" t="n">
        <v>442</v>
      </c>
      <c r="D2670" s="13" t="s">
        <v>10585</v>
      </c>
      <c r="E2670" s="13" t="s">
        <v>10586</v>
      </c>
      <c r="F2670" s="13" t="s">
        <v>806</v>
      </c>
      <c r="G2670" s="13" t="s">
        <v>1803</v>
      </c>
      <c r="H2670" s="13" t="s">
        <v>4380</v>
      </c>
      <c r="I2670" s="13" t="s">
        <v>82</v>
      </c>
      <c r="J2670" s="13" t="s">
        <v>5716</v>
      </c>
      <c r="K2670" s="13"/>
      <c r="L2670" s="13" t="s">
        <v>10587</v>
      </c>
      <c r="M2670" s="13" t="s">
        <v>10588</v>
      </c>
    </row>
    <row r="2671" customFormat="false" ht="35.05" hidden="false" customHeight="false" outlineLevel="0" collapsed="false">
      <c r="A2671" s="13" t="s">
        <v>4</v>
      </c>
      <c r="B2671" s="13" t="s">
        <v>4108</v>
      </c>
      <c r="C2671" s="13" t="n">
        <v>442</v>
      </c>
      <c r="D2671" s="13" t="s">
        <v>10585</v>
      </c>
      <c r="E2671" s="13" t="s">
        <v>10589</v>
      </c>
      <c r="F2671" s="13" t="s">
        <v>806</v>
      </c>
      <c r="G2671" s="13" t="s">
        <v>1803</v>
      </c>
      <c r="H2671" s="13" t="s">
        <v>10590</v>
      </c>
      <c r="I2671" s="13" t="s">
        <v>82</v>
      </c>
      <c r="J2671" s="13" t="s">
        <v>5716</v>
      </c>
      <c r="K2671" s="13"/>
      <c r="L2671" s="13" t="s">
        <v>10587</v>
      </c>
      <c r="M2671" s="13" t="s">
        <v>10588</v>
      </c>
    </row>
    <row r="2672" customFormat="false" ht="35.05" hidden="false" customHeight="false" outlineLevel="0" collapsed="false">
      <c r="A2672" s="13" t="s">
        <v>4</v>
      </c>
      <c r="B2672" s="13" t="s">
        <v>4108</v>
      </c>
      <c r="C2672" s="13" t="n">
        <v>442</v>
      </c>
      <c r="D2672" s="13" t="s">
        <v>10585</v>
      </c>
      <c r="E2672" s="13" t="s">
        <v>10591</v>
      </c>
      <c r="F2672" s="13" t="s">
        <v>806</v>
      </c>
      <c r="G2672" s="13" t="s">
        <v>10592</v>
      </c>
      <c r="H2672" s="13" t="s">
        <v>10593</v>
      </c>
      <c r="I2672" s="13" t="s">
        <v>114</v>
      </c>
      <c r="J2672" s="13" t="s">
        <v>10594</v>
      </c>
      <c r="K2672" s="13" t="s">
        <v>10595</v>
      </c>
      <c r="L2672" s="13" t="s">
        <v>10587</v>
      </c>
      <c r="M2672" s="13" t="s">
        <v>10588</v>
      </c>
    </row>
    <row r="2673" customFormat="false" ht="191.75" hidden="false" customHeight="false" outlineLevel="0" collapsed="false">
      <c r="A2673" s="13" t="s">
        <v>4</v>
      </c>
      <c r="B2673" s="13" t="s">
        <v>4108</v>
      </c>
      <c r="C2673" s="13" t="n">
        <v>442</v>
      </c>
      <c r="D2673" s="13" t="s">
        <v>10596</v>
      </c>
      <c r="E2673" s="13" t="s">
        <v>10597</v>
      </c>
      <c r="F2673" s="13" t="s">
        <v>806</v>
      </c>
      <c r="G2673" s="13" t="s">
        <v>10598</v>
      </c>
      <c r="H2673" s="13" t="s">
        <v>10599</v>
      </c>
      <c r="I2673" s="13" t="s">
        <v>82</v>
      </c>
      <c r="J2673" s="13" t="s">
        <v>5716</v>
      </c>
      <c r="K2673" s="13"/>
      <c r="L2673" s="13" t="s">
        <v>10600</v>
      </c>
      <c r="M2673" s="13" t="s">
        <v>10601</v>
      </c>
    </row>
    <row r="2674" customFormat="false" ht="191.75" hidden="false" customHeight="false" outlineLevel="0" collapsed="false">
      <c r="A2674" s="13" t="s">
        <v>4</v>
      </c>
      <c r="B2674" s="13" t="s">
        <v>4108</v>
      </c>
      <c r="C2674" s="13" t="n">
        <v>442</v>
      </c>
      <c r="D2674" s="13" t="s">
        <v>10596</v>
      </c>
      <c r="E2674" s="13" t="s">
        <v>10602</v>
      </c>
      <c r="F2674" s="13" t="s">
        <v>806</v>
      </c>
      <c r="G2674" s="13" t="s">
        <v>3815</v>
      </c>
      <c r="H2674" s="13" t="s">
        <v>10603</v>
      </c>
      <c r="I2674" s="13" t="s">
        <v>82</v>
      </c>
      <c r="J2674" s="13" t="s">
        <v>5716</v>
      </c>
      <c r="K2674" s="13"/>
      <c r="L2674" s="13" t="s">
        <v>10600</v>
      </c>
      <c r="M2674" s="13" t="s">
        <v>10601</v>
      </c>
    </row>
    <row r="2675" customFormat="false" ht="191.75" hidden="false" customHeight="false" outlineLevel="0" collapsed="false">
      <c r="A2675" s="13" t="s">
        <v>4</v>
      </c>
      <c r="B2675" s="13" t="s">
        <v>4108</v>
      </c>
      <c r="C2675" s="13" t="n">
        <v>442</v>
      </c>
      <c r="D2675" s="13" t="s">
        <v>10596</v>
      </c>
      <c r="E2675" s="13" t="s">
        <v>10604</v>
      </c>
      <c r="F2675" s="13" t="s">
        <v>806</v>
      </c>
      <c r="G2675" s="13" t="s">
        <v>6946</v>
      </c>
      <c r="H2675" s="13" t="s">
        <v>10605</v>
      </c>
      <c r="I2675" s="13" t="s">
        <v>82</v>
      </c>
      <c r="J2675" s="13" t="s">
        <v>5716</v>
      </c>
      <c r="K2675" s="13"/>
      <c r="L2675" s="13" t="s">
        <v>10600</v>
      </c>
      <c r="M2675" s="13" t="s">
        <v>10601</v>
      </c>
    </row>
    <row r="2676" customFormat="false" ht="191.75" hidden="false" customHeight="false" outlineLevel="0" collapsed="false">
      <c r="A2676" s="13" t="s">
        <v>4</v>
      </c>
      <c r="B2676" s="13" t="s">
        <v>4108</v>
      </c>
      <c r="C2676" s="13" t="n">
        <v>442</v>
      </c>
      <c r="D2676" s="13" t="s">
        <v>10596</v>
      </c>
      <c r="E2676" s="13" t="s">
        <v>10606</v>
      </c>
      <c r="F2676" s="13" t="s">
        <v>9913</v>
      </c>
      <c r="G2676" s="13" t="s">
        <v>10607</v>
      </c>
      <c r="H2676" s="13" t="s">
        <v>10608</v>
      </c>
      <c r="I2676" s="13" t="s">
        <v>82</v>
      </c>
      <c r="J2676" s="13" t="s">
        <v>5716</v>
      </c>
      <c r="K2676" s="13"/>
      <c r="L2676" s="13" t="s">
        <v>10600</v>
      </c>
      <c r="M2676" s="13" t="s">
        <v>10601</v>
      </c>
    </row>
    <row r="2677" customFormat="false" ht="191.75" hidden="false" customHeight="false" outlineLevel="0" collapsed="false">
      <c r="A2677" s="13" t="s">
        <v>4</v>
      </c>
      <c r="B2677" s="13" t="s">
        <v>4108</v>
      </c>
      <c r="C2677" s="13" t="n">
        <v>442</v>
      </c>
      <c r="D2677" s="13" t="s">
        <v>10596</v>
      </c>
      <c r="E2677" s="13" t="s">
        <v>10609</v>
      </c>
      <c r="F2677" s="13" t="s">
        <v>806</v>
      </c>
      <c r="G2677" s="13" t="s">
        <v>10610</v>
      </c>
      <c r="H2677" s="13" t="s">
        <v>10611</v>
      </c>
      <c r="I2677" s="13" t="s">
        <v>82</v>
      </c>
      <c r="J2677" s="13" t="s">
        <v>5716</v>
      </c>
      <c r="K2677" s="13"/>
      <c r="L2677" s="13" t="s">
        <v>10600</v>
      </c>
      <c r="M2677" s="13" t="s">
        <v>10601</v>
      </c>
    </row>
    <row r="2678" customFormat="false" ht="79.85" hidden="false" customHeight="false" outlineLevel="0" collapsed="false">
      <c r="A2678" s="13" t="s">
        <v>4</v>
      </c>
      <c r="B2678" s="13" t="s">
        <v>4108</v>
      </c>
      <c r="C2678" s="13" t="n">
        <v>444</v>
      </c>
      <c r="D2678" s="13" t="s">
        <v>10612</v>
      </c>
      <c r="E2678" s="13" t="s">
        <v>10613</v>
      </c>
      <c r="F2678" s="13" t="s">
        <v>806</v>
      </c>
      <c r="G2678" s="13" t="s">
        <v>5312</v>
      </c>
      <c r="H2678" s="13" t="s">
        <v>10614</v>
      </c>
      <c r="I2678" s="13" t="s">
        <v>82</v>
      </c>
      <c r="J2678" s="13" t="s">
        <v>5716</v>
      </c>
      <c r="K2678" s="13"/>
      <c r="L2678" s="13" t="s">
        <v>10615</v>
      </c>
      <c r="M2678" s="13" t="s">
        <v>10616</v>
      </c>
    </row>
    <row r="2679" customFormat="false" ht="79.85" hidden="false" customHeight="false" outlineLevel="0" collapsed="false">
      <c r="A2679" s="13" t="s">
        <v>4</v>
      </c>
      <c r="B2679" s="13" t="s">
        <v>4108</v>
      </c>
      <c r="C2679" s="13" t="n">
        <v>444</v>
      </c>
      <c r="D2679" s="13" t="s">
        <v>10612</v>
      </c>
      <c r="E2679" s="13" t="s">
        <v>10617</v>
      </c>
      <c r="F2679" s="13" t="s">
        <v>806</v>
      </c>
      <c r="G2679" s="13" t="s">
        <v>5312</v>
      </c>
      <c r="H2679" s="13" t="s">
        <v>10618</v>
      </c>
      <c r="I2679" s="13" t="s">
        <v>82</v>
      </c>
      <c r="J2679" s="13" t="s">
        <v>5716</v>
      </c>
      <c r="K2679" s="13"/>
      <c r="L2679" s="13" t="s">
        <v>10615</v>
      </c>
      <c r="M2679" s="13" t="s">
        <v>10616</v>
      </c>
    </row>
    <row r="2680" customFormat="false" ht="79.85" hidden="false" customHeight="false" outlineLevel="0" collapsed="false">
      <c r="A2680" s="13" t="s">
        <v>4</v>
      </c>
      <c r="B2680" s="13" t="s">
        <v>4108</v>
      </c>
      <c r="C2680" s="13" t="n">
        <v>444</v>
      </c>
      <c r="D2680" s="13" t="s">
        <v>10612</v>
      </c>
      <c r="E2680" s="13" t="s">
        <v>10619</v>
      </c>
      <c r="F2680" s="13" t="s">
        <v>806</v>
      </c>
      <c r="G2680" s="13" t="s">
        <v>5312</v>
      </c>
      <c r="H2680" s="13" t="s">
        <v>10620</v>
      </c>
      <c r="I2680" s="13" t="s">
        <v>82</v>
      </c>
      <c r="J2680" s="13" t="s">
        <v>5716</v>
      </c>
      <c r="K2680" s="13"/>
      <c r="L2680" s="13" t="s">
        <v>10615</v>
      </c>
      <c r="M2680" s="13" t="s">
        <v>10616</v>
      </c>
    </row>
    <row r="2681" customFormat="false" ht="79.85" hidden="false" customHeight="false" outlineLevel="0" collapsed="false">
      <c r="A2681" s="13" t="s">
        <v>4</v>
      </c>
      <c r="B2681" s="13" t="s">
        <v>4108</v>
      </c>
      <c r="C2681" s="13" t="n">
        <v>444</v>
      </c>
      <c r="D2681" s="13" t="s">
        <v>10612</v>
      </c>
      <c r="E2681" s="13" t="s">
        <v>10621</v>
      </c>
      <c r="F2681" s="13" t="s">
        <v>10622</v>
      </c>
      <c r="G2681" s="13" t="s">
        <v>6890</v>
      </c>
      <c r="H2681" s="13" t="s">
        <v>10623</v>
      </c>
      <c r="I2681" s="13" t="s">
        <v>82</v>
      </c>
      <c r="J2681" s="13" t="s">
        <v>5716</v>
      </c>
      <c r="K2681" s="13"/>
      <c r="L2681" s="13" t="s">
        <v>10615</v>
      </c>
      <c r="M2681" s="13" t="s">
        <v>10616</v>
      </c>
    </row>
    <row r="2682" customFormat="false" ht="57.45" hidden="false" customHeight="false" outlineLevel="0" collapsed="false">
      <c r="A2682" s="13" t="s">
        <v>4</v>
      </c>
      <c r="B2682" s="13" t="s">
        <v>4108</v>
      </c>
      <c r="C2682" s="13" t="n">
        <v>444</v>
      </c>
      <c r="D2682" s="13" t="s">
        <v>10624</v>
      </c>
      <c r="E2682" s="13" t="s">
        <v>10625</v>
      </c>
      <c r="F2682" s="13" t="s">
        <v>10626</v>
      </c>
      <c r="G2682" s="13" t="s">
        <v>10627</v>
      </c>
      <c r="H2682" s="13" t="s">
        <v>3349</v>
      </c>
      <c r="I2682" s="13" t="s">
        <v>82</v>
      </c>
      <c r="J2682" s="13" t="s">
        <v>5716</v>
      </c>
      <c r="K2682" s="13"/>
      <c r="L2682" s="13" t="s">
        <v>10628</v>
      </c>
      <c r="M2682" s="13" t="s">
        <v>10629</v>
      </c>
    </row>
    <row r="2683" customFormat="false" ht="57.45" hidden="false" customHeight="false" outlineLevel="0" collapsed="false">
      <c r="A2683" s="13" t="s">
        <v>4</v>
      </c>
      <c r="B2683" s="13" t="s">
        <v>4108</v>
      </c>
      <c r="C2683" s="13" t="n">
        <v>444</v>
      </c>
      <c r="D2683" s="13" t="s">
        <v>10624</v>
      </c>
      <c r="E2683" s="13" t="s">
        <v>10630</v>
      </c>
      <c r="F2683" s="13" t="s">
        <v>3349</v>
      </c>
      <c r="G2683" s="13" t="s">
        <v>5866</v>
      </c>
      <c r="H2683" s="13" t="s">
        <v>10631</v>
      </c>
      <c r="I2683" s="13" t="s">
        <v>82</v>
      </c>
      <c r="J2683" s="13" t="s">
        <v>5716</v>
      </c>
      <c r="K2683" s="13"/>
      <c r="L2683" s="13" t="s">
        <v>10628</v>
      </c>
      <c r="M2683" s="13" t="s">
        <v>10629</v>
      </c>
    </row>
    <row r="2684" customFormat="false" ht="35.05" hidden="false" customHeight="false" outlineLevel="0" collapsed="false">
      <c r="A2684" s="13" t="s">
        <v>4</v>
      </c>
      <c r="B2684" s="13" t="s">
        <v>4108</v>
      </c>
      <c r="C2684" s="13" t="n">
        <v>444</v>
      </c>
      <c r="D2684" s="13" t="s">
        <v>10632</v>
      </c>
      <c r="E2684" s="13" t="s">
        <v>10633</v>
      </c>
      <c r="F2684" s="13" t="s">
        <v>10634</v>
      </c>
      <c r="G2684" s="13" t="s">
        <v>361</v>
      </c>
      <c r="H2684" s="13" t="s">
        <v>10635</v>
      </c>
      <c r="I2684" s="13" t="s">
        <v>82</v>
      </c>
      <c r="J2684" s="13" t="s">
        <v>5716</v>
      </c>
      <c r="K2684" s="13"/>
      <c r="L2684" s="13" t="s">
        <v>10636</v>
      </c>
      <c r="M2684" s="13" t="s">
        <v>10637</v>
      </c>
    </row>
    <row r="2685" customFormat="false" ht="35.05" hidden="false" customHeight="false" outlineLevel="0" collapsed="false">
      <c r="A2685" s="13" t="s">
        <v>4</v>
      </c>
      <c r="B2685" s="13" t="s">
        <v>4108</v>
      </c>
      <c r="C2685" s="13" t="n">
        <v>444</v>
      </c>
      <c r="D2685" s="13" t="s">
        <v>10632</v>
      </c>
      <c r="E2685" s="13" t="s">
        <v>10638</v>
      </c>
      <c r="F2685" s="13" t="s">
        <v>10634</v>
      </c>
      <c r="G2685" s="13" t="s">
        <v>10639</v>
      </c>
      <c r="H2685" s="13" t="s">
        <v>10640</v>
      </c>
      <c r="I2685" s="13" t="s">
        <v>82</v>
      </c>
      <c r="J2685" s="13" t="s">
        <v>5716</v>
      </c>
      <c r="K2685" s="13"/>
      <c r="L2685" s="13" t="s">
        <v>10636</v>
      </c>
      <c r="M2685" s="13" t="s">
        <v>10637</v>
      </c>
    </row>
    <row r="2686" customFormat="false" ht="23.85" hidden="false" customHeight="false" outlineLevel="0" collapsed="false">
      <c r="A2686" s="13" t="s">
        <v>4</v>
      </c>
      <c r="B2686" s="13" t="s">
        <v>4108</v>
      </c>
      <c r="C2686" s="13" t="n">
        <v>444</v>
      </c>
      <c r="D2686" s="13" t="s">
        <v>10641</v>
      </c>
      <c r="E2686" s="13" t="s">
        <v>10642</v>
      </c>
      <c r="F2686" s="13" t="s">
        <v>806</v>
      </c>
      <c r="G2686" s="13" t="s">
        <v>10643</v>
      </c>
      <c r="H2686" s="13" t="s">
        <v>10644</v>
      </c>
      <c r="I2686" s="13" t="s">
        <v>82</v>
      </c>
      <c r="J2686" s="13" t="s">
        <v>5716</v>
      </c>
      <c r="K2686" s="13"/>
      <c r="L2686" s="13" t="s">
        <v>10645</v>
      </c>
      <c r="M2686" s="13" t="s">
        <v>10646</v>
      </c>
    </row>
    <row r="2687" customFormat="false" ht="35.05" hidden="false" customHeight="false" outlineLevel="0" collapsed="false">
      <c r="A2687" s="13" t="s">
        <v>4</v>
      </c>
      <c r="B2687" s="13" t="s">
        <v>4108</v>
      </c>
      <c r="C2687" s="13" t="n">
        <v>444</v>
      </c>
      <c r="D2687" s="13" t="s">
        <v>10647</v>
      </c>
      <c r="E2687" s="13" t="s">
        <v>10648</v>
      </c>
      <c r="F2687" s="13" t="s">
        <v>3349</v>
      </c>
      <c r="G2687" s="13" t="s">
        <v>10649</v>
      </c>
      <c r="H2687" s="13" t="s">
        <v>9378</v>
      </c>
      <c r="I2687" s="13" t="s">
        <v>82</v>
      </c>
      <c r="J2687" s="13" t="s">
        <v>5716</v>
      </c>
      <c r="K2687" s="13"/>
      <c r="L2687" s="13" t="s">
        <v>10650</v>
      </c>
      <c r="M2687" s="13" t="s">
        <v>10651</v>
      </c>
    </row>
    <row r="2688" customFormat="false" ht="35.05" hidden="false" customHeight="false" outlineLevel="0" collapsed="false">
      <c r="A2688" s="13" t="s">
        <v>4</v>
      </c>
      <c r="B2688" s="13" t="s">
        <v>4108</v>
      </c>
      <c r="C2688" s="13" t="n">
        <v>444</v>
      </c>
      <c r="D2688" s="13" t="s">
        <v>10647</v>
      </c>
      <c r="E2688" s="13" t="s">
        <v>10652</v>
      </c>
      <c r="F2688" s="13" t="s">
        <v>9378</v>
      </c>
      <c r="G2688" s="13" t="s">
        <v>10653</v>
      </c>
      <c r="H2688" s="13" t="s">
        <v>10654</v>
      </c>
      <c r="I2688" s="13" t="s">
        <v>82</v>
      </c>
      <c r="J2688" s="13" t="s">
        <v>5716</v>
      </c>
      <c r="K2688" s="13"/>
      <c r="L2688" s="13" t="s">
        <v>10650</v>
      </c>
      <c r="M2688" s="13" t="s">
        <v>10651</v>
      </c>
    </row>
    <row r="2689" customFormat="false" ht="68.65" hidden="false" customHeight="false" outlineLevel="0" collapsed="false">
      <c r="A2689" s="13" t="s">
        <v>4</v>
      </c>
      <c r="B2689" s="13" t="s">
        <v>4108</v>
      </c>
      <c r="C2689" s="13" t="n">
        <v>444</v>
      </c>
      <c r="D2689" s="13" t="s">
        <v>10655</v>
      </c>
      <c r="E2689" s="13" t="s">
        <v>10656</v>
      </c>
      <c r="F2689" s="13" t="s">
        <v>982</v>
      </c>
      <c r="G2689" s="13" t="s">
        <v>4661</v>
      </c>
      <c r="H2689" s="13" t="s">
        <v>10657</v>
      </c>
      <c r="I2689" s="13" t="s">
        <v>82</v>
      </c>
      <c r="J2689" s="13" t="s">
        <v>5716</v>
      </c>
      <c r="K2689" s="13"/>
      <c r="L2689" s="13" t="s">
        <v>10658</v>
      </c>
      <c r="M2689" s="13" t="s">
        <v>10659</v>
      </c>
    </row>
    <row r="2690" customFormat="false" ht="68.65" hidden="false" customHeight="false" outlineLevel="0" collapsed="false">
      <c r="A2690" s="13" t="s">
        <v>4</v>
      </c>
      <c r="B2690" s="13" t="s">
        <v>4108</v>
      </c>
      <c r="C2690" s="13" t="n">
        <v>444</v>
      </c>
      <c r="D2690" s="13" t="s">
        <v>10655</v>
      </c>
      <c r="E2690" s="13" t="s">
        <v>10660</v>
      </c>
      <c r="F2690" s="13" t="s">
        <v>9913</v>
      </c>
      <c r="G2690" s="13" t="s">
        <v>10661</v>
      </c>
      <c r="H2690" s="13" t="s">
        <v>10657</v>
      </c>
      <c r="I2690" s="13" t="s">
        <v>82</v>
      </c>
      <c r="J2690" s="13" t="s">
        <v>5716</v>
      </c>
      <c r="K2690" s="13"/>
      <c r="L2690" s="13" t="s">
        <v>10658</v>
      </c>
      <c r="M2690" s="13" t="s">
        <v>10659</v>
      </c>
    </row>
    <row r="2691" customFormat="false" ht="68.65" hidden="false" customHeight="false" outlineLevel="0" collapsed="false">
      <c r="A2691" s="13" t="s">
        <v>4</v>
      </c>
      <c r="B2691" s="13" t="s">
        <v>4108</v>
      </c>
      <c r="C2691" s="13" t="n">
        <v>444</v>
      </c>
      <c r="D2691" s="13" t="s">
        <v>10655</v>
      </c>
      <c r="E2691" s="13" t="s">
        <v>10662</v>
      </c>
      <c r="F2691" s="13" t="s">
        <v>10663</v>
      </c>
      <c r="G2691" s="13" t="s">
        <v>10664</v>
      </c>
      <c r="H2691" s="13" t="s">
        <v>10665</v>
      </c>
      <c r="I2691" s="13" t="s">
        <v>82</v>
      </c>
      <c r="J2691" s="13" t="s">
        <v>5716</v>
      </c>
      <c r="K2691" s="13"/>
      <c r="L2691" s="13" t="s">
        <v>10658</v>
      </c>
      <c r="M2691" s="13" t="s">
        <v>10659</v>
      </c>
    </row>
    <row r="2692" customFormat="false" ht="68.65" hidden="false" customHeight="false" outlineLevel="0" collapsed="false">
      <c r="A2692" s="13" t="s">
        <v>4</v>
      </c>
      <c r="B2692" s="13" t="s">
        <v>4108</v>
      </c>
      <c r="C2692" s="13" t="n">
        <v>444</v>
      </c>
      <c r="D2692" s="13" t="s">
        <v>10666</v>
      </c>
      <c r="E2692" s="13" t="s">
        <v>10667</v>
      </c>
      <c r="F2692" s="13" t="s">
        <v>3349</v>
      </c>
      <c r="G2692" s="13" t="s">
        <v>10668</v>
      </c>
      <c r="H2692" s="13" t="s">
        <v>10669</v>
      </c>
      <c r="I2692" s="13" t="s">
        <v>82</v>
      </c>
      <c r="J2692" s="13" t="s">
        <v>5716</v>
      </c>
      <c r="K2692" s="13"/>
      <c r="L2692" s="13" t="s">
        <v>10670</v>
      </c>
      <c r="M2692" s="13" t="s">
        <v>10671</v>
      </c>
    </row>
    <row r="2693" customFormat="false" ht="68.65" hidden="false" customHeight="false" outlineLevel="0" collapsed="false">
      <c r="A2693" s="13" t="s">
        <v>4</v>
      </c>
      <c r="B2693" s="13" t="s">
        <v>4108</v>
      </c>
      <c r="C2693" s="13" t="n">
        <v>444</v>
      </c>
      <c r="D2693" s="13" t="s">
        <v>10666</v>
      </c>
      <c r="E2693" s="13" t="s">
        <v>10672</v>
      </c>
      <c r="F2693" s="13" t="s">
        <v>10669</v>
      </c>
      <c r="G2693" s="13" t="s">
        <v>10673</v>
      </c>
      <c r="H2693" s="13" t="s">
        <v>10674</v>
      </c>
      <c r="I2693" s="13" t="s">
        <v>82</v>
      </c>
      <c r="J2693" s="13" t="s">
        <v>5716</v>
      </c>
      <c r="K2693" s="13"/>
      <c r="L2693" s="13" t="s">
        <v>10670</v>
      </c>
      <c r="M2693" s="13" t="s">
        <v>10671</v>
      </c>
    </row>
    <row r="2694" customFormat="false" ht="35.05" hidden="false" customHeight="false" outlineLevel="0" collapsed="false">
      <c r="A2694" s="13" t="s">
        <v>4</v>
      </c>
      <c r="B2694" s="13" t="s">
        <v>4108</v>
      </c>
      <c r="C2694" s="13" t="n">
        <v>444</v>
      </c>
      <c r="D2694" s="13" t="s">
        <v>10675</v>
      </c>
      <c r="E2694" s="13" t="s">
        <v>10676</v>
      </c>
      <c r="F2694" s="13" t="s">
        <v>10614</v>
      </c>
      <c r="G2694" s="13" t="s">
        <v>10677</v>
      </c>
      <c r="H2694" s="13" t="s">
        <v>10678</v>
      </c>
      <c r="I2694" s="13" t="s">
        <v>82</v>
      </c>
      <c r="J2694" s="13" t="s">
        <v>5716</v>
      </c>
      <c r="K2694" s="13"/>
      <c r="L2694" s="13" t="s">
        <v>10679</v>
      </c>
      <c r="M2694" s="13" t="s">
        <v>10680</v>
      </c>
    </row>
    <row r="2695" customFormat="false" ht="382.05" hidden="false" customHeight="false" outlineLevel="0" collapsed="false">
      <c r="A2695" s="13" t="s">
        <v>4</v>
      </c>
      <c r="B2695" s="13" t="s">
        <v>4108</v>
      </c>
      <c r="C2695" s="13" t="n">
        <v>444</v>
      </c>
      <c r="D2695" s="13" t="s">
        <v>10681</v>
      </c>
      <c r="E2695" s="13" t="s">
        <v>10682</v>
      </c>
      <c r="F2695" s="13" t="s">
        <v>806</v>
      </c>
      <c r="G2695" s="13" t="s">
        <v>10683</v>
      </c>
      <c r="H2695" s="13" t="s">
        <v>10684</v>
      </c>
      <c r="I2695" s="13" t="s">
        <v>82</v>
      </c>
      <c r="J2695" s="13" t="s">
        <v>5716</v>
      </c>
      <c r="K2695" s="13"/>
      <c r="L2695" s="13" t="s">
        <v>10685</v>
      </c>
      <c r="M2695" s="13" t="s">
        <v>10686</v>
      </c>
    </row>
    <row r="2696" customFormat="false" ht="382.05" hidden="false" customHeight="false" outlineLevel="0" collapsed="false">
      <c r="A2696" s="13" t="s">
        <v>4</v>
      </c>
      <c r="B2696" s="13" t="s">
        <v>4108</v>
      </c>
      <c r="C2696" s="13" t="n">
        <v>444</v>
      </c>
      <c r="D2696" s="13" t="s">
        <v>10681</v>
      </c>
      <c r="E2696" s="13" t="s">
        <v>10687</v>
      </c>
      <c r="F2696" s="13" t="s">
        <v>10614</v>
      </c>
      <c r="G2696" s="13" t="s">
        <v>10688</v>
      </c>
      <c r="H2696" s="13" t="s">
        <v>10689</v>
      </c>
      <c r="I2696" s="13" t="s">
        <v>82</v>
      </c>
      <c r="J2696" s="13" t="s">
        <v>5716</v>
      </c>
      <c r="K2696" s="13"/>
      <c r="L2696" s="13" t="s">
        <v>10685</v>
      </c>
      <c r="M2696" s="13" t="s">
        <v>10686</v>
      </c>
    </row>
    <row r="2697" customFormat="false" ht="382.05" hidden="false" customHeight="false" outlineLevel="0" collapsed="false">
      <c r="A2697" s="13" t="s">
        <v>4</v>
      </c>
      <c r="B2697" s="13" t="s">
        <v>4108</v>
      </c>
      <c r="C2697" s="13" t="n">
        <v>444</v>
      </c>
      <c r="D2697" s="13" t="s">
        <v>10681</v>
      </c>
      <c r="E2697" s="13" t="s">
        <v>10690</v>
      </c>
      <c r="F2697" s="13" t="s">
        <v>3349</v>
      </c>
      <c r="G2697" s="13" t="s">
        <v>10691</v>
      </c>
      <c r="H2697" s="13" t="s">
        <v>10692</v>
      </c>
      <c r="I2697" s="13" t="s">
        <v>82</v>
      </c>
      <c r="J2697" s="13" t="s">
        <v>5716</v>
      </c>
      <c r="K2697" s="13"/>
      <c r="L2697" s="13" t="s">
        <v>10685</v>
      </c>
      <c r="M2697" s="13" t="s">
        <v>10686</v>
      </c>
    </row>
    <row r="2698" customFormat="false" ht="382.05" hidden="false" customHeight="false" outlineLevel="0" collapsed="false">
      <c r="A2698" s="13" t="s">
        <v>4</v>
      </c>
      <c r="B2698" s="13" t="s">
        <v>4108</v>
      </c>
      <c r="C2698" s="13" t="n">
        <v>444</v>
      </c>
      <c r="D2698" s="13" t="s">
        <v>10681</v>
      </c>
      <c r="E2698" s="13" t="s">
        <v>10693</v>
      </c>
      <c r="F2698" s="13" t="s">
        <v>10694</v>
      </c>
      <c r="G2698" s="13" t="s">
        <v>10695</v>
      </c>
      <c r="H2698" s="13" t="s">
        <v>10696</v>
      </c>
      <c r="I2698" s="13" t="s">
        <v>82</v>
      </c>
      <c r="J2698" s="13" t="s">
        <v>5716</v>
      </c>
      <c r="K2698" s="13"/>
      <c r="L2698" s="13" t="s">
        <v>10685</v>
      </c>
      <c r="M2698" s="13" t="s">
        <v>10686</v>
      </c>
    </row>
    <row r="2699" customFormat="false" ht="382.05" hidden="false" customHeight="false" outlineLevel="0" collapsed="false">
      <c r="A2699" s="13" t="s">
        <v>4</v>
      </c>
      <c r="B2699" s="13" t="s">
        <v>4108</v>
      </c>
      <c r="C2699" s="13" t="n">
        <v>444</v>
      </c>
      <c r="D2699" s="13" t="s">
        <v>10681</v>
      </c>
      <c r="E2699" s="13" t="s">
        <v>10697</v>
      </c>
      <c r="F2699" s="13" t="s">
        <v>10146</v>
      </c>
      <c r="G2699" s="13" t="s">
        <v>8951</v>
      </c>
      <c r="H2699" s="13" t="s">
        <v>10698</v>
      </c>
      <c r="I2699" s="13" t="s">
        <v>82</v>
      </c>
      <c r="J2699" s="13" t="s">
        <v>5716</v>
      </c>
      <c r="K2699" s="13"/>
      <c r="L2699" s="13" t="s">
        <v>10685</v>
      </c>
      <c r="M2699" s="13" t="s">
        <v>10686</v>
      </c>
    </row>
    <row r="2700" customFormat="false" ht="135.8" hidden="false" customHeight="false" outlineLevel="0" collapsed="false">
      <c r="A2700" s="13" t="s">
        <v>4</v>
      </c>
      <c r="B2700" s="13" t="s">
        <v>4108</v>
      </c>
      <c r="C2700" s="13" t="n">
        <v>452</v>
      </c>
      <c r="D2700" s="13" t="s">
        <v>10699</v>
      </c>
      <c r="E2700" s="13" t="s">
        <v>10700</v>
      </c>
      <c r="F2700" s="13" t="s">
        <v>10701</v>
      </c>
      <c r="G2700" s="13" t="s">
        <v>10702</v>
      </c>
      <c r="H2700" s="13" t="s">
        <v>10703</v>
      </c>
      <c r="I2700" s="13" t="s">
        <v>114</v>
      </c>
      <c r="J2700" s="13" t="s">
        <v>10704</v>
      </c>
      <c r="K2700" s="13" t="s">
        <v>10705</v>
      </c>
      <c r="L2700" s="13" t="s">
        <v>10706</v>
      </c>
      <c r="M2700" s="13" t="s">
        <v>10707</v>
      </c>
    </row>
    <row r="2701" customFormat="false" ht="135.8" hidden="false" customHeight="false" outlineLevel="0" collapsed="false">
      <c r="A2701" s="13" t="s">
        <v>4</v>
      </c>
      <c r="B2701" s="13" t="s">
        <v>4108</v>
      </c>
      <c r="C2701" s="13" t="n">
        <v>452</v>
      </c>
      <c r="D2701" s="13" t="s">
        <v>10699</v>
      </c>
      <c r="E2701" s="13" t="s">
        <v>10708</v>
      </c>
      <c r="F2701" s="13" t="s">
        <v>10701</v>
      </c>
      <c r="G2701" s="13" t="s">
        <v>10702</v>
      </c>
      <c r="H2701" s="13" t="s">
        <v>10709</v>
      </c>
      <c r="I2701" s="13" t="s">
        <v>82</v>
      </c>
      <c r="J2701" s="13" t="s">
        <v>5716</v>
      </c>
      <c r="K2701" s="13"/>
      <c r="L2701" s="13" t="s">
        <v>10706</v>
      </c>
      <c r="M2701" s="13" t="s">
        <v>10707</v>
      </c>
    </row>
    <row r="2702" customFormat="false" ht="135.8" hidden="false" customHeight="false" outlineLevel="0" collapsed="false">
      <c r="A2702" s="13" t="s">
        <v>4</v>
      </c>
      <c r="B2702" s="13" t="s">
        <v>4108</v>
      </c>
      <c r="C2702" s="13" t="n">
        <v>452</v>
      </c>
      <c r="D2702" s="13" t="s">
        <v>10699</v>
      </c>
      <c r="E2702" s="13" t="s">
        <v>10710</v>
      </c>
      <c r="F2702" s="13" t="s">
        <v>10701</v>
      </c>
      <c r="G2702" s="13" t="s">
        <v>10702</v>
      </c>
      <c r="H2702" s="13" t="s">
        <v>10711</v>
      </c>
      <c r="I2702" s="13" t="s">
        <v>82</v>
      </c>
      <c r="J2702" s="13" t="s">
        <v>5716</v>
      </c>
      <c r="K2702" s="13"/>
      <c r="L2702" s="13" t="s">
        <v>10706</v>
      </c>
      <c r="M2702" s="13" t="s">
        <v>10707</v>
      </c>
    </row>
    <row r="2703" customFormat="false" ht="135.8" hidden="false" customHeight="false" outlineLevel="0" collapsed="false">
      <c r="A2703" s="13" t="s">
        <v>4</v>
      </c>
      <c r="B2703" s="13" t="s">
        <v>4108</v>
      </c>
      <c r="C2703" s="13" t="n">
        <v>452</v>
      </c>
      <c r="D2703" s="13" t="s">
        <v>10699</v>
      </c>
      <c r="E2703" s="13" t="s">
        <v>10712</v>
      </c>
      <c r="F2703" s="13" t="s">
        <v>10701</v>
      </c>
      <c r="G2703" s="13" t="s">
        <v>10702</v>
      </c>
      <c r="H2703" s="13" t="s">
        <v>10713</v>
      </c>
      <c r="I2703" s="13" t="s">
        <v>82</v>
      </c>
      <c r="J2703" s="13" t="s">
        <v>5716</v>
      </c>
      <c r="K2703" s="13"/>
      <c r="L2703" s="13" t="s">
        <v>10706</v>
      </c>
      <c r="M2703" s="13" t="s">
        <v>10707</v>
      </c>
    </row>
    <row r="2704" customFormat="false" ht="135.8" hidden="false" customHeight="false" outlineLevel="0" collapsed="false">
      <c r="A2704" s="13" t="s">
        <v>4</v>
      </c>
      <c r="B2704" s="13" t="s">
        <v>4108</v>
      </c>
      <c r="C2704" s="13" t="n">
        <v>452</v>
      </c>
      <c r="D2704" s="13" t="s">
        <v>10699</v>
      </c>
      <c r="E2704" s="13" t="s">
        <v>10714</v>
      </c>
      <c r="F2704" s="13" t="s">
        <v>10701</v>
      </c>
      <c r="G2704" s="13" t="s">
        <v>2443</v>
      </c>
      <c r="H2704" s="13" t="s">
        <v>10715</v>
      </c>
      <c r="I2704" s="13" t="s">
        <v>82</v>
      </c>
      <c r="J2704" s="13" t="s">
        <v>5716</v>
      </c>
      <c r="K2704" s="13"/>
      <c r="L2704" s="13" t="s">
        <v>10706</v>
      </c>
      <c r="M2704" s="13" t="s">
        <v>10707</v>
      </c>
    </row>
    <row r="2705" customFormat="false" ht="124.6" hidden="false" customHeight="false" outlineLevel="0" collapsed="false">
      <c r="A2705" s="13" t="s">
        <v>4</v>
      </c>
      <c r="B2705" s="13" t="s">
        <v>4108</v>
      </c>
      <c r="C2705" s="13" t="n">
        <v>452</v>
      </c>
      <c r="D2705" s="13" t="s">
        <v>10716</v>
      </c>
      <c r="E2705" s="13" t="s">
        <v>10717</v>
      </c>
      <c r="F2705" s="13" t="s">
        <v>10718</v>
      </c>
      <c r="G2705" s="13" t="s">
        <v>4973</v>
      </c>
      <c r="H2705" s="13" t="s">
        <v>10719</v>
      </c>
      <c r="I2705" s="13" t="s">
        <v>82</v>
      </c>
      <c r="J2705" s="13" t="s">
        <v>5716</v>
      </c>
      <c r="K2705" s="13"/>
      <c r="L2705" s="13" t="s">
        <v>10720</v>
      </c>
      <c r="M2705" s="13" t="s">
        <v>10721</v>
      </c>
    </row>
    <row r="2706" customFormat="false" ht="124.6" hidden="false" customHeight="false" outlineLevel="0" collapsed="false">
      <c r="A2706" s="13" t="s">
        <v>4</v>
      </c>
      <c r="B2706" s="13" t="s">
        <v>4108</v>
      </c>
      <c r="C2706" s="13" t="n">
        <v>452</v>
      </c>
      <c r="D2706" s="13" t="s">
        <v>10716</v>
      </c>
      <c r="E2706" s="13" t="s">
        <v>10722</v>
      </c>
      <c r="F2706" s="13" t="s">
        <v>10723</v>
      </c>
      <c r="G2706" s="13" t="s">
        <v>10724</v>
      </c>
      <c r="H2706" s="13" t="s">
        <v>10718</v>
      </c>
      <c r="I2706" s="13" t="s">
        <v>82</v>
      </c>
      <c r="J2706" s="13" t="s">
        <v>5716</v>
      </c>
      <c r="K2706" s="13"/>
      <c r="L2706" s="13" t="s">
        <v>10720</v>
      </c>
      <c r="M2706" s="13" t="s">
        <v>10721</v>
      </c>
    </row>
    <row r="2707" customFormat="false" ht="124.6" hidden="false" customHeight="false" outlineLevel="0" collapsed="false">
      <c r="A2707" s="13" t="s">
        <v>4</v>
      </c>
      <c r="B2707" s="13" t="s">
        <v>4108</v>
      </c>
      <c r="C2707" s="13" t="n">
        <v>452</v>
      </c>
      <c r="D2707" s="13" t="s">
        <v>10716</v>
      </c>
      <c r="E2707" s="13" t="s">
        <v>10725</v>
      </c>
      <c r="F2707" s="13" t="s">
        <v>10703</v>
      </c>
      <c r="G2707" s="13" t="s">
        <v>10724</v>
      </c>
      <c r="H2707" s="13" t="s">
        <v>10718</v>
      </c>
      <c r="I2707" s="13" t="s">
        <v>114</v>
      </c>
      <c r="J2707" s="13" t="s">
        <v>10726</v>
      </c>
      <c r="K2707" s="13" t="s">
        <v>10705</v>
      </c>
      <c r="L2707" s="13" t="s">
        <v>10720</v>
      </c>
      <c r="M2707" s="13" t="s">
        <v>10721</v>
      </c>
    </row>
    <row r="2708" customFormat="false" ht="124.6" hidden="false" customHeight="false" outlineLevel="0" collapsed="false">
      <c r="A2708" s="13" t="s">
        <v>4</v>
      </c>
      <c r="B2708" s="13" t="s">
        <v>4108</v>
      </c>
      <c r="C2708" s="13" t="n">
        <v>452</v>
      </c>
      <c r="D2708" s="13" t="s">
        <v>10716</v>
      </c>
      <c r="E2708" s="13" t="s">
        <v>10727</v>
      </c>
      <c r="F2708" s="13" t="s">
        <v>10728</v>
      </c>
      <c r="G2708" s="13" t="s">
        <v>10724</v>
      </c>
      <c r="H2708" s="13" t="s">
        <v>10718</v>
      </c>
      <c r="I2708" s="13" t="s">
        <v>82</v>
      </c>
      <c r="J2708" s="13" t="s">
        <v>5716</v>
      </c>
      <c r="K2708" s="13"/>
      <c r="L2708" s="13" t="s">
        <v>10720</v>
      </c>
      <c r="M2708" s="13" t="s">
        <v>10721</v>
      </c>
    </row>
    <row r="2709" customFormat="false" ht="124.6" hidden="false" customHeight="false" outlineLevel="0" collapsed="false">
      <c r="A2709" s="13" t="s">
        <v>4</v>
      </c>
      <c r="B2709" s="13" t="s">
        <v>4108</v>
      </c>
      <c r="C2709" s="13" t="n">
        <v>452</v>
      </c>
      <c r="D2709" s="13" t="s">
        <v>10716</v>
      </c>
      <c r="E2709" s="13" t="s">
        <v>10729</v>
      </c>
      <c r="F2709" s="13" t="s">
        <v>10730</v>
      </c>
      <c r="G2709" s="13" t="s">
        <v>10724</v>
      </c>
      <c r="H2709" s="13" t="s">
        <v>10718</v>
      </c>
      <c r="I2709" s="13" t="s">
        <v>82</v>
      </c>
      <c r="J2709" s="13" t="s">
        <v>5716</v>
      </c>
      <c r="K2709" s="13"/>
      <c r="L2709" s="13" t="s">
        <v>10720</v>
      </c>
      <c r="M2709" s="13" t="s">
        <v>10721</v>
      </c>
    </row>
    <row r="2710" customFormat="false" ht="124.6" hidden="false" customHeight="false" outlineLevel="0" collapsed="false">
      <c r="A2710" s="13" t="s">
        <v>4</v>
      </c>
      <c r="B2710" s="13" t="s">
        <v>4108</v>
      </c>
      <c r="C2710" s="13" t="n">
        <v>452</v>
      </c>
      <c r="D2710" s="13" t="s">
        <v>10716</v>
      </c>
      <c r="E2710" s="13" t="s">
        <v>10731</v>
      </c>
      <c r="F2710" s="13" t="s">
        <v>10732</v>
      </c>
      <c r="G2710" s="13" t="s">
        <v>10733</v>
      </c>
      <c r="H2710" s="13" t="s">
        <v>10718</v>
      </c>
      <c r="I2710" s="13" t="s">
        <v>82</v>
      </c>
      <c r="J2710" s="13" t="s">
        <v>5716</v>
      </c>
      <c r="K2710" s="13"/>
      <c r="L2710" s="13" t="s">
        <v>10720</v>
      </c>
      <c r="M2710" s="13" t="s">
        <v>10721</v>
      </c>
    </row>
    <row r="2711" customFormat="false" ht="46.25" hidden="false" customHeight="false" outlineLevel="0" collapsed="false">
      <c r="A2711" s="13" t="s">
        <v>4</v>
      </c>
      <c r="B2711" s="13" t="s">
        <v>4108</v>
      </c>
      <c r="C2711" s="13" t="n">
        <v>452</v>
      </c>
      <c r="D2711" s="13" t="s">
        <v>10734</v>
      </c>
      <c r="E2711" s="13" t="s">
        <v>10735</v>
      </c>
      <c r="F2711" s="13" t="s">
        <v>5387</v>
      </c>
      <c r="G2711" s="13" t="s">
        <v>10736</v>
      </c>
      <c r="H2711" s="13" t="s">
        <v>10718</v>
      </c>
      <c r="I2711" s="13" t="s">
        <v>82</v>
      </c>
      <c r="J2711" s="13" t="s">
        <v>5716</v>
      </c>
      <c r="K2711" s="13"/>
      <c r="L2711" s="13" t="s">
        <v>10737</v>
      </c>
      <c r="M2711" s="13" t="s">
        <v>10738</v>
      </c>
    </row>
    <row r="2712" customFormat="false" ht="46.25" hidden="false" customHeight="false" outlineLevel="0" collapsed="false">
      <c r="A2712" s="13" t="s">
        <v>4</v>
      </c>
      <c r="B2712" s="13" t="s">
        <v>4108</v>
      </c>
      <c r="C2712" s="13" t="n">
        <v>452</v>
      </c>
      <c r="D2712" s="13" t="s">
        <v>10734</v>
      </c>
      <c r="E2712" s="13" t="s">
        <v>10739</v>
      </c>
      <c r="F2712" s="13" t="s">
        <v>10740</v>
      </c>
      <c r="G2712" s="13" t="s">
        <v>2153</v>
      </c>
      <c r="H2712" s="13" t="s">
        <v>10718</v>
      </c>
      <c r="I2712" s="13" t="s">
        <v>82</v>
      </c>
      <c r="J2712" s="13" t="s">
        <v>5716</v>
      </c>
      <c r="K2712" s="13"/>
      <c r="L2712" s="13" t="s">
        <v>10737</v>
      </c>
      <c r="M2712" s="13" t="s">
        <v>10738</v>
      </c>
    </row>
    <row r="2713" customFormat="false" ht="57.45" hidden="false" customHeight="false" outlineLevel="0" collapsed="false">
      <c r="A2713" s="13" t="s">
        <v>4</v>
      </c>
      <c r="B2713" s="13" t="s">
        <v>4108</v>
      </c>
      <c r="C2713" s="13" t="n">
        <v>452</v>
      </c>
      <c r="D2713" s="13" t="s">
        <v>10741</v>
      </c>
      <c r="E2713" s="13" t="s">
        <v>10742</v>
      </c>
      <c r="F2713" s="13" t="s">
        <v>3227</v>
      </c>
      <c r="G2713" s="13" t="s">
        <v>10743</v>
      </c>
      <c r="H2713" s="13" t="s">
        <v>10744</v>
      </c>
      <c r="I2713" s="13" t="s">
        <v>1145</v>
      </c>
      <c r="J2713" s="13" t="s">
        <v>10745</v>
      </c>
      <c r="K2713" s="13" t="s">
        <v>10746</v>
      </c>
      <c r="L2713" s="13" t="s">
        <v>10747</v>
      </c>
      <c r="M2713" s="13" t="s">
        <v>10748</v>
      </c>
    </row>
    <row r="2714" customFormat="false" ht="57.45" hidden="false" customHeight="false" outlineLevel="0" collapsed="false">
      <c r="A2714" s="13" t="s">
        <v>4</v>
      </c>
      <c r="B2714" s="13" t="s">
        <v>4108</v>
      </c>
      <c r="C2714" s="13" t="n">
        <v>452</v>
      </c>
      <c r="D2714" s="13" t="s">
        <v>10741</v>
      </c>
      <c r="E2714" s="13" t="s">
        <v>10749</v>
      </c>
      <c r="F2714" s="13" t="s">
        <v>5387</v>
      </c>
      <c r="G2714" s="13" t="s">
        <v>10750</v>
      </c>
      <c r="H2714" s="13" t="s">
        <v>10751</v>
      </c>
      <c r="I2714" s="13" t="s">
        <v>114</v>
      </c>
      <c r="J2714" s="13" t="s">
        <v>10752</v>
      </c>
      <c r="K2714" s="13" t="s">
        <v>10753</v>
      </c>
      <c r="L2714" s="13" t="s">
        <v>10747</v>
      </c>
      <c r="M2714" s="13" t="s">
        <v>10748</v>
      </c>
    </row>
    <row r="2715" customFormat="false" ht="35.05" hidden="false" customHeight="false" outlineLevel="0" collapsed="false">
      <c r="A2715" s="13" t="s">
        <v>4</v>
      </c>
      <c r="B2715" s="13" t="s">
        <v>4108</v>
      </c>
      <c r="C2715" s="13" t="n">
        <v>452</v>
      </c>
      <c r="D2715" s="13" t="s">
        <v>10754</v>
      </c>
      <c r="E2715" s="13" t="s">
        <v>10755</v>
      </c>
      <c r="F2715" s="13" t="s">
        <v>10701</v>
      </c>
      <c r="G2715" s="13" t="s">
        <v>10756</v>
      </c>
      <c r="H2715" s="13" t="s">
        <v>10757</v>
      </c>
      <c r="I2715" s="13" t="s">
        <v>82</v>
      </c>
      <c r="J2715" s="13" t="s">
        <v>5716</v>
      </c>
      <c r="K2715" s="13"/>
      <c r="L2715" s="13" t="s">
        <v>10758</v>
      </c>
      <c r="M2715" s="13" t="s">
        <v>10759</v>
      </c>
    </row>
    <row r="2716" customFormat="false" ht="35.05" hidden="false" customHeight="false" outlineLevel="0" collapsed="false">
      <c r="A2716" s="13" t="s">
        <v>4</v>
      </c>
      <c r="B2716" s="13" t="s">
        <v>4108</v>
      </c>
      <c r="C2716" s="13" t="n">
        <v>452</v>
      </c>
      <c r="D2716" s="13" t="s">
        <v>10760</v>
      </c>
      <c r="E2716" s="13" t="s">
        <v>10761</v>
      </c>
      <c r="F2716" s="13" t="s">
        <v>5387</v>
      </c>
      <c r="G2716" s="13" t="s">
        <v>10762</v>
      </c>
      <c r="H2716" s="13" t="s">
        <v>10763</v>
      </c>
      <c r="I2716" s="13" t="s">
        <v>82</v>
      </c>
      <c r="J2716" s="13" t="s">
        <v>5716</v>
      </c>
      <c r="K2716" s="13"/>
      <c r="L2716" s="13" t="s">
        <v>10764</v>
      </c>
      <c r="M2716" s="13" t="s">
        <v>10765</v>
      </c>
    </row>
    <row r="2717" customFormat="false" ht="35.05" hidden="false" customHeight="false" outlineLevel="0" collapsed="false">
      <c r="A2717" s="13" t="s">
        <v>4</v>
      </c>
      <c r="B2717" s="13" t="s">
        <v>4108</v>
      </c>
      <c r="C2717" s="13" t="n">
        <v>452</v>
      </c>
      <c r="D2717" s="13" t="s">
        <v>10760</v>
      </c>
      <c r="E2717" s="13" t="s">
        <v>10766</v>
      </c>
      <c r="F2717" s="13" t="s">
        <v>5387</v>
      </c>
      <c r="G2717" s="13" t="s">
        <v>10762</v>
      </c>
      <c r="H2717" s="13" t="s">
        <v>10767</v>
      </c>
      <c r="I2717" s="13" t="s">
        <v>82</v>
      </c>
      <c r="J2717" s="13" t="s">
        <v>5716</v>
      </c>
      <c r="K2717" s="13"/>
      <c r="L2717" s="13" t="s">
        <v>10764</v>
      </c>
      <c r="M2717" s="13" t="s">
        <v>10765</v>
      </c>
    </row>
    <row r="2718" customFormat="false" ht="147" hidden="false" customHeight="false" outlineLevel="0" collapsed="false">
      <c r="A2718" s="13" t="s">
        <v>4</v>
      </c>
      <c r="B2718" s="13" t="s">
        <v>4108</v>
      </c>
      <c r="C2718" s="13" t="n">
        <v>452</v>
      </c>
      <c r="D2718" s="13" t="s">
        <v>10768</v>
      </c>
      <c r="E2718" s="13" t="s">
        <v>10769</v>
      </c>
      <c r="F2718" s="13" t="s">
        <v>10701</v>
      </c>
      <c r="G2718" s="13" t="s">
        <v>2443</v>
      </c>
      <c r="H2718" s="13" t="s">
        <v>10770</v>
      </c>
      <c r="I2718" s="13" t="s">
        <v>82</v>
      </c>
      <c r="J2718" s="13" t="s">
        <v>5716</v>
      </c>
      <c r="K2718" s="13"/>
      <c r="L2718" s="13" t="s">
        <v>10771</v>
      </c>
      <c r="M2718" s="13" t="s">
        <v>10772</v>
      </c>
    </row>
    <row r="2719" customFormat="false" ht="147" hidden="false" customHeight="false" outlineLevel="0" collapsed="false">
      <c r="A2719" s="13" t="s">
        <v>4</v>
      </c>
      <c r="B2719" s="13" t="s">
        <v>4108</v>
      </c>
      <c r="C2719" s="13" t="n">
        <v>452</v>
      </c>
      <c r="D2719" s="13" t="s">
        <v>10768</v>
      </c>
      <c r="E2719" s="13" t="s">
        <v>10773</v>
      </c>
      <c r="F2719" s="13" t="s">
        <v>10701</v>
      </c>
      <c r="G2719" s="13" t="s">
        <v>2443</v>
      </c>
      <c r="H2719" s="13" t="s">
        <v>10774</v>
      </c>
      <c r="I2719" s="13" t="s">
        <v>82</v>
      </c>
      <c r="J2719" s="13" t="s">
        <v>5716</v>
      </c>
      <c r="K2719" s="13"/>
      <c r="L2719" s="13" t="s">
        <v>10771</v>
      </c>
      <c r="M2719" s="13" t="s">
        <v>10772</v>
      </c>
    </row>
    <row r="2720" customFormat="false" ht="147" hidden="false" customHeight="false" outlineLevel="0" collapsed="false">
      <c r="A2720" s="13" t="s">
        <v>4</v>
      </c>
      <c r="B2720" s="13" t="s">
        <v>4108</v>
      </c>
      <c r="C2720" s="13" t="n">
        <v>452</v>
      </c>
      <c r="D2720" s="13" t="s">
        <v>10768</v>
      </c>
      <c r="E2720" s="13" t="s">
        <v>10775</v>
      </c>
      <c r="F2720" s="13" t="s">
        <v>10701</v>
      </c>
      <c r="G2720" s="13" t="s">
        <v>2443</v>
      </c>
      <c r="H2720" s="13" t="s">
        <v>10776</v>
      </c>
      <c r="I2720" s="13" t="s">
        <v>82</v>
      </c>
      <c r="J2720" s="13" t="s">
        <v>5716</v>
      </c>
      <c r="K2720" s="13"/>
      <c r="L2720" s="13" t="s">
        <v>10771</v>
      </c>
      <c r="M2720" s="13" t="s">
        <v>10772</v>
      </c>
    </row>
    <row r="2721" customFormat="false" ht="147" hidden="false" customHeight="false" outlineLevel="0" collapsed="false">
      <c r="A2721" s="13" t="s">
        <v>4</v>
      </c>
      <c r="B2721" s="13" t="s">
        <v>4108</v>
      </c>
      <c r="C2721" s="13" t="n">
        <v>452</v>
      </c>
      <c r="D2721" s="13" t="s">
        <v>10768</v>
      </c>
      <c r="E2721" s="13" t="s">
        <v>10777</v>
      </c>
      <c r="F2721" s="13" t="s">
        <v>10701</v>
      </c>
      <c r="G2721" s="13" t="s">
        <v>10778</v>
      </c>
      <c r="H2721" s="13" t="s">
        <v>10779</v>
      </c>
      <c r="I2721" s="13" t="s">
        <v>82</v>
      </c>
      <c r="J2721" s="13" t="s">
        <v>5716</v>
      </c>
      <c r="K2721" s="13"/>
      <c r="L2721" s="13" t="s">
        <v>10771</v>
      </c>
      <c r="M2721" s="13" t="s">
        <v>10772</v>
      </c>
    </row>
    <row r="2722" customFormat="false" ht="79.85" hidden="false" customHeight="false" outlineLevel="0" collapsed="false">
      <c r="A2722" s="13" t="s">
        <v>4</v>
      </c>
      <c r="B2722" s="13" t="s">
        <v>4108</v>
      </c>
      <c r="C2722" s="13" t="n">
        <v>454</v>
      </c>
      <c r="D2722" s="13" t="s">
        <v>10780</v>
      </c>
      <c r="E2722" s="13" t="s">
        <v>10781</v>
      </c>
      <c r="F2722" s="13" t="s">
        <v>4512</v>
      </c>
      <c r="G2722" s="13" t="s">
        <v>10782</v>
      </c>
      <c r="H2722" s="13" t="s">
        <v>10783</v>
      </c>
      <c r="I2722" s="13" t="s">
        <v>82</v>
      </c>
      <c r="J2722" s="13" t="s">
        <v>5716</v>
      </c>
      <c r="K2722" s="13"/>
      <c r="L2722" s="13" t="s">
        <v>10784</v>
      </c>
      <c r="M2722" s="13" t="s">
        <v>10785</v>
      </c>
    </row>
    <row r="2723" customFormat="false" ht="79.85" hidden="false" customHeight="false" outlineLevel="0" collapsed="false">
      <c r="A2723" s="13" t="s">
        <v>4</v>
      </c>
      <c r="B2723" s="13" t="s">
        <v>4108</v>
      </c>
      <c r="C2723" s="13" t="n">
        <v>454</v>
      </c>
      <c r="D2723" s="13" t="s">
        <v>10780</v>
      </c>
      <c r="E2723" s="13" t="s">
        <v>10786</v>
      </c>
      <c r="F2723" s="13" t="s">
        <v>10787</v>
      </c>
      <c r="G2723" s="13" t="s">
        <v>10788</v>
      </c>
      <c r="H2723" s="13" t="s">
        <v>10789</v>
      </c>
      <c r="I2723" s="13" t="s">
        <v>82</v>
      </c>
      <c r="J2723" s="13" t="s">
        <v>5716</v>
      </c>
      <c r="K2723" s="13"/>
      <c r="L2723" s="13" t="s">
        <v>10784</v>
      </c>
      <c r="M2723" s="13" t="s">
        <v>10785</v>
      </c>
    </row>
    <row r="2724" customFormat="false" ht="79.85" hidden="false" customHeight="false" outlineLevel="0" collapsed="false">
      <c r="A2724" s="13" t="s">
        <v>4</v>
      </c>
      <c r="B2724" s="13" t="s">
        <v>4108</v>
      </c>
      <c r="C2724" s="13" t="n">
        <v>454</v>
      </c>
      <c r="D2724" s="13" t="s">
        <v>10780</v>
      </c>
      <c r="E2724" s="13" t="s">
        <v>10790</v>
      </c>
      <c r="F2724" s="13" t="s">
        <v>5424</v>
      </c>
      <c r="G2724" s="13" t="s">
        <v>10791</v>
      </c>
      <c r="H2724" s="13" t="s">
        <v>10792</v>
      </c>
      <c r="I2724" s="13" t="s">
        <v>82</v>
      </c>
      <c r="J2724" s="13" t="s">
        <v>5716</v>
      </c>
      <c r="K2724" s="13"/>
      <c r="L2724" s="13" t="s">
        <v>10784</v>
      </c>
      <c r="M2724" s="13" t="s">
        <v>10785</v>
      </c>
    </row>
    <row r="2725" customFormat="false" ht="79.85" hidden="false" customHeight="false" outlineLevel="0" collapsed="false">
      <c r="A2725" s="13" t="s">
        <v>4</v>
      </c>
      <c r="B2725" s="13" t="s">
        <v>4108</v>
      </c>
      <c r="C2725" s="13" t="n">
        <v>454</v>
      </c>
      <c r="D2725" s="13" t="s">
        <v>10780</v>
      </c>
      <c r="E2725" s="13" t="s">
        <v>10793</v>
      </c>
      <c r="F2725" s="13" t="s">
        <v>10794</v>
      </c>
      <c r="G2725" s="13" t="s">
        <v>10795</v>
      </c>
      <c r="H2725" s="13" t="s">
        <v>10796</v>
      </c>
      <c r="I2725" s="13" t="s">
        <v>82</v>
      </c>
      <c r="J2725" s="13" t="s">
        <v>5716</v>
      </c>
      <c r="K2725" s="13"/>
      <c r="L2725" s="13" t="s">
        <v>10784</v>
      </c>
      <c r="M2725" s="13" t="s">
        <v>10785</v>
      </c>
    </row>
    <row r="2726" customFormat="false" ht="46.25" hidden="false" customHeight="false" outlineLevel="0" collapsed="false">
      <c r="A2726" s="13" t="s">
        <v>4</v>
      </c>
      <c r="B2726" s="13" t="s">
        <v>4108</v>
      </c>
      <c r="C2726" s="13" t="n">
        <v>454</v>
      </c>
      <c r="D2726" s="13" t="s">
        <v>10797</v>
      </c>
      <c r="E2726" s="13" t="s">
        <v>10798</v>
      </c>
      <c r="F2726" s="13" t="s">
        <v>5424</v>
      </c>
      <c r="G2726" s="13" t="s">
        <v>10799</v>
      </c>
      <c r="H2726" s="13" t="s">
        <v>10800</v>
      </c>
      <c r="I2726" s="13" t="s">
        <v>1145</v>
      </c>
      <c r="J2726" s="13" t="s">
        <v>10801</v>
      </c>
      <c r="K2726" s="13" t="s">
        <v>10802</v>
      </c>
      <c r="L2726" s="13" t="s">
        <v>10803</v>
      </c>
      <c r="M2726" s="13" t="s">
        <v>10804</v>
      </c>
    </row>
    <row r="2727" customFormat="false" ht="46.25" hidden="false" customHeight="false" outlineLevel="0" collapsed="false">
      <c r="A2727" s="13" t="s">
        <v>4</v>
      </c>
      <c r="B2727" s="13" t="s">
        <v>4108</v>
      </c>
      <c r="C2727" s="13" t="n">
        <v>454</v>
      </c>
      <c r="D2727" s="13" t="s">
        <v>10797</v>
      </c>
      <c r="E2727" s="13" t="s">
        <v>10805</v>
      </c>
      <c r="F2727" s="13" t="s">
        <v>10806</v>
      </c>
      <c r="G2727" s="13" t="s">
        <v>10807</v>
      </c>
      <c r="H2727" s="13" t="s">
        <v>10808</v>
      </c>
      <c r="I2727" s="13" t="s">
        <v>82</v>
      </c>
      <c r="J2727" s="13" t="s">
        <v>5716</v>
      </c>
      <c r="K2727" s="13"/>
      <c r="L2727" s="13" t="s">
        <v>10803</v>
      </c>
      <c r="M2727" s="13" t="s">
        <v>10804</v>
      </c>
    </row>
    <row r="2728" customFormat="false" ht="46.25" hidden="false" customHeight="false" outlineLevel="0" collapsed="false">
      <c r="A2728" s="13" t="s">
        <v>4</v>
      </c>
      <c r="B2728" s="13" t="s">
        <v>4108</v>
      </c>
      <c r="C2728" s="13" t="n">
        <v>454</v>
      </c>
      <c r="D2728" s="13" t="s">
        <v>10797</v>
      </c>
      <c r="E2728" s="13" t="s">
        <v>10809</v>
      </c>
      <c r="F2728" s="13" t="s">
        <v>10810</v>
      </c>
      <c r="G2728" s="13" t="s">
        <v>10811</v>
      </c>
      <c r="H2728" s="13" t="s">
        <v>10808</v>
      </c>
      <c r="I2728" s="13" t="s">
        <v>82</v>
      </c>
      <c r="J2728" s="13" t="s">
        <v>5716</v>
      </c>
      <c r="K2728" s="13"/>
      <c r="L2728" s="13" t="s">
        <v>10803</v>
      </c>
      <c r="M2728" s="13" t="s">
        <v>10804</v>
      </c>
    </row>
    <row r="2729" customFormat="false" ht="35.05" hidden="false" customHeight="false" outlineLevel="0" collapsed="false">
      <c r="A2729" s="13" t="s">
        <v>4</v>
      </c>
      <c r="B2729" s="13" t="s">
        <v>4108</v>
      </c>
      <c r="C2729" s="13" t="n">
        <v>454</v>
      </c>
      <c r="D2729" s="13" t="s">
        <v>10812</v>
      </c>
      <c r="E2729" s="13" t="s">
        <v>10813</v>
      </c>
      <c r="F2729" s="13" t="s">
        <v>10814</v>
      </c>
      <c r="G2729" s="13" t="s">
        <v>10815</v>
      </c>
      <c r="H2729" s="13" t="s">
        <v>10816</v>
      </c>
      <c r="I2729" s="13" t="s">
        <v>82</v>
      </c>
      <c r="J2729" s="13" t="s">
        <v>5716</v>
      </c>
      <c r="K2729" s="13"/>
      <c r="L2729" s="13" t="s">
        <v>10817</v>
      </c>
      <c r="M2729" s="13" t="s">
        <v>10818</v>
      </c>
    </row>
    <row r="2730" customFormat="false" ht="35.05" hidden="false" customHeight="false" outlineLevel="0" collapsed="false">
      <c r="A2730" s="13" t="s">
        <v>4</v>
      </c>
      <c r="B2730" s="13" t="s">
        <v>4108</v>
      </c>
      <c r="C2730" s="13" t="n">
        <v>454</v>
      </c>
      <c r="D2730" s="13" t="s">
        <v>10812</v>
      </c>
      <c r="E2730" s="13" t="s">
        <v>10819</v>
      </c>
      <c r="F2730" s="13" t="s">
        <v>10820</v>
      </c>
      <c r="G2730" s="13" t="s">
        <v>10815</v>
      </c>
      <c r="H2730" s="13" t="s">
        <v>10821</v>
      </c>
      <c r="I2730" s="13" t="s">
        <v>82</v>
      </c>
      <c r="J2730" s="13" t="s">
        <v>5716</v>
      </c>
      <c r="K2730" s="13"/>
      <c r="L2730" s="13" t="s">
        <v>10817</v>
      </c>
      <c r="M2730" s="13" t="s">
        <v>10818</v>
      </c>
    </row>
    <row r="2731" customFormat="false" ht="35.05" hidden="false" customHeight="false" outlineLevel="0" collapsed="false">
      <c r="A2731" s="13" t="s">
        <v>4</v>
      </c>
      <c r="B2731" s="13" t="s">
        <v>4108</v>
      </c>
      <c r="C2731" s="13" t="n">
        <v>454</v>
      </c>
      <c r="D2731" s="13" t="s">
        <v>10812</v>
      </c>
      <c r="E2731" s="13" t="s">
        <v>10822</v>
      </c>
      <c r="F2731" s="13" t="s">
        <v>10823</v>
      </c>
      <c r="G2731" s="13" t="s">
        <v>10815</v>
      </c>
      <c r="H2731" s="13" t="s">
        <v>10824</v>
      </c>
      <c r="I2731" s="13" t="s">
        <v>82</v>
      </c>
      <c r="J2731" s="13" t="s">
        <v>5716</v>
      </c>
      <c r="K2731" s="13"/>
      <c r="L2731" s="13" t="s">
        <v>10817</v>
      </c>
      <c r="M2731" s="13" t="s">
        <v>10818</v>
      </c>
    </row>
    <row r="2732" customFormat="false" ht="57.45" hidden="false" customHeight="false" outlineLevel="0" collapsed="false">
      <c r="A2732" s="13" t="s">
        <v>4</v>
      </c>
      <c r="B2732" s="13" t="s">
        <v>4108</v>
      </c>
      <c r="C2732" s="13" t="n">
        <v>454</v>
      </c>
      <c r="D2732" s="13" t="s">
        <v>10825</v>
      </c>
      <c r="E2732" s="13" t="s">
        <v>10826</v>
      </c>
      <c r="F2732" s="13" t="s">
        <v>5424</v>
      </c>
      <c r="G2732" s="13" t="s">
        <v>10827</v>
      </c>
      <c r="H2732" s="13" t="s">
        <v>10828</v>
      </c>
      <c r="I2732" s="13" t="s">
        <v>82</v>
      </c>
      <c r="J2732" s="13" t="s">
        <v>5716</v>
      </c>
      <c r="K2732" s="13"/>
      <c r="L2732" s="13" t="s">
        <v>10829</v>
      </c>
      <c r="M2732" s="13" t="s">
        <v>10830</v>
      </c>
    </row>
    <row r="2733" customFormat="false" ht="57.45" hidden="false" customHeight="false" outlineLevel="0" collapsed="false">
      <c r="A2733" s="13" t="s">
        <v>4</v>
      </c>
      <c r="B2733" s="13" t="s">
        <v>4108</v>
      </c>
      <c r="C2733" s="13" t="n">
        <v>454</v>
      </c>
      <c r="D2733" s="13" t="s">
        <v>10825</v>
      </c>
      <c r="E2733" s="13" t="s">
        <v>10831</v>
      </c>
      <c r="F2733" s="13" t="s">
        <v>5424</v>
      </c>
      <c r="G2733" s="13" t="s">
        <v>10827</v>
      </c>
      <c r="H2733" s="13" t="s">
        <v>10832</v>
      </c>
      <c r="I2733" s="13" t="s">
        <v>82</v>
      </c>
      <c r="J2733" s="13" t="s">
        <v>5716</v>
      </c>
      <c r="K2733" s="13"/>
      <c r="L2733" s="13" t="s">
        <v>10829</v>
      </c>
      <c r="M2733" s="13" t="s">
        <v>10830</v>
      </c>
    </row>
    <row r="2734" customFormat="false" ht="57.45" hidden="false" customHeight="false" outlineLevel="0" collapsed="false">
      <c r="A2734" s="13" t="s">
        <v>4</v>
      </c>
      <c r="B2734" s="13" t="s">
        <v>4108</v>
      </c>
      <c r="C2734" s="13" t="n">
        <v>454</v>
      </c>
      <c r="D2734" s="13" t="s">
        <v>10825</v>
      </c>
      <c r="E2734" s="13" t="s">
        <v>10833</v>
      </c>
      <c r="F2734" s="13" t="s">
        <v>5424</v>
      </c>
      <c r="G2734" s="13" t="s">
        <v>10827</v>
      </c>
      <c r="H2734" s="13" t="s">
        <v>10834</v>
      </c>
      <c r="I2734" s="13" t="s">
        <v>82</v>
      </c>
      <c r="J2734" s="13" t="s">
        <v>5716</v>
      </c>
      <c r="K2734" s="13"/>
      <c r="L2734" s="13" t="s">
        <v>10829</v>
      </c>
      <c r="M2734" s="13" t="s">
        <v>10830</v>
      </c>
    </row>
    <row r="2735" customFormat="false" ht="57.45" hidden="false" customHeight="false" outlineLevel="0" collapsed="false">
      <c r="A2735" s="13" t="s">
        <v>4</v>
      </c>
      <c r="B2735" s="13" t="s">
        <v>4108</v>
      </c>
      <c r="C2735" s="13" t="n">
        <v>454</v>
      </c>
      <c r="D2735" s="13" t="s">
        <v>10825</v>
      </c>
      <c r="E2735" s="13" t="s">
        <v>10835</v>
      </c>
      <c r="F2735" s="13" t="s">
        <v>5424</v>
      </c>
      <c r="G2735" s="13" t="s">
        <v>10836</v>
      </c>
      <c r="H2735" s="13" t="s">
        <v>10837</v>
      </c>
      <c r="I2735" s="13" t="s">
        <v>82</v>
      </c>
      <c r="J2735" s="13" t="s">
        <v>5716</v>
      </c>
      <c r="K2735" s="13"/>
      <c r="L2735" s="13" t="s">
        <v>10829</v>
      </c>
      <c r="M2735" s="13" t="s">
        <v>10830</v>
      </c>
    </row>
    <row r="2736" customFormat="false" ht="68.65" hidden="false" customHeight="false" outlineLevel="0" collapsed="false">
      <c r="A2736" s="13" t="s">
        <v>4</v>
      </c>
      <c r="B2736" s="13" t="s">
        <v>4108</v>
      </c>
      <c r="C2736" s="13" t="n">
        <v>454</v>
      </c>
      <c r="D2736" s="13" t="s">
        <v>10838</v>
      </c>
      <c r="E2736" s="13" t="s">
        <v>10839</v>
      </c>
      <c r="F2736" s="13" t="s">
        <v>10840</v>
      </c>
      <c r="G2736" s="13" t="s">
        <v>10841</v>
      </c>
      <c r="H2736" s="13" t="s">
        <v>10842</v>
      </c>
      <c r="I2736" s="13" t="s">
        <v>82</v>
      </c>
      <c r="J2736" s="13" t="s">
        <v>5716</v>
      </c>
      <c r="K2736" s="13"/>
      <c r="L2736" s="13" t="s">
        <v>10843</v>
      </c>
      <c r="M2736" s="13" t="s">
        <v>10844</v>
      </c>
    </row>
    <row r="2737" customFormat="false" ht="68.65" hidden="false" customHeight="false" outlineLevel="0" collapsed="false">
      <c r="A2737" s="13" t="s">
        <v>4</v>
      </c>
      <c r="B2737" s="13" t="s">
        <v>4108</v>
      </c>
      <c r="C2737" s="13" t="n">
        <v>454</v>
      </c>
      <c r="D2737" s="13" t="s">
        <v>10838</v>
      </c>
      <c r="E2737" s="13" t="s">
        <v>10845</v>
      </c>
      <c r="F2737" s="13" t="s">
        <v>10846</v>
      </c>
      <c r="G2737" s="13" t="s">
        <v>10841</v>
      </c>
      <c r="H2737" s="13" t="s">
        <v>10842</v>
      </c>
      <c r="I2737" s="13" t="s">
        <v>82</v>
      </c>
      <c r="J2737" s="13" t="s">
        <v>5716</v>
      </c>
      <c r="K2737" s="13"/>
      <c r="L2737" s="13" t="s">
        <v>10843</v>
      </c>
      <c r="M2737" s="13" t="s">
        <v>10844</v>
      </c>
    </row>
    <row r="2738" customFormat="false" ht="68.65" hidden="false" customHeight="false" outlineLevel="0" collapsed="false">
      <c r="A2738" s="13" t="s">
        <v>4</v>
      </c>
      <c r="B2738" s="13" t="s">
        <v>4108</v>
      </c>
      <c r="C2738" s="13" t="n">
        <v>454</v>
      </c>
      <c r="D2738" s="13" t="s">
        <v>10838</v>
      </c>
      <c r="E2738" s="13" t="s">
        <v>10847</v>
      </c>
      <c r="F2738" s="13" t="s">
        <v>10848</v>
      </c>
      <c r="G2738" s="13" t="s">
        <v>10443</v>
      </c>
      <c r="H2738" s="13" t="s">
        <v>10849</v>
      </c>
      <c r="I2738" s="13" t="s">
        <v>82</v>
      </c>
      <c r="J2738" s="13" t="s">
        <v>5716</v>
      </c>
      <c r="K2738" s="13"/>
      <c r="L2738" s="13" t="s">
        <v>10843</v>
      </c>
      <c r="M2738" s="13" t="s">
        <v>10844</v>
      </c>
    </row>
    <row r="2739" customFormat="false" ht="57.45" hidden="false" customHeight="false" outlineLevel="0" collapsed="false">
      <c r="A2739" s="13" t="s">
        <v>4</v>
      </c>
      <c r="B2739" s="13" t="s">
        <v>4108</v>
      </c>
      <c r="C2739" s="13" t="n">
        <v>454</v>
      </c>
      <c r="D2739" s="13" t="s">
        <v>10850</v>
      </c>
      <c r="E2739" s="13" t="s">
        <v>10851</v>
      </c>
      <c r="F2739" s="13" t="s">
        <v>10701</v>
      </c>
      <c r="G2739" s="13" t="s">
        <v>10852</v>
      </c>
      <c r="H2739" s="13" t="s">
        <v>10853</v>
      </c>
      <c r="I2739" s="13" t="s">
        <v>82</v>
      </c>
      <c r="J2739" s="13" t="s">
        <v>5716</v>
      </c>
      <c r="K2739" s="13"/>
      <c r="L2739" s="13" t="s">
        <v>10854</v>
      </c>
      <c r="M2739" s="13" t="s">
        <v>10855</v>
      </c>
    </row>
    <row r="2740" customFormat="false" ht="57.45" hidden="false" customHeight="false" outlineLevel="0" collapsed="false">
      <c r="A2740" s="13" t="s">
        <v>4</v>
      </c>
      <c r="B2740" s="13" t="s">
        <v>4108</v>
      </c>
      <c r="C2740" s="13" t="n">
        <v>454</v>
      </c>
      <c r="D2740" s="13" t="s">
        <v>10850</v>
      </c>
      <c r="E2740" s="13" t="s">
        <v>10856</v>
      </c>
      <c r="F2740" s="13" t="s">
        <v>10701</v>
      </c>
      <c r="G2740" s="13" t="s">
        <v>10852</v>
      </c>
      <c r="H2740" s="13" t="s">
        <v>10857</v>
      </c>
      <c r="I2740" s="13" t="s">
        <v>82</v>
      </c>
      <c r="J2740" s="13" t="s">
        <v>5716</v>
      </c>
      <c r="K2740" s="13"/>
      <c r="L2740" s="13" t="s">
        <v>10854</v>
      </c>
      <c r="M2740" s="13" t="s">
        <v>10855</v>
      </c>
    </row>
    <row r="2741" customFormat="false" ht="57.45" hidden="false" customHeight="false" outlineLevel="0" collapsed="false">
      <c r="A2741" s="13" t="s">
        <v>4</v>
      </c>
      <c r="B2741" s="13" t="s">
        <v>4108</v>
      </c>
      <c r="C2741" s="13" t="n">
        <v>454</v>
      </c>
      <c r="D2741" s="13" t="s">
        <v>10850</v>
      </c>
      <c r="E2741" s="13" t="s">
        <v>10858</v>
      </c>
      <c r="F2741" s="13" t="s">
        <v>10701</v>
      </c>
      <c r="G2741" s="13" t="s">
        <v>10859</v>
      </c>
      <c r="H2741" s="13" t="s">
        <v>10860</v>
      </c>
      <c r="I2741" s="13" t="s">
        <v>82</v>
      </c>
      <c r="J2741" s="13" t="s">
        <v>5716</v>
      </c>
      <c r="K2741" s="13"/>
      <c r="L2741" s="13" t="s">
        <v>10854</v>
      </c>
      <c r="M2741" s="13" t="s">
        <v>10855</v>
      </c>
    </row>
    <row r="2742" customFormat="false" ht="68.65" hidden="false" customHeight="false" outlineLevel="0" collapsed="false">
      <c r="A2742" s="13" t="s">
        <v>4</v>
      </c>
      <c r="B2742" s="13" t="s">
        <v>4108</v>
      </c>
      <c r="C2742" s="13" t="n">
        <v>454</v>
      </c>
      <c r="D2742" s="13" t="s">
        <v>10861</v>
      </c>
      <c r="E2742" s="13" t="s">
        <v>10862</v>
      </c>
      <c r="F2742" s="13" t="s">
        <v>5424</v>
      </c>
      <c r="G2742" s="13" t="s">
        <v>10836</v>
      </c>
      <c r="H2742" s="13" t="s">
        <v>10863</v>
      </c>
      <c r="I2742" s="13" t="s">
        <v>82</v>
      </c>
      <c r="J2742" s="13" t="s">
        <v>5716</v>
      </c>
      <c r="K2742" s="13"/>
      <c r="L2742" s="13" t="s">
        <v>10864</v>
      </c>
      <c r="M2742" s="13" t="s">
        <v>10865</v>
      </c>
    </row>
    <row r="2743" customFormat="false" ht="68.65" hidden="false" customHeight="false" outlineLevel="0" collapsed="false">
      <c r="A2743" s="13" t="s">
        <v>4</v>
      </c>
      <c r="B2743" s="13" t="s">
        <v>4108</v>
      </c>
      <c r="C2743" s="13" t="n">
        <v>454</v>
      </c>
      <c r="D2743" s="13" t="s">
        <v>10861</v>
      </c>
      <c r="E2743" s="13" t="s">
        <v>10866</v>
      </c>
      <c r="F2743" s="13" t="s">
        <v>5424</v>
      </c>
      <c r="G2743" s="13" t="s">
        <v>10867</v>
      </c>
      <c r="H2743" s="13" t="s">
        <v>10868</v>
      </c>
      <c r="I2743" s="13" t="s">
        <v>82</v>
      </c>
      <c r="J2743" s="13" t="s">
        <v>5716</v>
      </c>
      <c r="K2743" s="13"/>
      <c r="L2743" s="13" t="s">
        <v>10864</v>
      </c>
      <c r="M2743" s="13" t="s">
        <v>10865</v>
      </c>
    </row>
    <row r="2744" customFormat="false" ht="68.65" hidden="false" customHeight="false" outlineLevel="0" collapsed="false">
      <c r="A2744" s="13" t="s">
        <v>4</v>
      </c>
      <c r="B2744" s="13" t="s">
        <v>4108</v>
      </c>
      <c r="C2744" s="13" t="n">
        <v>454</v>
      </c>
      <c r="D2744" s="13" t="s">
        <v>10869</v>
      </c>
      <c r="E2744" s="13" t="s">
        <v>10870</v>
      </c>
      <c r="F2744" s="13" t="s">
        <v>5424</v>
      </c>
      <c r="G2744" s="13" t="s">
        <v>10871</v>
      </c>
      <c r="H2744" s="13" t="s">
        <v>10872</v>
      </c>
      <c r="I2744" s="13" t="s">
        <v>82</v>
      </c>
      <c r="J2744" s="13" t="s">
        <v>5716</v>
      </c>
      <c r="K2744" s="13"/>
      <c r="L2744" s="13" t="s">
        <v>10873</v>
      </c>
      <c r="M2744" s="13" t="s">
        <v>10874</v>
      </c>
    </row>
    <row r="2745" customFormat="false" ht="68.65" hidden="false" customHeight="false" outlineLevel="0" collapsed="false">
      <c r="A2745" s="13" t="s">
        <v>4</v>
      </c>
      <c r="B2745" s="13" t="s">
        <v>4108</v>
      </c>
      <c r="C2745" s="13" t="n">
        <v>454</v>
      </c>
      <c r="D2745" s="13" t="s">
        <v>10869</v>
      </c>
      <c r="E2745" s="13" t="s">
        <v>10875</v>
      </c>
      <c r="F2745" s="13" t="s">
        <v>5424</v>
      </c>
      <c r="G2745" s="13" t="s">
        <v>10876</v>
      </c>
      <c r="H2745" s="13" t="s">
        <v>10877</v>
      </c>
      <c r="I2745" s="13" t="s">
        <v>82</v>
      </c>
      <c r="J2745" s="13" t="s">
        <v>5716</v>
      </c>
      <c r="K2745" s="13"/>
      <c r="L2745" s="13" t="s">
        <v>10873</v>
      </c>
      <c r="M2745" s="13" t="s">
        <v>10874</v>
      </c>
    </row>
    <row r="2746" customFormat="false" ht="68.65" hidden="false" customHeight="false" outlineLevel="0" collapsed="false">
      <c r="A2746" s="13" t="s">
        <v>4</v>
      </c>
      <c r="B2746" s="13" t="s">
        <v>4108</v>
      </c>
      <c r="C2746" s="13" t="n">
        <v>454</v>
      </c>
      <c r="D2746" s="13" t="s">
        <v>10869</v>
      </c>
      <c r="E2746" s="13" t="s">
        <v>10878</v>
      </c>
      <c r="F2746" s="13" t="s">
        <v>10872</v>
      </c>
      <c r="G2746" s="13" t="s">
        <v>10879</v>
      </c>
      <c r="H2746" s="13" t="s">
        <v>10880</v>
      </c>
      <c r="I2746" s="13" t="s">
        <v>82</v>
      </c>
      <c r="J2746" s="13" t="s">
        <v>5716</v>
      </c>
      <c r="K2746" s="13"/>
      <c r="L2746" s="13" t="s">
        <v>10873</v>
      </c>
      <c r="M2746" s="13" t="s">
        <v>10874</v>
      </c>
    </row>
    <row r="2747" customFormat="false" ht="57.45" hidden="false" customHeight="false" outlineLevel="0" collapsed="false">
      <c r="A2747" s="13" t="s">
        <v>4</v>
      </c>
      <c r="B2747" s="13" t="s">
        <v>4108</v>
      </c>
      <c r="C2747" s="13" t="n">
        <v>454</v>
      </c>
      <c r="D2747" s="13" t="s">
        <v>10881</v>
      </c>
      <c r="E2747" s="13" t="s">
        <v>10882</v>
      </c>
      <c r="F2747" s="13" t="s">
        <v>10883</v>
      </c>
      <c r="G2747" s="13" t="s">
        <v>10884</v>
      </c>
      <c r="H2747" s="13" t="s">
        <v>5424</v>
      </c>
      <c r="I2747" s="13" t="s">
        <v>82</v>
      </c>
      <c r="J2747" s="13" t="s">
        <v>5716</v>
      </c>
      <c r="K2747" s="13"/>
      <c r="L2747" s="13" t="s">
        <v>10885</v>
      </c>
      <c r="M2747" s="13" t="s">
        <v>10886</v>
      </c>
    </row>
    <row r="2748" customFormat="false" ht="57.45" hidden="false" customHeight="false" outlineLevel="0" collapsed="false">
      <c r="A2748" s="13" t="s">
        <v>4</v>
      </c>
      <c r="B2748" s="13" t="s">
        <v>4108</v>
      </c>
      <c r="C2748" s="13" t="n">
        <v>454</v>
      </c>
      <c r="D2748" s="13" t="s">
        <v>10881</v>
      </c>
      <c r="E2748" s="13" t="s">
        <v>10887</v>
      </c>
      <c r="F2748" s="13" t="s">
        <v>5424</v>
      </c>
      <c r="G2748" s="13" t="s">
        <v>10888</v>
      </c>
      <c r="H2748" s="13" t="s">
        <v>10889</v>
      </c>
      <c r="I2748" s="13" t="s">
        <v>82</v>
      </c>
      <c r="J2748" s="13" t="s">
        <v>5716</v>
      </c>
      <c r="K2748" s="13"/>
      <c r="L2748" s="13" t="s">
        <v>10885</v>
      </c>
      <c r="M2748" s="13" t="s">
        <v>10886</v>
      </c>
    </row>
    <row r="2749" customFormat="false" ht="57.45" hidden="false" customHeight="false" outlineLevel="0" collapsed="false">
      <c r="A2749" s="13" t="s">
        <v>4</v>
      </c>
      <c r="B2749" s="13" t="s">
        <v>4108</v>
      </c>
      <c r="C2749" s="13" t="n">
        <v>454</v>
      </c>
      <c r="D2749" s="13" t="s">
        <v>10881</v>
      </c>
      <c r="E2749" s="13" t="s">
        <v>10890</v>
      </c>
      <c r="F2749" s="13" t="s">
        <v>5424</v>
      </c>
      <c r="G2749" s="13" t="s">
        <v>10891</v>
      </c>
      <c r="H2749" s="13" t="s">
        <v>10892</v>
      </c>
      <c r="I2749" s="13" t="s">
        <v>82</v>
      </c>
      <c r="J2749" s="13" t="s">
        <v>5716</v>
      </c>
      <c r="K2749" s="13"/>
      <c r="L2749" s="13" t="s">
        <v>10885</v>
      </c>
      <c r="M2749" s="13" t="s">
        <v>10886</v>
      </c>
    </row>
    <row r="2750" customFormat="false" ht="23.85" hidden="false" customHeight="false" outlineLevel="0" collapsed="false">
      <c r="A2750" s="13" t="s">
        <v>4</v>
      </c>
      <c r="B2750" s="13" t="s">
        <v>4108</v>
      </c>
      <c r="C2750" s="13" t="n">
        <v>466</v>
      </c>
      <c r="D2750" s="13" t="s">
        <v>10893</v>
      </c>
      <c r="E2750" s="13" t="s">
        <v>10894</v>
      </c>
      <c r="F2750" s="13" t="s">
        <v>1905</v>
      </c>
      <c r="G2750" s="13" t="s">
        <v>10895</v>
      </c>
      <c r="H2750" s="13" t="s">
        <v>10896</v>
      </c>
      <c r="I2750" s="13" t="s">
        <v>82</v>
      </c>
      <c r="J2750" s="13" t="s">
        <v>5716</v>
      </c>
      <c r="K2750" s="13"/>
      <c r="L2750" s="13" t="s">
        <v>10897</v>
      </c>
      <c r="M2750" s="13" t="s">
        <v>10898</v>
      </c>
    </row>
    <row r="2751" customFormat="false" ht="35.05" hidden="false" customHeight="false" outlineLevel="0" collapsed="false">
      <c r="A2751" s="13" t="s">
        <v>4</v>
      </c>
      <c r="B2751" s="13" t="s">
        <v>4108</v>
      </c>
      <c r="C2751" s="13" t="n">
        <v>466</v>
      </c>
      <c r="D2751" s="13" t="s">
        <v>10893</v>
      </c>
      <c r="E2751" s="13" t="s">
        <v>10899</v>
      </c>
      <c r="F2751" s="13" t="s">
        <v>10896</v>
      </c>
      <c r="G2751" s="13" t="s">
        <v>1759</v>
      </c>
      <c r="H2751" s="13" t="s">
        <v>10900</v>
      </c>
      <c r="I2751" s="13" t="s">
        <v>82</v>
      </c>
      <c r="J2751" s="13" t="s">
        <v>5716</v>
      </c>
      <c r="K2751" s="13"/>
      <c r="L2751" s="13" t="s">
        <v>10897</v>
      </c>
      <c r="M2751" s="13" t="s">
        <v>10898</v>
      </c>
    </row>
    <row r="2752" customFormat="false" ht="23.85" hidden="false" customHeight="false" outlineLevel="0" collapsed="false">
      <c r="A2752" s="13" t="s">
        <v>4</v>
      </c>
      <c r="B2752" s="13" t="s">
        <v>4108</v>
      </c>
      <c r="C2752" s="13" t="n">
        <v>466</v>
      </c>
      <c r="D2752" s="13" t="s">
        <v>10901</v>
      </c>
      <c r="E2752" s="13" t="s">
        <v>10902</v>
      </c>
      <c r="F2752" s="13" t="s">
        <v>1905</v>
      </c>
      <c r="G2752" s="13" t="s">
        <v>10895</v>
      </c>
      <c r="H2752" s="13" t="s">
        <v>10903</v>
      </c>
      <c r="I2752" s="13" t="s">
        <v>82</v>
      </c>
      <c r="J2752" s="13" t="s">
        <v>5716</v>
      </c>
      <c r="K2752" s="13"/>
      <c r="L2752" s="13" t="s">
        <v>10904</v>
      </c>
      <c r="M2752" s="13" t="s">
        <v>10905</v>
      </c>
    </row>
    <row r="2753" customFormat="false" ht="35.05" hidden="false" customHeight="false" outlineLevel="0" collapsed="false">
      <c r="A2753" s="13" t="s">
        <v>4</v>
      </c>
      <c r="B2753" s="13" t="s">
        <v>4108</v>
      </c>
      <c r="C2753" s="13" t="n">
        <v>466</v>
      </c>
      <c r="D2753" s="13" t="s">
        <v>10901</v>
      </c>
      <c r="E2753" s="13" t="s">
        <v>10906</v>
      </c>
      <c r="F2753" s="13" t="s">
        <v>10903</v>
      </c>
      <c r="G2753" s="13" t="s">
        <v>1759</v>
      </c>
      <c r="H2753" s="13" t="s">
        <v>10907</v>
      </c>
      <c r="I2753" s="13" t="s">
        <v>82</v>
      </c>
      <c r="J2753" s="13" t="s">
        <v>5716</v>
      </c>
      <c r="K2753" s="13"/>
      <c r="L2753" s="13" t="s">
        <v>10904</v>
      </c>
      <c r="M2753" s="13" t="s">
        <v>10905</v>
      </c>
    </row>
    <row r="2754" customFormat="false" ht="23.85" hidden="false" customHeight="false" outlineLevel="0" collapsed="false">
      <c r="A2754" s="13" t="s">
        <v>4</v>
      </c>
      <c r="B2754" s="13" t="s">
        <v>4108</v>
      </c>
      <c r="C2754" s="13" t="n">
        <v>466</v>
      </c>
      <c r="D2754" s="13" t="s">
        <v>10908</v>
      </c>
      <c r="E2754" s="13" t="s">
        <v>10909</v>
      </c>
      <c r="F2754" s="13" t="s">
        <v>1905</v>
      </c>
      <c r="G2754" s="13" t="s">
        <v>10895</v>
      </c>
      <c r="H2754" s="13" t="s">
        <v>10910</v>
      </c>
      <c r="I2754" s="13" t="s">
        <v>82</v>
      </c>
      <c r="J2754" s="13" t="s">
        <v>5716</v>
      </c>
      <c r="K2754" s="13"/>
      <c r="L2754" s="13" t="s">
        <v>10911</v>
      </c>
      <c r="M2754" s="13" t="s">
        <v>10912</v>
      </c>
    </row>
    <row r="2755" customFormat="false" ht="35.05" hidden="false" customHeight="false" outlineLevel="0" collapsed="false">
      <c r="A2755" s="13" t="s">
        <v>4</v>
      </c>
      <c r="B2755" s="13" t="s">
        <v>4108</v>
      </c>
      <c r="C2755" s="13" t="n">
        <v>466</v>
      </c>
      <c r="D2755" s="13" t="s">
        <v>10908</v>
      </c>
      <c r="E2755" s="13" t="s">
        <v>10913</v>
      </c>
      <c r="F2755" s="13" t="s">
        <v>10910</v>
      </c>
      <c r="G2755" s="13" t="s">
        <v>1759</v>
      </c>
      <c r="H2755" s="13" t="s">
        <v>10914</v>
      </c>
      <c r="I2755" s="13" t="s">
        <v>82</v>
      </c>
      <c r="J2755" s="13" t="s">
        <v>5716</v>
      </c>
      <c r="K2755" s="13"/>
      <c r="L2755" s="13" t="s">
        <v>10911</v>
      </c>
      <c r="M2755" s="13" t="s">
        <v>10912</v>
      </c>
    </row>
    <row r="2756" customFormat="false" ht="23.85" hidden="false" customHeight="false" outlineLevel="0" collapsed="false">
      <c r="A2756" s="13" t="s">
        <v>4</v>
      </c>
      <c r="B2756" s="13" t="s">
        <v>4108</v>
      </c>
      <c r="C2756" s="13" t="n">
        <v>466</v>
      </c>
      <c r="D2756" s="13" t="s">
        <v>10915</v>
      </c>
      <c r="E2756" s="13" t="s">
        <v>10916</v>
      </c>
      <c r="F2756" s="13" t="s">
        <v>1905</v>
      </c>
      <c r="G2756" s="13" t="s">
        <v>10895</v>
      </c>
      <c r="H2756" s="13" t="s">
        <v>10917</v>
      </c>
      <c r="I2756" s="13" t="s">
        <v>82</v>
      </c>
      <c r="J2756" s="13" t="s">
        <v>5716</v>
      </c>
      <c r="K2756" s="13"/>
      <c r="L2756" s="13" t="s">
        <v>10918</v>
      </c>
      <c r="M2756" s="13" t="s">
        <v>10919</v>
      </c>
    </row>
    <row r="2757" customFormat="false" ht="23.85" hidden="false" customHeight="false" outlineLevel="0" collapsed="false">
      <c r="A2757" s="13" t="s">
        <v>4</v>
      </c>
      <c r="B2757" s="13" t="s">
        <v>4108</v>
      </c>
      <c r="C2757" s="13" t="n">
        <v>466</v>
      </c>
      <c r="D2757" s="13" t="s">
        <v>10915</v>
      </c>
      <c r="E2757" s="13" t="s">
        <v>10920</v>
      </c>
      <c r="F2757" s="13" t="s">
        <v>10917</v>
      </c>
      <c r="G2757" s="13" t="s">
        <v>1759</v>
      </c>
      <c r="H2757" s="13" t="s">
        <v>10921</v>
      </c>
      <c r="I2757" s="13" t="s">
        <v>82</v>
      </c>
      <c r="J2757" s="13" t="s">
        <v>5716</v>
      </c>
      <c r="K2757" s="13"/>
      <c r="L2757" s="13" t="s">
        <v>10918</v>
      </c>
      <c r="M2757" s="13" t="s">
        <v>10919</v>
      </c>
    </row>
    <row r="2758" customFormat="false" ht="23.85" hidden="false" customHeight="false" outlineLevel="0" collapsed="false">
      <c r="A2758" s="13" t="s">
        <v>4</v>
      </c>
      <c r="B2758" s="13" t="s">
        <v>4108</v>
      </c>
      <c r="C2758" s="13" t="n">
        <v>466</v>
      </c>
      <c r="D2758" s="13" t="s">
        <v>10922</v>
      </c>
      <c r="E2758" s="13" t="s">
        <v>10923</v>
      </c>
      <c r="F2758" s="13" t="s">
        <v>1905</v>
      </c>
      <c r="G2758" s="13" t="s">
        <v>10895</v>
      </c>
      <c r="H2758" s="13" t="s">
        <v>10924</v>
      </c>
      <c r="I2758" s="13" t="s">
        <v>82</v>
      </c>
      <c r="J2758" s="13" t="s">
        <v>5716</v>
      </c>
      <c r="K2758" s="13"/>
      <c r="L2758" s="13" t="s">
        <v>10925</v>
      </c>
      <c r="M2758" s="13" t="s">
        <v>10926</v>
      </c>
    </row>
    <row r="2759" customFormat="false" ht="35.05" hidden="false" customHeight="false" outlineLevel="0" collapsed="false">
      <c r="A2759" s="13" t="s">
        <v>4</v>
      </c>
      <c r="B2759" s="13" t="s">
        <v>4108</v>
      </c>
      <c r="C2759" s="13" t="n">
        <v>466</v>
      </c>
      <c r="D2759" s="13" t="s">
        <v>10922</v>
      </c>
      <c r="E2759" s="13" t="s">
        <v>10927</v>
      </c>
      <c r="F2759" s="13" t="s">
        <v>10924</v>
      </c>
      <c r="G2759" s="13" t="s">
        <v>1759</v>
      </c>
      <c r="H2759" s="13" t="s">
        <v>10928</v>
      </c>
      <c r="I2759" s="13" t="s">
        <v>82</v>
      </c>
      <c r="J2759" s="13" t="s">
        <v>5716</v>
      </c>
      <c r="K2759" s="13"/>
      <c r="L2759" s="13" t="s">
        <v>10925</v>
      </c>
      <c r="M2759" s="13" t="s">
        <v>10926</v>
      </c>
    </row>
    <row r="2760" customFormat="false" ht="23.85" hidden="false" customHeight="false" outlineLevel="0" collapsed="false">
      <c r="A2760" s="13" t="s">
        <v>4</v>
      </c>
      <c r="B2760" s="13" t="s">
        <v>4108</v>
      </c>
      <c r="C2760" s="13" t="n">
        <v>466</v>
      </c>
      <c r="D2760" s="13" t="s">
        <v>10929</v>
      </c>
      <c r="E2760" s="13" t="s">
        <v>10930</v>
      </c>
      <c r="F2760" s="13" t="s">
        <v>1905</v>
      </c>
      <c r="G2760" s="13" t="s">
        <v>10895</v>
      </c>
      <c r="H2760" s="13" t="s">
        <v>10931</v>
      </c>
      <c r="I2760" s="13" t="s">
        <v>82</v>
      </c>
      <c r="J2760" s="13" t="s">
        <v>5716</v>
      </c>
      <c r="K2760" s="13"/>
      <c r="L2760" s="13" t="s">
        <v>10932</v>
      </c>
      <c r="M2760" s="13" t="s">
        <v>10933</v>
      </c>
    </row>
    <row r="2761" customFormat="false" ht="35.05" hidden="false" customHeight="false" outlineLevel="0" collapsed="false">
      <c r="A2761" s="13" t="s">
        <v>4</v>
      </c>
      <c r="B2761" s="13" t="s">
        <v>4108</v>
      </c>
      <c r="C2761" s="13" t="n">
        <v>466</v>
      </c>
      <c r="D2761" s="13" t="s">
        <v>10929</v>
      </c>
      <c r="E2761" s="13" t="s">
        <v>10934</v>
      </c>
      <c r="F2761" s="13" t="s">
        <v>10931</v>
      </c>
      <c r="G2761" s="13" t="s">
        <v>1759</v>
      </c>
      <c r="H2761" s="13" t="s">
        <v>10935</v>
      </c>
      <c r="I2761" s="13" t="s">
        <v>82</v>
      </c>
      <c r="J2761" s="13" t="s">
        <v>5716</v>
      </c>
      <c r="K2761" s="13"/>
      <c r="L2761" s="13" t="s">
        <v>10932</v>
      </c>
      <c r="M2761" s="13" t="s">
        <v>10933</v>
      </c>
    </row>
    <row r="2762" customFormat="false" ht="23.85" hidden="false" customHeight="false" outlineLevel="0" collapsed="false">
      <c r="A2762" s="13" t="s">
        <v>4</v>
      </c>
      <c r="B2762" s="13" t="s">
        <v>4108</v>
      </c>
      <c r="C2762" s="13" t="n">
        <v>466</v>
      </c>
      <c r="D2762" s="13" t="s">
        <v>10936</v>
      </c>
      <c r="E2762" s="13" t="s">
        <v>10937</v>
      </c>
      <c r="F2762" s="13" t="s">
        <v>1905</v>
      </c>
      <c r="G2762" s="13" t="s">
        <v>10895</v>
      </c>
      <c r="H2762" s="13" t="s">
        <v>10938</v>
      </c>
      <c r="I2762" s="13" t="s">
        <v>82</v>
      </c>
      <c r="J2762" s="13" t="s">
        <v>5716</v>
      </c>
      <c r="K2762" s="13"/>
      <c r="L2762" s="13" t="s">
        <v>10939</v>
      </c>
      <c r="M2762" s="13" t="s">
        <v>10940</v>
      </c>
    </row>
    <row r="2763" customFormat="false" ht="35.05" hidden="false" customHeight="false" outlineLevel="0" collapsed="false">
      <c r="A2763" s="13" t="s">
        <v>4</v>
      </c>
      <c r="B2763" s="13" t="s">
        <v>4108</v>
      </c>
      <c r="C2763" s="13" t="n">
        <v>466</v>
      </c>
      <c r="D2763" s="13" t="s">
        <v>10936</v>
      </c>
      <c r="E2763" s="13" t="s">
        <v>10941</v>
      </c>
      <c r="F2763" s="13" t="s">
        <v>10938</v>
      </c>
      <c r="G2763" s="13" t="s">
        <v>1759</v>
      </c>
      <c r="H2763" s="13" t="s">
        <v>10942</v>
      </c>
      <c r="I2763" s="13" t="s">
        <v>82</v>
      </c>
      <c r="J2763" s="13" t="s">
        <v>5716</v>
      </c>
      <c r="K2763" s="13"/>
      <c r="L2763" s="13" t="s">
        <v>10939</v>
      </c>
      <c r="M2763" s="13" t="s">
        <v>10940</v>
      </c>
    </row>
    <row r="2764" customFormat="false" ht="23.85" hidden="false" customHeight="false" outlineLevel="0" collapsed="false">
      <c r="A2764" s="13" t="s">
        <v>4</v>
      </c>
      <c r="B2764" s="13" t="s">
        <v>4108</v>
      </c>
      <c r="C2764" s="13" t="n">
        <v>466</v>
      </c>
      <c r="D2764" s="13" t="s">
        <v>10943</v>
      </c>
      <c r="E2764" s="13" t="s">
        <v>10944</v>
      </c>
      <c r="F2764" s="13" t="s">
        <v>1905</v>
      </c>
      <c r="G2764" s="13" t="s">
        <v>10895</v>
      </c>
      <c r="H2764" s="13" t="s">
        <v>10945</v>
      </c>
      <c r="I2764" s="13" t="s">
        <v>82</v>
      </c>
      <c r="J2764" s="13" t="s">
        <v>5716</v>
      </c>
      <c r="K2764" s="13"/>
      <c r="L2764" s="13" t="s">
        <v>10946</v>
      </c>
      <c r="M2764" s="13" t="s">
        <v>10947</v>
      </c>
    </row>
    <row r="2765" customFormat="false" ht="35.05" hidden="false" customHeight="false" outlineLevel="0" collapsed="false">
      <c r="A2765" s="13" t="s">
        <v>4</v>
      </c>
      <c r="B2765" s="13" t="s">
        <v>4108</v>
      </c>
      <c r="C2765" s="13" t="n">
        <v>466</v>
      </c>
      <c r="D2765" s="13" t="s">
        <v>10943</v>
      </c>
      <c r="E2765" s="13" t="s">
        <v>10948</v>
      </c>
      <c r="F2765" s="13" t="s">
        <v>10945</v>
      </c>
      <c r="G2765" s="13" t="s">
        <v>1759</v>
      </c>
      <c r="H2765" s="13" t="s">
        <v>10949</v>
      </c>
      <c r="I2765" s="13" t="s">
        <v>82</v>
      </c>
      <c r="J2765" s="13" t="s">
        <v>5716</v>
      </c>
      <c r="K2765" s="13"/>
      <c r="L2765" s="13" t="s">
        <v>10946</v>
      </c>
      <c r="M2765" s="13" t="s">
        <v>10947</v>
      </c>
    </row>
    <row r="2766" customFormat="false" ht="23.85" hidden="false" customHeight="false" outlineLevel="0" collapsed="false">
      <c r="A2766" s="13" t="s">
        <v>4</v>
      </c>
      <c r="B2766" s="13" t="s">
        <v>4108</v>
      </c>
      <c r="C2766" s="13" t="n">
        <v>466</v>
      </c>
      <c r="D2766" s="13" t="s">
        <v>10950</v>
      </c>
      <c r="E2766" s="13" t="s">
        <v>10951</v>
      </c>
      <c r="F2766" s="13" t="s">
        <v>1905</v>
      </c>
      <c r="G2766" s="13" t="s">
        <v>10895</v>
      </c>
      <c r="H2766" s="13" t="s">
        <v>10952</v>
      </c>
      <c r="I2766" s="13" t="s">
        <v>82</v>
      </c>
      <c r="J2766" s="13" t="s">
        <v>5716</v>
      </c>
      <c r="K2766" s="13"/>
      <c r="L2766" s="13" t="s">
        <v>10953</v>
      </c>
      <c r="M2766" s="13" t="s">
        <v>10954</v>
      </c>
    </row>
    <row r="2767" customFormat="false" ht="35.05" hidden="false" customHeight="false" outlineLevel="0" collapsed="false">
      <c r="A2767" s="13" t="s">
        <v>4</v>
      </c>
      <c r="B2767" s="13" t="s">
        <v>4108</v>
      </c>
      <c r="C2767" s="13" t="n">
        <v>466</v>
      </c>
      <c r="D2767" s="13" t="s">
        <v>10950</v>
      </c>
      <c r="E2767" s="13" t="s">
        <v>10955</v>
      </c>
      <c r="F2767" s="13" t="s">
        <v>10952</v>
      </c>
      <c r="G2767" s="13" t="s">
        <v>1759</v>
      </c>
      <c r="H2767" s="13" t="s">
        <v>10956</v>
      </c>
      <c r="I2767" s="13" t="s">
        <v>82</v>
      </c>
      <c r="J2767" s="13" t="s">
        <v>5716</v>
      </c>
      <c r="K2767" s="13"/>
      <c r="L2767" s="13" t="s">
        <v>10953</v>
      </c>
      <c r="M2767" s="13" t="s">
        <v>10954</v>
      </c>
    </row>
    <row r="2768" customFormat="false" ht="23.85" hidden="false" customHeight="false" outlineLevel="0" collapsed="false">
      <c r="A2768" s="13" t="s">
        <v>4</v>
      </c>
      <c r="B2768" s="13" t="s">
        <v>4108</v>
      </c>
      <c r="C2768" s="13" t="n">
        <v>466</v>
      </c>
      <c r="D2768" s="13" t="s">
        <v>10957</v>
      </c>
      <c r="E2768" s="13" t="s">
        <v>10958</v>
      </c>
      <c r="F2768" s="13" t="s">
        <v>1905</v>
      </c>
      <c r="G2768" s="13" t="s">
        <v>10895</v>
      </c>
      <c r="H2768" s="13" t="s">
        <v>10959</v>
      </c>
      <c r="I2768" s="13" t="s">
        <v>82</v>
      </c>
      <c r="J2768" s="13" t="s">
        <v>5716</v>
      </c>
      <c r="K2768" s="13"/>
      <c r="L2768" s="13" t="s">
        <v>10960</v>
      </c>
      <c r="M2768" s="13" t="s">
        <v>10961</v>
      </c>
    </row>
    <row r="2769" customFormat="false" ht="35.05" hidden="false" customHeight="false" outlineLevel="0" collapsed="false">
      <c r="A2769" s="13" t="s">
        <v>4</v>
      </c>
      <c r="B2769" s="13" t="s">
        <v>4108</v>
      </c>
      <c r="C2769" s="13" t="n">
        <v>466</v>
      </c>
      <c r="D2769" s="13" t="s">
        <v>10957</v>
      </c>
      <c r="E2769" s="13" t="s">
        <v>10962</v>
      </c>
      <c r="F2769" s="13" t="s">
        <v>10959</v>
      </c>
      <c r="G2769" s="13" t="s">
        <v>1759</v>
      </c>
      <c r="H2769" s="13" t="s">
        <v>10963</v>
      </c>
      <c r="I2769" s="13" t="s">
        <v>82</v>
      </c>
      <c r="J2769" s="13" t="s">
        <v>5716</v>
      </c>
      <c r="K2769" s="13"/>
      <c r="L2769" s="13" t="s">
        <v>10960</v>
      </c>
      <c r="M2769" s="13" t="s">
        <v>10961</v>
      </c>
    </row>
    <row r="2770" customFormat="false" ht="23.85" hidden="false" customHeight="false" outlineLevel="0" collapsed="false">
      <c r="A2770" s="13" t="s">
        <v>4</v>
      </c>
      <c r="B2770" s="13" t="s">
        <v>4108</v>
      </c>
      <c r="C2770" s="13" t="n">
        <v>466</v>
      </c>
      <c r="D2770" s="13" t="s">
        <v>10964</v>
      </c>
      <c r="E2770" s="13" t="s">
        <v>10965</v>
      </c>
      <c r="F2770" s="13" t="s">
        <v>1905</v>
      </c>
      <c r="G2770" s="13" t="s">
        <v>10895</v>
      </c>
      <c r="H2770" s="13" t="s">
        <v>10966</v>
      </c>
      <c r="I2770" s="13" t="s">
        <v>82</v>
      </c>
      <c r="J2770" s="13" t="s">
        <v>5716</v>
      </c>
      <c r="K2770" s="13"/>
      <c r="L2770" s="13" t="s">
        <v>10967</v>
      </c>
      <c r="M2770" s="13" t="s">
        <v>10968</v>
      </c>
    </row>
    <row r="2771" customFormat="false" ht="35.05" hidden="false" customHeight="false" outlineLevel="0" collapsed="false">
      <c r="A2771" s="13" t="s">
        <v>4</v>
      </c>
      <c r="B2771" s="13" t="s">
        <v>4108</v>
      </c>
      <c r="C2771" s="13" t="n">
        <v>466</v>
      </c>
      <c r="D2771" s="13" t="s">
        <v>10964</v>
      </c>
      <c r="E2771" s="13" t="s">
        <v>10969</v>
      </c>
      <c r="F2771" s="13" t="s">
        <v>10966</v>
      </c>
      <c r="G2771" s="13" t="s">
        <v>1759</v>
      </c>
      <c r="H2771" s="13" t="s">
        <v>10970</v>
      </c>
      <c r="I2771" s="13" t="s">
        <v>82</v>
      </c>
      <c r="J2771" s="13" t="s">
        <v>5716</v>
      </c>
      <c r="K2771" s="13"/>
      <c r="L2771" s="13" t="s">
        <v>10967</v>
      </c>
      <c r="M2771" s="13" t="s">
        <v>10968</v>
      </c>
    </row>
    <row r="2772" customFormat="false" ht="23.85" hidden="false" customHeight="false" outlineLevel="0" collapsed="false">
      <c r="A2772" s="13" t="s">
        <v>4</v>
      </c>
      <c r="B2772" s="13" t="s">
        <v>4108</v>
      </c>
      <c r="C2772" s="13" t="n">
        <v>466</v>
      </c>
      <c r="D2772" s="13" t="s">
        <v>10971</v>
      </c>
      <c r="E2772" s="13" t="s">
        <v>10972</v>
      </c>
      <c r="F2772" s="13" t="s">
        <v>1905</v>
      </c>
      <c r="G2772" s="13" t="s">
        <v>10895</v>
      </c>
      <c r="H2772" s="13" t="s">
        <v>10973</v>
      </c>
      <c r="I2772" s="13" t="s">
        <v>82</v>
      </c>
      <c r="J2772" s="13" t="s">
        <v>5716</v>
      </c>
      <c r="K2772" s="13"/>
      <c r="L2772" s="13" t="s">
        <v>10974</v>
      </c>
      <c r="M2772" s="13" t="s">
        <v>10975</v>
      </c>
    </row>
    <row r="2773" customFormat="false" ht="35.05" hidden="false" customHeight="false" outlineLevel="0" collapsed="false">
      <c r="A2773" s="13" t="s">
        <v>4</v>
      </c>
      <c r="B2773" s="13" t="s">
        <v>4108</v>
      </c>
      <c r="C2773" s="13" t="n">
        <v>466</v>
      </c>
      <c r="D2773" s="13" t="s">
        <v>10971</v>
      </c>
      <c r="E2773" s="13" t="s">
        <v>10976</v>
      </c>
      <c r="F2773" s="13" t="s">
        <v>10973</v>
      </c>
      <c r="G2773" s="13" t="s">
        <v>1759</v>
      </c>
      <c r="H2773" s="13" t="s">
        <v>10977</v>
      </c>
      <c r="I2773" s="13" t="s">
        <v>82</v>
      </c>
      <c r="J2773" s="13" t="s">
        <v>5716</v>
      </c>
      <c r="K2773" s="13"/>
      <c r="L2773" s="13" t="s">
        <v>10974</v>
      </c>
      <c r="M2773" s="13" t="s">
        <v>10975</v>
      </c>
    </row>
    <row r="2774" customFormat="false" ht="23.85" hidden="false" customHeight="false" outlineLevel="0" collapsed="false">
      <c r="A2774" s="13" t="s">
        <v>4</v>
      </c>
      <c r="B2774" s="13" t="s">
        <v>4108</v>
      </c>
      <c r="C2774" s="13" t="n">
        <v>466</v>
      </c>
      <c r="D2774" s="13" t="s">
        <v>10978</v>
      </c>
      <c r="E2774" s="13" t="s">
        <v>10979</v>
      </c>
      <c r="F2774" s="13" t="s">
        <v>1905</v>
      </c>
      <c r="G2774" s="13" t="s">
        <v>10895</v>
      </c>
      <c r="H2774" s="13" t="s">
        <v>10980</v>
      </c>
      <c r="I2774" s="13" t="s">
        <v>82</v>
      </c>
      <c r="J2774" s="13" t="s">
        <v>5716</v>
      </c>
      <c r="K2774" s="13"/>
      <c r="L2774" s="13" t="s">
        <v>10981</v>
      </c>
      <c r="M2774" s="13" t="s">
        <v>10982</v>
      </c>
    </row>
    <row r="2775" customFormat="false" ht="35.05" hidden="false" customHeight="false" outlineLevel="0" collapsed="false">
      <c r="A2775" s="13" t="s">
        <v>4</v>
      </c>
      <c r="B2775" s="13" t="s">
        <v>4108</v>
      </c>
      <c r="C2775" s="13" t="n">
        <v>466</v>
      </c>
      <c r="D2775" s="13" t="s">
        <v>10978</v>
      </c>
      <c r="E2775" s="13" t="s">
        <v>10983</v>
      </c>
      <c r="F2775" s="13" t="s">
        <v>10980</v>
      </c>
      <c r="G2775" s="13" t="s">
        <v>1759</v>
      </c>
      <c r="H2775" s="13" t="s">
        <v>10984</v>
      </c>
      <c r="I2775" s="13" t="s">
        <v>82</v>
      </c>
      <c r="J2775" s="13" t="s">
        <v>5716</v>
      </c>
      <c r="K2775" s="13"/>
      <c r="L2775" s="13" t="s">
        <v>10981</v>
      </c>
      <c r="M2775" s="13" t="s">
        <v>10982</v>
      </c>
    </row>
    <row r="2776" customFormat="false" ht="23.85" hidden="false" customHeight="false" outlineLevel="0" collapsed="false">
      <c r="A2776" s="13" t="s">
        <v>4</v>
      </c>
      <c r="B2776" s="13" t="s">
        <v>4108</v>
      </c>
      <c r="C2776" s="13" t="n">
        <v>466</v>
      </c>
      <c r="D2776" s="13" t="s">
        <v>10985</v>
      </c>
      <c r="E2776" s="13" t="s">
        <v>10986</v>
      </c>
      <c r="F2776" s="13" t="s">
        <v>1905</v>
      </c>
      <c r="G2776" s="13" t="s">
        <v>10895</v>
      </c>
      <c r="H2776" s="13" t="s">
        <v>10987</v>
      </c>
      <c r="I2776" s="13" t="s">
        <v>82</v>
      </c>
      <c r="J2776" s="13" t="s">
        <v>5716</v>
      </c>
      <c r="K2776" s="13"/>
      <c r="L2776" s="13" t="s">
        <v>10988</v>
      </c>
      <c r="M2776" s="13" t="s">
        <v>10989</v>
      </c>
    </row>
    <row r="2777" customFormat="false" ht="35.05" hidden="false" customHeight="false" outlineLevel="0" collapsed="false">
      <c r="A2777" s="13" t="s">
        <v>4</v>
      </c>
      <c r="B2777" s="13" t="s">
        <v>4108</v>
      </c>
      <c r="C2777" s="13" t="n">
        <v>466</v>
      </c>
      <c r="D2777" s="13" t="s">
        <v>10985</v>
      </c>
      <c r="E2777" s="13" t="s">
        <v>10990</v>
      </c>
      <c r="F2777" s="13" t="s">
        <v>10987</v>
      </c>
      <c r="G2777" s="13" t="s">
        <v>1759</v>
      </c>
      <c r="H2777" s="13" t="s">
        <v>10991</v>
      </c>
      <c r="I2777" s="13" t="s">
        <v>82</v>
      </c>
      <c r="J2777" s="13" t="s">
        <v>5716</v>
      </c>
      <c r="K2777" s="13"/>
      <c r="L2777" s="13" t="s">
        <v>10988</v>
      </c>
      <c r="M2777" s="13" t="s">
        <v>10989</v>
      </c>
    </row>
    <row r="2778" customFormat="false" ht="23.85" hidden="false" customHeight="false" outlineLevel="0" collapsed="false">
      <c r="A2778" s="13" t="s">
        <v>4</v>
      </c>
      <c r="B2778" s="13" t="s">
        <v>4108</v>
      </c>
      <c r="C2778" s="13" t="n">
        <v>466</v>
      </c>
      <c r="D2778" s="13" t="s">
        <v>10992</v>
      </c>
      <c r="E2778" s="13" t="s">
        <v>10993</v>
      </c>
      <c r="F2778" s="13" t="s">
        <v>1905</v>
      </c>
      <c r="G2778" s="13" t="s">
        <v>10895</v>
      </c>
      <c r="H2778" s="13" t="s">
        <v>10994</v>
      </c>
      <c r="I2778" s="13" t="s">
        <v>82</v>
      </c>
      <c r="J2778" s="13" t="s">
        <v>5716</v>
      </c>
      <c r="K2778" s="13"/>
      <c r="L2778" s="13" t="s">
        <v>10995</v>
      </c>
      <c r="M2778" s="13" t="s">
        <v>10996</v>
      </c>
    </row>
    <row r="2779" customFormat="false" ht="35.05" hidden="false" customHeight="false" outlineLevel="0" collapsed="false">
      <c r="A2779" s="13" t="s">
        <v>4</v>
      </c>
      <c r="B2779" s="13" t="s">
        <v>4108</v>
      </c>
      <c r="C2779" s="13" t="n">
        <v>466</v>
      </c>
      <c r="D2779" s="13" t="s">
        <v>10992</v>
      </c>
      <c r="E2779" s="13" t="s">
        <v>10997</v>
      </c>
      <c r="F2779" s="13" t="s">
        <v>10994</v>
      </c>
      <c r="G2779" s="13" t="s">
        <v>1759</v>
      </c>
      <c r="H2779" s="13" t="s">
        <v>10998</v>
      </c>
      <c r="I2779" s="13" t="s">
        <v>82</v>
      </c>
      <c r="J2779" s="13" t="s">
        <v>5716</v>
      </c>
      <c r="K2779" s="13"/>
      <c r="L2779" s="13" t="s">
        <v>10995</v>
      </c>
      <c r="M2779" s="13" t="s">
        <v>10996</v>
      </c>
    </row>
    <row r="2780" customFormat="false" ht="35.05" hidden="false" customHeight="false" outlineLevel="0" collapsed="false">
      <c r="A2780" s="13" t="s">
        <v>4</v>
      </c>
      <c r="B2780" s="13" t="s">
        <v>4108</v>
      </c>
      <c r="C2780" s="13" t="n">
        <v>502</v>
      </c>
      <c r="D2780" s="13" t="s">
        <v>10999</v>
      </c>
      <c r="E2780" s="13" t="s">
        <v>11000</v>
      </c>
      <c r="F2780" s="13" t="s">
        <v>7833</v>
      </c>
      <c r="G2780" s="13" t="s">
        <v>669</v>
      </c>
      <c r="H2780" s="13" t="s">
        <v>11001</v>
      </c>
      <c r="I2780" s="13" t="s">
        <v>82</v>
      </c>
      <c r="J2780" s="13" t="s">
        <v>5716</v>
      </c>
      <c r="K2780" s="13"/>
      <c r="L2780" s="13" t="s">
        <v>11002</v>
      </c>
      <c r="M2780" s="13" t="s">
        <v>11003</v>
      </c>
    </row>
    <row r="2781" customFormat="false" ht="35.05" hidden="false" customHeight="false" outlineLevel="0" collapsed="false">
      <c r="A2781" s="13" t="s">
        <v>4</v>
      </c>
      <c r="B2781" s="13" t="s">
        <v>4108</v>
      </c>
      <c r="C2781" s="13" t="n">
        <v>502</v>
      </c>
      <c r="D2781" s="13" t="s">
        <v>10999</v>
      </c>
      <c r="E2781" s="13" t="s">
        <v>11004</v>
      </c>
      <c r="F2781" s="13" t="s">
        <v>7833</v>
      </c>
      <c r="G2781" s="13" t="s">
        <v>669</v>
      </c>
      <c r="H2781" s="13" t="s">
        <v>11005</v>
      </c>
      <c r="I2781" s="13" t="s">
        <v>82</v>
      </c>
      <c r="J2781" s="13" t="s">
        <v>5716</v>
      </c>
      <c r="K2781" s="13"/>
      <c r="L2781" s="13" t="s">
        <v>11002</v>
      </c>
      <c r="M2781" s="13" t="s">
        <v>11003</v>
      </c>
    </row>
    <row r="2782" customFormat="false" ht="35.05" hidden="false" customHeight="false" outlineLevel="0" collapsed="false">
      <c r="A2782" s="13" t="s">
        <v>4</v>
      </c>
      <c r="B2782" s="13" t="s">
        <v>4108</v>
      </c>
      <c r="C2782" s="13" t="n">
        <v>502</v>
      </c>
      <c r="D2782" s="13" t="s">
        <v>10999</v>
      </c>
      <c r="E2782" s="13" t="s">
        <v>11006</v>
      </c>
      <c r="F2782" s="13" t="s">
        <v>7833</v>
      </c>
      <c r="G2782" s="13" t="s">
        <v>669</v>
      </c>
      <c r="H2782" s="13" t="s">
        <v>11007</v>
      </c>
      <c r="I2782" s="13" t="s">
        <v>82</v>
      </c>
      <c r="J2782" s="13" t="s">
        <v>5716</v>
      </c>
      <c r="K2782" s="13"/>
      <c r="L2782" s="13" t="s">
        <v>11002</v>
      </c>
      <c r="M2782" s="13" t="s">
        <v>11003</v>
      </c>
    </row>
    <row r="2783" customFormat="false" ht="35.05" hidden="false" customHeight="false" outlineLevel="0" collapsed="false">
      <c r="A2783" s="13" t="s">
        <v>4</v>
      </c>
      <c r="B2783" s="13" t="s">
        <v>4108</v>
      </c>
      <c r="C2783" s="13" t="n">
        <v>502</v>
      </c>
      <c r="D2783" s="13" t="s">
        <v>10999</v>
      </c>
      <c r="E2783" s="13" t="s">
        <v>11008</v>
      </c>
      <c r="F2783" s="13" t="s">
        <v>7833</v>
      </c>
      <c r="G2783" s="13" t="s">
        <v>669</v>
      </c>
      <c r="H2783" s="13" t="s">
        <v>11009</v>
      </c>
      <c r="I2783" s="13" t="s">
        <v>82</v>
      </c>
      <c r="J2783" s="13" t="s">
        <v>5716</v>
      </c>
      <c r="K2783" s="13"/>
      <c r="L2783" s="13" t="s">
        <v>11002</v>
      </c>
      <c r="M2783" s="13" t="s">
        <v>11003</v>
      </c>
    </row>
    <row r="2784" customFormat="false" ht="91" hidden="false" customHeight="false" outlineLevel="0" collapsed="false">
      <c r="A2784" s="13" t="s">
        <v>4</v>
      </c>
      <c r="B2784" s="13" t="s">
        <v>4108</v>
      </c>
      <c r="C2784" s="13" t="n">
        <v>502</v>
      </c>
      <c r="D2784" s="13" t="s">
        <v>11010</v>
      </c>
      <c r="E2784" s="13" t="s">
        <v>11011</v>
      </c>
      <c r="F2784" s="13" t="s">
        <v>11012</v>
      </c>
      <c r="G2784" s="13" t="s">
        <v>736</v>
      </c>
      <c r="H2784" s="13" t="s">
        <v>11013</v>
      </c>
      <c r="I2784" s="13" t="s">
        <v>82</v>
      </c>
      <c r="J2784" s="13" t="s">
        <v>5716</v>
      </c>
      <c r="K2784" s="13"/>
      <c r="L2784" s="13" t="s">
        <v>11014</v>
      </c>
      <c r="M2784" s="13" t="s">
        <v>11015</v>
      </c>
    </row>
    <row r="2785" customFormat="false" ht="91" hidden="false" customHeight="false" outlineLevel="0" collapsed="false">
      <c r="A2785" s="13" t="s">
        <v>4</v>
      </c>
      <c r="B2785" s="13" t="s">
        <v>4108</v>
      </c>
      <c r="C2785" s="13" t="n">
        <v>502</v>
      </c>
      <c r="D2785" s="13" t="s">
        <v>11010</v>
      </c>
      <c r="E2785" s="13" t="s">
        <v>11016</v>
      </c>
      <c r="F2785" s="13" t="s">
        <v>11013</v>
      </c>
      <c r="G2785" s="13" t="s">
        <v>669</v>
      </c>
      <c r="H2785" s="13" t="s">
        <v>11017</v>
      </c>
      <c r="I2785" s="13" t="s">
        <v>74</v>
      </c>
      <c r="J2785" s="13" t="s">
        <v>11018</v>
      </c>
      <c r="K2785" s="13" t="s">
        <v>11019</v>
      </c>
      <c r="L2785" s="13" t="s">
        <v>11014</v>
      </c>
      <c r="M2785" s="13" t="s">
        <v>11015</v>
      </c>
    </row>
    <row r="2786" customFormat="false" ht="91" hidden="false" customHeight="false" outlineLevel="0" collapsed="false">
      <c r="A2786" s="13" t="s">
        <v>4</v>
      </c>
      <c r="B2786" s="13" t="s">
        <v>4108</v>
      </c>
      <c r="C2786" s="13" t="n">
        <v>502</v>
      </c>
      <c r="D2786" s="13" t="s">
        <v>11010</v>
      </c>
      <c r="E2786" s="13" t="s">
        <v>11020</v>
      </c>
      <c r="F2786" s="13" t="s">
        <v>11021</v>
      </c>
      <c r="G2786" s="13" t="s">
        <v>736</v>
      </c>
      <c r="H2786" s="13" t="s">
        <v>11022</v>
      </c>
      <c r="I2786" s="13" t="s">
        <v>114</v>
      </c>
      <c r="J2786" s="13" t="s">
        <v>11023</v>
      </c>
      <c r="K2786" s="13" t="s">
        <v>11024</v>
      </c>
      <c r="L2786" s="13" t="s">
        <v>11014</v>
      </c>
      <c r="M2786" s="13" t="s">
        <v>11015</v>
      </c>
    </row>
    <row r="2787" customFormat="false" ht="91" hidden="false" customHeight="false" outlineLevel="0" collapsed="false">
      <c r="A2787" s="13" t="s">
        <v>4</v>
      </c>
      <c r="B2787" s="13" t="s">
        <v>4108</v>
      </c>
      <c r="C2787" s="13" t="n">
        <v>502</v>
      </c>
      <c r="D2787" s="13" t="s">
        <v>11010</v>
      </c>
      <c r="E2787" s="13" t="s">
        <v>11025</v>
      </c>
      <c r="F2787" s="13" t="s">
        <v>11026</v>
      </c>
      <c r="G2787" s="13" t="s">
        <v>736</v>
      </c>
      <c r="H2787" s="13" t="s">
        <v>11027</v>
      </c>
      <c r="I2787" s="13" t="s">
        <v>82</v>
      </c>
      <c r="J2787" s="13" t="s">
        <v>5716</v>
      </c>
      <c r="K2787" s="13"/>
      <c r="L2787" s="13" t="s">
        <v>11014</v>
      </c>
      <c r="M2787" s="13" t="s">
        <v>11015</v>
      </c>
    </row>
    <row r="2788" customFormat="false" ht="113.4" hidden="false" customHeight="false" outlineLevel="0" collapsed="false">
      <c r="A2788" s="13" t="s">
        <v>4</v>
      </c>
      <c r="B2788" s="13" t="s">
        <v>4108</v>
      </c>
      <c r="C2788" s="13" t="n">
        <v>502</v>
      </c>
      <c r="D2788" s="13" t="s">
        <v>11028</v>
      </c>
      <c r="E2788" s="13" t="s">
        <v>11029</v>
      </c>
      <c r="F2788" s="13" t="s">
        <v>4226</v>
      </c>
      <c r="G2788" s="13" t="s">
        <v>2177</v>
      </c>
      <c r="H2788" s="13" t="s">
        <v>11030</v>
      </c>
      <c r="I2788" s="13" t="s">
        <v>82</v>
      </c>
      <c r="J2788" s="13" t="s">
        <v>5716</v>
      </c>
      <c r="K2788" s="13"/>
      <c r="L2788" s="13" t="s">
        <v>11031</v>
      </c>
      <c r="M2788" s="13" t="s">
        <v>11032</v>
      </c>
    </row>
    <row r="2789" customFormat="false" ht="113.4" hidden="false" customHeight="false" outlineLevel="0" collapsed="false">
      <c r="A2789" s="13" t="s">
        <v>4</v>
      </c>
      <c r="B2789" s="13" t="s">
        <v>4108</v>
      </c>
      <c r="C2789" s="13" t="n">
        <v>502</v>
      </c>
      <c r="D2789" s="13" t="s">
        <v>11028</v>
      </c>
      <c r="E2789" s="13" t="s">
        <v>11033</v>
      </c>
      <c r="F2789" s="13" t="s">
        <v>11030</v>
      </c>
      <c r="G2789" s="13" t="s">
        <v>736</v>
      </c>
      <c r="H2789" s="13" t="s">
        <v>11034</v>
      </c>
      <c r="I2789" s="13" t="s">
        <v>82</v>
      </c>
      <c r="J2789" s="13" t="s">
        <v>5716</v>
      </c>
      <c r="K2789" s="13"/>
      <c r="L2789" s="13" t="s">
        <v>11031</v>
      </c>
      <c r="M2789" s="13" t="s">
        <v>11032</v>
      </c>
    </row>
    <row r="2790" customFormat="false" ht="113.4" hidden="false" customHeight="false" outlineLevel="0" collapsed="false">
      <c r="A2790" s="13" t="s">
        <v>4</v>
      </c>
      <c r="B2790" s="13" t="s">
        <v>4108</v>
      </c>
      <c r="C2790" s="13" t="n">
        <v>502</v>
      </c>
      <c r="D2790" s="13" t="s">
        <v>11028</v>
      </c>
      <c r="E2790" s="13" t="s">
        <v>11035</v>
      </c>
      <c r="F2790" s="13" t="s">
        <v>11030</v>
      </c>
      <c r="G2790" s="13" t="s">
        <v>736</v>
      </c>
      <c r="H2790" s="13" t="s">
        <v>11036</v>
      </c>
      <c r="I2790" s="13" t="s">
        <v>82</v>
      </c>
      <c r="J2790" s="13" t="s">
        <v>5716</v>
      </c>
      <c r="K2790" s="13"/>
      <c r="L2790" s="13" t="s">
        <v>11031</v>
      </c>
      <c r="M2790" s="13" t="s">
        <v>11032</v>
      </c>
    </row>
    <row r="2791" customFormat="false" ht="113.4" hidden="false" customHeight="false" outlineLevel="0" collapsed="false">
      <c r="A2791" s="13" t="s">
        <v>4</v>
      </c>
      <c r="B2791" s="13" t="s">
        <v>4108</v>
      </c>
      <c r="C2791" s="13" t="n">
        <v>502</v>
      </c>
      <c r="D2791" s="13" t="s">
        <v>11028</v>
      </c>
      <c r="E2791" s="13" t="s">
        <v>11037</v>
      </c>
      <c r="F2791" s="13" t="s">
        <v>11030</v>
      </c>
      <c r="G2791" s="13" t="s">
        <v>736</v>
      </c>
      <c r="H2791" s="13" t="s">
        <v>11038</v>
      </c>
      <c r="I2791" s="13" t="s">
        <v>82</v>
      </c>
      <c r="J2791" s="13" t="s">
        <v>5716</v>
      </c>
      <c r="K2791" s="13"/>
      <c r="L2791" s="13" t="s">
        <v>11031</v>
      </c>
      <c r="M2791" s="13" t="s">
        <v>11032</v>
      </c>
    </row>
    <row r="2792" customFormat="false" ht="113.4" hidden="false" customHeight="false" outlineLevel="0" collapsed="false">
      <c r="A2792" s="13" t="s">
        <v>4</v>
      </c>
      <c r="B2792" s="13" t="s">
        <v>4108</v>
      </c>
      <c r="C2792" s="13" t="n">
        <v>502</v>
      </c>
      <c r="D2792" s="13" t="s">
        <v>11028</v>
      </c>
      <c r="E2792" s="13" t="s">
        <v>11039</v>
      </c>
      <c r="F2792" s="13" t="s">
        <v>11030</v>
      </c>
      <c r="G2792" s="13" t="s">
        <v>736</v>
      </c>
      <c r="H2792" s="13" t="s">
        <v>11040</v>
      </c>
      <c r="I2792" s="13" t="s">
        <v>82</v>
      </c>
      <c r="J2792" s="13" t="s">
        <v>5716</v>
      </c>
      <c r="K2792" s="13"/>
      <c r="L2792" s="13" t="s">
        <v>11031</v>
      </c>
      <c r="M2792" s="13" t="s">
        <v>11032</v>
      </c>
    </row>
    <row r="2793" customFormat="false" ht="113.4" hidden="false" customHeight="false" outlineLevel="0" collapsed="false">
      <c r="A2793" s="13" t="s">
        <v>4</v>
      </c>
      <c r="B2793" s="13" t="s">
        <v>4108</v>
      </c>
      <c r="C2793" s="13" t="n">
        <v>502</v>
      </c>
      <c r="D2793" s="13" t="s">
        <v>11028</v>
      </c>
      <c r="E2793" s="13" t="s">
        <v>11041</v>
      </c>
      <c r="F2793" s="13" t="s">
        <v>11030</v>
      </c>
      <c r="G2793" s="13" t="s">
        <v>669</v>
      </c>
      <c r="H2793" s="13" t="s">
        <v>11042</v>
      </c>
      <c r="I2793" s="13" t="s">
        <v>82</v>
      </c>
      <c r="J2793" s="13" t="s">
        <v>5716</v>
      </c>
      <c r="K2793" s="13"/>
      <c r="L2793" s="13" t="s">
        <v>11031</v>
      </c>
      <c r="M2793" s="13" t="s">
        <v>11032</v>
      </c>
    </row>
    <row r="2794" customFormat="false" ht="113.4" hidden="false" customHeight="false" outlineLevel="0" collapsed="false">
      <c r="A2794" s="13" t="s">
        <v>4</v>
      </c>
      <c r="B2794" s="13" t="s">
        <v>4108</v>
      </c>
      <c r="C2794" s="13" t="n">
        <v>502</v>
      </c>
      <c r="D2794" s="13" t="s">
        <v>11028</v>
      </c>
      <c r="E2794" s="13" t="s">
        <v>11043</v>
      </c>
      <c r="F2794" s="13" t="s">
        <v>11030</v>
      </c>
      <c r="G2794" s="13" t="s">
        <v>669</v>
      </c>
      <c r="H2794" s="13" t="s">
        <v>11044</v>
      </c>
      <c r="I2794" s="13" t="s">
        <v>82</v>
      </c>
      <c r="J2794" s="13" t="s">
        <v>5716</v>
      </c>
      <c r="K2794" s="13"/>
      <c r="L2794" s="13" t="s">
        <v>11031</v>
      </c>
      <c r="M2794" s="13" t="s">
        <v>11032</v>
      </c>
    </row>
    <row r="2795" customFormat="false" ht="113.4" hidden="false" customHeight="false" outlineLevel="0" collapsed="false">
      <c r="A2795" s="13" t="s">
        <v>4</v>
      </c>
      <c r="B2795" s="13" t="s">
        <v>4108</v>
      </c>
      <c r="C2795" s="13" t="n">
        <v>502</v>
      </c>
      <c r="D2795" s="13" t="s">
        <v>11028</v>
      </c>
      <c r="E2795" s="13" t="s">
        <v>11045</v>
      </c>
      <c r="F2795" s="13" t="s">
        <v>11030</v>
      </c>
      <c r="G2795" s="13" t="s">
        <v>669</v>
      </c>
      <c r="H2795" s="13" t="s">
        <v>11046</v>
      </c>
      <c r="I2795" s="13" t="s">
        <v>82</v>
      </c>
      <c r="J2795" s="13" t="s">
        <v>5716</v>
      </c>
      <c r="K2795" s="13"/>
      <c r="L2795" s="13" t="s">
        <v>11031</v>
      </c>
      <c r="M2795" s="13" t="s">
        <v>11032</v>
      </c>
    </row>
    <row r="2796" customFormat="false" ht="79.85" hidden="false" customHeight="false" outlineLevel="0" collapsed="false">
      <c r="A2796" s="13" t="s">
        <v>4</v>
      </c>
      <c r="B2796" s="13" t="s">
        <v>4108</v>
      </c>
      <c r="C2796" s="13" t="n">
        <v>502</v>
      </c>
      <c r="D2796" s="13" t="s">
        <v>11047</v>
      </c>
      <c r="E2796" s="13" t="s">
        <v>11048</v>
      </c>
      <c r="F2796" s="13" t="s">
        <v>11049</v>
      </c>
      <c r="G2796" s="13" t="s">
        <v>11050</v>
      </c>
      <c r="H2796" s="13" t="s">
        <v>11051</v>
      </c>
      <c r="I2796" s="13" t="s">
        <v>82</v>
      </c>
      <c r="J2796" s="13" t="s">
        <v>5716</v>
      </c>
      <c r="K2796" s="13"/>
      <c r="L2796" s="13" t="s">
        <v>11052</v>
      </c>
      <c r="M2796" s="13" t="s">
        <v>11053</v>
      </c>
    </row>
    <row r="2797" customFormat="false" ht="79.85" hidden="false" customHeight="false" outlineLevel="0" collapsed="false">
      <c r="A2797" s="13" t="s">
        <v>4</v>
      </c>
      <c r="B2797" s="13" t="s">
        <v>4108</v>
      </c>
      <c r="C2797" s="13" t="n">
        <v>502</v>
      </c>
      <c r="D2797" s="13" t="s">
        <v>11047</v>
      </c>
      <c r="E2797" s="13" t="s">
        <v>11054</v>
      </c>
      <c r="F2797" s="13" t="s">
        <v>11049</v>
      </c>
      <c r="G2797" s="13" t="s">
        <v>11055</v>
      </c>
      <c r="H2797" s="13" t="s">
        <v>11051</v>
      </c>
      <c r="I2797" s="13" t="s">
        <v>82</v>
      </c>
      <c r="J2797" s="13" t="s">
        <v>5716</v>
      </c>
      <c r="K2797" s="13"/>
      <c r="L2797" s="13" t="s">
        <v>11052</v>
      </c>
      <c r="M2797" s="13" t="s">
        <v>11053</v>
      </c>
    </row>
    <row r="2798" customFormat="false" ht="79.85" hidden="false" customHeight="false" outlineLevel="0" collapsed="false">
      <c r="A2798" s="13" t="s">
        <v>4</v>
      </c>
      <c r="B2798" s="13" t="s">
        <v>4108</v>
      </c>
      <c r="C2798" s="13" t="n">
        <v>502</v>
      </c>
      <c r="D2798" s="13" t="s">
        <v>11047</v>
      </c>
      <c r="E2798" s="13" t="s">
        <v>11056</v>
      </c>
      <c r="F2798" s="13" t="s">
        <v>3353</v>
      </c>
      <c r="G2798" s="13" t="s">
        <v>11057</v>
      </c>
      <c r="H2798" s="13" t="s">
        <v>11051</v>
      </c>
      <c r="I2798" s="13" t="s">
        <v>82</v>
      </c>
      <c r="J2798" s="13" t="s">
        <v>5716</v>
      </c>
      <c r="K2798" s="13"/>
      <c r="L2798" s="13" t="s">
        <v>11052</v>
      </c>
      <c r="M2798" s="13" t="s">
        <v>11053</v>
      </c>
    </row>
    <row r="2799" customFormat="false" ht="79.85" hidden="false" customHeight="false" outlineLevel="0" collapsed="false">
      <c r="A2799" s="13" t="s">
        <v>4</v>
      </c>
      <c r="B2799" s="13" t="s">
        <v>4108</v>
      </c>
      <c r="C2799" s="13" t="n">
        <v>502</v>
      </c>
      <c r="D2799" s="13" t="s">
        <v>11047</v>
      </c>
      <c r="E2799" s="13" t="s">
        <v>11058</v>
      </c>
      <c r="F2799" s="13" t="s">
        <v>11059</v>
      </c>
      <c r="G2799" s="13" t="s">
        <v>11060</v>
      </c>
      <c r="H2799" s="13" t="s">
        <v>11061</v>
      </c>
      <c r="I2799" s="13" t="s">
        <v>82</v>
      </c>
      <c r="J2799" s="13" t="s">
        <v>5716</v>
      </c>
      <c r="K2799" s="13"/>
      <c r="L2799" s="13" t="s">
        <v>11052</v>
      </c>
      <c r="M2799" s="13" t="s">
        <v>11053</v>
      </c>
    </row>
    <row r="2800" customFormat="false" ht="91" hidden="false" customHeight="false" outlineLevel="0" collapsed="false">
      <c r="A2800" s="13" t="s">
        <v>4</v>
      </c>
      <c r="B2800" s="13" t="s">
        <v>4108</v>
      </c>
      <c r="C2800" s="13" t="n">
        <v>502</v>
      </c>
      <c r="D2800" s="13" t="s">
        <v>11062</v>
      </c>
      <c r="E2800" s="13" t="s">
        <v>11063</v>
      </c>
      <c r="F2800" s="13" t="s">
        <v>11064</v>
      </c>
      <c r="G2800" s="13" t="s">
        <v>11065</v>
      </c>
      <c r="H2800" s="13" t="s">
        <v>11066</v>
      </c>
      <c r="I2800" s="13" t="s">
        <v>82</v>
      </c>
      <c r="J2800" s="13" t="s">
        <v>5716</v>
      </c>
      <c r="K2800" s="13"/>
      <c r="L2800" s="13" t="s">
        <v>11067</v>
      </c>
      <c r="M2800" s="13" t="s">
        <v>11068</v>
      </c>
    </row>
    <row r="2801" customFormat="false" ht="91" hidden="false" customHeight="false" outlineLevel="0" collapsed="false">
      <c r="A2801" s="13" t="s">
        <v>4</v>
      </c>
      <c r="B2801" s="13" t="s">
        <v>4108</v>
      </c>
      <c r="C2801" s="13" t="n">
        <v>502</v>
      </c>
      <c r="D2801" s="13" t="s">
        <v>11062</v>
      </c>
      <c r="E2801" s="13" t="s">
        <v>11069</v>
      </c>
      <c r="F2801" s="13" t="s">
        <v>4201</v>
      </c>
      <c r="G2801" s="13" t="s">
        <v>744</v>
      </c>
      <c r="H2801" s="13" t="s">
        <v>11064</v>
      </c>
      <c r="I2801" s="13" t="s">
        <v>82</v>
      </c>
      <c r="J2801" s="13" t="s">
        <v>5716</v>
      </c>
      <c r="K2801" s="13"/>
      <c r="L2801" s="13" t="s">
        <v>11067</v>
      </c>
      <c r="M2801" s="13" t="s">
        <v>11068</v>
      </c>
    </row>
    <row r="2802" customFormat="false" ht="91" hidden="false" customHeight="false" outlineLevel="0" collapsed="false">
      <c r="A2802" s="13" t="s">
        <v>4</v>
      </c>
      <c r="B2802" s="13" t="s">
        <v>4108</v>
      </c>
      <c r="C2802" s="13" t="n">
        <v>502</v>
      </c>
      <c r="D2802" s="13" t="s">
        <v>11062</v>
      </c>
      <c r="E2802" s="13" t="s">
        <v>11070</v>
      </c>
      <c r="F2802" s="13" t="s">
        <v>3355</v>
      </c>
      <c r="G2802" s="13" t="s">
        <v>261</v>
      </c>
      <c r="H2802" s="13" t="s">
        <v>7833</v>
      </c>
      <c r="I2802" s="13" t="s">
        <v>82</v>
      </c>
      <c r="J2802" s="13" t="s">
        <v>5716</v>
      </c>
      <c r="K2802" s="13"/>
      <c r="L2802" s="13" t="s">
        <v>11067</v>
      </c>
      <c r="M2802" s="13" t="s">
        <v>11068</v>
      </c>
    </row>
    <row r="2803" customFormat="false" ht="91" hidden="false" customHeight="false" outlineLevel="0" collapsed="false">
      <c r="A2803" s="13" t="s">
        <v>4</v>
      </c>
      <c r="B2803" s="13" t="s">
        <v>4108</v>
      </c>
      <c r="C2803" s="13" t="n">
        <v>502</v>
      </c>
      <c r="D2803" s="13" t="s">
        <v>11062</v>
      </c>
      <c r="E2803" s="13" t="s">
        <v>11071</v>
      </c>
      <c r="F2803" s="13" t="s">
        <v>7833</v>
      </c>
      <c r="G2803" s="13" t="s">
        <v>1054</v>
      </c>
      <c r="H2803" s="13" t="s">
        <v>11072</v>
      </c>
      <c r="I2803" s="13" t="s">
        <v>82</v>
      </c>
      <c r="J2803" s="13" t="s">
        <v>5716</v>
      </c>
      <c r="K2803" s="13"/>
      <c r="L2803" s="13" t="s">
        <v>11067</v>
      </c>
      <c r="M2803" s="13" t="s">
        <v>11068</v>
      </c>
    </row>
    <row r="2804" customFormat="false" ht="68.65" hidden="false" customHeight="false" outlineLevel="0" collapsed="false">
      <c r="A2804" s="13" t="s">
        <v>4</v>
      </c>
      <c r="B2804" s="13" t="s">
        <v>4108</v>
      </c>
      <c r="C2804" s="13" t="n">
        <v>502</v>
      </c>
      <c r="D2804" s="13" t="s">
        <v>11073</v>
      </c>
      <c r="E2804" s="13" t="s">
        <v>11074</v>
      </c>
      <c r="F2804" s="13" t="s">
        <v>11075</v>
      </c>
      <c r="G2804" s="13" t="s">
        <v>5496</v>
      </c>
      <c r="H2804" s="13" t="s">
        <v>11076</v>
      </c>
      <c r="I2804" s="13" t="s">
        <v>82</v>
      </c>
      <c r="J2804" s="13" t="s">
        <v>5716</v>
      </c>
      <c r="K2804" s="13"/>
      <c r="L2804" s="13" t="s">
        <v>11077</v>
      </c>
      <c r="M2804" s="13" t="s">
        <v>11078</v>
      </c>
    </row>
    <row r="2805" customFormat="false" ht="68.65" hidden="false" customHeight="false" outlineLevel="0" collapsed="false">
      <c r="A2805" s="13" t="s">
        <v>4</v>
      </c>
      <c r="B2805" s="13" t="s">
        <v>4108</v>
      </c>
      <c r="C2805" s="13" t="n">
        <v>502</v>
      </c>
      <c r="D2805" s="13" t="s">
        <v>11073</v>
      </c>
      <c r="E2805" s="13" t="s">
        <v>11079</v>
      </c>
      <c r="F2805" s="13" t="s">
        <v>11075</v>
      </c>
      <c r="G2805" s="13" t="s">
        <v>11080</v>
      </c>
      <c r="H2805" s="13" t="s">
        <v>11081</v>
      </c>
      <c r="I2805" s="13" t="s">
        <v>82</v>
      </c>
      <c r="J2805" s="13" t="s">
        <v>5716</v>
      </c>
      <c r="K2805" s="13"/>
      <c r="L2805" s="13" t="s">
        <v>11077</v>
      </c>
      <c r="M2805" s="13" t="s">
        <v>11078</v>
      </c>
    </row>
    <row r="2806" customFormat="false" ht="68.65" hidden="false" customHeight="false" outlineLevel="0" collapsed="false">
      <c r="A2806" s="13" t="s">
        <v>4</v>
      </c>
      <c r="B2806" s="13" t="s">
        <v>4108</v>
      </c>
      <c r="C2806" s="13" t="n">
        <v>502</v>
      </c>
      <c r="D2806" s="13" t="s">
        <v>11073</v>
      </c>
      <c r="E2806" s="13" t="s">
        <v>11082</v>
      </c>
      <c r="F2806" s="13" t="s">
        <v>4201</v>
      </c>
      <c r="G2806" s="13" t="s">
        <v>5496</v>
      </c>
      <c r="H2806" s="13" t="s">
        <v>11083</v>
      </c>
      <c r="I2806" s="13" t="s">
        <v>82</v>
      </c>
      <c r="J2806" s="13" t="s">
        <v>5716</v>
      </c>
      <c r="K2806" s="13"/>
      <c r="L2806" s="13" t="s">
        <v>11077</v>
      </c>
      <c r="M2806" s="13" t="s">
        <v>11078</v>
      </c>
    </row>
    <row r="2807" customFormat="false" ht="68.65" hidden="false" customHeight="false" outlineLevel="0" collapsed="false">
      <c r="A2807" s="13" t="s">
        <v>4</v>
      </c>
      <c r="B2807" s="13" t="s">
        <v>4108</v>
      </c>
      <c r="C2807" s="13" t="n">
        <v>502</v>
      </c>
      <c r="D2807" s="13" t="s">
        <v>11073</v>
      </c>
      <c r="E2807" s="13" t="s">
        <v>11084</v>
      </c>
      <c r="F2807" s="13" t="s">
        <v>4201</v>
      </c>
      <c r="G2807" s="13" t="s">
        <v>5496</v>
      </c>
      <c r="H2807" s="13" t="s">
        <v>11085</v>
      </c>
      <c r="I2807" s="13" t="s">
        <v>82</v>
      </c>
      <c r="J2807" s="13" t="s">
        <v>5716</v>
      </c>
      <c r="K2807" s="13"/>
      <c r="L2807" s="13" t="s">
        <v>11077</v>
      </c>
      <c r="M2807" s="13" t="s">
        <v>11078</v>
      </c>
    </row>
    <row r="2808" customFormat="false" ht="68.65" hidden="false" customHeight="false" outlineLevel="0" collapsed="false">
      <c r="A2808" s="13" t="s">
        <v>4</v>
      </c>
      <c r="B2808" s="13" t="s">
        <v>4108</v>
      </c>
      <c r="C2808" s="13" t="n">
        <v>502</v>
      </c>
      <c r="D2808" s="13" t="s">
        <v>11073</v>
      </c>
      <c r="E2808" s="13" t="s">
        <v>11086</v>
      </c>
      <c r="F2808" s="13" t="s">
        <v>11064</v>
      </c>
      <c r="G2808" s="13" t="s">
        <v>11087</v>
      </c>
      <c r="H2808" s="13" t="s">
        <v>11001</v>
      </c>
      <c r="I2808" s="13" t="s">
        <v>82</v>
      </c>
      <c r="J2808" s="13" t="s">
        <v>5716</v>
      </c>
      <c r="K2808" s="13"/>
      <c r="L2808" s="13" t="s">
        <v>11077</v>
      </c>
      <c r="M2808" s="13" t="s">
        <v>11078</v>
      </c>
    </row>
    <row r="2809" customFormat="false" ht="68.65" hidden="false" customHeight="false" outlineLevel="0" collapsed="false">
      <c r="A2809" s="13" t="s">
        <v>4</v>
      </c>
      <c r="B2809" s="13" t="s">
        <v>4108</v>
      </c>
      <c r="C2809" s="13" t="n">
        <v>502</v>
      </c>
      <c r="D2809" s="13" t="s">
        <v>11073</v>
      </c>
      <c r="E2809" s="13" t="s">
        <v>11088</v>
      </c>
      <c r="F2809" s="13" t="s">
        <v>4201</v>
      </c>
      <c r="G2809" s="13" t="s">
        <v>168</v>
      </c>
      <c r="H2809" s="13" t="s">
        <v>11089</v>
      </c>
      <c r="I2809" s="13" t="s">
        <v>82</v>
      </c>
      <c r="J2809" s="13" t="s">
        <v>5716</v>
      </c>
      <c r="K2809" s="13"/>
      <c r="L2809" s="13" t="s">
        <v>11077</v>
      </c>
      <c r="M2809" s="13" t="s">
        <v>11078</v>
      </c>
    </row>
  </sheetData>
  <autoFilter ref="A1:M280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5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8"/>
    <col collapsed="false" customWidth="true" hidden="false" outlineLevel="0" max="3" min="3" style="0" width="7"/>
    <col collapsed="false" customWidth="true" hidden="false" outlineLevel="0" max="4" min="4" style="0" width="15"/>
    <col collapsed="false" customWidth="true" hidden="false" outlineLevel="0" max="5" min="5" style="0" width="13"/>
    <col collapsed="false" customWidth="true" hidden="false" outlineLevel="0" max="6" min="6" style="0" width="60"/>
    <col collapsed="false" customWidth="true" hidden="false" outlineLevel="0" max="8" min="7" style="0" width="11"/>
    <col collapsed="false" customWidth="true" hidden="false" outlineLevel="0" max="9" min="9" style="0" width="40"/>
    <col collapsed="false" customWidth="true" hidden="false" outlineLevel="0" max="10" min="10" style="0" width="50"/>
    <col collapsed="false" customWidth="true" hidden="false" outlineLevel="0" max="12" min="11" style="0" width="70"/>
  </cols>
  <sheetData>
    <row r="1" customFormat="false" ht="52.2" hidden="false" customHeight="false" outlineLevel="0" collapsed="false">
      <c r="A1" s="12" t="s">
        <v>55</v>
      </c>
      <c r="B1" s="12" t="s">
        <v>56</v>
      </c>
      <c r="C1" s="12" t="s">
        <v>57</v>
      </c>
      <c r="D1" s="12" t="s">
        <v>58</v>
      </c>
      <c r="E1" s="12" t="s">
        <v>11090</v>
      </c>
      <c r="F1" s="12" t="s">
        <v>11091</v>
      </c>
      <c r="G1" s="12" t="s">
        <v>11092</v>
      </c>
      <c r="H1" s="12" t="s">
        <v>11093</v>
      </c>
      <c r="I1" s="12" t="s">
        <v>11094</v>
      </c>
      <c r="J1" s="12" t="s">
        <v>11095</v>
      </c>
      <c r="K1" s="12" t="s">
        <v>66</v>
      </c>
      <c r="L1" s="12" t="s">
        <v>67</v>
      </c>
    </row>
    <row r="2" customFormat="false" ht="124.6" hidden="false" customHeight="false" outlineLevel="0" collapsed="false">
      <c r="A2" s="13" t="s">
        <v>3</v>
      </c>
      <c r="B2" s="13" t="s">
        <v>68</v>
      </c>
      <c r="C2" s="13" t="n">
        <v>71</v>
      </c>
      <c r="D2" s="13" t="s">
        <v>69</v>
      </c>
      <c r="E2" s="13" t="s">
        <v>11096</v>
      </c>
      <c r="F2" s="13" t="s">
        <v>11097</v>
      </c>
      <c r="G2" s="13" t="s">
        <v>11098</v>
      </c>
      <c r="H2" s="13" t="s">
        <v>11099</v>
      </c>
      <c r="I2" s="13" t="s">
        <v>11100</v>
      </c>
      <c r="J2" s="13"/>
      <c r="K2" s="13" t="s">
        <v>77</v>
      </c>
      <c r="L2" s="13" t="s">
        <v>78</v>
      </c>
    </row>
    <row r="3" customFormat="false" ht="147" hidden="false" customHeight="false" outlineLevel="0" collapsed="false">
      <c r="A3" s="13" t="s">
        <v>3</v>
      </c>
      <c r="B3" s="13" t="s">
        <v>68</v>
      </c>
      <c r="C3" s="13" t="n">
        <v>71</v>
      </c>
      <c r="D3" s="13" t="s">
        <v>96</v>
      </c>
      <c r="E3" s="13" t="s">
        <v>11101</v>
      </c>
      <c r="F3" s="13" t="s">
        <v>11102</v>
      </c>
      <c r="G3" s="13" t="s">
        <v>11098</v>
      </c>
      <c r="H3" s="13" t="s">
        <v>11099</v>
      </c>
      <c r="I3" s="13" t="s">
        <v>11103</v>
      </c>
      <c r="J3" s="13"/>
      <c r="K3" s="13" t="s">
        <v>100</v>
      </c>
      <c r="L3" s="13" t="s">
        <v>101</v>
      </c>
    </row>
    <row r="4" customFormat="false" ht="147" hidden="false" customHeight="false" outlineLevel="0" collapsed="false">
      <c r="A4" s="13" t="s">
        <v>3</v>
      </c>
      <c r="B4" s="13" t="s">
        <v>68</v>
      </c>
      <c r="C4" s="13" t="n">
        <v>71</v>
      </c>
      <c r="D4" s="13" t="s">
        <v>96</v>
      </c>
      <c r="E4" s="13" t="s">
        <v>11104</v>
      </c>
      <c r="F4" s="13" t="s">
        <v>11105</v>
      </c>
      <c r="G4" s="13" t="s">
        <v>11098</v>
      </c>
      <c r="H4" s="13" t="s">
        <v>11099</v>
      </c>
      <c r="I4" s="13" t="s">
        <v>11106</v>
      </c>
      <c r="J4" s="13"/>
      <c r="K4" s="13" t="s">
        <v>100</v>
      </c>
      <c r="L4" s="13" t="s">
        <v>101</v>
      </c>
    </row>
    <row r="5" customFormat="false" ht="147" hidden="false" customHeight="false" outlineLevel="0" collapsed="false">
      <c r="A5" s="13" t="s">
        <v>3</v>
      </c>
      <c r="B5" s="13" t="s">
        <v>68</v>
      </c>
      <c r="C5" s="13" t="n">
        <v>71</v>
      </c>
      <c r="D5" s="13" t="s">
        <v>96</v>
      </c>
      <c r="E5" s="13" t="s">
        <v>11107</v>
      </c>
      <c r="F5" s="13" t="s">
        <v>11108</v>
      </c>
      <c r="G5" s="13" t="s">
        <v>11098</v>
      </c>
      <c r="H5" s="13" t="s">
        <v>11099</v>
      </c>
      <c r="I5" s="13" t="s">
        <v>117</v>
      </c>
      <c r="J5" s="13"/>
      <c r="K5" s="13" t="s">
        <v>100</v>
      </c>
      <c r="L5" s="13" t="s">
        <v>101</v>
      </c>
    </row>
    <row r="6" customFormat="false" ht="57.45" hidden="false" customHeight="false" outlineLevel="0" collapsed="false">
      <c r="A6" s="13" t="s">
        <v>3</v>
      </c>
      <c r="B6" s="13" t="s">
        <v>68</v>
      </c>
      <c r="C6" s="13" t="n">
        <v>71</v>
      </c>
      <c r="D6" s="13" t="s">
        <v>120</v>
      </c>
      <c r="E6" s="13" t="s">
        <v>11109</v>
      </c>
      <c r="F6" s="13" t="s">
        <v>11110</v>
      </c>
      <c r="G6" s="13" t="s">
        <v>11098</v>
      </c>
      <c r="H6" s="13" t="s">
        <v>11099</v>
      </c>
      <c r="I6" s="13" t="s">
        <v>11111</v>
      </c>
      <c r="J6" s="13"/>
      <c r="K6" s="13" t="s">
        <v>124</v>
      </c>
      <c r="L6" s="13" t="s">
        <v>125</v>
      </c>
    </row>
    <row r="7" customFormat="false" ht="124.6" hidden="false" customHeight="false" outlineLevel="0" collapsed="false">
      <c r="A7" s="13" t="s">
        <v>3</v>
      </c>
      <c r="B7" s="13" t="s">
        <v>68</v>
      </c>
      <c r="C7" s="13" t="n">
        <v>71</v>
      </c>
      <c r="D7" s="13" t="s">
        <v>133</v>
      </c>
      <c r="E7" s="13" t="s">
        <v>11112</v>
      </c>
      <c r="F7" s="13" t="s">
        <v>11113</v>
      </c>
      <c r="G7" s="13" t="s">
        <v>11098</v>
      </c>
      <c r="H7" s="13" t="s">
        <v>11099</v>
      </c>
      <c r="I7" s="13" t="s">
        <v>11114</v>
      </c>
      <c r="J7" s="13"/>
      <c r="K7" s="13" t="s">
        <v>137</v>
      </c>
      <c r="L7" s="13" t="s">
        <v>138</v>
      </c>
    </row>
    <row r="8" customFormat="false" ht="124.6" hidden="false" customHeight="false" outlineLevel="0" collapsed="false">
      <c r="A8" s="13" t="s">
        <v>3</v>
      </c>
      <c r="B8" s="13" t="s">
        <v>68</v>
      </c>
      <c r="C8" s="13" t="n">
        <v>71</v>
      </c>
      <c r="D8" s="13" t="s">
        <v>133</v>
      </c>
      <c r="E8" s="13" t="s">
        <v>11115</v>
      </c>
      <c r="F8" s="13" t="s">
        <v>11116</v>
      </c>
      <c r="G8" s="13" t="s">
        <v>11098</v>
      </c>
      <c r="H8" s="13" t="s">
        <v>11099</v>
      </c>
      <c r="I8" s="13" t="s">
        <v>11117</v>
      </c>
      <c r="J8" s="13"/>
      <c r="K8" s="13" t="s">
        <v>137</v>
      </c>
      <c r="L8" s="13" t="s">
        <v>138</v>
      </c>
    </row>
    <row r="9" customFormat="false" ht="124.6" hidden="false" customHeight="false" outlineLevel="0" collapsed="false">
      <c r="A9" s="13" t="s">
        <v>3</v>
      </c>
      <c r="B9" s="13" t="s">
        <v>68</v>
      </c>
      <c r="C9" s="13" t="n">
        <v>71</v>
      </c>
      <c r="D9" s="13" t="s">
        <v>133</v>
      </c>
      <c r="E9" s="13" t="s">
        <v>11118</v>
      </c>
      <c r="F9" s="13" t="s">
        <v>11119</v>
      </c>
      <c r="G9" s="13" t="s">
        <v>11098</v>
      </c>
      <c r="H9" s="13" t="s">
        <v>11099</v>
      </c>
      <c r="I9" s="13" t="s">
        <v>142</v>
      </c>
      <c r="J9" s="13"/>
      <c r="K9" s="13" t="s">
        <v>137</v>
      </c>
      <c r="L9" s="13" t="s">
        <v>138</v>
      </c>
    </row>
    <row r="10" customFormat="false" ht="23.85" hidden="false" customHeight="false" outlineLevel="0" collapsed="false">
      <c r="A10" s="13" t="s">
        <v>3</v>
      </c>
      <c r="B10" s="13" t="s">
        <v>68</v>
      </c>
      <c r="C10" s="13" t="n">
        <v>71</v>
      </c>
      <c r="D10" s="13" t="s">
        <v>151</v>
      </c>
      <c r="E10" s="13" t="s">
        <v>11120</v>
      </c>
      <c r="F10" s="13" t="s">
        <v>11121</v>
      </c>
      <c r="G10" s="13" t="s">
        <v>11098</v>
      </c>
      <c r="H10" s="13" t="s">
        <v>11099</v>
      </c>
      <c r="I10" s="13" t="s">
        <v>11122</v>
      </c>
      <c r="J10" s="13"/>
      <c r="K10" s="13" t="s">
        <v>156</v>
      </c>
      <c r="L10" s="13" t="s">
        <v>157</v>
      </c>
    </row>
    <row r="11" customFormat="false" ht="46.25" hidden="false" customHeight="false" outlineLevel="0" collapsed="false">
      <c r="A11" s="13" t="s">
        <v>3</v>
      </c>
      <c r="B11" s="13" t="s">
        <v>68</v>
      </c>
      <c r="C11" s="13" t="n">
        <v>71</v>
      </c>
      <c r="D11" s="13" t="s">
        <v>160</v>
      </c>
      <c r="E11" s="13" t="s">
        <v>11123</v>
      </c>
      <c r="F11" s="13" t="s">
        <v>11124</v>
      </c>
      <c r="G11" s="13" t="s">
        <v>11098</v>
      </c>
      <c r="H11" s="13" t="s">
        <v>11099</v>
      </c>
      <c r="I11" s="13" t="s">
        <v>11125</v>
      </c>
      <c r="J11" s="13"/>
      <c r="K11" s="13" t="s">
        <v>165</v>
      </c>
      <c r="L11" s="13" t="s">
        <v>166</v>
      </c>
    </row>
    <row r="12" customFormat="false" ht="57.45" hidden="false" customHeight="false" outlineLevel="0" collapsed="false">
      <c r="A12" s="13" t="s">
        <v>3</v>
      </c>
      <c r="B12" s="13" t="s">
        <v>68</v>
      </c>
      <c r="C12" s="13" t="n">
        <v>77</v>
      </c>
      <c r="D12" s="13" t="s">
        <v>171</v>
      </c>
      <c r="E12" s="13" t="s">
        <v>11126</v>
      </c>
      <c r="F12" s="13" t="s">
        <v>11127</v>
      </c>
      <c r="G12" s="13" t="s">
        <v>11128</v>
      </c>
      <c r="H12" s="13" t="s">
        <v>11099</v>
      </c>
      <c r="I12" s="13"/>
      <c r="J12" s="13"/>
      <c r="K12" s="13" t="s">
        <v>176</v>
      </c>
      <c r="L12" s="13" t="s">
        <v>177</v>
      </c>
    </row>
    <row r="13" customFormat="false" ht="57.45" hidden="false" customHeight="false" outlineLevel="0" collapsed="false">
      <c r="A13" s="13" t="s">
        <v>3</v>
      </c>
      <c r="B13" s="13" t="s">
        <v>68</v>
      </c>
      <c r="C13" s="13" t="n">
        <v>77</v>
      </c>
      <c r="D13" s="13" t="s">
        <v>171</v>
      </c>
      <c r="E13" s="13" t="s">
        <v>11129</v>
      </c>
      <c r="F13" s="13" t="s">
        <v>11130</v>
      </c>
      <c r="G13" s="13" t="s">
        <v>11098</v>
      </c>
      <c r="H13" s="13" t="s">
        <v>11099</v>
      </c>
      <c r="I13" s="13" t="s">
        <v>11131</v>
      </c>
      <c r="J13" s="13"/>
      <c r="K13" s="13" t="s">
        <v>176</v>
      </c>
      <c r="L13" s="13" t="s">
        <v>177</v>
      </c>
    </row>
    <row r="14" customFormat="false" ht="79.85" hidden="false" customHeight="false" outlineLevel="0" collapsed="false">
      <c r="A14" s="13" t="s">
        <v>3</v>
      </c>
      <c r="B14" s="13" t="s">
        <v>68</v>
      </c>
      <c r="C14" s="13" t="n">
        <v>77</v>
      </c>
      <c r="D14" s="13" t="s">
        <v>185</v>
      </c>
      <c r="E14" s="13" t="s">
        <v>11132</v>
      </c>
      <c r="F14" s="13" t="s">
        <v>11133</v>
      </c>
      <c r="G14" s="13" t="s">
        <v>11098</v>
      </c>
      <c r="H14" s="13" t="s">
        <v>11099</v>
      </c>
      <c r="I14" s="13" t="s">
        <v>11134</v>
      </c>
      <c r="J14" s="13"/>
      <c r="K14" s="13" t="s">
        <v>190</v>
      </c>
      <c r="L14" s="13" t="s">
        <v>191</v>
      </c>
    </row>
    <row r="15" customFormat="false" ht="79.85" hidden="false" customHeight="false" outlineLevel="0" collapsed="false">
      <c r="A15" s="13" t="s">
        <v>3</v>
      </c>
      <c r="B15" s="13" t="s">
        <v>68</v>
      </c>
      <c r="C15" s="13" t="n">
        <v>77</v>
      </c>
      <c r="D15" s="13" t="s">
        <v>185</v>
      </c>
      <c r="E15" s="13" t="s">
        <v>11135</v>
      </c>
      <c r="F15" s="13" t="s">
        <v>11136</v>
      </c>
      <c r="G15" s="13" t="s">
        <v>11137</v>
      </c>
      <c r="H15" s="13" t="s">
        <v>11099</v>
      </c>
      <c r="I15" s="13" t="s">
        <v>11138</v>
      </c>
      <c r="J15" s="13" t="s">
        <v>11139</v>
      </c>
      <c r="K15" s="13" t="s">
        <v>190</v>
      </c>
      <c r="L15" s="13" t="s">
        <v>191</v>
      </c>
    </row>
    <row r="16" customFormat="false" ht="113.4" hidden="false" customHeight="false" outlineLevel="0" collapsed="false">
      <c r="A16" s="13" t="s">
        <v>3</v>
      </c>
      <c r="B16" s="13" t="s">
        <v>68</v>
      </c>
      <c r="C16" s="13" t="n">
        <v>77</v>
      </c>
      <c r="D16" s="13" t="s">
        <v>203</v>
      </c>
      <c r="E16" s="13" t="s">
        <v>11140</v>
      </c>
      <c r="F16" s="13" t="s">
        <v>11141</v>
      </c>
      <c r="G16" s="13" t="s">
        <v>11137</v>
      </c>
      <c r="H16" s="13" t="s">
        <v>11099</v>
      </c>
      <c r="I16" s="13" t="s">
        <v>11142</v>
      </c>
      <c r="J16" s="13" t="s">
        <v>11143</v>
      </c>
      <c r="K16" s="13" t="s">
        <v>207</v>
      </c>
      <c r="L16" s="13" t="s">
        <v>208</v>
      </c>
    </row>
    <row r="17" customFormat="false" ht="113.4" hidden="false" customHeight="false" outlineLevel="0" collapsed="false">
      <c r="A17" s="13" t="s">
        <v>3</v>
      </c>
      <c r="B17" s="13" t="s">
        <v>68</v>
      </c>
      <c r="C17" s="13" t="n">
        <v>77</v>
      </c>
      <c r="D17" s="13" t="s">
        <v>203</v>
      </c>
      <c r="E17" s="13" t="s">
        <v>11144</v>
      </c>
      <c r="F17" s="13" t="s">
        <v>11145</v>
      </c>
      <c r="G17" s="13" t="s">
        <v>11137</v>
      </c>
      <c r="H17" s="13" t="s">
        <v>11099</v>
      </c>
      <c r="I17" s="13" t="s">
        <v>214</v>
      </c>
      <c r="J17" s="13" t="s">
        <v>11146</v>
      </c>
      <c r="K17" s="13" t="s">
        <v>207</v>
      </c>
      <c r="L17" s="13" t="s">
        <v>208</v>
      </c>
    </row>
    <row r="18" customFormat="false" ht="23.85" hidden="false" customHeight="false" outlineLevel="0" collapsed="false">
      <c r="A18" s="13" t="s">
        <v>3</v>
      </c>
      <c r="B18" s="13" t="s">
        <v>68</v>
      </c>
      <c r="C18" s="13" t="n">
        <v>77</v>
      </c>
      <c r="D18" s="13" t="s">
        <v>218</v>
      </c>
      <c r="E18" s="13" t="s">
        <v>11147</v>
      </c>
      <c r="F18" s="13" t="s">
        <v>11148</v>
      </c>
      <c r="G18" s="13" t="s">
        <v>11098</v>
      </c>
      <c r="H18" s="13" t="s">
        <v>11099</v>
      </c>
      <c r="I18" s="13" t="s">
        <v>219</v>
      </c>
      <c r="J18" s="13"/>
      <c r="K18" s="13" t="s">
        <v>222</v>
      </c>
      <c r="L18" s="13" t="s">
        <v>223</v>
      </c>
    </row>
    <row r="19" customFormat="false" ht="23.85" hidden="false" customHeight="false" outlineLevel="0" collapsed="false">
      <c r="A19" s="13" t="s">
        <v>3</v>
      </c>
      <c r="B19" s="13" t="s">
        <v>68</v>
      </c>
      <c r="C19" s="13" t="n">
        <v>77</v>
      </c>
      <c r="D19" s="13" t="s">
        <v>224</v>
      </c>
      <c r="E19" s="13" t="s">
        <v>11149</v>
      </c>
      <c r="F19" s="13" t="s">
        <v>11150</v>
      </c>
      <c r="G19" s="13" t="s">
        <v>11098</v>
      </c>
      <c r="H19" s="13" t="s">
        <v>11099</v>
      </c>
      <c r="I19" s="13" t="s">
        <v>230</v>
      </c>
      <c r="J19" s="13"/>
      <c r="K19" s="13" t="s">
        <v>228</v>
      </c>
      <c r="L19" s="13" t="s">
        <v>229</v>
      </c>
    </row>
    <row r="20" customFormat="false" ht="46.25" hidden="false" customHeight="false" outlineLevel="0" collapsed="false">
      <c r="A20" s="13" t="s">
        <v>3</v>
      </c>
      <c r="B20" s="13" t="s">
        <v>68</v>
      </c>
      <c r="C20" s="13" t="n">
        <v>77</v>
      </c>
      <c r="D20" s="13" t="s">
        <v>233</v>
      </c>
      <c r="E20" s="13" t="s">
        <v>11151</v>
      </c>
      <c r="F20" s="13" t="s">
        <v>11152</v>
      </c>
      <c r="G20" s="13" t="s">
        <v>11098</v>
      </c>
      <c r="H20" s="13" t="s">
        <v>11099</v>
      </c>
      <c r="I20" s="13" t="s">
        <v>234</v>
      </c>
      <c r="J20" s="13"/>
      <c r="K20" s="13" t="s">
        <v>237</v>
      </c>
      <c r="L20" s="13" t="s">
        <v>238</v>
      </c>
    </row>
    <row r="21" customFormat="false" ht="46.25" hidden="false" customHeight="false" outlineLevel="0" collapsed="false">
      <c r="A21" s="13" t="s">
        <v>3</v>
      </c>
      <c r="B21" s="13" t="s">
        <v>68</v>
      </c>
      <c r="C21" s="13" t="n">
        <v>77</v>
      </c>
      <c r="D21" s="13" t="s">
        <v>233</v>
      </c>
      <c r="E21" s="13" t="s">
        <v>11153</v>
      </c>
      <c r="F21" s="13" t="s">
        <v>11154</v>
      </c>
      <c r="G21" s="13" t="s">
        <v>11098</v>
      </c>
      <c r="H21" s="13" t="s">
        <v>11099</v>
      </c>
      <c r="I21" s="13" t="s">
        <v>11131</v>
      </c>
      <c r="J21" s="13" t="s">
        <v>11155</v>
      </c>
      <c r="K21" s="13" t="s">
        <v>237</v>
      </c>
      <c r="L21" s="13" t="s">
        <v>238</v>
      </c>
    </row>
    <row r="22" customFormat="false" ht="169.4" hidden="false" customHeight="false" outlineLevel="0" collapsed="false">
      <c r="A22" s="13" t="s">
        <v>3</v>
      </c>
      <c r="B22" s="13" t="s">
        <v>68</v>
      </c>
      <c r="C22" s="13" t="n">
        <v>77</v>
      </c>
      <c r="D22" s="13" t="s">
        <v>242</v>
      </c>
      <c r="E22" s="13" t="s">
        <v>11156</v>
      </c>
      <c r="F22" s="13" t="s">
        <v>11157</v>
      </c>
      <c r="G22" s="13" t="s">
        <v>11098</v>
      </c>
      <c r="H22" s="13" t="s">
        <v>11099</v>
      </c>
      <c r="I22" s="13" t="s">
        <v>243</v>
      </c>
      <c r="J22" s="13"/>
      <c r="K22" s="13" t="s">
        <v>246</v>
      </c>
      <c r="L22" s="13" t="s">
        <v>247</v>
      </c>
    </row>
    <row r="23" customFormat="false" ht="169.4" hidden="false" customHeight="false" outlineLevel="0" collapsed="false">
      <c r="A23" s="13" t="s">
        <v>3</v>
      </c>
      <c r="B23" s="13" t="s">
        <v>68</v>
      </c>
      <c r="C23" s="13" t="n">
        <v>77</v>
      </c>
      <c r="D23" s="13" t="s">
        <v>242</v>
      </c>
      <c r="E23" s="13" t="s">
        <v>11158</v>
      </c>
      <c r="F23" s="13" t="s">
        <v>11159</v>
      </c>
      <c r="G23" s="13" t="s">
        <v>11098</v>
      </c>
      <c r="H23" s="13" t="s">
        <v>11099</v>
      </c>
      <c r="I23" s="13" t="s">
        <v>11160</v>
      </c>
      <c r="J23" s="13"/>
      <c r="K23" s="13" t="s">
        <v>246</v>
      </c>
      <c r="L23" s="13" t="s">
        <v>247</v>
      </c>
    </row>
    <row r="24" customFormat="false" ht="169.4" hidden="false" customHeight="false" outlineLevel="0" collapsed="false">
      <c r="A24" s="13" t="s">
        <v>3</v>
      </c>
      <c r="B24" s="13" t="s">
        <v>68</v>
      </c>
      <c r="C24" s="13" t="n">
        <v>77</v>
      </c>
      <c r="D24" s="13" t="s">
        <v>242</v>
      </c>
      <c r="E24" s="13" t="s">
        <v>11161</v>
      </c>
      <c r="F24" s="13" t="s">
        <v>11162</v>
      </c>
      <c r="G24" s="13" t="s">
        <v>11128</v>
      </c>
      <c r="H24" s="13" t="s">
        <v>11099</v>
      </c>
      <c r="I24" s="13"/>
      <c r="J24" s="13"/>
      <c r="K24" s="13" t="s">
        <v>246</v>
      </c>
      <c r="L24" s="13" t="s">
        <v>247</v>
      </c>
    </row>
    <row r="25" customFormat="false" ht="169.4" hidden="false" customHeight="false" outlineLevel="0" collapsed="false">
      <c r="A25" s="13" t="s">
        <v>3</v>
      </c>
      <c r="B25" s="13" t="s">
        <v>68</v>
      </c>
      <c r="C25" s="13" t="n">
        <v>77</v>
      </c>
      <c r="D25" s="13" t="s">
        <v>242</v>
      </c>
      <c r="E25" s="13" t="s">
        <v>11163</v>
      </c>
      <c r="F25" s="13" t="s">
        <v>11164</v>
      </c>
      <c r="G25" s="13" t="s">
        <v>11128</v>
      </c>
      <c r="H25" s="13" t="s">
        <v>11099</v>
      </c>
      <c r="I25" s="13"/>
      <c r="J25" s="13"/>
      <c r="K25" s="13" t="s">
        <v>246</v>
      </c>
      <c r="L25" s="13" t="s">
        <v>247</v>
      </c>
    </row>
    <row r="26" customFormat="false" ht="169.4" hidden="false" customHeight="false" outlineLevel="0" collapsed="false">
      <c r="A26" s="13" t="s">
        <v>3</v>
      </c>
      <c r="B26" s="13" t="s">
        <v>68</v>
      </c>
      <c r="C26" s="13" t="n">
        <v>77</v>
      </c>
      <c r="D26" s="13" t="s">
        <v>242</v>
      </c>
      <c r="E26" s="13" t="s">
        <v>11165</v>
      </c>
      <c r="F26" s="13" t="s">
        <v>11166</v>
      </c>
      <c r="G26" s="13" t="s">
        <v>11098</v>
      </c>
      <c r="H26" s="13" t="s">
        <v>11099</v>
      </c>
      <c r="I26" s="13" t="s">
        <v>243</v>
      </c>
      <c r="J26" s="13" t="s">
        <v>11167</v>
      </c>
      <c r="K26" s="13" t="s">
        <v>246</v>
      </c>
      <c r="L26" s="13" t="s">
        <v>247</v>
      </c>
    </row>
    <row r="27" customFormat="false" ht="169.4" hidden="false" customHeight="false" outlineLevel="0" collapsed="false">
      <c r="A27" s="13" t="s">
        <v>3</v>
      </c>
      <c r="B27" s="13" t="s">
        <v>68</v>
      </c>
      <c r="C27" s="13" t="n">
        <v>77</v>
      </c>
      <c r="D27" s="13" t="s">
        <v>242</v>
      </c>
      <c r="E27" s="13" t="s">
        <v>11168</v>
      </c>
      <c r="F27" s="13" t="s">
        <v>11169</v>
      </c>
      <c r="G27" s="13" t="s">
        <v>11098</v>
      </c>
      <c r="H27" s="13" t="s">
        <v>11099</v>
      </c>
      <c r="I27" s="13" t="s">
        <v>254</v>
      </c>
      <c r="J27" s="13"/>
      <c r="K27" s="13" t="s">
        <v>246</v>
      </c>
      <c r="L27" s="13" t="s">
        <v>247</v>
      </c>
    </row>
    <row r="28" customFormat="false" ht="169.4" hidden="false" customHeight="false" outlineLevel="0" collapsed="false">
      <c r="A28" s="13" t="s">
        <v>3</v>
      </c>
      <c r="B28" s="13" t="s">
        <v>68</v>
      </c>
      <c r="C28" s="13" t="n">
        <v>77</v>
      </c>
      <c r="D28" s="13" t="s">
        <v>242</v>
      </c>
      <c r="E28" s="13" t="s">
        <v>11170</v>
      </c>
      <c r="F28" s="13" t="s">
        <v>11171</v>
      </c>
      <c r="G28" s="13" t="s">
        <v>11098</v>
      </c>
      <c r="H28" s="13" t="s">
        <v>11099</v>
      </c>
      <c r="I28" s="13" t="s">
        <v>256</v>
      </c>
      <c r="J28" s="13"/>
      <c r="K28" s="13" t="s">
        <v>246</v>
      </c>
      <c r="L28" s="13" t="s">
        <v>247</v>
      </c>
    </row>
    <row r="29" customFormat="false" ht="15" hidden="false" customHeight="false" outlineLevel="0" collapsed="false">
      <c r="A29" s="13" t="s">
        <v>3</v>
      </c>
      <c r="B29" s="13" t="s">
        <v>68</v>
      </c>
      <c r="C29" s="13" t="n">
        <v>77</v>
      </c>
      <c r="D29" s="13" t="s">
        <v>259</v>
      </c>
      <c r="E29" s="13" t="s">
        <v>11172</v>
      </c>
      <c r="F29" s="13" t="s">
        <v>11173</v>
      </c>
      <c r="G29" s="13" t="s">
        <v>11098</v>
      </c>
      <c r="H29" s="13" t="s">
        <v>11099</v>
      </c>
      <c r="I29" s="13" t="s">
        <v>260</v>
      </c>
      <c r="J29" s="13"/>
      <c r="K29" s="13" t="s">
        <v>262</v>
      </c>
      <c r="L29" s="13" t="s">
        <v>263</v>
      </c>
    </row>
    <row r="30" customFormat="false" ht="15" hidden="false" customHeight="false" outlineLevel="0" collapsed="false">
      <c r="A30" s="13" t="s">
        <v>3</v>
      </c>
      <c r="B30" s="13" t="s">
        <v>68</v>
      </c>
      <c r="C30" s="13" t="n">
        <v>77</v>
      </c>
      <c r="D30" s="13" t="s">
        <v>259</v>
      </c>
      <c r="E30" s="13" t="s">
        <v>11174</v>
      </c>
      <c r="F30" s="13" t="s">
        <v>11175</v>
      </c>
      <c r="G30" s="13" t="s">
        <v>11098</v>
      </c>
      <c r="H30" s="13" t="s">
        <v>11099</v>
      </c>
      <c r="I30" s="13" t="s">
        <v>264</v>
      </c>
      <c r="J30" s="13"/>
      <c r="K30" s="13" t="s">
        <v>262</v>
      </c>
      <c r="L30" s="13" t="s">
        <v>263</v>
      </c>
    </row>
    <row r="31" customFormat="false" ht="23.85" hidden="false" customHeight="false" outlineLevel="0" collapsed="false">
      <c r="A31" s="13" t="s">
        <v>3</v>
      </c>
      <c r="B31" s="13" t="s">
        <v>68</v>
      </c>
      <c r="C31" s="13" t="n">
        <v>77</v>
      </c>
      <c r="D31" s="13" t="s">
        <v>267</v>
      </c>
      <c r="E31" s="13" t="s">
        <v>11176</v>
      </c>
      <c r="F31" s="13" t="s">
        <v>11177</v>
      </c>
      <c r="G31" s="13" t="s">
        <v>11098</v>
      </c>
      <c r="H31" s="13" t="s">
        <v>11099</v>
      </c>
      <c r="I31" s="13" t="s">
        <v>268</v>
      </c>
      <c r="J31" s="13"/>
      <c r="K31" s="13" t="s">
        <v>270</v>
      </c>
      <c r="L31" s="13" t="s">
        <v>271</v>
      </c>
    </row>
    <row r="32" customFormat="false" ht="23.85" hidden="false" customHeight="false" outlineLevel="0" collapsed="false">
      <c r="A32" s="13" t="s">
        <v>3</v>
      </c>
      <c r="B32" s="13" t="s">
        <v>68</v>
      </c>
      <c r="C32" s="13" t="n">
        <v>77</v>
      </c>
      <c r="D32" s="13" t="s">
        <v>272</v>
      </c>
      <c r="E32" s="13" t="s">
        <v>11178</v>
      </c>
      <c r="F32" s="13" t="s">
        <v>11179</v>
      </c>
      <c r="G32" s="13" t="s">
        <v>11098</v>
      </c>
      <c r="H32" s="13" t="s">
        <v>11099</v>
      </c>
      <c r="I32" s="13" t="s">
        <v>273</v>
      </c>
      <c r="J32" s="13"/>
      <c r="K32" s="13" t="s">
        <v>275</v>
      </c>
      <c r="L32" s="13" t="s">
        <v>276</v>
      </c>
    </row>
    <row r="33" customFormat="false" ht="23.85" hidden="false" customHeight="false" outlineLevel="0" collapsed="false">
      <c r="A33" s="13" t="s">
        <v>3</v>
      </c>
      <c r="B33" s="13" t="s">
        <v>68</v>
      </c>
      <c r="C33" s="13" t="n">
        <v>77</v>
      </c>
      <c r="D33" s="13" t="s">
        <v>277</v>
      </c>
      <c r="E33" s="13" t="s">
        <v>11180</v>
      </c>
      <c r="F33" s="13" t="s">
        <v>11181</v>
      </c>
      <c r="G33" s="13" t="s">
        <v>11098</v>
      </c>
      <c r="H33" s="13" t="s">
        <v>11099</v>
      </c>
      <c r="I33" s="13" t="s">
        <v>278</v>
      </c>
      <c r="J33" s="13"/>
      <c r="K33" s="13" t="s">
        <v>280</v>
      </c>
      <c r="L33" s="13" t="s">
        <v>281</v>
      </c>
    </row>
    <row r="34" customFormat="false" ht="23.85" hidden="false" customHeight="false" outlineLevel="0" collapsed="false">
      <c r="A34" s="13" t="s">
        <v>3</v>
      </c>
      <c r="B34" s="13" t="s">
        <v>68</v>
      </c>
      <c r="C34" s="13" t="n">
        <v>77</v>
      </c>
      <c r="D34" s="13" t="s">
        <v>282</v>
      </c>
      <c r="E34" s="13" t="s">
        <v>11182</v>
      </c>
      <c r="F34" s="13" t="s">
        <v>11183</v>
      </c>
      <c r="G34" s="13" t="s">
        <v>11098</v>
      </c>
      <c r="H34" s="13" t="s">
        <v>11099</v>
      </c>
      <c r="I34" s="13" t="s">
        <v>283</v>
      </c>
      <c r="J34" s="13"/>
      <c r="K34" s="13" t="s">
        <v>286</v>
      </c>
      <c r="L34" s="13" t="s">
        <v>287</v>
      </c>
    </row>
    <row r="35" customFormat="false" ht="35.05" hidden="false" customHeight="false" outlineLevel="0" collapsed="false">
      <c r="A35" s="13" t="s">
        <v>3</v>
      </c>
      <c r="B35" s="13" t="s">
        <v>68</v>
      </c>
      <c r="C35" s="13" t="n">
        <v>77</v>
      </c>
      <c r="D35" s="13" t="s">
        <v>288</v>
      </c>
      <c r="E35" s="13" t="s">
        <v>11184</v>
      </c>
      <c r="F35" s="13" t="s">
        <v>11185</v>
      </c>
      <c r="G35" s="13" t="s">
        <v>11098</v>
      </c>
      <c r="H35" s="13" t="s">
        <v>11099</v>
      </c>
      <c r="I35" s="13" t="s">
        <v>11186</v>
      </c>
      <c r="J35" s="13"/>
      <c r="K35" s="13" t="s">
        <v>292</v>
      </c>
      <c r="L35" s="13" t="s">
        <v>293</v>
      </c>
    </row>
    <row r="36" customFormat="false" ht="35.05" hidden="false" customHeight="false" outlineLevel="0" collapsed="false">
      <c r="A36" s="13" t="s">
        <v>3</v>
      </c>
      <c r="B36" s="13" t="s">
        <v>68</v>
      </c>
      <c r="C36" s="13" t="n">
        <v>77</v>
      </c>
      <c r="D36" s="13" t="s">
        <v>288</v>
      </c>
      <c r="E36" s="13" t="s">
        <v>11187</v>
      </c>
      <c r="F36" s="13" t="s">
        <v>11188</v>
      </c>
      <c r="G36" s="13" t="s">
        <v>11128</v>
      </c>
      <c r="H36" s="13" t="s">
        <v>11099</v>
      </c>
      <c r="I36" s="13"/>
      <c r="J36" s="13" t="s">
        <v>11189</v>
      </c>
      <c r="K36" s="13" t="s">
        <v>292</v>
      </c>
      <c r="L36" s="13" t="s">
        <v>293</v>
      </c>
    </row>
    <row r="37" customFormat="false" ht="35.05" hidden="false" customHeight="false" outlineLevel="0" collapsed="false">
      <c r="A37" s="13" t="s">
        <v>3</v>
      </c>
      <c r="B37" s="13" t="s">
        <v>68</v>
      </c>
      <c r="C37" s="13" t="n">
        <v>85</v>
      </c>
      <c r="D37" s="13" t="s">
        <v>297</v>
      </c>
      <c r="E37" s="13" t="s">
        <v>11190</v>
      </c>
      <c r="F37" s="13" t="s">
        <v>11191</v>
      </c>
      <c r="G37" s="13" t="s">
        <v>11128</v>
      </c>
      <c r="H37" s="13" t="s">
        <v>11099</v>
      </c>
      <c r="I37" s="13"/>
      <c r="J37" s="13"/>
      <c r="K37" s="13" t="s">
        <v>302</v>
      </c>
      <c r="L37" s="13" t="s">
        <v>303</v>
      </c>
    </row>
    <row r="38" customFormat="false" ht="35.05" hidden="false" customHeight="false" outlineLevel="0" collapsed="false">
      <c r="A38" s="13" t="s">
        <v>3</v>
      </c>
      <c r="B38" s="13" t="s">
        <v>68</v>
      </c>
      <c r="C38" s="13" t="n">
        <v>85</v>
      </c>
      <c r="D38" s="13" t="s">
        <v>297</v>
      </c>
      <c r="E38" s="13" t="s">
        <v>11192</v>
      </c>
      <c r="F38" s="13" t="s">
        <v>11193</v>
      </c>
      <c r="G38" s="13" t="s">
        <v>11098</v>
      </c>
      <c r="H38" s="13" t="s">
        <v>11099</v>
      </c>
      <c r="I38" s="13" t="s">
        <v>11194</v>
      </c>
      <c r="J38" s="13"/>
      <c r="K38" s="13" t="s">
        <v>302</v>
      </c>
      <c r="L38" s="13" t="s">
        <v>303</v>
      </c>
    </row>
    <row r="39" customFormat="false" ht="46.25" hidden="false" customHeight="false" outlineLevel="0" collapsed="false">
      <c r="A39" s="13" t="s">
        <v>3</v>
      </c>
      <c r="B39" s="13" t="s">
        <v>68</v>
      </c>
      <c r="C39" s="13" t="n">
        <v>85</v>
      </c>
      <c r="D39" s="13" t="s">
        <v>307</v>
      </c>
      <c r="E39" s="13" t="s">
        <v>11195</v>
      </c>
      <c r="F39" s="13" t="s">
        <v>11196</v>
      </c>
      <c r="G39" s="13" t="s">
        <v>11098</v>
      </c>
      <c r="H39" s="13" t="s">
        <v>11099</v>
      </c>
      <c r="I39" s="13" t="s">
        <v>308</v>
      </c>
      <c r="J39" s="13"/>
      <c r="K39" s="13" t="s">
        <v>311</v>
      </c>
      <c r="L39" s="13" t="s">
        <v>312</v>
      </c>
    </row>
    <row r="40" customFormat="false" ht="46.25" hidden="false" customHeight="false" outlineLevel="0" collapsed="false">
      <c r="A40" s="13" t="s">
        <v>3</v>
      </c>
      <c r="B40" s="13" t="s">
        <v>68</v>
      </c>
      <c r="C40" s="13" t="n">
        <v>85</v>
      </c>
      <c r="D40" s="13" t="s">
        <v>307</v>
      </c>
      <c r="E40" s="13" t="s">
        <v>11197</v>
      </c>
      <c r="F40" s="13" t="s">
        <v>11198</v>
      </c>
      <c r="G40" s="13" t="s">
        <v>11098</v>
      </c>
      <c r="H40" s="13" t="s">
        <v>11099</v>
      </c>
      <c r="I40" s="13" t="s">
        <v>11199</v>
      </c>
      <c r="J40" s="13"/>
      <c r="K40" s="13" t="s">
        <v>311</v>
      </c>
      <c r="L40" s="13" t="s">
        <v>312</v>
      </c>
    </row>
    <row r="41" customFormat="false" ht="68.65" hidden="false" customHeight="false" outlineLevel="0" collapsed="false">
      <c r="A41" s="13" t="s">
        <v>3</v>
      </c>
      <c r="B41" s="13" t="s">
        <v>68</v>
      </c>
      <c r="C41" s="13" t="n">
        <v>85</v>
      </c>
      <c r="D41" s="13" t="s">
        <v>320</v>
      </c>
      <c r="E41" s="13" t="s">
        <v>11200</v>
      </c>
      <c r="F41" s="13" t="s">
        <v>11201</v>
      </c>
      <c r="G41" s="13" t="s">
        <v>11098</v>
      </c>
      <c r="H41" s="13" t="s">
        <v>11099</v>
      </c>
      <c r="I41" s="13" t="s">
        <v>321</v>
      </c>
      <c r="J41" s="13"/>
      <c r="K41" s="13" t="s">
        <v>323</v>
      </c>
      <c r="L41" s="13" t="s">
        <v>324</v>
      </c>
    </row>
    <row r="42" customFormat="false" ht="68.65" hidden="false" customHeight="false" outlineLevel="0" collapsed="false">
      <c r="A42" s="13" t="s">
        <v>3</v>
      </c>
      <c r="B42" s="13" t="s">
        <v>68</v>
      </c>
      <c r="C42" s="13" t="n">
        <v>85</v>
      </c>
      <c r="D42" s="13" t="s">
        <v>320</v>
      </c>
      <c r="E42" s="13" t="s">
        <v>11202</v>
      </c>
      <c r="F42" s="13" t="s">
        <v>11203</v>
      </c>
      <c r="G42" s="13" t="s">
        <v>11098</v>
      </c>
      <c r="H42" s="13" t="s">
        <v>11099</v>
      </c>
      <c r="I42" s="13" t="s">
        <v>325</v>
      </c>
      <c r="J42" s="13"/>
      <c r="K42" s="13" t="s">
        <v>323</v>
      </c>
      <c r="L42" s="13" t="s">
        <v>324</v>
      </c>
    </row>
    <row r="43" customFormat="false" ht="15" hidden="false" customHeight="false" outlineLevel="0" collapsed="false">
      <c r="A43" s="13" t="s">
        <v>3</v>
      </c>
      <c r="B43" s="13" t="s">
        <v>68</v>
      </c>
      <c r="C43" s="13" t="n">
        <v>85</v>
      </c>
      <c r="D43" s="13" t="s">
        <v>329</v>
      </c>
      <c r="E43" s="13" t="s">
        <v>11204</v>
      </c>
      <c r="F43" s="13" t="s">
        <v>11205</v>
      </c>
      <c r="G43" s="13" t="s">
        <v>11098</v>
      </c>
      <c r="H43" s="13" t="s">
        <v>11099</v>
      </c>
      <c r="I43" s="13" t="s">
        <v>330</v>
      </c>
      <c r="J43" s="13"/>
      <c r="K43" s="13" t="s">
        <v>333</v>
      </c>
      <c r="L43" s="13" t="s">
        <v>334</v>
      </c>
    </row>
    <row r="44" customFormat="false" ht="113.4" hidden="false" customHeight="false" outlineLevel="0" collapsed="false">
      <c r="A44" s="13" t="s">
        <v>3</v>
      </c>
      <c r="B44" s="13" t="s">
        <v>68</v>
      </c>
      <c r="C44" s="13" t="n">
        <v>85</v>
      </c>
      <c r="D44" s="13" t="s">
        <v>335</v>
      </c>
      <c r="E44" s="13" t="s">
        <v>11206</v>
      </c>
      <c r="F44" s="13" t="s">
        <v>11207</v>
      </c>
      <c r="G44" s="13" t="s">
        <v>11098</v>
      </c>
      <c r="H44" s="13" t="s">
        <v>11099</v>
      </c>
      <c r="I44" s="13" t="s">
        <v>336</v>
      </c>
      <c r="J44" s="13"/>
      <c r="K44" s="13" t="s">
        <v>339</v>
      </c>
      <c r="L44" s="13" t="s">
        <v>340</v>
      </c>
    </row>
    <row r="45" customFormat="false" ht="113.4" hidden="false" customHeight="false" outlineLevel="0" collapsed="false">
      <c r="A45" s="13" t="s">
        <v>3</v>
      </c>
      <c r="B45" s="13" t="s">
        <v>68</v>
      </c>
      <c r="C45" s="13" t="n">
        <v>85</v>
      </c>
      <c r="D45" s="13" t="s">
        <v>335</v>
      </c>
      <c r="E45" s="13" t="s">
        <v>11208</v>
      </c>
      <c r="F45" s="13" t="s">
        <v>11209</v>
      </c>
      <c r="G45" s="13" t="s">
        <v>11098</v>
      </c>
      <c r="H45" s="13" t="s">
        <v>11099</v>
      </c>
      <c r="I45" s="13" t="s">
        <v>336</v>
      </c>
      <c r="J45" s="13" t="s">
        <v>11210</v>
      </c>
      <c r="K45" s="13" t="s">
        <v>339</v>
      </c>
      <c r="L45" s="13" t="s">
        <v>340</v>
      </c>
    </row>
    <row r="46" customFormat="false" ht="113.4" hidden="false" customHeight="false" outlineLevel="0" collapsed="false">
      <c r="A46" s="13" t="s">
        <v>3</v>
      </c>
      <c r="B46" s="13" t="s">
        <v>68</v>
      </c>
      <c r="C46" s="13" t="n">
        <v>85</v>
      </c>
      <c r="D46" s="13" t="s">
        <v>335</v>
      </c>
      <c r="E46" s="13" t="s">
        <v>11211</v>
      </c>
      <c r="F46" s="13" t="s">
        <v>11212</v>
      </c>
      <c r="G46" s="13" t="s">
        <v>11098</v>
      </c>
      <c r="H46" s="13" t="s">
        <v>11099</v>
      </c>
      <c r="I46" s="13" t="s">
        <v>11213</v>
      </c>
      <c r="J46" s="13"/>
      <c r="K46" s="13" t="s">
        <v>339</v>
      </c>
      <c r="L46" s="13" t="s">
        <v>340</v>
      </c>
    </row>
    <row r="47" customFormat="false" ht="113.4" hidden="false" customHeight="false" outlineLevel="0" collapsed="false">
      <c r="A47" s="13" t="s">
        <v>3</v>
      </c>
      <c r="B47" s="13" t="s">
        <v>68</v>
      </c>
      <c r="C47" s="13" t="n">
        <v>85</v>
      </c>
      <c r="D47" s="13" t="s">
        <v>335</v>
      </c>
      <c r="E47" s="13" t="s">
        <v>11214</v>
      </c>
      <c r="F47" s="13" t="s">
        <v>11215</v>
      </c>
      <c r="G47" s="13" t="s">
        <v>11098</v>
      </c>
      <c r="H47" s="13" t="s">
        <v>11099</v>
      </c>
      <c r="I47" s="13" t="s">
        <v>341</v>
      </c>
      <c r="J47" s="13"/>
      <c r="K47" s="13" t="s">
        <v>339</v>
      </c>
      <c r="L47" s="13" t="s">
        <v>340</v>
      </c>
    </row>
    <row r="48" customFormat="false" ht="23.85" hidden="false" customHeight="false" outlineLevel="0" collapsed="false">
      <c r="A48" s="13" t="s">
        <v>3</v>
      </c>
      <c r="B48" s="13" t="s">
        <v>68</v>
      </c>
      <c r="C48" s="13" t="n">
        <v>85</v>
      </c>
      <c r="D48" s="13" t="s">
        <v>344</v>
      </c>
      <c r="E48" s="13" t="s">
        <v>11216</v>
      </c>
      <c r="F48" s="13" t="s">
        <v>11217</v>
      </c>
      <c r="G48" s="13" t="s">
        <v>11098</v>
      </c>
      <c r="H48" s="13" t="s">
        <v>11099</v>
      </c>
      <c r="I48" s="13" t="s">
        <v>11218</v>
      </c>
      <c r="J48" s="13"/>
      <c r="K48" s="13" t="s">
        <v>349</v>
      </c>
      <c r="L48" s="13" t="s">
        <v>350</v>
      </c>
    </row>
    <row r="49" customFormat="false" ht="68.65" hidden="false" customHeight="false" outlineLevel="0" collapsed="false">
      <c r="A49" s="13" t="s">
        <v>3</v>
      </c>
      <c r="B49" s="13" t="s">
        <v>68</v>
      </c>
      <c r="C49" s="13" t="n">
        <v>85</v>
      </c>
      <c r="D49" s="13" t="s">
        <v>354</v>
      </c>
      <c r="E49" s="13" t="s">
        <v>11219</v>
      </c>
      <c r="F49" s="13" t="s">
        <v>11220</v>
      </c>
      <c r="G49" s="13" t="s">
        <v>11128</v>
      </c>
      <c r="H49" s="13" t="s">
        <v>11099</v>
      </c>
      <c r="I49" s="13"/>
      <c r="J49" s="13"/>
      <c r="K49" s="13" t="s">
        <v>358</v>
      </c>
      <c r="L49" s="13" t="s">
        <v>359</v>
      </c>
    </row>
    <row r="50" customFormat="false" ht="68.65" hidden="false" customHeight="false" outlineLevel="0" collapsed="false">
      <c r="A50" s="13" t="s">
        <v>3</v>
      </c>
      <c r="B50" s="13" t="s">
        <v>68</v>
      </c>
      <c r="C50" s="13" t="n">
        <v>85</v>
      </c>
      <c r="D50" s="13" t="s">
        <v>354</v>
      </c>
      <c r="E50" s="13" t="s">
        <v>11221</v>
      </c>
      <c r="F50" s="13" t="s">
        <v>11222</v>
      </c>
      <c r="G50" s="13" t="s">
        <v>11098</v>
      </c>
      <c r="H50" s="13" t="s">
        <v>11099</v>
      </c>
      <c r="I50" s="13" t="s">
        <v>11223</v>
      </c>
      <c r="J50" s="13"/>
      <c r="K50" s="13" t="s">
        <v>358</v>
      </c>
      <c r="L50" s="13" t="s">
        <v>359</v>
      </c>
    </row>
    <row r="51" customFormat="false" ht="169.4" hidden="false" customHeight="false" outlineLevel="0" collapsed="false">
      <c r="A51" s="13" t="s">
        <v>3</v>
      </c>
      <c r="B51" s="13" t="s">
        <v>68</v>
      </c>
      <c r="C51" s="13" t="n">
        <v>85</v>
      </c>
      <c r="D51" s="13" t="s">
        <v>363</v>
      </c>
      <c r="E51" s="13" t="s">
        <v>11224</v>
      </c>
      <c r="F51" s="13" t="s">
        <v>11225</v>
      </c>
      <c r="G51" s="13" t="s">
        <v>11098</v>
      </c>
      <c r="H51" s="13" t="s">
        <v>11099</v>
      </c>
      <c r="I51" s="13" t="s">
        <v>364</v>
      </c>
      <c r="J51" s="13"/>
      <c r="K51" s="13" t="s">
        <v>366</v>
      </c>
      <c r="L51" s="13" t="s">
        <v>367</v>
      </c>
    </row>
    <row r="52" customFormat="false" ht="169.4" hidden="false" customHeight="false" outlineLevel="0" collapsed="false">
      <c r="A52" s="13" t="s">
        <v>3</v>
      </c>
      <c r="B52" s="13" t="s">
        <v>68</v>
      </c>
      <c r="C52" s="13" t="n">
        <v>85</v>
      </c>
      <c r="D52" s="13" t="s">
        <v>363</v>
      </c>
      <c r="E52" s="13" t="s">
        <v>11226</v>
      </c>
      <c r="F52" s="13" t="s">
        <v>11227</v>
      </c>
      <c r="G52" s="13" t="s">
        <v>11128</v>
      </c>
      <c r="H52" s="13" t="s">
        <v>11099</v>
      </c>
      <c r="I52" s="13"/>
      <c r="J52" s="13"/>
      <c r="K52" s="13" t="s">
        <v>366</v>
      </c>
      <c r="L52" s="13" t="s">
        <v>367</v>
      </c>
    </row>
    <row r="53" customFormat="false" ht="169.4" hidden="false" customHeight="false" outlineLevel="0" collapsed="false">
      <c r="A53" s="13" t="s">
        <v>3</v>
      </c>
      <c r="B53" s="13" t="s">
        <v>68</v>
      </c>
      <c r="C53" s="13" t="n">
        <v>85</v>
      </c>
      <c r="D53" s="13" t="s">
        <v>363</v>
      </c>
      <c r="E53" s="13" t="s">
        <v>11228</v>
      </c>
      <c r="F53" s="13" t="s">
        <v>11229</v>
      </c>
      <c r="G53" s="13" t="s">
        <v>11098</v>
      </c>
      <c r="H53" s="13" t="s">
        <v>11099</v>
      </c>
      <c r="I53" s="13" t="s">
        <v>364</v>
      </c>
      <c r="J53" s="13" t="s">
        <v>11230</v>
      </c>
      <c r="K53" s="13" t="s">
        <v>366</v>
      </c>
      <c r="L53" s="13" t="s">
        <v>367</v>
      </c>
    </row>
    <row r="54" customFormat="false" ht="169.4" hidden="false" customHeight="false" outlineLevel="0" collapsed="false">
      <c r="A54" s="13" t="s">
        <v>3</v>
      </c>
      <c r="B54" s="13" t="s">
        <v>68</v>
      </c>
      <c r="C54" s="13" t="n">
        <v>85</v>
      </c>
      <c r="D54" s="13" t="s">
        <v>363</v>
      </c>
      <c r="E54" s="13" t="s">
        <v>11231</v>
      </c>
      <c r="F54" s="13" t="s">
        <v>11232</v>
      </c>
      <c r="G54" s="13" t="s">
        <v>11098</v>
      </c>
      <c r="H54" s="13" t="s">
        <v>11099</v>
      </c>
      <c r="I54" s="13" t="s">
        <v>368</v>
      </c>
      <c r="J54" s="13"/>
      <c r="K54" s="13" t="s">
        <v>366</v>
      </c>
      <c r="L54" s="13" t="s">
        <v>367</v>
      </c>
    </row>
    <row r="55" customFormat="false" ht="169.4" hidden="false" customHeight="false" outlineLevel="0" collapsed="false">
      <c r="A55" s="13" t="s">
        <v>3</v>
      </c>
      <c r="B55" s="13" t="s">
        <v>68</v>
      </c>
      <c r="C55" s="13" t="n">
        <v>85</v>
      </c>
      <c r="D55" s="13" t="s">
        <v>363</v>
      </c>
      <c r="E55" s="13" t="s">
        <v>11233</v>
      </c>
      <c r="F55" s="13" t="s">
        <v>11234</v>
      </c>
      <c r="G55" s="13" t="s">
        <v>11098</v>
      </c>
      <c r="H55" s="13" t="s">
        <v>11099</v>
      </c>
      <c r="I55" s="13" t="s">
        <v>370</v>
      </c>
      <c r="J55" s="13"/>
      <c r="K55" s="13" t="s">
        <v>366</v>
      </c>
      <c r="L55" s="13" t="s">
        <v>367</v>
      </c>
    </row>
    <row r="56" customFormat="false" ht="79.85" hidden="false" customHeight="false" outlineLevel="0" collapsed="false">
      <c r="A56" s="13" t="s">
        <v>3</v>
      </c>
      <c r="B56" s="13" t="s">
        <v>68</v>
      </c>
      <c r="C56" s="13" t="n">
        <v>108</v>
      </c>
      <c r="D56" s="13" t="s">
        <v>372</v>
      </c>
      <c r="E56" s="13" t="s">
        <v>11235</v>
      </c>
      <c r="F56" s="13" t="s">
        <v>11236</v>
      </c>
      <c r="G56" s="13" t="s">
        <v>11098</v>
      </c>
      <c r="H56" s="13" t="s">
        <v>11099</v>
      </c>
      <c r="I56" s="13" t="s">
        <v>11237</v>
      </c>
      <c r="J56" s="13"/>
      <c r="K56" s="13" t="s">
        <v>377</v>
      </c>
      <c r="L56" s="13" t="s">
        <v>378</v>
      </c>
    </row>
    <row r="57" customFormat="false" ht="46.25" hidden="false" customHeight="false" outlineLevel="0" collapsed="false">
      <c r="A57" s="13" t="s">
        <v>3</v>
      </c>
      <c r="B57" s="13" t="s">
        <v>68</v>
      </c>
      <c r="C57" s="13" t="n">
        <v>108</v>
      </c>
      <c r="D57" s="13" t="s">
        <v>381</v>
      </c>
      <c r="E57" s="13" t="s">
        <v>11238</v>
      </c>
      <c r="F57" s="13" t="s">
        <v>11239</v>
      </c>
      <c r="G57" s="13" t="s">
        <v>11098</v>
      </c>
      <c r="H57" s="13" t="s">
        <v>11099</v>
      </c>
      <c r="I57" s="13" t="s">
        <v>11240</v>
      </c>
      <c r="J57" s="13"/>
      <c r="K57" s="13" t="s">
        <v>384</v>
      </c>
      <c r="L57" s="13" t="s">
        <v>385</v>
      </c>
    </row>
    <row r="58" customFormat="false" ht="15" hidden="false" customHeight="false" outlineLevel="0" collapsed="false">
      <c r="A58" s="13" t="s">
        <v>3</v>
      </c>
      <c r="B58" s="13" t="s">
        <v>68</v>
      </c>
      <c r="C58" s="13" t="n">
        <v>108</v>
      </c>
      <c r="D58" s="13" t="s">
        <v>389</v>
      </c>
      <c r="E58" s="13" t="s">
        <v>11241</v>
      </c>
      <c r="F58" s="13" t="s">
        <v>11242</v>
      </c>
      <c r="G58" s="13" t="s">
        <v>11098</v>
      </c>
      <c r="H58" s="13" t="s">
        <v>11099</v>
      </c>
      <c r="I58" s="13" t="s">
        <v>390</v>
      </c>
      <c r="J58" s="13"/>
      <c r="K58" s="13" t="s">
        <v>393</v>
      </c>
      <c r="L58" s="13" t="s">
        <v>394</v>
      </c>
    </row>
    <row r="59" customFormat="false" ht="15" hidden="false" customHeight="false" outlineLevel="0" collapsed="false">
      <c r="A59" s="13" t="s">
        <v>3</v>
      </c>
      <c r="B59" s="13" t="s">
        <v>68</v>
      </c>
      <c r="C59" s="13" t="n">
        <v>108</v>
      </c>
      <c r="D59" s="13" t="s">
        <v>395</v>
      </c>
      <c r="E59" s="13" t="s">
        <v>11243</v>
      </c>
      <c r="F59" s="13" t="s">
        <v>11244</v>
      </c>
      <c r="G59" s="13" t="s">
        <v>11098</v>
      </c>
      <c r="H59" s="13" t="s">
        <v>11099</v>
      </c>
      <c r="I59" s="13" t="s">
        <v>396</v>
      </c>
      <c r="J59" s="13"/>
      <c r="K59" s="13" t="s">
        <v>400</v>
      </c>
      <c r="L59" s="13" t="s">
        <v>401</v>
      </c>
    </row>
    <row r="60" customFormat="false" ht="46.25" hidden="false" customHeight="false" outlineLevel="0" collapsed="false">
      <c r="A60" s="13" t="s">
        <v>3</v>
      </c>
      <c r="B60" s="13" t="s">
        <v>68</v>
      </c>
      <c r="C60" s="13" t="n">
        <v>108</v>
      </c>
      <c r="D60" s="13" t="s">
        <v>402</v>
      </c>
      <c r="E60" s="13" t="s">
        <v>11245</v>
      </c>
      <c r="F60" s="13" t="s">
        <v>11246</v>
      </c>
      <c r="G60" s="13" t="s">
        <v>11128</v>
      </c>
      <c r="H60" s="13" t="s">
        <v>11099</v>
      </c>
      <c r="I60" s="13"/>
      <c r="J60" s="13"/>
      <c r="K60" s="13" t="s">
        <v>408</v>
      </c>
      <c r="L60" s="13" t="s">
        <v>409</v>
      </c>
    </row>
    <row r="61" customFormat="false" ht="46.25" hidden="false" customHeight="false" outlineLevel="0" collapsed="false">
      <c r="A61" s="13" t="s">
        <v>3</v>
      </c>
      <c r="B61" s="13" t="s">
        <v>68</v>
      </c>
      <c r="C61" s="13" t="n">
        <v>108</v>
      </c>
      <c r="D61" s="13" t="s">
        <v>402</v>
      </c>
      <c r="E61" s="13" t="s">
        <v>11247</v>
      </c>
      <c r="F61" s="13" t="s">
        <v>11248</v>
      </c>
      <c r="G61" s="13" t="s">
        <v>11098</v>
      </c>
      <c r="H61" s="13" t="s">
        <v>11099</v>
      </c>
      <c r="I61" s="13" t="s">
        <v>410</v>
      </c>
      <c r="J61" s="13"/>
      <c r="K61" s="13" t="s">
        <v>408</v>
      </c>
      <c r="L61" s="13" t="s">
        <v>409</v>
      </c>
    </row>
    <row r="62" customFormat="false" ht="46.25" hidden="false" customHeight="false" outlineLevel="0" collapsed="false">
      <c r="A62" s="13" t="s">
        <v>3</v>
      </c>
      <c r="B62" s="13" t="s">
        <v>68</v>
      </c>
      <c r="C62" s="13" t="n">
        <v>108</v>
      </c>
      <c r="D62" s="13" t="s">
        <v>402</v>
      </c>
      <c r="E62" s="13" t="s">
        <v>11249</v>
      </c>
      <c r="F62" s="13" t="s">
        <v>11250</v>
      </c>
      <c r="G62" s="13" t="s">
        <v>11098</v>
      </c>
      <c r="H62" s="13" t="s">
        <v>11099</v>
      </c>
      <c r="I62" s="13" t="s">
        <v>396</v>
      </c>
      <c r="J62" s="13" t="s">
        <v>11251</v>
      </c>
      <c r="K62" s="13" t="s">
        <v>408</v>
      </c>
      <c r="L62" s="13" t="s">
        <v>409</v>
      </c>
    </row>
    <row r="63" customFormat="false" ht="91" hidden="false" customHeight="false" outlineLevel="0" collapsed="false">
      <c r="A63" s="13" t="s">
        <v>3</v>
      </c>
      <c r="B63" s="13" t="s">
        <v>68</v>
      </c>
      <c r="C63" s="13" t="n">
        <v>108</v>
      </c>
      <c r="D63" s="13" t="s">
        <v>414</v>
      </c>
      <c r="E63" s="13" t="s">
        <v>11252</v>
      </c>
      <c r="F63" s="13" t="s">
        <v>11253</v>
      </c>
      <c r="G63" s="13" t="s">
        <v>11098</v>
      </c>
      <c r="H63" s="13" t="s">
        <v>11099</v>
      </c>
      <c r="I63" s="13" t="s">
        <v>11254</v>
      </c>
      <c r="J63" s="13" t="s">
        <v>11255</v>
      </c>
      <c r="K63" s="13" t="s">
        <v>418</v>
      </c>
      <c r="L63" s="13" t="s">
        <v>419</v>
      </c>
    </row>
    <row r="64" customFormat="false" ht="91" hidden="false" customHeight="false" outlineLevel="0" collapsed="false">
      <c r="A64" s="13" t="s">
        <v>3</v>
      </c>
      <c r="B64" s="13" t="s">
        <v>68</v>
      </c>
      <c r="C64" s="13" t="n">
        <v>108</v>
      </c>
      <c r="D64" s="13" t="s">
        <v>414</v>
      </c>
      <c r="E64" s="13" t="s">
        <v>11256</v>
      </c>
      <c r="F64" s="13" t="s">
        <v>11257</v>
      </c>
      <c r="G64" s="13" t="s">
        <v>11098</v>
      </c>
      <c r="H64" s="13" t="s">
        <v>11099</v>
      </c>
      <c r="I64" s="13" t="s">
        <v>420</v>
      </c>
      <c r="J64" s="13" t="s">
        <v>11258</v>
      </c>
      <c r="K64" s="13" t="s">
        <v>418</v>
      </c>
      <c r="L64" s="13" t="s">
        <v>419</v>
      </c>
    </row>
    <row r="65" customFormat="false" ht="91" hidden="false" customHeight="false" outlineLevel="0" collapsed="false">
      <c r="A65" s="13" t="s">
        <v>3</v>
      </c>
      <c r="B65" s="13" t="s">
        <v>68</v>
      </c>
      <c r="C65" s="13" t="n">
        <v>108</v>
      </c>
      <c r="D65" s="13" t="s">
        <v>414</v>
      </c>
      <c r="E65" s="13" t="s">
        <v>11259</v>
      </c>
      <c r="F65" s="13" t="s">
        <v>11260</v>
      </c>
      <c r="G65" s="13" t="s">
        <v>11098</v>
      </c>
      <c r="H65" s="13" t="s">
        <v>11099</v>
      </c>
      <c r="I65" s="13" t="s">
        <v>423</v>
      </c>
      <c r="J65" s="13"/>
      <c r="K65" s="13" t="s">
        <v>418</v>
      </c>
      <c r="L65" s="13" t="s">
        <v>419</v>
      </c>
    </row>
    <row r="66" customFormat="false" ht="102.2" hidden="false" customHeight="false" outlineLevel="0" collapsed="false">
      <c r="A66" s="13" t="s">
        <v>3</v>
      </c>
      <c r="B66" s="13" t="s">
        <v>68</v>
      </c>
      <c r="C66" s="13" t="n">
        <v>132</v>
      </c>
      <c r="D66" s="13" t="s">
        <v>426</v>
      </c>
      <c r="E66" s="13" t="s">
        <v>11261</v>
      </c>
      <c r="F66" s="13" t="s">
        <v>11262</v>
      </c>
      <c r="G66" s="13" t="s">
        <v>11128</v>
      </c>
      <c r="H66" s="13" t="s">
        <v>11099</v>
      </c>
      <c r="I66" s="13"/>
      <c r="J66" s="13"/>
      <c r="K66" s="13" t="s">
        <v>431</v>
      </c>
      <c r="L66" s="13" t="s">
        <v>432</v>
      </c>
    </row>
    <row r="67" customFormat="false" ht="102.2" hidden="false" customHeight="false" outlineLevel="0" collapsed="false">
      <c r="A67" s="13" t="s">
        <v>3</v>
      </c>
      <c r="B67" s="13" t="s">
        <v>68</v>
      </c>
      <c r="C67" s="13" t="n">
        <v>132</v>
      </c>
      <c r="D67" s="13" t="s">
        <v>426</v>
      </c>
      <c r="E67" s="13" t="s">
        <v>11263</v>
      </c>
      <c r="F67" s="13" t="s">
        <v>11264</v>
      </c>
      <c r="G67" s="13" t="s">
        <v>11098</v>
      </c>
      <c r="H67" s="13" t="s">
        <v>11099</v>
      </c>
      <c r="I67" s="13" t="s">
        <v>11265</v>
      </c>
      <c r="J67" s="13"/>
      <c r="K67" s="13" t="s">
        <v>431</v>
      </c>
      <c r="L67" s="13" t="s">
        <v>432</v>
      </c>
    </row>
    <row r="68" customFormat="false" ht="102.2" hidden="false" customHeight="false" outlineLevel="0" collapsed="false">
      <c r="A68" s="13" t="s">
        <v>3</v>
      </c>
      <c r="B68" s="13" t="s">
        <v>68</v>
      </c>
      <c r="C68" s="13" t="n">
        <v>132</v>
      </c>
      <c r="D68" s="13" t="s">
        <v>426</v>
      </c>
      <c r="E68" s="13" t="s">
        <v>11266</v>
      </c>
      <c r="F68" s="13" t="s">
        <v>11267</v>
      </c>
      <c r="G68" s="13" t="s">
        <v>11098</v>
      </c>
      <c r="H68" s="13" t="s">
        <v>11099</v>
      </c>
      <c r="I68" s="13" t="s">
        <v>11268</v>
      </c>
      <c r="J68" s="13"/>
      <c r="K68" s="13" t="s">
        <v>431</v>
      </c>
      <c r="L68" s="13" t="s">
        <v>432</v>
      </c>
    </row>
    <row r="69" customFormat="false" ht="23.85" hidden="false" customHeight="false" outlineLevel="0" collapsed="false">
      <c r="A69" s="13" t="s">
        <v>3</v>
      </c>
      <c r="B69" s="13" t="s">
        <v>68</v>
      </c>
      <c r="C69" s="13" t="n">
        <v>132</v>
      </c>
      <c r="D69" s="13" t="s">
        <v>441</v>
      </c>
      <c r="E69" s="13" t="s">
        <v>11269</v>
      </c>
      <c r="F69" s="13" t="s">
        <v>11270</v>
      </c>
      <c r="G69" s="13" t="s">
        <v>11098</v>
      </c>
      <c r="H69" s="13" t="s">
        <v>11099</v>
      </c>
      <c r="I69" s="13" t="s">
        <v>442</v>
      </c>
      <c r="J69" s="13"/>
      <c r="K69" s="13" t="s">
        <v>446</v>
      </c>
      <c r="L69" s="13" t="s">
        <v>447</v>
      </c>
    </row>
    <row r="70" customFormat="false" ht="57.45" hidden="false" customHeight="false" outlineLevel="0" collapsed="false">
      <c r="A70" s="13" t="s">
        <v>3</v>
      </c>
      <c r="B70" s="13" t="s">
        <v>68</v>
      </c>
      <c r="C70" s="13" t="n">
        <v>132</v>
      </c>
      <c r="D70" s="13" t="s">
        <v>448</v>
      </c>
      <c r="E70" s="13" t="s">
        <v>11271</v>
      </c>
      <c r="F70" s="13" t="s">
        <v>11272</v>
      </c>
      <c r="G70" s="13" t="s">
        <v>11128</v>
      </c>
      <c r="H70" s="13" t="s">
        <v>11099</v>
      </c>
      <c r="I70" s="13"/>
      <c r="J70" s="13"/>
      <c r="K70" s="13" t="s">
        <v>451</v>
      </c>
      <c r="L70" s="13" t="s">
        <v>452</v>
      </c>
    </row>
    <row r="71" customFormat="false" ht="57.45" hidden="false" customHeight="false" outlineLevel="0" collapsed="false">
      <c r="A71" s="13" t="s">
        <v>3</v>
      </c>
      <c r="B71" s="13" t="s">
        <v>68</v>
      </c>
      <c r="C71" s="13" t="n">
        <v>132</v>
      </c>
      <c r="D71" s="13" t="s">
        <v>448</v>
      </c>
      <c r="E71" s="13" t="s">
        <v>11273</v>
      </c>
      <c r="F71" s="13" t="s">
        <v>11274</v>
      </c>
      <c r="G71" s="13" t="s">
        <v>11098</v>
      </c>
      <c r="H71" s="13" t="s">
        <v>11099</v>
      </c>
      <c r="I71" s="13" t="s">
        <v>449</v>
      </c>
      <c r="J71" s="13"/>
      <c r="K71" s="13" t="s">
        <v>451</v>
      </c>
      <c r="L71" s="13" t="s">
        <v>452</v>
      </c>
    </row>
    <row r="72" customFormat="false" ht="57.45" hidden="false" customHeight="false" outlineLevel="0" collapsed="false">
      <c r="A72" s="13" t="s">
        <v>3</v>
      </c>
      <c r="B72" s="13" t="s">
        <v>68</v>
      </c>
      <c r="C72" s="13" t="n">
        <v>132</v>
      </c>
      <c r="D72" s="13" t="s">
        <v>448</v>
      </c>
      <c r="E72" s="13" t="s">
        <v>11275</v>
      </c>
      <c r="F72" s="13" t="s">
        <v>11276</v>
      </c>
      <c r="G72" s="13" t="s">
        <v>11098</v>
      </c>
      <c r="H72" s="13" t="s">
        <v>11099</v>
      </c>
      <c r="I72" s="13" t="s">
        <v>11277</v>
      </c>
      <c r="J72" s="13" t="s">
        <v>11278</v>
      </c>
      <c r="K72" s="13" t="s">
        <v>451</v>
      </c>
      <c r="L72" s="13" t="s">
        <v>452</v>
      </c>
    </row>
    <row r="73" customFormat="false" ht="57.45" hidden="false" customHeight="false" outlineLevel="0" collapsed="false">
      <c r="A73" s="13" t="s">
        <v>3</v>
      </c>
      <c r="B73" s="13" t="s">
        <v>68</v>
      </c>
      <c r="C73" s="13" t="n">
        <v>132</v>
      </c>
      <c r="D73" s="13" t="s">
        <v>448</v>
      </c>
      <c r="E73" s="13" t="s">
        <v>11279</v>
      </c>
      <c r="F73" s="13" t="s">
        <v>11280</v>
      </c>
      <c r="G73" s="13" t="s">
        <v>11098</v>
      </c>
      <c r="H73" s="13" t="s">
        <v>11099</v>
      </c>
      <c r="I73" s="13" t="s">
        <v>11277</v>
      </c>
      <c r="J73" s="13"/>
      <c r="K73" s="13" t="s">
        <v>451</v>
      </c>
      <c r="L73" s="13" t="s">
        <v>452</v>
      </c>
    </row>
    <row r="74" customFormat="false" ht="35.05" hidden="false" customHeight="false" outlineLevel="0" collapsed="false">
      <c r="A74" s="13" t="s">
        <v>3</v>
      </c>
      <c r="B74" s="13" t="s">
        <v>68</v>
      </c>
      <c r="C74" s="13" t="n">
        <v>132</v>
      </c>
      <c r="D74" s="13" t="s">
        <v>458</v>
      </c>
      <c r="E74" s="13" t="s">
        <v>11281</v>
      </c>
      <c r="F74" s="13" t="s">
        <v>11282</v>
      </c>
      <c r="G74" s="13" t="s">
        <v>11098</v>
      </c>
      <c r="H74" s="13" t="s">
        <v>11099</v>
      </c>
      <c r="I74" s="13" t="s">
        <v>11283</v>
      </c>
      <c r="J74" s="13"/>
      <c r="K74" s="13" t="s">
        <v>462</v>
      </c>
      <c r="L74" s="13" t="s">
        <v>463</v>
      </c>
    </row>
    <row r="75" customFormat="false" ht="57.45" hidden="false" customHeight="false" outlineLevel="0" collapsed="false">
      <c r="A75" s="13" t="s">
        <v>3</v>
      </c>
      <c r="B75" s="13" t="s">
        <v>68</v>
      </c>
      <c r="C75" s="13" t="n">
        <v>132</v>
      </c>
      <c r="D75" s="13" t="s">
        <v>468</v>
      </c>
      <c r="E75" s="13" t="s">
        <v>11284</v>
      </c>
      <c r="F75" s="13" t="s">
        <v>11285</v>
      </c>
      <c r="G75" s="13" t="s">
        <v>11098</v>
      </c>
      <c r="H75" s="13" t="s">
        <v>11099</v>
      </c>
      <c r="I75" s="13" t="s">
        <v>11286</v>
      </c>
      <c r="J75" s="13"/>
      <c r="K75" s="13" t="s">
        <v>470</v>
      </c>
      <c r="L75" s="13" t="s">
        <v>471</v>
      </c>
    </row>
    <row r="76" customFormat="false" ht="79.85" hidden="false" customHeight="false" outlineLevel="0" collapsed="false">
      <c r="A76" s="13" t="s">
        <v>3</v>
      </c>
      <c r="B76" s="13" t="s">
        <v>68</v>
      </c>
      <c r="C76" s="13" t="n">
        <v>132</v>
      </c>
      <c r="D76" s="13" t="s">
        <v>478</v>
      </c>
      <c r="E76" s="13" t="s">
        <v>11287</v>
      </c>
      <c r="F76" s="13" t="s">
        <v>11288</v>
      </c>
      <c r="G76" s="13" t="s">
        <v>11098</v>
      </c>
      <c r="H76" s="13" t="s">
        <v>11099</v>
      </c>
      <c r="I76" s="13" t="s">
        <v>479</v>
      </c>
      <c r="J76" s="13"/>
      <c r="K76" s="13" t="s">
        <v>482</v>
      </c>
      <c r="L76" s="13" t="s">
        <v>483</v>
      </c>
    </row>
    <row r="77" customFormat="false" ht="79.85" hidden="false" customHeight="false" outlineLevel="0" collapsed="false">
      <c r="A77" s="13" t="s">
        <v>3</v>
      </c>
      <c r="B77" s="13" t="s">
        <v>68</v>
      </c>
      <c r="C77" s="13" t="n">
        <v>132</v>
      </c>
      <c r="D77" s="13" t="s">
        <v>478</v>
      </c>
      <c r="E77" s="13" t="s">
        <v>11289</v>
      </c>
      <c r="F77" s="13" t="s">
        <v>11290</v>
      </c>
      <c r="G77" s="13" t="s">
        <v>11128</v>
      </c>
      <c r="H77" s="13" t="s">
        <v>11099</v>
      </c>
      <c r="I77" s="13"/>
      <c r="J77" s="13"/>
      <c r="K77" s="13" t="s">
        <v>482</v>
      </c>
      <c r="L77" s="13" t="s">
        <v>483</v>
      </c>
    </row>
    <row r="78" customFormat="false" ht="79.85" hidden="false" customHeight="false" outlineLevel="0" collapsed="false">
      <c r="A78" s="13" t="s">
        <v>3</v>
      </c>
      <c r="B78" s="13" t="s">
        <v>68</v>
      </c>
      <c r="C78" s="13" t="n">
        <v>132</v>
      </c>
      <c r="D78" s="13" t="s">
        <v>478</v>
      </c>
      <c r="E78" s="13" t="s">
        <v>11291</v>
      </c>
      <c r="F78" s="13" t="s">
        <v>11292</v>
      </c>
      <c r="G78" s="13" t="s">
        <v>11098</v>
      </c>
      <c r="H78" s="13" t="s">
        <v>11099</v>
      </c>
      <c r="I78" s="13" t="s">
        <v>484</v>
      </c>
      <c r="J78" s="13"/>
      <c r="K78" s="13" t="s">
        <v>482</v>
      </c>
      <c r="L78" s="13" t="s">
        <v>483</v>
      </c>
    </row>
    <row r="79" customFormat="false" ht="23.85" hidden="false" customHeight="false" outlineLevel="0" collapsed="false">
      <c r="A79" s="13" t="s">
        <v>3</v>
      </c>
      <c r="B79" s="13" t="s">
        <v>68</v>
      </c>
      <c r="C79" s="13" t="n">
        <v>132</v>
      </c>
      <c r="D79" s="13" t="s">
        <v>487</v>
      </c>
      <c r="E79" s="13" t="s">
        <v>11293</v>
      </c>
      <c r="F79" s="13" t="s">
        <v>11294</v>
      </c>
      <c r="G79" s="13" t="s">
        <v>11098</v>
      </c>
      <c r="H79" s="13" t="s">
        <v>11099</v>
      </c>
      <c r="I79" s="13" t="s">
        <v>488</v>
      </c>
      <c r="J79" s="13"/>
      <c r="K79" s="13" t="s">
        <v>490</v>
      </c>
      <c r="L79" s="13" t="s">
        <v>491</v>
      </c>
    </row>
    <row r="80" customFormat="false" ht="46.25" hidden="false" customHeight="false" outlineLevel="0" collapsed="false">
      <c r="A80" s="13" t="s">
        <v>3</v>
      </c>
      <c r="B80" s="13" t="s">
        <v>68</v>
      </c>
      <c r="C80" s="13" t="n">
        <v>132</v>
      </c>
      <c r="D80" s="13" t="s">
        <v>492</v>
      </c>
      <c r="E80" s="13" t="s">
        <v>11295</v>
      </c>
      <c r="F80" s="13" t="s">
        <v>11296</v>
      </c>
      <c r="G80" s="13" t="s">
        <v>11128</v>
      </c>
      <c r="H80" s="13" t="s">
        <v>11099</v>
      </c>
      <c r="I80" s="13"/>
      <c r="J80" s="13"/>
      <c r="K80" s="13" t="s">
        <v>495</v>
      </c>
      <c r="L80" s="13" t="s">
        <v>496</v>
      </c>
    </row>
    <row r="81" customFormat="false" ht="46.25" hidden="false" customHeight="false" outlineLevel="0" collapsed="false">
      <c r="A81" s="13" t="s">
        <v>3</v>
      </c>
      <c r="B81" s="13" t="s">
        <v>68</v>
      </c>
      <c r="C81" s="13" t="n">
        <v>132</v>
      </c>
      <c r="D81" s="13" t="s">
        <v>492</v>
      </c>
      <c r="E81" s="13" t="s">
        <v>11297</v>
      </c>
      <c r="F81" s="13" t="s">
        <v>11298</v>
      </c>
      <c r="G81" s="13" t="s">
        <v>11098</v>
      </c>
      <c r="H81" s="13" t="s">
        <v>11099</v>
      </c>
      <c r="I81" s="13" t="s">
        <v>493</v>
      </c>
      <c r="J81" s="13"/>
      <c r="K81" s="13" t="s">
        <v>495</v>
      </c>
      <c r="L81" s="13" t="s">
        <v>496</v>
      </c>
    </row>
    <row r="82" customFormat="false" ht="23.85" hidden="false" customHeight="false" outlineLevel="0" collapsed="false">
      <c r="A82" s="13" t="s">
        <v>3</v>
      </c>
      <c r="B82" s="13" t="s">
        <v>68</v>
      </c>
      <c r="C82" s="13" t="n">
        <v>132</v>
      </c>
      <c r="D82" s="13" t="s">
        <v>497</v>
      </c>
      <c r="E82" s="13" t="s">
        <v>11299</v>
      </c>
      <c r="F82" s="13" t="s">
        <v>11300</v>
      </c>
      <c r="G82" s="13" t="s">
        <v>11098</v>
      </c>
      <c r="H82" s="13" t="s">
        <v>11099</v>
      </c>
      <c r="I82" s="13" t="s">
        <v>498</v>
      </c>
      <c r="J82" s="13"/>
      <c r="K82" s="13" t="s">
        <v>500</v>
      </c>
      <c r="L82" s="13" t="s">
        <v>501</v>
      </c>
    </row>
    <row r="83" customFormat="false" ht="124.6" hidden="false" customHeight="false" outlineLevel="0" collapsed="false">
      <c r="A83" s="13" t="s">
        <v>3</v>
      </c>
      <c r="B83" s="13" t="s">
        <v>68</v>
      </c>
      <c r="C83" s="13" t="n">
        <v>132</v>
      </c>
      <c r="D83" s="13" t="s">
        <v>502</v>
      </c>
      <c r="E83" s="13" t="s">
        <v>11301</v>
      </c>
      <c r="F83" s="13" t="s">
        <v>11302</v>
      </c>
      <c r="G83" s="13" t="s">
        <v>11098</v>
      </c>
      <c r="H83" s="13" t="s">
        <v>11099</v>
      </c>
      <c r="I83" s="13" t="s">
        <v>11303</v>
      </c>
      <c r="J83" s="13" t="s">
        <v>11304</v>
      </c>
      <c r="K83" s="13" t="s">
        <v>506</v>
      </c>
      <c r="L83" s="13" t="s">
        <v>507</v>
      </c>
    </row>
    <row r="84" customFormat="false" ht="124.6" hidden="false" customHeight="false" outlineLevel="0" collapsed="false">
      <c r="A84" s="13" t="s">
        <v>3</v>
      </c>
      <c r="B84" s="13" t="s">
        <v>68</v>
      </c>
      <c r="C84" s="13" t="n">
        <v>132</v>
      </c>
      <c r="D84" s="13" t="s">
        <v>502</v>
      </c>
      <c r="E84" s="13" t="s">
        <v>11305</v>
      </c>
      <c r="F84" s="13" t="s">
        <v>11306</v>
      </c>
      <c r="G84" s="13" t="s">
        <v>11098</v>
      </c>
      <c r="H84" s="13" t="s">
        <v>11099</v>
      </c>
      <c r="I84" s="13" t="s">
        <v>11307</v>
      </c>
      <c r="J84" s="13"/>
      <c r="K84" s="13" t="s">
        <v>506</v>
      </c>
      <c r="L84" s="13" t="s">
        <v>507</v>
      </c>
    </row>
    <row r="85" customFormat="false" ht="124.6" hidden="false" customHeight="false" outlineLevel="0" collapsed="false">
      <c r="A85" s="13" t="s">
        <v>3</v>
      </c>
      <c r="B85" s="13" t="s">
        <v>68</v>
      </c>
      <c r="C85" s="13" t="n">
        <v>132</v>
      </c>
      <c r="D85" s="13" t="s">
        <v>502</v>
      </c>
      <c r="E85" s="13" t="s">
        <v>11308</v>
      </c>
      <c r="F85" s="13" t="s">
        <v>11309</v>
      </c>
      <c r="G85" s="13" t="s">
        <v>11098</v>
      </c>
      <c r="H85" s="13" t="s">
        <v>11099</v>
      </c>
      <c r="I85" s="13" t="s">
        <v>11310</v>
      </c>
      <c r="J85" s="13"/>
      <c r="K85" s="13" t="s">
        <v>506</v>
      </c>
      <c r="L85" s="13" t="s">
        <v>507</v>
      </c>
    </row>
    <row r="86" customFormat="false" ht="79.85" hidden="false" customHeight="false" outlineLevel="0" collapsed="false">
      <c r="A86" s="13" t="s">
        <v>3</v>
      </c>
      <c r="B86" s="13" t="s">
        <v>68</v>
      </c>
      <c r="C86" s="13" t="n">
        <v>167</v>
      </c>
      <c r="D86" s="13" t="s">
        <v>524</v>
      </c>
      <c r="E86" s="13" t="s">
        <v>11311</v>
      </c>
      <c r="F86" s="13" t="s">
        <v>11312</v>
      </c>
      <c r="G86" s="13" t="s">
        <v>11098</v>
      </c>
      <c r="H86" s="13" t="s">
        <v>11099</v>
      </c>
      <c r="I86" s="13" t="s">
        <v>525</v>
      </c>
      <c r="J86" s="13"/>
      <c r="K86" s="13" t="s">
        <v>528</v>
      </c>
      <c r="L86" s="13" t="s">
        <v>529</v>
      </c>
    </row>
    <row r="87" customFormat="false" ht="79.85" hidden="false" customHeight="false" outlineLevel="0" collapsed="false">
      <c r="A87" s="13" t="s">
        <v>3</v>
      </c>
      <c r="B87" s="13" t="s">
        <v>68</v>
      </c>
      <c r="C87" s="13" t="n">
        <v>167</v>
      </c>
      <c r="D87" s="13" t="s">
        <v>524</v>
      </c>
      <c r="E87" s="13" t="s">
        <v>11313</v>
      </c>
      <c r="F87" s="13" t="s">
        <v>11314</v>
      </c>
      <c r="G87" s="13" t="s">
        <v>11315</v>
      </c>
      <c r="H87" s="13" t="s">
        <v>11099</v>
      </c>
      <c r="I87" s="13" t="s">
        <v>11316</v>
      </c>
      <c r="J87" s="13" t="s">
        <v>11317</v>
      </c>
      <c r="K87" s="13" t="s">
        <v>528</v>
      </c>
      <c r="L87" s="13" t="s">
        <v>529</v>
      </c>
    </row>
    <row r="88" customFormat="false" ht="35.05" hidden="false" customHeight="false" outlineLevel="0" collapsed="false">
      <c r="A88" s="13" t="s">
        <v>3</v>
      </c>
      <c r="B88" s="13" t="s">
        <v>68</v>
      </c>
      <c r="C88" s="13" t="n">
        <v>167</v>
      </c>
      <c r="D88" s="13" t="s">
        <v>545</v>
      </c>
      <c r="E88" s="13" t="s">
        <v>11318</v>
      </c>
      <c r="F88" s="13" t="s">
        <v>11319</v>
      </c>
      <c r="G88" s="13" t="s">
        <v>11098</v>
      </c>
      <c r="H88" s="13" t="s">
        <v>11099</v>
      </c>
      <c r="I88" s="13" t="s">
        <v>546</v>
      </c>
      <c r="J88" s="13" t="s">
        <v>11320</v>
      </c>
      <c r="K88" s="13" t="s">
        <v>550</v>
      </c>
      <c r="L88" s="13" t="s">
        <v>551</v>
      </c>
    </row>
    <row r="89" customFormat="false" ht="68.65" hidden="false" customHeight="false" outlineLevel="0" collapsed="false">
      <c r="A89" s="13" t="s">
        <v>3</v>
      </c>
      <c r="B89" s="13" t="s">
        <v>68</v>
      </c>
      <c r="C89" s="13" t="n">
        <v>167</v>
      </c>
      <c r="D89" s="13" t="s">
        <v>552</v>
      </c>
      <c r="E89" s="13" t="s">
        <v>11321</v>
      </c>
      <c r="F89" s="13" t="s">
        <v>11322</v>
      </c>
      <c r="G89" s="13" t="s">
        <v>11098</v>
      </c>
      <c r="H89" s="13" t="s">
        <v>11099</v>
      </c>
      <c r="I89" s="13" t="s">
        <v>11323</v>
      </c>
      <c r="J89" s="13"/>
      <c r="K89" s="13" t="s">
        <v>556</v>
      </c>
      <c r="L89" s="13" t="s">
        <v>557</v>
      </c>
    </row>
    <row r="90" customFormat="false" ht="68.65" hidden="false" customHeight="false" outlineLevel="0" collapsed="false">
      <c r="A90" s="13" t="s">
        <v>3</v>
      </c>
      <c r="B90" s="13" t="s">
        <v>68</v>
      </c>
      <c r="C90" s="13" t="n">
        <v>167</v>
      </c>
      <c r="D90" s="13" t="s">
        <v>552</v>
      </c>
      <c r="E90" s="13" t="s">
        <v>11324</v>
      </c>
      <c r="F90" s="13" t="s">
        <v>11325</v>
      </c>
      <c r="G90" s="13" t="s">
        <v>11098</v>
      </c>
      <c r="H90" s="13" t="s">
        <v>11099</v>
      </c>
      <c r="I90" s="13" t="s">
        <v>561</v>
      </c>
      <c r="J90" s="13" t="s">
        <v>11326</v>
      </c>
      <c r="K90" s="13" t="s">
        <v>556</v>
      </c>
      <c r="L90" s="13" t="s">
        <v>557</v>
      </c>
    </row>
    <row r="91" customFormat="false" ht="46.25" hidden="false" customHeight="false" outlineLevel="0" collapsed="false">
      <c r="A91" s="13" t="s">
        <v>3</v>
      </c>
      <c r="B91" s="13" t="s">
        <v>68</v>
      </c>
      <c r="C91" s="13" t="n">
        <v>167</v>
      </c>
      <c r="D91" s="13" t="s">
        <v>565</v>
      </c>
      <c r="E91" s="13" t="s">
        <v>11327</v>
      </c>
      <c r="F91" s="13" t="s">
        <v>11328</v>
      </c>
      <c r="G91" s="13" t="s">
        <v>11098</v>
      </c>
      <c r="H91" s="13" t="s">
        <v>11099</v>
      </c>
      <c r="I91" s="13" t="s">
        <v>566</v>
      </c>
      <c r="J91" s="13"/>
      <c r="K91" s="13" t="s">
        <v>569</v>
      </c>
      <c r="L91" s="13" t="s">
        <v>570</v>
      </c>
    </row>
    <row r="92" customFormat="false" ht="35.05" hidden="false" customHeight="false" outlineLevel="0" collapsed="false">
      <c r="A92" s="13" t="s">
        <v>3</v>
      </c>
      <c r="B92" s="13" t="s">
        <v>68</v>
      </c>
      <c r="C92" s="13" t="n">
        <v>167</v>
      </c>
      <c r="D92" s="13" t="s">
        <v>571</v>
      </c>
      <c r="E92" s="13" t="s">
        <v>11329</v>
      </c>
      <c r="F92" s="13" t="s">
        <v>11330</v>
      </c>
      <c r="G92" s="13" t="s">
        <v>11098</v>
      </c>
      <c r="H92" s="13" t="s">
        <v>11099</v>
      </c>
      <c r="I92" s="13" t="s">
        <v>572</v>
      </c>
      <c r="J92" s="13"/>
      <c r="K92" s="13" t="s">
        <v>575</v>
      </c>
      <c r="L92" s="13" t="s">
        <v>576</v>
      </c>
    </row>
    <row r="93" customFormat="false" ht="35.05" hidden="false" customHeight="false" outlineLevel="0" collapsed="false">
      <c r="A93" s="13" t="s">
        <v>3</v>
      </c>
      <c r="B93" s="13" t="s">
        <v>68</v>
      </c>
      <c r="C93" s="13" t="n">
        <v>167</v>
      </c>
      <c r="D93" s="13" t="s">
        <v>577</v>
      </c>
      <c r="E93" s="13" t="s">
        <v>11331</v>
      </c>
      <c r="F93" s="13" t="s">
        <v>11332</v>
      </c>
      <c r="G93" s="13" t="s">
        <v>11098</v>
      </c>
      <c r="H93" s="13" t="s">
        <v>11099</v>
      </c>
      <c r="I93" s="13" t="s">
        <v>578</v>
      </c>
      <c r="J93" s="13"/>
      <c r="K93" s="13" t="s">
        <v>581</v>
      </c>
      <c r="L93" s="13" t="s">
        <v>582</v>
      </c>
    </row>
    <row r="94" customFormat="false" ht="15" hidden="false" customHeight="false" outlineLevel="0" collapsed="false">
      <c r="A94" s="13" t="s">
        <v>3</v>
      </c>
      <c r="B94" s="13" t="s">
        <v>68</v>
      </c>
      <c r="C94" s="13" t="n">
        <v>167</v>
      </c>
      <c r="D94" s="13" t="s">
        <v>583</v>
      </c>
      <c r="E94" s="13" t="s">
        <v>11333</v>
      </c>
      <c r="F94" s="13" t="s">
        <v>11334</v>
      </c>
      <c r="G94" s="13" t="s">
        <v>11098</v>
      </c>
      <c r="H94" s="13" t="s">
        <v>11099</v>
      </c>
      <c r="I94" s="13" t="s">
        <v>584</v>
      </c>
      <c r="J94" s="13"/>
      <c r="K94" s="13" t="s">
        <v>587</v>
      </c>
      <c r="L94" s="13" t="s">
        <v>588</v>
      </c>
    </row>
    <row r="95" customFormat="false" ht="35.05" hidden="false" customHeight="false" outlineLevel="0" collapsed="false">
      <c r="A95" s="13" t="s">
        <v>3</v>
      </c>
      <c r="B95" s="13" t="s">
        <v>68</v>
      </c>
      <c r="C95" s="13" t="n">
        <v>167</v>
      </c>
      <c r="D95" s="13" t="s">
        <v>589</v>
      </c>
      <c r="E95" s="13" t="s">
        <v>11335</v>
      </c>
      <c r="F95" s="13" t="s">
        <v>11336</v>
      </c>
      <c r="G95" s="13" t="s">
        <v>11098</v>
      </c>
      <c r="H95" s="13" t="s">
        <v>11099</v>
      </c>
      <c r="I95" s="13" t="s">
        <v>590</v>
      </c>
      <c r="J95" s="13"/>
      <c r="K95" s="13" t="s">
        <v>594</v>
      </c>
      <c r="L95" s="13" t="s">
        <v>595</v>
      </c>
    </row>
    <row r="96" customFormat="false" ht="23.85" hidden="false" customHeight="false" outlineLevel="0" collapsed="false">
      <c r="A96" s="13" t="s">
        <v>3</v>
      </c>
      <c r="B96" s="13" t="s">
        <v>68</v>
      </c>
      <c r="C96" s="13" t="n">
        <v>167</v>
      </c>
      <c r="D96" s="13" t="s">
        <v>596</v>
      </c>
      <c r="E96" s="13" t="s">
        <v>11337</v>
      </c>
      <c r="F96" s="13" t="s">
        <v>11338</v>
      </c>
      <c r="G96" s="13" t="s">
        <v>11098</v>
      </c>
      <c r="H96" s="13" t="s">
        <v>11099</v>
      </c>
      <c r="I96" s="13" t="s">
        <v>597</v>
      </c>
      <c r="J96" s="13"/>
      <c r="K96" s="13" t="s">
        <v>602</v>
      </c>
      <c r="L96" s="13" t="s">
        <v>603</v>
      </c>
    </row>
    <row r="97" customFormat="false" ht="23.85" hidden="false" customHeight="false" outlineLevel="0" collapsed="false">
      <c r="A97" s="13" t="s">
        <v>3</v>
      </c>
      <c r="B97" s="13" t="s">
        <v>68</v>
      </c>
      <c r="C97" s="13" t="n">
        <v>167</v>
      </c>
      <c r="D97" s="13" t="s">
        <v>604</v>
      </c>
      <c r="E97" s="13" t="s">
        <v>11339</v>
      </c>
      <c r="F97" s="13" t="s">
        <v>11340</v>
      </c>
      <c r="G97" s="13" t="s">
        <v>11098</v>
      </c>
      <c r="H97" s="13" t="s">
        <v>11099</v>
      </c>
      <c r="I97" s="13" t="s">
        <v>605</v>
      </c>
      <c r="J97" s="13"/>
      <c r="K97" s="13" t="s">
        <v>608</v>
      </c>
      <c r="L97" s="13" t="s">
        <v>609</v>
      </c>
    </row>
    <row r="98" customFormat="false" ht="57.45" hidden="false" customHeight="false" outlineLevel="0" collapsed="false">
      <c r="A98" s="13" t="s">
        <v>3</v>
      </c>
      <c r="B98" s="13" t="s">
        <v>68</v>
      </c>
      <c r="C98" s="13" t="n">
        <v>167</v>
      </c>
      <c r="D98" s="13" t="s">
        <v>610</v>
      </c>
      <c r="E98" s="13" t="s">
        <v>11341</v>
      </c>
      <c r="F98" s="13" t="s">
        <v>11342</v>
      </c>
      <c r="G98" s="13" t="s">
        <v>11098</v>
      </c>
      <c r="H98" s="13" t="s">
        <v>11099</v>
      </c>
      <c r="I98" s="13" t="s">
        <v>11343</v>
      </c>
      <c r="J98" s="13" t="s">
        <v>11344</v>
      </c>
      <c r="K98" s="13" t="s">
        <v>614</v>
      </c>
      <c r="L98" s="13" t="s">
        <v>615</v>
      </c>
    </row>
    <row r="99" customFormat="false" ht="57.45" hidden="false" customHeight="false" outlineLevel="0" collapsed="false">
      <c r="A99" s="13" t="s">
        <v>3</v>
      </c>
      <c r="B99" s="13" t="s">
        <v>68</v>
      </c>
      <c r="C99" s="13" t="n">
        <v>167</v>
      </c>
      <c r="D99" s="13" t="s">
        <v>610</v>
      </c>
      <c r="E99" s="13" t="s">
        <v>11345</v>
      </c>
      <c r="F99" s="13" t="s">
        <v>11346</v>
      </c>
      <c r="G99" s="13" t="s">
        <v>11098</v>
      </c>
      <c r="H99" s="13" t="s">
        <v>11099</v>
      </c>
      <c r="I99" s="13" t="s">
        <v>11347</v>
      </c>
      <c r="J99" s="13"/>
      <c r="K99" s="13" t="s">
        <v>614</v>
      </c>
      <c r="L99" s="13" t="s">
        <v>615</v>
      </c>
    </row>
    <row r="100" customFormat="false" ht="46.25" hidden="false" customHeight="false" outlineLevel="0" collapsed="false">
      <c r="A100" s="13" t="s">
        <v>3</v>
      </c>
      <c r="B100" s="13" t="s">
        <v>68</v>
      </c>
      <c r="C100" s="13" t="n">
        <v>167</v>
      </c>
      <c r="D100" s="13" t="s">
        <v>620</v>
      </c>
      <c r="E100" s="13" t="s">
        <v>11348</v>
      </c>
      <c r="F100" s="13" t="s">
        <v>11349</v>
      </c>
      <c r="G100" s="13" t="s">
        <v>11098</v>
      </c>
      <c r="H100" s="13" t="s">
        <v>11099</v>
      </c>
      <c r="I100" s="13" t="s">
        <v>11350</v>
      </c>
      <c r="J100" s="13"/>
      <c r="K100" s="13" t="s">
        <v>624</v>
      </c>
      <c r="L100" s="13" t="s">
        <v>625</v>
      </c>
    </row>
    <row r="101" customFormat="false" ht="23.85" hidden="false" customHeight="false" outlineLevel="0" collapsed="false">
      <c r="A101" s="13" t="s">
        <v>3</v>
      </c>
      <c r="B101" s="13" t="s">
        <v>68</v>
      </c>
      <c r="C101" s="13" t="n">
        <v>167</v>
      </c>
      <c r="D101" s="13" t="s">
        <v>629</v>
      </c>
      <c r="E101" s="13" t="s">
        <v>11351</v>
      </c>
      <c r="F101" s="13" t="s">
        <v>11352</v>
      </c>
      <c r="G101" s="13" t="s">
        <v>11098</v>
      </c>
      <c r="H101" s="13" t="s">
        <v>11099</v>
      </c>
      <c r="I101" s="13" t="s">
        <v>630</v>
      </c>
      <c r="J101" s="13"/>
      <c r="K101" s="13" t="s">
        <v>632</v>
      </c>
      <c r="L101" s="13" t="s">
        <v>633</v>
      </c>
    </row>
    <row r="102" customFormat="false" ht="15" hidden="false" customHeight="false" outlineLevel="0" collapsed="false">
      <c r="A102" s="13" t="s">
        <v>3</v>
      </c>
      <c r="B102" s="13" t="s">
        <v>68</v>
      </c>
      <c r="C102" s="13" t="n">
        <v>167</v>
      </c>
      <c r="D102" s="13" t="s">
        <v>634</v>
      </c>
      <c r="E102" s="13" t="s">
        <v>11353</v>
      </c>
      <c r="F102" s="13" t="s">
        <v>11354</v>
      </c>
      <c r="G102" s="13" t="s">
        <v>11098</v>
      </c>
      <c r="H102" s="13" t="s">
        <v>11099</v>
      </c>
      <c r="I102" s="13" t="s">
        <v>635</v>
      </c>
      <c r="J102" s="13"/>
      <c r="K102" s="13" t="s">
        <v>638</v>
      </c>
      <c r="L102" s="13" t="s">
        <v>639</v>
      </c>
    </row>
    <row r="103" customFormat="false" ht="68.65" hidden="false" customHeight="false" outlineLevel="0" collapsed="false">
      <c r="A103" s="13" t="s">
        <v>3</v>
      </c>
      <c r="B103" s="13" t="s">
        <v>68</v>
      </c>
      <c r="C103" s="13" t="n">
        <v>167</v>
      </c>
      <c r="D103" s="13" t="s">
        <v>640</v>
      </c>
      <c r="E103" s="13" t="s">
        <v>11355</v>
      </c>
      <c r="F103" s="13" t="s">
        <v>11356</v>
      </c>
      <c r="G103" s="13" t="s">
        <v>11098</v>
      </c>
      <c r="H103" s="13" t="s">
        <v>11099</v>
      </c>
      <c r="I103" s="13" t="s">
        <v>11357</v>
      </c>
      <c r="J103" s="13"/>
      <c r="K103" s="13" t="s">
        <v>643</v>
      </c>
      <c r="L103" s="13" t="s">
        <v>644</v>
      </c>
    </row>
    <row r="104" customFormat="false" ht="68.65" hidden="false" customHeight="false" outlineLevel="0" collapsed="false">
      <c r="A104" s="13" t="s">
        <v>3</v>
      </c>
      <c r="B104" s="13" t="s">
        <v>68</v>
      </c>
      <c r="C104" s="13" t="n">
        <v>167</v>
      </c>
      <c r="D104" s="13" t="s">
        <v>640</v>
      </c>
      <c r="E104" s="13" t="s">
        <v>11358</v>
      </c>
      <c r="F104" s="13" t="s">
        <v>11359</v>
      </c>
      <c r="G104" s="13" t="s">
        <v>11098</v>
      </c>
      <c r="H104" s="13" t="s">
        <v>11099</v>
      </c>
      <c r="I104" s="13" t="s">
        <v>11360</v>
      </c>
      <c r="J104" s="13" t="s">
        <v>11361</v>
      </c>
      <c r="K104" s="13" t="s">
        <v>643</v>
      </c>
      <c r="L104" s="13" t="s">
        <v>644</v>
      </c>
    </row>
    <row r="105" customFormat="false" ht="57.45" hidden="false" customHeight="false" outlineLevel="0" collapsed="false">
      <c r="A105" s="13" t="s">
        <v>3</v>
      </c>
      <c r="B105" s="13" t="s">
        <v>68</v>
      </c>
      <c r="C105" s="13" t="n">
        <v>167</v>
      </c>
      <c r="D105" s="13" t="s">
        <v>649</v>
      </c>
      <c r="E105" s="13" t="s">
        <v>11362</v>
      </c>
      <c r="F105" s="13" t="s">
        <v>11363</v>
      </c>
      <c r="G105" s="13" t="s">
        <v>11098</v>
      </c>
      <c r="H105" s="13" t="s">
        <v>11099</v>
      </c>
      <c r="I105" s="13" t="s">
        <v>650</v>
      </c>
      <c r="J105" s="13"/>
      <c r="K105" s="13" t="s">
        <v>653</v>
      </c>
      <c r="L105" s="13" t="s">
        <v>654</v>
      </c>
    </row>
    <row r="106" customFormat="false" ht="57.45" hidden="false" customHeight="false" outlineLevel="0" collapsed="false">
      <c r="A106" s="13" t="s">
        <v>3</v>
      </c>
      <c r="B106" s="13" t="s">
        <v>68</v>
      </c>
      <c r="C106" s="13" t="n">
        <v>167</v>
      </c>
      <c r="D106" s="13" t="s">
        <v>649</v>
      </c>
      <c r="E106" s="13" t="s">
        <v>11364</v>
      </c>
      <c r="F106" s="13" t="s">
        <v>11365</v>
      </c>
      <c r="G106" s="13" t="s">
        <v>11098</v>
      </c>
      <c r="H106" s="13" t="s">
        <v>11099</v>
      </c>
      <c r="I106" s="13" t="s">
        <v>11366</v>
      </c>
      <c r="J106" s="13"/>
      <c r="K106" s="13" t="s">
        <v>653</v>
      </c>
      <c r="L106" s="13" t="s">
        <v>654</v>
      </c>
    </row>
    <row r="107" customFormat="false" ht="15" hidden="false" customHeight="false" outlineLevel="0" collapsed="false">
      <c r="A107" s="13" t="s">
        <v>3</v>
      </c>
      <c r="B107" s="13" t="s">
        <v>68</v>
      </c>
      <c r="C107" s="13" t="n">
        <v>178</v>
      </c>
      <c r="D107" s="13" t="s">
        <v>666</v>
      </c>
      <c r="E107" s="13" t="s">
        <v>11367</v>
      </c>
      <c r="F107" s="13" t="s">
        <v>11368</v>
      </c>
      <c r="G107" s="13" t="s">
        <v>11098</v>
      </c>
      <c r="H107" s="13" t="s">
        <v>11099</v>
      </c>
      <c r="I107" s="13" t="s">
        <v>667</v>
      </c>
      <c r="J107" s="13"/>
      <c r="K107" s="13" t="s">
        <v>671</v>
      </c>
      <c r="L107" s="13" t="s">
        <v>672</v>
      </c>
    </row>
    <row r="108" customFormat="false" ht="15" hidden="false" customHeight="false" outlineLevel="0" collapsed="false">
      <c r="A108" s="13" t="s">
        <v>3</v>
      </c>
      <c r="B108" s="13" t="s">
        <v>68</v>
      </c>
      <c r="C108" s="13" t="n">
        <v>178</v>
      </c>
      <c r="D108" s="13" t="s">
        <v>673</v>
      </c>
      <c r="E108" s="13" t="s">
        <v>11369</v>
      </c>
      <c r="F108" s="13" t="s">
        <v>11370</v>
      </c>
      <c r="G108" s="13" t="s">
        <v>11098</v>
      </c>
      <c r="H108" s="13" t="s">
        <v>11099</v>
      </c>
      <c r="I108" s="13" t="s">
        <v>674</v>
      </c>
      <c r="J108" s="13"/>
      <c r="K108" s="13" t="s">
        <v>677</v>
      </c>
      <c r="L108" s="13" t="s">
        <v>678</v>
      </c>
    </row>
    <row r="109" customFormat="false" ht="23.85" hidden="false" customHeight="false" outlineLevel="0" collapsed="false">
      <c r="A109" s="13" t="s">
        <v>3</v>
      </c>
      <c r="B109" s="13" t="s">
        <v>68</v>
      </c>
      <c r="C109" s="13" t="n">
        <v>178</v>
      </c>
      <c r="D109" s="13" t="s">
        <v>679</v>
      </c>
      <c r="E109" s="13" t="s">
        <v>11371</v>
      </c>
      <c r="F109" s="13" t="s">
        <v>11372</v>
      </c>
      <c r="G109" s="13" t="s">
        <v>11098</v>
      </c>
      <c r="H109" s="13" t="s">
        <v>11099</v>
      </c>
      <c r="I109" s="13" t="s">
        <v>680</v>
      </c>
      <c r="J109" s="13"/>
      <c r="K109" s="13" t="s">
        <v>684</v>
      </c>
      <c r="L109" s="13" t="s">
        <v>685</v>
      </c>
    </row>
    <row r="110" customFormat="false" ht="35.05" hidden="false" customHeight="false" outlineLevel="0" collapsed="false">
      <c r="A110" s="13" t="s">
        <v>3</v>
      </c>
      <c r="B110" s="13" t="s">
        <v>68</v>
      </c>
      <c r="C110" s="13" t="n">
        <v>178</v>
      </c>
      <c r="D110" s="13" t="s">
        <v>686</v>
      </c>
      <c r="E110" s="13" t="s">
        <v>11373</v>
      </c>
      <c r="F110" s="13" t="s">
        <v>11374</v>
      </c>
      <c r="G110" s="13" t="s">
        <v>11098</v>
      </c>
      <c r="H110" s="13" t="s">
        <v>11099</v>
      </c>
      <c r="I110" s="13" t="s">
        <v>687</v>
      </c>
      <c r="J110" s="13"/>
      <c r="K110" s="13" t="s">
        <v>691</v>
      </c>
      <c r="L110" s="13" t="s">
        <v>692</v>
      </c>
    </row>
    <row r="111" customFormat="false" ht="35.05" hidden="false" customHeight="false" outlineLevel="0" collapsed="false">
      <c r="A111" s="13" t="s">
        <v>3</v>
      </c>
      <c r="B111" s="13" t="s">
        <v>68</v>
      </c>
      <c r="C111" s="13" t="n">
        <v>178</v>
      </c>
      <c r="D111" s="13" t="s">
        <v>686</v>
      </c>
      <c r="E111" s="13" t="s">
        <v>11375</v>
      </c>
      <c r="F111" s="13" t="s">
        <v>11376</v>
      </c>
      <c r="G111" s="13" t="s">
        <v>11098</v>
      </c>
      <c r="H111" s="13" t="s">
        <v>11099</v>
      </c>
      <c r="I111" s="13" t="s">
        <v>693</v>
      </c>
      <c r="J111" s="13"/>
      <c r="K111" s="13" t="s">
        <v>691</v>
      </c>
      <c r="L111" s="13" t="s">
        <v>692</v>
      </c>
    </row>
    <row r="112" customFormat="false" ht="35.05" hidden="false" customHeight="false" outlineLevel="0" collapsed="false">
      <c r="A112" s="13" t="s">
        <v>3</v>
      </c>
      <c r="B112" s="13" t="s">
        <v>68</v>
      </c>
      <c r="C112" s="13" t="n">
        <v>178</v>
      </c>
      <c r="D112" s="13" t="s">
        <v>696</v>
      </c>
      <c r="E112" s="13" t="s">
        <v>11377</v>
      </c>
      <c r="F112" s="13" t="s">
        <v>11378</v>
      </c>
      <c r="G112" s="13" t="s">
        <v>11098</v>
      </c>
      <c r="H112" s="13" t="s">
        <v>11099</v>
      </c>
      <c r="I112" s="13" t="s">
        <v>697</v>
      </c>
      <c r="J112" s="13"/>
      <c r="K112" s="13" t="s">
        <v>701</v>
      </c>
      <c r="L112" s="13" t="s">
        <v>702</v>
      </c>
    </row>
    <row r="113" customFormat="false" ht="35.05" hidden="false" customHeight="false" outlineLevel="0" collapsed="false">
      <c r="A113" s="13" t="s">
        <v>3</v>
      </c>
      <c r="B113" s="13" t="s">
        <v>68</v>
      </c>
      <c r="C113" s="13" t="n">
        <v>178</v>
      </c>
      <c r="D113" s="13" t="s">
        <v>703</v>
      </c>
      <c r="E113" s="13" t="s">
        <v>11379</v>
      </c>
      <c r="F113" s="13" t="s">
        <v>11380</v>
      </c>
      <c r="G113" s="13" t="s">
        <v>11098</v>
      </c>
      <c r="H113" s="13" t="s">
        <v>11099</v>
      </c>
      <c r="I113" s="13" t="s">
        <v>693</v>
      </c>
      <c r="J113" s="13" t="s">
        <v>11381</v>
      </c>
      <c r="K113" s="13" t="s">
        <v>706</v>
      </c>
      <c r="L113" s="13" t="s">
        <v>707</v>
      </c>
    </row>
    <row r="114" customFormat="false" ht="35.05" hidden="false" customHeight="false" outlineLevel="0" collapsed="false">
      <c r="A114" s="13" t="s">
        <v>3</v>
      </c>
      <c r="B114" s="13" t="s">
        <v>68</v>
      </c>
      <c r="C114" s="13" t="n">
        <v>178</v>
      </c>
      <c r="D114" s="13" t="s">
        <v>703</v>
      </c>
      <c r="E114" s="13" t="s">
        <v>11382</v>
      </c>
      <c r="F114" s="13" t="s">
        <v>11383</v>
      </c>
      <c r="G114" s="13" t="s">
        <v>11098</v>
      </c>
      <c r="H114" s="13" t="s">
        <v>11099</v>
      </c>
      <c r="I114" s="13" t="s">
        <v>704</v>
      </c>
      <c r="J114" s="13"/>
      <c r="K114" s="13" t="s">
        <v>706</v>
      </c>
      <c r="L114" s="13" t="s">
        <v>707</v>
      </c>
    </row>
    <row r="115" customFormat="false" ht="15" hidden="false" customHeight="false" outlineLevel="0" collapsed="false">
      <c r="A115" s="13" t="s">
        <v>3</v>
      </c>
      <c r="B115" s="13" t="s">
        <v>68</v>
      </c>
      <c r="C115" s="13" t="n">
        <v>178</v>
      </c>
      <c r="D115" s="13" t="s">
        <v>708</v>
      </c>
      <c r="E115" s="13" t="s">
        <v>11384</v>
      </c>
      <c r="F115" s="13" t="s">
        <v>11385</v>
      </c>
      <c r="G115" s="13" t="s">
        <v>11098</v>
      </c>
      <c r="H115" s="13" t="s">
        <v>11099</v>
      </c>
      <c r="I115" s="13" t="s">
        <v>709</v>
      </c>
      <c r="J115" s="13"/>
      <c r="K115" s="13" t="s">
        <v>711</v>
      </c>
      <c r="L115" s="13" t="s">
        <v>712</v>
      </c>
    </row>
    <row r="116" customFormat="false" ht="15" hidden="false" customHeight="false" outlineLevel="0" collapsed="false">
      <c r="A116" s="13" t="s">
        <v>3</v>
      </c>
      <c r="B116" s="13" t="s">
        <v>68</v>
      </c>
      <c r="C116" s="13" t="n">
        <v>178</v>
      </c>
      <c r="D116" s="13" t="s">
        <v>713</v>
      </c>
      <c r="E116" s="13" t="s">
        <v>11386</v>
      </c>
      <c r="F116" s="13" t="s">
        <v>11387</v>
      </c>
      <c r="G116" s="13" t="s">
        <v>11098</v>
      </c>
      <c r="H116" s="13" t="s">
        <v>11099</v>
      </c>
      <c r="I116" s="13" t="s">
        <v>714</v>
      </c>
      <c r="J116" s="13"/>
      <c r="K116" s="13" t="s">
        <v>717</v>
      </c>
      <c r="L116" s="13" t="s">
        <v>718</v>
      </c>
    </row>
    <row r="117" customFormat="false" ht="35.05" hidden="false" customHeight="false" outlineLevel="0" collapsed="false">
      <c r="A117" s="13" t="s">
        <v>3</v>
      </c>
      <c r="B117" s="13" t="s">
        <v>68</v>
      </c>
      <c r="C117" s="13" t="n">
        <v>178</v>
      </c>
      <c r="D117" s="13" t="s">
        <v>719</v>
      </c>
      <c r="E117" s="13" t="s">
        <v>11388</v>
      </c>
      <c r="F117" s="13" t="s">
        <v>11389</v>
      </c>
      <c r="G117" s="13" t="s">
        <v>11098</v>
      </c>
      <c r="H117" s="13" t="s">
        <v>11099</v>
      </c>
      <c r="I117" s="13" t="s">
        <v>11390</v>
      </c>
      <c r="J117" s="13"/>
      <c r="K117" s="13" t="s">
        <v>724</v>
      </c>
      <c r="L117" s="13" t="s">
        <v>725</v>
      </c>
    </row>
    <row r="118" customFormat="false" ht="23.85" hidden="false" customHeight="false" outlineLevel="0" collapsed="false">
      <c r="A118" s="13" t="s">
        <v>3</v>
      </c>
      <c r="B118" s="13" t="s">
        <v>68</v>
      </c>
      <c r="C118" s="13" t="n">
        <v>178</v>
      </c>
      <c r="D118" s="13" t="s">
        <v>729</v>
      </c>
      <c r="E118" s="13" t="s">
        <v>11391</v>
      </c>
      <c r="F118" s="13" t="s">
        <v>11392</v>
      </c>
      <c r="G118" s="13" t="s">
        <v>11098</v>
      </c>
      <c r="H118" s="13" t="s">
        <v>11099</v>
      </c>
      <c r="I118" s="13" t="s">
        <v>11393</v>
      </c>
      <c r="J118" s="13"/>
      <c r="K118" s="13" t="s">
        <v>733</v>
      </c>
      <c r="L118" s="13" t="s">
        <v>734</v>
      </c>
    </row>
    <row r="119" customFormat="false" ht="23.85" hidden="false" customHeight="false" outlineLevel="0" collapsed="false">
      <c r="A119" s="13" t="s">
        <v>3</v>
      </c>
      <c r="B119" s="13" t="s">
        <v>68</v>
      </c>
      <c r="C119" s="13" t="n">
        <v>178</v>
      </c>
      <c r="D119" s="13" t="s">
        <v>738</v>
      </c>
      <c r="E119" s="13" t="s">
        <v>11394</v>
      </c>
      <c r="F119" s="13" t="s">
        <v>11395</v>
      </c>
      <c r="G119" s="13" t="s">
        <v>11098</v>
      </c>
      <c r="H119" s="13" t="s">
        <v>11099</v>
      </c>
      <c r="I119" s="13" t="s">
        <v>739</v>
      </c>
      <c r="J119" s="13"/>
      <c r="K119" s="13" t="s">
        <v>740</v>
      </c>
      <c r="L119" s="13" t="s">
        <v>741</v>
      </c>
    </row>
    <row r="120" customFormat="false" ht="23.85" hidden="false" customHeight="false" outlineLevel="0" collapsed="false">
      <c r="A120" s="13" t="s">
        <v>3</v>
      </c>
      <c r="B120" s="13" t="s">
        <v>68</v>
      </c>
      <c r="C120" s="13" t="n">
        <v>178</v>
      </c>
      <c r="D120" s="13" t="s">
        <v>742</v>
      </c>
      <c r="E120" s="13" t="s">
        <v>11396</v>
      </c>
      <c r="F120" s="13" t="s">
        <v>11397</v>
      </c>
      <c r="G120" s="13" t="s">
        <v>11098</v>
      </c>
      <c r="H120" s="13" t="s">
        <v>11099</v>
      </c>
      <c r="I120" s="13" t="s">
        <v>11398</v>
      </c>
      <c r="J120" s="13"/>
      <c r="K120" s="13" t="s">
        <v>745</v>
      </c>
      <c r="L120" s="13" t="s">
        <v>746</v>
      </c>
    </row>
    <row r="121" customFormat="false" ht="23.85" hidden="false" customHeight="false" outlineLevel="0" collapsed="false">
      <c r="A121" s="13" t="s">
        <v>3</v>
      </c>
      <c r="B121" s="13" t="s">
        <v>68</v>
      </c>
      <c r="C121" s="13" t="n">
        <v>178</v>
      </c>
      <c r="D121" s="13" t="s">
        <v>750</v>
      </c>
      <c r="E121" s="13" t="s">
        <v>11399</v>
      </c>
      <c r="F121" s="13" t="s">
        <v>11400</v>
      </c>
      <c r="G121" s="13" t="s">
        <v>11098</v>
      </c>
      <c r="H121" s="13" t="s">
        <v>11099</v>
      </c>
      <c r="I121" s="13" t="s">
        <v>751</v>
      </c>
      <c r="J121" s="13"/>
      <c r="K121" s="13" t="s">
        <v>752</v>
      </c>
      <c r="L121" s="13" t="s">
        <v>753</v>
      </c>
    </row>
    <row r="122" customFormat="false" ht="46.25" hidden="false" customHeight="false" outlineLevel="0" collapsed="false">
      <c r="A122" s="13" t="s">
        <v>3</v>
      </c>
      <c r="B122" s="13" t="s">
        <v>68</v>
      </c>
      <c r="C122" s="13" t="n">
        <v>178</v>
      </c>
      <c r="D122" s="13" t="s">
        <v>754</v>
      </c>
      <c r="E122" s="13" t="s">
        <v>11401</v>
      </c>
      <c r="F122" s="13" t="s">
        <v>11402</v>
      </c>
      <c r="G122" s="13" t="s">
        <v>11098</v>
      </c>
      <c r="H122" s="13" t="s">
        <v>11099</v>
      </c>
      <c r="I122" s="13" t="s">
        <v>11403</v>
      </c>
      <c r="J122" s="13" t="s">
        <v>11404</v>
      </c>
      <c r="K122" s="13" t="s">
        <v>758</v>
      </c>
      <c r="L122" s="13" t="s">
        <v>759</v>
      </c>
    </row>
    <row r="123" customFormat="false" ht="46.25" hidden="false" customHeight="false" outlineLevel="0" collapsed="false">
      <c r="A123" s="13" t="s">
        <v>3</v>
      </c>
      <c r="B123" s="13" t="s">
        <v>68</v>
      </c>
      <c r="C123" s="13" t="n">
        <v>178</v>
      </c>
      <c r="D123" s="13" t="s">
        <v>754</v>
      </c>
      <c r="E123" s="13" t="s">
        <v>11405</v>
      </c>
      <c r="F123" s="13" t="s">
        <v>11406</v>
      </c>
      <c r="G123" s="13" t="s">
        <v>11098</v>
      </c>
      <c r="H123" s="13" t="s">
        <v>11099</v>
      </c>
      <c r="I123" s="13" t="s">
        <v>755</v>
      </c>
      <c r="J123" s="13"/>
      <c r="K123" s="13" t="s">
        <v>758</v>
      </c>
      <c r="L123" s="13" t="s">
        <v>759</v>
      </c>
    </row>
    <row r="124" customFormat="false" ht="15" hidden="false" customHeight="false" outlineLevel="0" collapsed="false">
      <c r="A124" s="13" t="s">
        <v>3</v>
      </c>
      <c r="B124" s="13" t="s">
        <v>68</v>
      </c>
      <c r="C124" s="13" t="n">
        <v>178</v>
      </c>
      <c r="D124" s="13" t="s">
        <v>760</v>
      </c>
      <c r="E124" s="13" t="s">
        <v>11407</v>
      </c>
      <c r="F124" s="13" t="s">
        <v>11408</v>
      </c>
      <c r="G124" s="13" t="s">
        <v>11098</v>
      </c>
      <c r="H124" s="13" t="s">
        <v>11099</v>
      </c>
      <c r="I124" s="13" t="s">
        <v>761</v>
      </c>
      <c r="J124" s="13"/>
      <c r="K124" s="13" t="s">
        <v>764</v>
      </c>
      <c r="L124" s="13" t="s">
        <v>765</v>
      </c>
    </row>
    <row r="125" customFormat="false" ht="15" hidden="false" customHeight="false" outlineLevel="0" collapsed="false">
      <c r="A125" s="13" t="s">
        <v>3</v>
      </c>
      <c r="B125" s="13" t="s">
        <v>68</v>
      </c>
      <c r="C125" s="13" t="n">
        <v>178</v>
      </c>
      <c r="D125" s="13" t="s">
        <v>766</v>
      </c>
      <c r="E125" s="13" t="s">
        <v>11409</v>
      </c>
      <c r="F125" s="13" t="s">
        <v>11410</v>
      </c>
      <c r="G125" s="13" t="s">
        <v>11098</v>
      </c>
      <c r="H125" s="13" t="s">
        <v>11099</v>
      </c>
      <c r="I125" s="13" t="s">
        <v>767</v>
      </c>
      <c r="J125" s="13"/>
      <c r="K125" s="13" t="s">
        <v>770</v>
      </c>
      <c r="L125" s="13" t="s">
        <v>771</v>
      </c>
    </row>
    <row r="126" customFormat="false" ht="35.05" hidden="false" customHeight="false" outlineLevel="0" collapsed="false">
      <c r="A126" s="13" t="s">
        <v>3</v>
      </c>
      <c r="B126" s="13" t="s">
        <v>68</v>
      </c>
      <c r="C126" s="13" t="n">
        <v>178</v>
      </c>
      <c r="D126" s="13" t="s">
        <v>772</v>
      </c>
      <c r="E126" s="13" t="s">
        <v>11411</v>
      </c>
      <c r="F126" s="13" t="s">
        <v>11412</v>
      </c>
      <c r="G126" s="13" t="s">
        <v>11098</v>
      </c>
      <c r="H126" s="13" t="s">
        <v>11099</v>
      </c>
      <c r="I126" s="13" t="s">
        <v>11413</v>
      </c>
      <c r="J126" s="13"/>
      <c r="K126" s="13" t="s">
        <v>777</v>
      </c>
      <c r="L126" s="13" t="s">
        <v>778</v>
      </c>
    </row>
    <row r="127" customFormat="false" ht="15" hidden="false" customHeight="false" outlineLevel="0" collapsed="false">
      <c r="A127" s="13" t="s">
        <v>3</v>
      </c>
      <c r="B127" s="13" t="s">
        <v>68</v>
      </c>
      <c r="C127" s="13" t="n">
        <v>178</v>
      </c>
      <c r="D127" s="13" t="s">
        <v>781</v>
      </c>
      <c r="E127" s="13" t="s">
        <v>11414</v>
      </c>
      <c r="F127" s="13" t="s">
        <v>11415</v>
      </c>
      <c r="G127" s="13" t="s">
        <v>11098</v>
      </c>
      <c r="H127" s="13" t="s">
        <v>11099</v>
      </c>
      <c r="I127" s="13" t="s">
        <v>782</v>
      </c>
      <c r="J127" s="13"/>
      <c r="K127" s="13" t="s">
        <v>785</v>
      </c>
      <c r="L127" s="13" t="s">
        <v>786</v>
      </c>
    </row>
    <row r="128" customFormat="false" ht="35.05" hidden="false" customHeight="false" outlineLevel="0" collapsed="false">
      <c r="A128" s="13" t="s">
        <v>3</v>
      </c>
      <c r="B128" s="13" t="s">
        <v>68</v>
      </c>
      <c r="C128" s="13" t="n">
        <v>178</v>
      </c>
      <c r="D128" s="13" t="s">
        <v>787</v>
      </c>
      <c r="E128" s="13" t="s">
        <v>11416</v>
      </c>
      <c r="F128" s="13" t="s">
        <v>11417</v>
      </c>
      <c r="G128" s="13" t="s">
        <v>11098</v>
      </c>
      <c r="H128" s="13" t="s">
        <v>11099</v>
      </c>
      <c r="I128" s="13" t="s">
        <v>788</v>
      </c>
      <c r="J128" s="13"/>
      <c r="K128" s="13" t="s">
        <v>791</v>
      </c>
      <c r="L128" s="13" t="s">
        <v>792</v>
      </c>
    </row>
    <row r="129" customFormat="false" ht="15" hidden="false" customHeight="false" outlineLevel="0" collapsed="false">
      <c r="A129" s="13" t="s">
        <v>3</v>
      </c>
      <c r="B129" s="13" t="s">
        <v>68</v>
      </c>
      <c r="C129" s="13" t="n">
        <v>178</v>
      </c>
      <c r="D129" s="13" t="s">
        <v>793</v>
      </c>
      <c r="E129" s="13" t="s">
        <v>11418</v>
      </c>
      <c r="F129" s="13" t="s">
        <v>11419</v>
      </c>
      <c r="G129" s="13" t="s">
        <v>11098</v>
      </c>
      <c r="H129" s="13" t="s">
        <v>11099</v>
      </c>
      <c r="I129" s="13" t="s">
        <v>794</v>
      </c>
      <c r="J129" s="13"/>
      <c r="K129" s="13" t="s">
        <v>796</v>
      </c>
      <c r="L129" s="13" t="s">
        <v>797</v>
      </c>
    </row>
    <row r="130" customFormat="false" ht="35.05" hidden="false" customHeight="false" outlineLevel="0" collapsed="false">
      <c r="A130" s="13" t="s">
        <v>3</v>
      </c>
      <c r="B130" s="13" t="s">
        <v>68</v>
      </c>
      <c r="C130" s="13" t="n">
        <v>178</v>
      </c>
      <c r="D130" s="13" t="s">
        <v>798</v>
      </c>
      <c r="E130" s="13" t="s">
        <v>11420</v>
      </c>
      <c r="F130" s="13" t="s">
        <v>11421</v>
      </c>
      <c r="G130" s="13" t="s">
        <v>11098</v>
      </c>
      <c r="H130" s="13" t="s">
        <v>11099</v>
      </c>
      <c r="I130" s="13" t="s">
        <v>799</v>
      </c>
      <c r="J130" s="13"/>
      <c r="K130" s="13" t="s">
        <v>802</v>
      </c>
      <c r="L130" s="13" t="s">
        <v>803</v>
      </c>
    </row>
    <row r="131" customFormat="false" ht="35.05" hidden="false" customHeight="false" outlineLevel="0" collapsed="false">
      <c r="A131" s="13" t="s">
        <v>3</v>
      </c>
      <c r="B131" s="13" t="s">
        <v>68</v>
      </c>
      <c r="C131" s="13" t="n">
        <v>178</v>
      </c>
      <c r="D131" s="13" t="s">
        <v>804</v>
      </c>
      <c r="E131" s="13" t="s">
        <v>11422</v>
      </c>
      <c r="F131" s="13" t="s">
        <v>11423</v>
      </c>
      <c r="G131" s="13" t="s">
        <v>11128</v>
      </c>
      <c r="H131" s="13" t="s">
        <v>11099</v>
      </c>
      <c r="I131" s="13"/>
      <c r="J131" s="13" t="s">
        <v>11424</v>
      </c>
      <c r="K131" s="13" t="s">
        <v>809</v>
      </c>
      <c r="L131" s="13" t="s">
        <v>810</v>
      </c>
    </row>
    <row r="132" customFormat="false" ht="35.05" hidden="false" customHeight="false" outlineLevel="0" collapsed="false">
      <c r="A132" s="13" t="s">
        <v>3</v>
      </c>
      <c r="B132" s="13" t="s">
        <v>68</v>
      </c>
      <c r="C132" s="13" t="n">
        <v>178</v>
      </c>
      <c r="D132" s="13" t="s">
        <v>804</v>
      </c>
      <c r="E132" s="13" t="s">
        <v>11425</v>
      </c>
      <c r="F132" s="13" t="s">
        <v>11426</v>
      </c>
      <c r="G132" s="13" t="s">
        <v>11098</v>
      </c>
      <c r="H132" s="13" t="s">
        <v>11099</v>
      </c>
      <c r="I132" s="13" t="s">
        <v>11427</v>
      </c>
      <c r="J132" s="13"/>
      <c r="K132" s="13" t="s">
        <v>809</v>
      </c>
      <c r="L132" s="13" t="s">
        <v>810</v>
      </c>
    </row>
    <row r="133" customFormat="false" ht="35.05" hidden="false" customHeight="false" outlineLevel="0" collapsed="false">
      <c r="A133" s="13" t="s">
        <v>3</v>
      </c>
      <c r="B133" s="13" t="s">
        <v>68</v>
      </c>
      <c r="C133" s="13" t="n">
        <v>178</v>
      </c>
      <c r="D133" s="13" t="s">
        <v>814</v>
      </c>
      <c r="E133" s="13" t="s">
        <v>11428</v>
      </c>
      <c r="F133" s="13" t="s">
        <v>11429</v>
      </c>
      <c r="G133" s="13" t="s">
        <v>11098</v>
      </c>
      <c r="H133" s="13" t="s">
        <v>11099</v>
      </c>
      <c r="I133" s="13" t="s">
        <v>11430</v>
      </c>
      <c r="J133" s="13"/>
      <c r="K133" s="13" t="s">
        <v>819</v>
      </c>
      <c r="L133" s="13" t="s">
        <v>820</v>
      </c>
    </row>
    <row r="134" customFormat="false" ht="68.65" hidden="false" customHeight="false" outlineLevel="0" collapsed="false">
      <c r="A134" s="13" t="s">
        <v>3</v>
      </c>
      <c r="B134" s="13" t="s">
        <v>68</v>
      </c>
      <c r="C134" s="13" t="n">
        <v>178</v>
      </c>
      <c r="D134" s="13" t="s">
        <v>824</v>
      </c>
      <c r="E134" s="13" t="s">
        <v>11431</v>
      </c>
      <c r="F134" s="13" t="s">
        <v>11432</v>
      </c>
      <c r="G134" s="13" t="s">
        <v>11098</v>
      </c>
      <c r="H134" s="13" t="s">
        <v>11099</v>
      </c>
      <c r="I134" s="13" t="s">
        <v>11433</v>
      </c>
      <c r="J134" s="13"/>
      <c r="K134" s="13" t="s">
        <v>828</v>
      </c>
      <c r="L134" s="13" t="s">
        <v>829</v>
      </c>
    </row>
    <row r="135" customFormat="false" ht="46.25" hidden="false" customHeight="false" outlineLevel="0" collapsed="false">
      <c r="A135" s="13" t="s">
        <v>3</v>
      </c>
      <c r="B135" s="13" t="s">
        <v>68</v>
      </c>
      <c r="C135" s="13" t="n">
        <v>186</v>
      </c>
      <c r="D135" s="13" t="s">
        <v>833</v>
      </c>
      <c r="E135" s="13" t="s">
        <v>11434</v>
      </c>
      <c r="F135" s="13" t="s">
        <v>11435</v>
      </c>
      <c r="G135" s="13" t="s">
        <v>11098</v>
      </c>
      <c r="H135" s="13" t="s">
        <v>11099</v>
      </c>
      <c r="I135" s="13" t="s">
        <v>834</v>
      </c>
      <c r="J135" s="13"/>
      <c r="K135" s="13" t="s">
        <v>838</v>
      </c>
      <c r="L135" s="13" t="s">
        <v>839</v>
      </c>
    </row>
    <row r="136" customFormat="false" ht="46.25" hidden="false" customHeight="false" outlineLevel="0" collapsed="false">
      <c r="A136" s="13" t="s">
        <v>3</v>
      </c>
      <c r="B136" s="13" t="s">
        <v>68</v>
      </c>
      <c r="C136" s="13" t="n">
        <v>186</v>
      </c>
      <c r="D136" s="13" t="s">
        <v>833</v>
      </c>
      <c r="E136" s="13" t="s">
        <v>11436</v>
      </c>
      <c r="F136" s="13" t="s">
        <v>11437</v>
      </c>
      <c r="G136" s="13" t="s">
        <v>11098</v>
      </c>
      <c r="H136" s="13" t="s">
        <v>11099</v>
      </c>
      <c r="I136" s="13" t="s">
        <v>840</v>
      </c>
      <c r="J136" s="13"/>
      <c r="K136" s="13" t="s">
        <v>838</v>
      </c>
      <c r="L136" s="13" t="s">
        <v>839</v>
      </c>
    </row>
    <row r="137" customFormat="false" ht="23.85" hidden="false" customHeight="false" outlineLevel="0" collapsed="false">
      <c r="A137" s="13" t="s">
        <v>3</v>
      </c>
      <c r="B137" s="13" t="s">
        <v>68</v>
      </c>
      <c r="C137" s="13" t="n">
        <v>186</v>
      </c>
      <c r="D137" s="13" t="s">
        <v>843</v>
      </c>
      <c r="E137" s="13" t="s">
        <v>11438</v>
      </c>
      <c r="F137" s="13" t="s">
        <v>11439</v>
      </c>
      <c r="G137" s="13" t="s">
        <v>11098</v>
      </c>
      <c r="H137" s="13" t="s">
        <v>11099</v>
      </c>
      <c r="I137" s="13" t="s">
        <v>844</v>
      </c>
      <c r="J137" s="13"/>
      <c r="K137" s="13" t="s">
        <v>846</v>
      </c>
      <c r="L137" s="13" t="s">
        <v>847</v>
      </c>
    </row>
    <row r="138" customFormat="false" ht="23.85" hidden="false" customHeight="false" outlineLevel="0" collapsed="false">
      <c r="A138" s="13" t="s">
        <v>3</v>
      </c>
      <c r="B138" s="13" t="s">
        <v>68</v>
      </c>
      <c r="C138" s="13" t="n">
        <v>186</v>
      </c>
      <c r="D138" s="13" t="s">
        <v>848</v>
      </c>
      <c r="E138" s="13" t="s">
        <v>11440</v>
      </c>
      <c r="F138" s="13" t="s">
        <v>11441</v>
      </c>
      <c r="G138" s="13" t="s">
        <v>11098</v>
      </c>
      <c r="H138" s="13" t="s">
        <v>11099</v>
      </c>
      <c r="I138" s="13" t="s">
        <v>849</v>
      </c>
      <c r="J138" s="13"/>
      <c r="K138" s="13" t="s">
        <v>852</v>
      </c>
      <c r="L138" s="13" t="s">
        <v>853</v>
      </c>
    </row>
    <row r="139" customFormat="false" ht="102.2" hidden="false" customHeight="false" outlineLevel="0" collapsed="false">
      <c r="A139" s="13" t="s">
        <v>3</v>
      </c>
      <c r="B139" s="13" t="s">
        <v>68</v>
      </c>
      <c r="C139" s="13" t="n">
        <v>186</v>
      </c>
      <c r="D139" s="13" t="s">
        <v>854</v>
      </c>
      <c r="E139" s="13" t="s">
        <v>11442</v>
      </c>
      <c r="F139" s="13" t="s">
        <v>11443</v>
      </c>
      <c r="G139" s="13" t="s">
        <v>11098</v>
      </c>
      <c r="H139" s="13" t="s">
        <v>11099</v>
      </c>
      <c r="I139" s="13" t="s">
        <v>849</v>
      </c>
      <c r="J139" s="13" t="s">
        <v>11444</v>
      </c>
      <c r="K139" s="13" t="s">
        <v>857</v>
      </c>
      <c r="L139" s="13" t="s">
        <v>858</v>
      </c>
    </row>
    <row r="140" customFormat="false" ht="102.2" hidden="false" customHeight="false" outlineLevel="0" collapsed="false">
      <c r="A140" s="13" t="s">
        <v>3</v>
      </c>
      <c r="B140" s="13" t="s">
        <v>68</v>
      </c>
      <c r="C140" s="13" t="n">
        <v>186</v>
      </c>
      <c r="D140" s="13" t="s">
        <v>854</v>
      </c>
      <c r="E140" s="13" t="s">
        <v>11445</v>
      </c>
      <c r="F140" s="13" t="s">
        <v>11446</v>
      </c>
      <c r="G140" s="13" t="s">
        <v>11098</v>
      </c>
      <c r="H140" s="13" t="s">
        <v>11099</v>
      </c>
      <c r="I140" s="13" t="s">
        <v>855</v>
      </c>
      <c r="J140" s="13"/>
      <c r="K140" s="13" t="s">
        <v>857</v>
      </c>
      <c r="L140" s="13" t="s">
        <v>858</v>
      </c>
    </row>
    <row r="141" customFormat="false" ht="102.2" hidden="false" customHeight="false" outlineLevel="0" collapsed="false">
      <c r="A141" s="13" t="s">
        <v>3</v>
      </c>
      <c r="B141" s="13" t="s">
        <v>68</v>
      </c>
      <c r="C141" s="13" t="n">
        <v>186</v>
      </c>
      <c r="D141" s="13" t="s">
        <v>854</v>
      </c>
      <c r="E141" s="13" t="s">
        <v>11447</v>
      </c>
      <c r="F141" s="13" t="s">
        <v>11448</v>
      </c>
      <c r="G141" s="13" t="s">
        <v>11098</v>
      </c>
      <c r="H141" s="13" t="s">
        <v>11099</v>
      </c>
      <c r="I141" s="13" t="s">
        <v>11449</v>
      </c>
      <c r="J141" s="13"/>
      <c r="K141" s="13" t="s">
        <v>857</v>
      </c>
      <c r="L141" s="13" t="s">
        <v>858</v>
      </c>
    </row>
    <row r="142" customFormat="false" ht="15" hidden="false" customHeight="false" outlineLevel="0" collapsed="false">
      <c r="A142" s="13" t="s">
        <v>3</v>
      </c>
      <c r="B142" s="13" t="s">
        <v>68</v>
      </c>
      <c r="C142" s="13" t="n">
        <v>186</v>
      </c>
      <c r="D142" s="13" t="s">
        <v>866</v>
      </c>
      <c r="E142" s="13" t="s">
        <v>11450</v>
      </c>
      <c r="F142" s="13" t="s">
        <v>11451</v>
      </c>
      <c r="G142" s="13" t="s">
        <v>11098</v>
      </c>
      <c r="H142" s="13" t="s">
        <v>11099</v>
      </c>
      <c r="I142" s="13" t="s">
        <v>867</v>
      </c>
      <c r="J142" s="13"/>
      <c r="K142" s="13" t="s">
        <v>870</v>
      </c>
      <c r="L142" s="13" t="s">
        <v>871</v>
      </c>
    </row>
    <row r="143" customFormat="false" ht="91" hidden="false" customHeight="false" outlineLevel="0" collapsed="false">
      <c r="A143" s="13" t="s">
        <v>3</v>
      </c>
      <c r="B143" s="13" t="s">
        <v>68</v>
      </c>
      <c r="C143" s="13" t="n">
        <v>186</v>
      </c>
      <c r="D143" s="13" t="s">
        <v>872</v>
      </c>
      <c r="E143" s="13" t="s">
        <v>11452</v>
      </c>
      <c r="F143" s="13" t="s">
        <v>11453</v>
      </c>
      <c r="G143" s="13" t="s">
        <v>11128</v>
      </c>
      <c r="H143" s="13" t="s">
        <v>11099</v>
      </c>
      <c r="I143" s="13"/>
      <c r="J143" s="13"/>
      <c r="K143" s="13" t="s">
        <v>875</v>
      </c>
      <c r="L143" s="13" t="s">
        <v>876</v>
      </c>
    </row>
    <row r="144" customFormat="false" ht="91" hidden="false" customHeight="false" outlineLevel="0" collapsed="false">
      <c r="A144" s="13" t="s">
        <v>3</v>
      </c>
      <c r="B144" s="13" t="s">
        <v>68</v>
      </c>
      <c r="C144" s="13" t="n">
        <v>186</v>
      </c>
      <c r="D144" s="13" t="s">
        <v>872</v>
      </c>
      <c r="E144" s="13" t="s">
        <v>11454</v>
      </c>
      <c r="F144" s="13" t="s">
        <v>11455</v>
      </c>
      <c r="G144" s="13" t="s">
        <v>11098</v>
      </c>
      <c r="H144" s="13" t="s">
        <v>11099</v>
      </c>
      <c r="I144" s="13" t="s">
        <v>11456</v>
      </c>
      <c r="J144" s="13"/>
      <c r="K144" s="13" t="s">
        <v>875</v>
      </c>
      <c r="L144" s="13" t="s">
        <v>876</v>
      </c>
    </row>
    <row r="145" customFormat="false" ht="68.65" hidden="false" customHeight="false" outlineLevel="0" collapsed="false">
      <c r="A145" s="13" t="s">
        <v>3</v>
      </c>
      <c r="B145" s="13" t="s">
        <v>68</v>
      </c>
      <c r="C145" s="13" t="n">
        <v>186</v>
      </c>
      <c r="D145" s="13" t="s">
        <v>880</v>
      </c>
      <c r="E145" s="13" t="s">
        <v>11457</v>
      </c>
      <c r="F145" s="13" t="s">
        <v>11458</v>
      </c>
      <c r="G145" s="13" t="s">
        <v>11098</v>
      </c>
      <c r="H145" s="13" t="s">
        <v>11099</v>
      </c>
      <c r="I145" s="13" t="s">
        <v>11459</v>
      </c>
      <c r="J145" s="13"/>
      <c r="K145" s="13" t="s">
        <v>883</v>
      </c>
      <c r="L145" s="13" t="s">
        <v>884</v>
      </c>
    </row>
    <row r="146" customFormat="false" ht="68.65" hidden="false" customHeight="false" outlineLevel="0" collapsed="false">
      <c r="A146" s="13" t="s">
        <v>3</v>
      </c>
      <c r="B146" s="13" t="s">
        <v>68</v>
      </c>
      <c r="C146" s="13" t="n">
        <v>186</v>
      </c>
      <c r="D146" s="13" t="s">
        <v>880</v>
      </c>
      <c r="E146" s="13" t="s">
        <v>11460</v>
      </c>
      <c r="F146" s="13" t="s">
        <v>11461</v>
      </c>
      <c r="G146" s="13" t="s">
        <v>11098</v>
      </c>
      <c r="H146" s="13" t="s">
        <v>11099</v>
      </c>
      <c r="I146" s="13" t="s">
        <v>888</v>
      </c>
      <c r="J146" s="13"/>
      <c r="K146" s="13" t="s">
        <v>883</v>
      </c>
      <c r="L146" s="13" t="s">
        <v>884</v>
      </c>
    </row>
    <row r="147" customFormat="false" ht="23.85" hidden="false" customHeight="false" outlineLevel="0" collapsed="false">
      <c r="A147" s="13" t="s">
        <v>3</v>
      </c>
      <c r="B147" s="13" t="s">
        <v>68</v>
      </c>
      <c r="C147" s="13" t="n">
        <v>186</v>
      </c>
      <c r="D147" s="13" t="s">
        <v>891</v>
      </c>
      <c r="E147" s="13" t="s">
        <v>11462</v>
      </c>
      <c r="F147" s="13" t="s">
        <v>11463</v>
      </c>
      <c r="G147" s="13" t="s">
        <v>11098</v>
      </c>
      <c r="H147" s="13" t="s">
        <v>11099</v>
      </c>
      <c r="I147" s="13" t="s">
        <v>892</v>
      </c>
      <c r="J147" s="13"/>
      <c r="K147" s="13" t="s">
        <v>895</v>
      </c>
      <c r="L147" s="13" t="s">
        <v>896</v>
      </c>
    </row>
    <row r="148" customFormat="false" ht="23.85" hidden="false" customHeight="false" outlineLevel="0" collapsed="false">
      <c r="A148" s="13" t="s">
        <v>3</v>
      </c>
      <c r="B148" s="13" t="s">
        <v>68</v>
      </c>
      <c r="C148" s="13" t="n">
        <v>186</v>
      </c>
      <c r="D148" s="13" t="s">
        <v>897</v>
      </c>
      <c r="E148" s="13" t="s">
        <v>11464</v>
      </c>
      <c r="F148" s="13" t="s">
        <v>11465</v>
      </c>
      <c r="G148" s="13" t="s">
        <v>11098</v>
      </c>
      <c r="H148" s="13" t="s">
        <v>11099</v>
      </c>
      <c r="I148" s="13" t="s">
        <v>898</v>
      </c>
      <c r="J148" s="13"/>
      <c r="K148" s="13" t="s">
        <v>901</v>
      </c>
      <c r="L148" s="13" t="s">
        <v>902</v>
      </c>
    </row>
    <row r="149" customFormat="false" ht="57.45" hidden="false" customHeight="false" outlineLevel="0" collapsed="false">
      <c r="A149" s="13" t="s">
        <v>3</v>
      </c>
      <c r="B149" s="13" t="s">
        <v>68</v>
      </c>
      <c r="C149" s="13" t="n">
        <v>186</v>
      </c>
      <c r="D149" s="13" t="s">
        <v>903</v>
      </c>
      <c r="E149" s="13" t="s">
        <v>11466</v>
      </c>
      <c r="F149" s="13" t="s">
        <v>11467</v>
      </c>
      <c r="G149" s="13" t="s">
        <v>11128</v>
      </c>
      <c r="H149" s="13" t="s">
        <v>11099</v>
      </c>
      <c r="I149" s="13"/>
      <c r="J149" s="13"/>
      <c r="K149" s="13" t="s">
        <v>906</v>
      </c>
      <c r="L149" s="13" t="s">
        <v>907</v>
      </c>
    </row>
    <row r="150" customFormat="false" ht="57.45" hidden="false" customHeight="false" outlineLevel="0" collapsed="false">
      <c r="A150" s="13" t="s">
        <v>3</v>
      </c>
      <c r="B150" s="13" t="s">
        <v>68</v>
      </c>
      <c r="C150" s="13" t="n">
        <v>186</v>
      </c>
      <c r="D150" s="13" t="s">
        <v>903</v>
      </c>
      <c r="E150" s="13" t="s">
        <v>11468</v>
      </c>
      <c r="F150" s="13" t="s">
        <v>11469</v>
      </c>
      <c r="G150" s="13" t="s">
        <v>11098</v>
      </c>
      <c r="H150" s="13" t="s">
        <v>11099</v>
      </c>
      <c r="I150" s="13" t="s">
        <v>904</v>
      </c>
      <c r="J150" s="13" t="s">
        <v>11470</v>
      </c>
      <c r="K150" s="13" t="s">
        <v>906</v>
      </c>
      <c r="L150" s="13" t="s">
        <v>907</v>
      </c>
    </row>
    <row r="151" customFormat="false" ht="57.45" hidden="false" customHeight="false" outlineLevel="0" collapsed="false">
      <c r="A151" s="13" t="s">
        <v>3</v>
      </c>
      <c r="B151" s="13" t="s">
        <v>68</v>
      </c>
      <c r="C151" s="13" t="n">
        <v>186</v>
      </c>
      <c r="D151" s="13" t="s">
        <v>903</v>
      </c>
      <c r="E151" s="13" t="s">
        <v>11471</v>
      </c>
      <c r="F151" s="13" t="s">
        <v>11472</v>
      </c>
      <c r="G151" s="13" t="s">
        <v>11098</v>
      </c>
      <c r="H151" s="13" t="s">
        <v>11099</v>
      </c>
      <c r="I151" s="13" t="s">
        <v>11473</v>
      </c>
      <c r="J151" s="13"/>
      <c r="K151" s="13" t="s">
        <v>906</v>
      </c>
      <c r="L151" s="13" t="s">
        <v>907</v>
      </c>
    </row>
    <row r="152" customFormat="false" ht="113.4" hidden="false" customHeight="false" outlineLevel="0" collapsed="false">
      <c r="A152" s="13" t="s">
        <v>3</v>
      </c>
      <c r="B152" s="13" t="s">
        <v>68</v>
      </c>
      <c r="C152" s="13" t="n">
        <v>186</v>
      </c>
      <c r="D152" s="13" t="s">
        <v>911</v>
      </c>
      <c r="E152" s="13" t="s">
        <v>11474</v>
      </c>
      <c r="F152" s="13" t="s">
        <v>11475</v>
      </c>
      <c r="G152" s="13" t="s">
        <v>11137</v>
      </c>
      <c r="H152" s="13" t="s">
        <v>11099</v>
      </c>
      <c r="I152" s="13" t="s">
        <v>912</v>
      </c>
      <c r="J152" s="13" t="s">
        <v>11476</v>
      </c>
      <c r="K152" s="13" t="s">
        <v>917</v>
      </c>
      <c r="L152" s="13" t="s">
        <v>918</v>
      </c>
    </row>
    <row r="153" customFormat="false" ht="113.4" hidden="false" customHeight="false" outlineLevel="0" collapsed="false">
      <c r="A153" s="13" t="s">
        <v>3</v>
      </c>
      <c r="B153" s="13" t="s">
        <v>68</v>
      </c>
      <c r="C153" s="13" t="n">
        <v>186</v>
      </c>
      <c r="D153" s="13" t="s">
        <v>911</v>
      </c>
      <c r="E153" s="13" t="s">
        <v>11477</v>
      </c>
      <c r="F153" s="13" t="s">
        <v>11478</v>
      </c>
      <c r="G153" s="13" t="s">
        <v>11098</v>
      </c>
      <c r="H153" s="13" t="s">
        <v>11099</v>
      </c>
      <c r="I153" s="13" t="s">
        <v>11479</v>
      </c>
      <c r="J153" s="13"/>
      <c r="K153" s="13" t="s">
        <v>917</v>
      </c>
      <c r="L153" s="13" t="s">
        <v>918</v>
      </c>
    </row>
    <row r="154" customFormat="false" ht="57.45" hidden="false" customHeight="false" outlineLevel="0" collapsed="false">
      <c r="A154" s="13" t="s">
        <v>3</v>
      </c>
      <c r="B154" s="13" t="s">
        <v>68</v>
      </c>
      <c r="C154" s="13" t="n">
        <v>267</v>
      </c>
      <c r="D154" s="13" t="s">
        <v>926</v>
      </c>
      <c r="E154" s="13" t="s">
        <v>11480</v>
      </c>
      <c r="F154" s="13" t="s">
        <v>11481</v>
      </c>
      <c r="G154" s="13" t="s">
        <v>11098</v>
      </c>
      <c r="H154" s="13" t="s">
        <v>11099</v>
      </c>
      <c r="I154" s="13" t="s">
        <v>927</v>
      </c>
      <c r="J154" s="13" t="s">
        <v>11482</v>
      </c>
      <c r="K154" s="13" t="s">
        <v>931</v>
      </c>
      <c r="L154" s="13" t="s">
        <v>932</v>
      </c>
    </row>
    <row r="155" customFormat="false" ht="57.45" hidden="false" customHeight="false" outlineLevel="0" collapsed="false">
      <c r="A155" s="13" t="s">
        <v>3</v>
      </c>
      <c r="B155" s="13" t="s">
        <v>68</v>
      </c>
      <c r="C155" s="13" t="n">
        <v>267</v>
      </c>
      <c r="D155" s="13" t="s">
        <v>926</v>
      </c>
      <c r="E155" s="13" t="s">
        <v>11483</v>
      </c>
      <c r="F155" s="13" t="s">
        <v>11484</v>
      </c>
      <c r="G155" s="13" t="s">
        <v>11098</v>
      </c>
      <c r="H155" s="13" t="s">
        <v>11099</v>
      </c>
      <c r="I155" s="13" t="s">
        <v>933</v>
      </c>
      <c r="J155" s="13" t="s">
        <v>11485</v>
      </c>
      <c r="K155" s="13" t="s">
        <v>931</v>
      </c>
      <c r="L155" s="13" t="s">
        <v>932</v>
      </c>
    </row>
    <row r="156" customFormat="false" ht="23.85" hidden="false" customHeight="false" outlineLevel="0" collapsed="false">
      <c r="A156" s="13" t="s">
        <v>3</v>
      </c>
      <c r="B156" s="13" t="s">
        <v>68</v>
      </c>
      <c r="C156" s="13" t="n">
        <v>267</v>
      </c>
      <c r="D156" s="13" t="s">
        <v>938</v>
      </c>
      <c r="E156" s="13" t="s">
        <v>11486</v>
      </c>
      <c r="F156" s="13" t="s">
        <v>11487</v>
      </c>
      <c r="G156" s="13" t="s">
        <v>11098</v>
      </c>
      <c r="H156" s="13" t="s">
        <v>11099</v>
      </c>
      <c r="I156" s="13" t="s">
        <v>939</v>
      </c>
      <c r="J156" s="13"/>
      <c r="K156" s="13" t="s">
        <v>943</v>
      </c>
      <c r="L156" s="13" t="s">
        <v>944</v>
      </c>
    </row>
    <row r="157" customFormat="false" ht="23.85" hidden="false" customHeight="false" outlineLevel="0" collapsed="false">
      <c r="A157" s="13" t="s">
        <v>3</v>
      </c>
      <c r="B157" s="13" t="s">
        <v>68</v>
      </c>
      <c r="C157" s="13" t="n">
        <v>267</v>
      </c>
      <c r="D157" s="13" t="s">
        <v>938</v>
      </c>
      <c r="E157" s="13" t="s">
        <v>11488</v>
      </c>
      <c r="F157" s="13" t="s">
        <v>11489</v>
      </c>
      <c r="G157" s="13" t="s">
        <v>11098</v>
      </c>
      <c r="H157" s="13" t="s">
        <v>11099</v>
      </c>
      <c r="I157" s="13" t="s">
        <v>945</v>
      </c>
      <c r="J157" s="13"/>
      <c r="K157" s="13" t="s">
        <v>943</v>
      </c>
      <c r="L157" s="13" t="s">
        <v>944</v>
      </c>
    </row>
    <row r="158" customFormat="false" ht="79.85" hidden="false" customHeight="false" outlineLevel="0" collapsed="false">
      <c r="A158" s="13" t="s">
        <v>3</v>
      </c>
      <c r="B158" s="13" t="s">
        <v>68</v>
      </c>
      <c r="C158" s="13" t="n">
        <v>267</v>
      </c>
      <c r="D158" s="13" t="s">
        <v>948</v>
      </c>
      <c r="E158" s="13" t="s">
        <v>11490</v>
      </c>
      <c r="F158" s="13" t="s">
        <v>11491</v>
      </c>
      <c r="G158" s="13" t="s">
        <v>11137</v>
      </c>
      <c r="H158" s="13" t="s">
        <v>11099</v>
      </c>
      <c r="I158" s="13" t="s">
        <v>949</v>
      </c>
      <c r="J158" s="13" t="s">
        <v>11492</v>
      </c>
      <c r="K158" s="13" t="s">
        <v>955</v>
      </c>
      <c r="L158" s="13" t="s">
        <v>956</v>
      </c>
    </row>
    <row r="159" customFormat="false" ht="79.85" hidden="false" customHeight="false" outlineLevel="0" collapsed="false">
      <c r="A159" s="13" t="s">
        <v>3</v>
      </c>
      <c r="B159" s="13" t="s">
        <v>68</v>
      </c>
      <c r="C159" s="13" t="n">
        <v>267</v>
      </c>
      <c r="D159" s="13" t="s">
        <v>948</v>
      </c>
      <c r="E159" s="13" t="s">
        <v>11493</v>
      </c>
      <c r="F159" s="13" t="s">
        <v>11494</v>
      </c>
      <c r="G159" s="13" t="s">
        <v>11137</v>
      </c>
      <c r="H159" s="13" t="s">
        <v>11099</v>
      </c>
      <c r="I159" s="13" t="s">
        <v>949</v>
      </c>
      <c r="J159" s="13" t="s">
        <v>11492</v>
      </c>
      <c r="K159" s="13" t="s">
        <v>955</v>
      </c>
      <c r="L159" s="13" t="s">
        <v>956</v>
      </c>
    </row>
    <row r="160" customFormat="false" ht="79.85" hidden="false" customHeight="false" outlineLevel="0" collapsed="false">
      <c r="A160" s="13" t="s">
        <v>3</v>
      </c>
      <c r="B160" s="13" t="s">
        <v>68</v>
      </c>
      <c r="C160" s="13" t="n">
        <v>267</v>
      </c>
      <c r="D160" s="13" t="s">
        <v>948</v>
      </c>
      <c r="E160" s="13" t="s">
        <v>11495</v>
      </c>
      <c r="F160" s="13" t="s">
        <v>11496</v>
      </c>
      <c r="G160" s="13" t="s">
        <v>11098</v>
      </c>
      <c r="H160" s="13" t="s">
        <v>11099</v>
      </c>
      <c r="I160" s="13" t="s">
        <v>957</v>
      </c>
      <c r="J160" s="13"/>
      <c r="K160" s="13" t="s">
        <v>955</v>
      </c>
      <c r="L160" s="13" t="s">
        <v>956</v>
      </c>
    </row>
    <row r="161" customFormat="false" ht="79.85" hidden="false" customHeight="false" outlineLevel="0" collapsed="false">
      <c r="A161" s="13" t="s">
        <v>3</v>
      </c>
      <c r="B161" s="13" t="s">
        <v>68</v>
      </c>
      <c r="C161" s="13" t="n">
        <v>267</v>
      </c>
      <c r="D161" s="13" t="s">
        <v>948</v>
      </c>
      <c r="E161" s="13" t="s">
        <v>11497</v>
      </c>
      <c r="F161" s="13" t="s">
        <v>11498</v>
      </c>
      <c r="G161" s="13" t="s">
        <v>11128</v>
      </c>
      <c r="H161" s="13" t="s">
        <v>11099</v>
      </c>
      <c r="I161" s="13"/>
      <c r="J161" s="13"/>
      <c r="K161" s="13" t="s">
        <v>955</v>
      </c>
      <c r="L161" s="13" t="s">
        <v>956</v>
      </c>
    </row>
    <row r="162" customFormat="false" ht="79.85" hidden="false" customHeight="false" outlineLevel="0" collapsed="false">
      <c r="A162" s="13" t="s">
        <v>3</v>
      </c>
      <c r="B162" s="13" t="s">
        <v>68</v>
      </c>
      <c r="C162" s="13" t="n">
        <v>267</v>
      </c>
      <c r="D162" s="13" t="s">
        <v>948</v>
      </c>
      <c r="E162" s="13" t="s">
        <v>11499</v>
      </c>
      <c r="F162" s="13" t="s">
        <v>11500</v>
      </c>
      <c r="G162" s="13" t="s">
        <v>11137</v>
      </c>
      <c r="H162" s="13" t="s">
        <v>11099</v>
      </c>
      <c r="I162" s="13" t="s">
        <v>960</v>
      </c>
      <c r="J162" s="13" t="s">
        <v>11492</v>
      </c>
      <c r="K162" s="13" t="s">
        <v>955</v>
      </c>
      <c r="L162" s="13" t="s">
        <v>956</v>
      </c>
    </row>
    <row r="163" customFormat="false" ht="46.25" hidden="false" customHeight="false" outlineLevel="0" collapsed="false">
      <c r="A163" s="13" t="s">
        <v>3</v>
      </c>
      <c r="B163" s="13" t="s">
        <v>68</v>
      </c>
      <c r="C163" s="13" t="n">
        <v>267</v>
      </c>
      <c r="D163" s="13" t="s">
        <v>963</v>
      </c>
      <c r="E163" s="13" t="s">
        <v>11501</v>
      </c>
      <c r="F163" s="13" t="s">
        <v>11502</v>
      </c>
      <c r="G163" s="13" t="s">
        <v>11137</v>
      </c>
      <c r="H163" s="13" t="s">
        <v>11099</v>
      </c>
      <c r="I163" s="13" t="s">
        <v>964</v>
      </c>
      <c r="J163" s="13" t="s">
        <v>11492</v>
      </c>
      <c r="K163" s="13" t="s">
        <v>967</v>
      </c>
      <c r="L163" s="13" t="s">
        <v>968</v>
      </c>
    </row>
    <row r="164" customFormat="false" ht="46.25" hidden="false" customHeight="false" outlineLevel="0" collapsed="false">
      <c r="A164" s="13" t="s">
        <v>3</v>
      </c>
      <c r="B164" s="13" t="s">
        <v>68</v>
      </c>
      <c r="C164" s="13" t="n">
        <v>267</v>
      </c>
      <c r="D164" s="13" t="s">
        <v>969</v>
      </c>
      <c r="E164" s="13" t="s">
        <v>11503</v>
      </c>
      <c r="F164" s="13" t="s">
        <v>11504</v>
      </c>
      <c r="G164" s="13" t="s">
        <v>11137</v>
      </c>
      <c r="H164" s="13" t="s">
        <v>11099</v>
      </c>
      <c r="I164" s="13" t="s">
        <v>11505</v>
      </c>
      <c r="J164" s="13" t="s">
        <v>11492</v>
      </c>
      <c r="K164" s="13" t="s">
        <v>973</v>
      </c>
      <c r="L164" s="13" t="s">
        <v>974</v>
      </c>
    </row>
    <row r="165" customFormat="false" ht="46.25" hidden="false" customHeight="false" outlineLevel="0" collapsed="false">
      <c r="A165" s="13" t="s">
        <v>3</v>
      </c>
      <c r="B165" s="13" t="s">
        <v>68</v>
      </c>
      <c r="C165" s="13" t="n">
        <v>267</v>
      </c>
      <c r="D165" s="13" t="s">
        <v>969</v>
      </c>
      <c r="E165" s="13" t="s">
        <v>11506</v>
      </c>
      <c r="F165" s="13" t="s">
        <v>11507</v>
      </c>
      <c r="G165" s="13" t="s">
        <v>11137</v>
      </c>
      <c r="H165" s="13" t="s">
        <v>11099</v>
      </c>
      <c r="I165" s="13" t="s">
        <v>977</v>
      </c>
      <c r="J165" s="13" t="s">
        <v>11492</v>
      </c>
      <c r="K165" s="13" t="s">
        <v>973</v>
      </c>
      <c r="L165" s="13" t="s">
        <v>974</v>
      </c>
    </row>
    <row r="166" customFormat="false" ht="23.85" hidden="false" customHeight="false" outlineLevel="0" collapsed="false">
      <c r="A166" s="13" t="s">
        <v>3</v>
      </c>
      <c r="B166" s="13" t="s">
        <v>68</v>
      </c>
      <c r="C166" s="13" t="n">
        <v>267</v>
      </c>
      <c r="D166" s="13" t="s">
        <v>980</v>
      </c>
      <c r="E166" s="13" t="s">
        <v>11508</v>
      </c>
      <c r="F166" s="13" t="s">
        <v>11509</v>
      </c>
      <c r="G166" s="13" t="s">
        <v>11098</v>
      </c>
      <c r="H166" s="13" t="s">
        <v>11099</v>
      </c>
      <c r="I166" s="13" t="s">
        <v>981</v>
      </c>
      <c r="J166" s="13"/>
      <c r="K166" s="13" t="s">
        <v>984</v>
      </c>
      <c r="L166" s="13" t="s">
        <v>985</v>
      </c>
    </row>
    <row r="167" customFormat="false" ht="68.65" hidden="false" customHeight="false" outlineLevel="0" collapsed="false">
      <c r="A167" s="13" t="s">
        <v>3</v>
      </c>
      <c r="B167" s="13" t="s">
        <v>68</v>
      </c>
      <c r="C167" s="13" t="n">
        <v>267</v>
      </c>
      <c r="D167" s="13" t="s">
        <v>986</v>
      </c>
      <c r="E167" s="13" t="s">
        <v>11510</v>
      </c>
      <c r="F167" s="13" t="s">
        <v>11511</v>
      </c>
      <c r="G167" s="13" t="s">
        <v>11098</v>
      </c>
      <c r="H167" s="13" t="s">
        <v>11099</v>
      </c>
      <c r="I167" s="13" t="s">
        <v>11512</v>
      </c>
      <c r="J167" s="13" t="s">
        <v>11513</v>
      </c>
      <c r="K167" s="13" t="s">
        <v>990</v>
      </c>
      <c r="L167" s="13" t="s">
        <v>991</v>
      </c>
    </row>
    <row r="168" customFormat="false" ht="225.35" hidden="false" customHeight="false" outlineLevel="0" collapsed="false">
      <c r="A168" s="13" t="s">
        <v>3</v>
      </c>
      <c r="B168" s="13" t="s">
        <v>68</v>
      </c>
      <c r="C168" s="13" t="n">
        <v>267</v>
      </c>
      <c r="D168" s="13" t="s">
        <v>1002</v>
      </c>
      <c r="E168" s="13" t="s">
        <v>11514</v>
      </c>
      <c r="F168" s="13" t="s">
        <v>11515</v>
      </c>
      <c r="G168" s="13" t="s">
        <v>11098</v>
      </c>
      <c r="H168" s="13" t="s">
        <v>11099</v>
      </c>
      <c r="I168" s="13" t="s">
        <v>11516</v>
      </c>
      <c r="J168" s="13"/>
      <c r="K168" s="13" t="s">
        <v>1007</v>
      </c>
      <c r="L168" s="13" t="s">
        <v>1008</v>
      </c>
    </row>
    <row r="169" customFormat="false" ht="46.25" hidden="false" customHeight="false" outlineLevel="0" collapsed="false">
      <c r="A169" s="13" t="s">
        <v>3</v>
      </c>
      <c r="B169" s="13" t="s">
        <v>68</v>
      </c>
      <c r="C169" s="13" t="n">
        <v>269</v>
      </c>
      <c r="D169" s="13" t="s">
        <v>1017</v>
      </c>
      <c r="E169" s="13" t="s">
        <v>11517</v>
      </c>
      <c r="F169" s="13" t="s">
        <v>11518</v>
      </c>
      <c r="G169" s="13" t="s">
        <v>11098</v>
      </c>
      <c r="H169" s="13" t="s">
        <v>11099</v>
      </c>
      <c r="I169" s="13" t="s">
        <v>1018</v>
      </c>
      <c r="J169" s="13"/>
      <c r="K169" s="13" t="s">
        <v>1022</v>
      </c>
      <c r="L169" s="13" t="s">
        <v>1023</v>
      </c>
    </row>
    <row r="170" customFormat="false" ht="46.25" hidden="false" customHeight="false" outlineLevel="0" collapsed="false">
      <c r="A170" s="13" t="s">
        <v>3</v>
      </c>
      <c r="B170" s="13" t="s">
        <v>68</v>
      </c>
      <c r="C170" s="13" t="n">
        <v>269</v>
      </c>
      <c r="D170" s="13" t="s">
        <v>1017</v>
      </c>
      <c r="E170" s="13" t="s">
        <v>11519</v>
      </c>
      <c r="F170" s="13" t="s">
        <v>11520</v>
      </c>
      <c r="G170" s="13" t="s">
        <v>11098</v>
      </c>
      <c r="H170" s="13" t="s">
        <v>11099</v>
      </c>
      <c r="I170" s="13" t="s">
        <v>11521</v>
      </c>
      <c r="J170" s="13"/>
      <c r="K170" s="13" t="s">
        <v>1022</v>
      </c>
      <c r="L170" s="13" t="s">
        <v>1023</v>
      </c>
    </row>
    <row r="171" customFormat="false" ht="46.25" hidden="false" customHeight="false" outlineLevel="0" collapsed="false">
      <c r="A171" s="13" t="s">
        <v>3</v>
      </c>
      <c r="B171" s="13" t="s">
        <v>68</v>
      </c>
      <c r="C171" s="13" t="n">
        <v>269</v>
      </c>
      <c r="D171" s="13" t="s">
        <v>1030</v>
      </c>
      <c r="E171" s="13" t="s">
        <v>11522</v>
      </c>
      <c r="F171" s="13" t="s">
        <v>11523</v>
      </c>
      <c r="G171" s="13" t="s">
        <v>11098</v>
      </c>
      <c r="H171" s="13" t="s">
        <v>11099</v>
      </c>
      <c r="I171" s="13" t="s">
        <v>11524</v>
      </c>
      <c r="J171" s="13"/>
      <c r="K171" s="13" t="s">
        <v>1035</v>
      </c>
      <c r="L171" s="13" t="s">
        <v>1036</v>
      </c>
    </row>
    <row r="172" customFormat="false" ht="46.25" hidden="false" customHeight="false" outlineLevel="0" collapsed="false">
      <c r="A172" s="13" t="s">
        <v>3</v>
      </c>
      <c r="B172" s="13" t="s">
        <v>68</v>
      </c>
      <c r="C172" s="13" t="n">
        <v>269</v>
      </c>
      <c r="D172" s="13" t="s">
        <v>1043</v>
      </c>
      <c r="E172" s="13" t="s">
        <v>11525</v>
      </c>
      <c r="F172" s="13" t="s">
        <v>11526</v>
      </c>
      <c r="G172" s="13" t="s">
        <v>11098</v>
      </c>
      <c r="H172" s="13" t="s">
        <v>11099</v>
      </c>
      <c r="I172" s="13" t="s">
        <v>11527</v>
      </c>
      <c r="J172" s="13"/>
      <c r="K172" s="13" t="s">
        <v>1046</v>
      </c>
      <c r="L172" s="13" t="s">
        <v>1047</v>
      </c>
    </row>
    <row r="173" customFormat="false" ht="46.25" hidden="false" customHeight="false" outlineLevel="0" collapsed="false">
      <c r="A173" s="13" t="s">
        <v>3</v>
      </c>
      <c r="B173" s="13" t="s">
        <v>68</v>
      </c>
      <c r="C173" s="13" t="n">
        <v>269</v>
      </c>
      <c r="D173" s="13" t="s">
        <v>1043</v>
      </c>
      <c r="E173" s="13" t="s">
        <v>11528</v>
      </c>
      <c r="F173" s="13" t="s">
        <v>11529</v>
      </c>
      <c r="G173" s="13" t="s">
        <v>11098</v>
      </c>
      <c r="H173" s="13" t="s">
        <v>11099</v>
      </c>
      <c r="I173" s="13" t="s">
        <v>1048</v>
      </c>
      <c r="J173" s="13"/>
      <c r="K173" s="13" t="s">
        <v>1046</v>
      </c>
      <c r="L173" s="13" t="s">
        <v>1047</v>
      </c>
    </row>
    <row r="174" customFormat="false" ht="79.85" hidden="false" customHeight="false" outlineLevel="0" collapsed="false">
      <c r="A174" s="13" t="s">
        <v>3</v>
      </c>
      <c r="B174" s="13" t="s">
        <v>68</v>
      </c>
      <c r="C174" s="13" t="n">
        <v>269</v>
      </c>
      <c r="D174" s="13" t="s">
        <v>1056</v>
      </c>
      <c r="E174" s="13" t="s">
        <v>11530</v>
      </c>
      <c r="F174" s="13" t="s">
        <v>11531</v>
      </c>
      <c r="G174" s="13" t="s">
        <v>11098</v>
      </c>
      <c r="H174" s="13" t="s">
        <v>11099</v>
      </c>
      <c r="I174" s="13" t="s">
        <v>1057</v>
      </c>
      <c r="J174" s="13"/>
      <c r="K174" s="13" t="s">
        <v>1060</v>
      </c>
      <c r="L174" s="13" t="s">
        <v>1061</v>
      </c>
    </row>
    <row r="175" customFormat="false" ht="79.85" hidden="false" customHeight="false" outlineLevel="0" collapsed="false">
      <c r="A175" s="13" t="s">
        <v>3</v>
      </c>
      <c r="B175" s="13" t="s">
        <v>68</v>
      </c>
      <c r="C175" s="13" t="n">
        <v>269</v>
      </c>
      <c r="D175" s="13" t="s">
        <v>1056</v>
      </c>
      <c r="E175" s="13" t="s">
        <v>11532</v>
      </c>
      <c r="F175" s="13" t="s">
        <v>11533</v>
      </c>
      <c r="G175" s="13" t="s">
        <v>11098</v>
      </c>
      <c r="H175" s="13" t="s">
        <v>11099</v>
      </c>
      <c r="I175" s="13" t="s">
        <v>11534</v>
      </c>
      <c r="J175" s="13"/>
      <c r="K175" s="13" t="s">
        <v>1060</v>
      </c>
      <c r="L175" s="13" t="s">
        <v>1061</v>
      </c>
    </row>
    <row r="176" customFormat="false" ht="35.05" hidden="false" customHeight="false" outlineLevel="0" collapsed="false">
      <c r="A176" s="13" t="s">
        <v>3</v>
      </c>
      <c r="B176" s="13" t="s">
        <v>68</v>
      </c>
      <c r="C176" s="13" t="n">
        <v>269</v>
      </c>
      <c r="D176" s="13" t="s">
        <v>1068</v>
      </c>
      <c r="E176" s="13" t="s">
        <v>11535</v>
      </c>
      <c r="F176" s="13" t="s">
        <v>11536</v>
      </c>
      <c r="G176" s="13" t="s">
        <v>11098</v>
      </c>
      <c r="H176" s="13" t="s">
        <v>11099</v>
      </c>
      <c r="I176" s="13" t="s">
        <v>1069</v>
      </c>
      <c r="J176" s="13"/>
      <c r="K176" s="13" t="s">
        <v>1071</v>
      </c>
      <c r="L176" s="13" t="s">
        <v>1072</v>
      </c>
    </row>
    <row r="177" customFormat="false" ht="57.45" hidden="false" customHeight="false" outlineLevel="0" collapsed="false">
      <c r="A177" s="13" t="s">
        <v>3</v>
      </c>
      <c r="B177" s="13" t="s">
        <v>68</v>
      </c>
      <c r="C177" s="13" t="n">
        <v>269</v>
      </c>
      <c r="D177" s="13" t="s">
        <v>1073</v>
      </c>
      <c r="E177" s="13" t="s">
        <v>11537</v>
      </c>
      <c r="F177" s="13" t="s">
        <v>11538</v>
      </c>
      <c r="G177" s="13" t="s">
        <v>11098</v>
      </c>
      <c r="H177" s="13" t="s">
        <v>11099</v>
      </c>
      <c r="I177" s="13" t="s">
        <v>1074</v>
      </c>
      <c r="J177" s="13"/>
      <c r="K177" s="13" t="s">
        <v>1078</v>
      </c>
      <c r="L177" s="13" t="s">
        <v>1079</v>
      </c>
    </row>
    <row r="178" customFormat="false" ht="57.45" hidden="false" customHeight="false" outlineLevel="0" collapsed="false">
      <c r="A178" s="13" t="s">
        <v>3</v>
      </c>
      <c r="B178" s="13" t="s">
        <v>68</v>
      </c>
      <c r="C178" s="13" t="n">
        <v>269</v>
      </c>
      <c r="D178" s="13" t="s">
        <v>1073</v>
      </c>
      <c r="E178" s="13" t="s">
        <v>11539</v>
      </c>
      <c r="F178" s="13" t="s">
        <v>11540</v>
      </c>
      <c r="G178" s="13" t="s">
        <v>11098</v>
      </c>
      <c r="H178" s="13" t="s">
        <v>11099</v>
      </c>
      <c r="I178" s="13" t="s">
        <v>1080</v>
      </c>
      <c r="J178" s="13"/>
      <c r="K178" s="13" t="s">
        <v>1078</v>
      </c>
      <c r="L178" s="13" t="s">
        <v>1079</v>
      </c>
    </row>
    <row r="179" customFormat="false" ht="57.45" hidden="false" customHeight="false" outlineLevel="0" collapsed="false">
      <c r="A179" s="13" t="s">
        <v>3</v>
      </c>
      <c r="B179" s="13" t="s">
        <v>68</v>
      </c>
      <c r="C179" s="13" t="n">
        <v>269</v>
      </c>
      <c r="D179" s="13" t="s">
        <v>1073</v>
      </c>
      <c r="E179" s="13" t="s">
        <v>11541</v>
      </c>
      <c r="F179" s="13" t="s">
        <v>11542</v>
      </c>
      <c r="G179" s="13" t="s">
        <v>11098</v>
      </c>
      <c r="H179" s="13" t="s">
        <v>11099</v>
      </c>
      <c r="I179" s="13" t="s">
        <v>1083</v>
      </c>
      <c r="J179" s="13"/>
      <c r="K179" s="13" t="s">
        <v>1078</v>
      </c>
      <c r="L179" s="13" t="s">
        <v>1079</v>
      </c>
    </row>
    <row r="180" customFormat="false" ht="147" hidden="false" customHeight="false" outlineLevel="0" collapsed="false">
      <c r="A180" s="13" t="s">
        <v>3</v>
      </c>
      <c r="B180" s="13" t="s">
        <v>68</v>
      </c>
      <c r="C180" s="13" t="n">
        <v>281</v>
      </c>
      <c r="D180" s="13" t="s">
        <v>1088</v>
      </c>
      <c r="E180" s="13" t="s">
        <v>11543</v>
      </c>
      <c r="F180" s="13" t="s">
        <v>11544</v>
      </c>
      <c r="G180" s="13" t="s">
        <v>11098</v>
      </c>
      <c r="H180" s="13" t="s">
        <v>11099</v>
      </c>
      <c r="I180" s="13" t="s">
        <v>11545</v>
      </c>
      <c r="J180" s="13"/>
      <c r="K180" s="13" t="s">
        <v>1093</v>
      </c>
      <c r="L180" s="13" t="s">
        <v>1094</v>
      </c>
    </row>
    <row r="181" customFormat="false" ht="57.45" hidden="false" customHeight="false" outlineLevel="0" collapsed="false">
      <c r="A181" s="13" t="s">
        <v>3</v>
      </c>
      <c r="B181" s="13" t="s">
        <v>68</v>
      </c>
      <c r="C181" s="13" t="n">
        <v>281</v>
      </c>
      <c r="D181" s="13" t="s">
        <v>1101</v>
      </c>
      <c r="E181" s="13" t="s">
        <v>11546</v>
      </c>
      <c r="F181" s="13" t="s">
        <v>11547</v>
      </c>
      <c r="G181" s="13" t="s">
        <v>11098</v>
      </c>
      <c r="H181" s="13" t="s">
        <v>11099</v>
      </c>
      <c r="I181" s="13" t="s">
        <v>11548</v>
      </c>
      <c r="J181" s="13"/>
      <c r="K181" s="13" t="s">
        <v>1104</v>
      </c>
      <c r="L181" s="13" t="s">
        <v>1105</v>
      </c>
    </row>
    <row r="182" customFormat="false" ht="102.2" hidden="false" customHeight="false" outlineLevel="0" collapsed="false">
      <c r="A182" s="13" t="s">
        <v>3</v>
      </c>
      <c r="B182" s="13" t="s">
        <v>68</v>
      </c>
      <c r="C182" s="13" t="n">
        <v>281</v>
      </c>
      <c r="D182" s="13" t="s">
        <v>1109</v>
      </c>
      <c r="E182" s="13" t="s">
        <v>11549</v>
      </c>
      <c r="F182" s="13" t="s">
        <v>11550</v>
      </c>
      <c r="G182" s="13" t="s">
        <v>11098</v>
      </c>
      <c r="H182" s="13" t="s">
        <v>11099</v>
      </c>
      <c r="I182" s="13" t="s">
        <v>11551</v>
      </c>
      <c r="J182" s="13"/>
      <c r="K182" s="13" t="s">
        <v>1113</v>
      </c>
      <c r="L182" s="13" t="s">
        <v>1114</v>
      </c>
    </row>
    <row r="183" customFormat="false" ht="113.4" hidden="false" customHeight="false" outlineLevel="0" collapsed="false">
      <c r="A183" s="13" t="s">
        <v>3</v>
      </c>
      <c r="B183" s="13" t="s">
        <v>68</v>
      </c>
      <c r="C183" s="13" t="n">
        <v>281</v>
      </c>
      <c r="D183" s="13" t="s">
        <v>1117</v>
      </c>
      <c r="E183" s="13" t="s">
        <v>11552</v>
      </c>
      <c r="F183" s="13" t="s">
        <v>11553</v>
      </c>
      <c r="G183" s="13" t="s">
        <v>11098</v>
      </c>
      <c r="H183" s="13" t="s">
        <v>11099</v>
      </c>
      <c r="I183" s="13" t="s">
        <v>11554</v>
      </c>
      <c r="J183" s="13"/>
      <c r="K183" s="13" t="s">
        <v>1120</v>
      </c>
      <c r="L183" s="13" t="s">
        <v>1121</v>
      </c>
    </row>
    <row r="184" customFormat="false" ht="113.4" hidden="false" customHeight="false" outlineLevel="0" collapsed="false">
      <c r="A184" s="13" t="s">
        <v>3</v>
      </c>
      <c r="B184" s="13" t="s">
        <v>68</v>
      </c>
      <c r="C184" s="13" t="n">
        <v>281</v>
      </c>
      <c r="D184" s="13" t="s">
        <v>1124</v>
      </c>
      <c r="E184" s="13" t="s">
        <v>11555</v>
      </c>
      <c r="F184" s="13" t="s">
        <v>11556</v>
      </c>
      <c r="G184" s="13" t="s">
        <v>11098</v>
      </c>
      <c r="H184" s="13" t="s">
        <v>11099</v>
      </c>
      <c r="I184" s="13" t="s">
        <v>11557</v>
      </c>
      <c r="J184" s="13"/>
      <c r="K184" s="13" t="s">
        <v>1127</v>
      </c>
      <c r="L184" s="13" t="s">
        <v>1128</v>
      </c>
    </row>
    <row r="185" customFormat="false" ht="91" hidden="false" customHeight="false" outlineLevel="0" collapsed="false">
      <c r="A185" s="13" t="s">
        <v>3</v>
      </c>
      <c r="B185" s="13" t="s">
        <v>68</v>
      </c>
      <c r="C185" s="13" t="n">
        <v>290</v>
      </c>
      <c r="D185" s="13" t="s">
        <v>1131</v>
      </c>
      <c r="E185" s="13" t="s">
        <v>11558</v>
      </c>
      <c r="F185" s="13" t="s">
        <v>11559</v>
      </c>
      <c r="G185" s="13" t="s">
        <v>11098</v>
      </c>
      <c r="H185" s="13" t="s">
        <v>11099</v>
      </c>
      <c r="I185" s="13" t="s">
        <v>1132</v>
      </c>
      <c r="J185" s="13"/>
      <c r="K185" s="13" t="s">
        <v>1136</v>
      </c>
      <c r="L185" s="13" t="s">
        <v>1137</v>
      </c>
    </row>
    <row r="186" customFormat="false" ht="91" hidden="false" customHeight="false" outlineLevel="0" collapsed="false">
      <c r="A186" s="13" t="s">
        <v>3</v>
      </c>
      <c r="B186" s="13" t="s">
        <v>68</v>
      </c>
      <c r="C186" s="13" t="n">
        <v>290</v>
      </c>
      <c r="D186" s="13" t="s">
        <v>1131</v>
      </c>
      <c r="E186" s="13" t="s">
        <v>11560</v>
      </c>
      <c r="F186" s="13" t="s">
        <v>11561</v>
      </c>
      <c r="G186" s="13" t="s">
        <v>11098</v>
      </c>
      <c r="H186" s="13" t="s">
        <v>11099</v>
      </c>
      <c r="I186" s="13" t="s">
        <v>1138</v>
      </c>
      <c r="J186" s="13"/>
      <c r="K186" s="13" t="s">
        <v>1136</v>
      </c>
      <c r="L186" s="13" t="s">
        <v>1137</v>
      </c>
    </row>
    <row r="187" customFormat="false" ht="91" hidden="false" customHeight="false" outlineLevel="0" collapsed="false">
      <c r="A187" s="13" t="s">
        <v>3</v>
      </c>
      <c r="B187" s="13" t="s">
        <v>68</v>
      </c>
      <c r="C187" s="13" t="n">
        <v>290</v>
      </c>
      <c r="D187" s="13" t="s">
        <v>1131</v>
      </c>
      <c r="E187" s="13" t="s">
        <v>11562</v>
      </c>
      <c r="F187" s="13" t="s">
        <v>11563</v>
      </c>
      <c r="G187" s="13" t="s">
        <v>11098</v>
      </c>
      <c r="H187" s="13" t="s">
        <v>11099</v>
      </c>
      <c r="I187" s="13" t="s">
        <v>11564</v>
      </c>
      <c r="J187" s="13" t="s">
        <v>11565</v>
      </c>
      <c r="K187" s="13" t="s">
        <v>1136</v>
      </c>
      <c r="L187" s="13" t="s">
        <v>1137</v>
      </c>
    </row>
    <row r="188" customFormat="false" ht="68.65" hidden="false" customHeight="false" outlineLevel="0" collapsed="false">
      <c r="A188" s="13" t="s">
        <v>3</v>
      </c>
      <c r="B188" s="13" t="s">
        <v>68</v>
      </c>
      <c r="C188" s="13" t="n">
        <v>290</v>
      </c>
      <c r="D188" s="13" t="s">
        <v>1148</v>
      </c>
      <c r="E188" s="13" t="s">
        <v>11566</v>
      </c>
      <c r="F188" s="13" t="s">
        <v>11567</v>
      </c>
      <c r="G188" s="13" t="s">
        <v>11098</v>
      </c>
      <c r="H188" s="13" t="s">
        <v>11099</v>
      </c>
      <c r="I188" s="13" t="s">
        <v>1149</v>
      </c>
      <c r="J188" s="13"/>
      <c r="K188" s="13" t="s">
        <v>1152</v>
      </c>
      <c r="L188" s="13" t="s">
        <v>1153</v>
      </c>
    </row>
    <row r="189" customFormat="false" ht="68.65" hidden="false" customHeight="false" outlineLevel="0" collapsed="false">
      <c r="A189" s="13" t="s">
        <v>3</v>
      </c>
      <c r="B189" s="13" t="s">
        <v>68</v>
      </c>
      <c r="C189" s="13" t="n">
        <v>290</v>
      </c>
      <c r="D189" s="13" t="s">
        <v>1148</v>
      </c>
      <c r="E189" s="13" t="s">
        <v>11568</v>
      </c>
      <c r="F189" s="13" t="s">
        <v>11569</v>
      </c>
      <c r="G189" s="13" t="s">
        <v>11128</v>
      </c>
      <c r="H189" s="13" t="s">
        <v>11099</v>
      </c>
      <c r="I189" s="13"/>
      <c r="J189" s="13"/>
      <c r="K189" s="13" t="s">
        <v>1152</v>
      </c>
      <c r="L189" s="13" t="s">
        <v>1153</v>
      </c>
    </row>
    <row r="190" customFormat="false" ht="68.65" hidden="false" customHeight="false" outlineLevel="0" collapsed="false">
      <c r="A190" s="13" t="s">
        <v>3</v>
      </c>
      <c r="B190" s="13" t="s">
        <v>68</v>
      </c>
      <c r="C190" s="13" t="n">
        <v>290</v>
      </c>
      <c r="D190" s="13" t="s">
        <v>1148</v>
      </c>
      <c r="E190" s="13" t="s">
        <v>11570</v>
      </c>
      <c r="F190" s="13" t="s">
        <v>11571</v>
      </c>
      <c r="G190" s="13" t="s">
        <v>11098</v>
      </c>
      <c r="H190" s="13" t="s">
        <v>11099</v>
      </c>
      <c r="I190" s="13" t="s">
        <v>1154</v>
      </c>
      <c r="J190" s="13" t="s">
        <v>11572</v>
      </c>
      <c r="K190" s="13" t="s">
        <v>1152</v>
      </c>
      <c r="L190" s="13" t="s">
        <v>1153</v>
      </c>
    </row>
    <row r="191" customFormat="false" ht="68.65" hidden="false" customHeight="false" outlineLevel="0" collapsed="false">
      <c r="A191" s="13" t="s">
        <v>3</v>
      </c>
      <c r="B191" s="13" t="s">
        <v>68</v>
      </c>
      <c r="C191" s="13" t="n">
        <v>290</v>
      </c>
      <c r="D191" s="13" t="s">
        <v>1148</v>
      </c>
      <c r="E191" s="13" t="s">
        <v>11573</v>
      </c>
      <c r="F191" s="13" t="s">
        <v>11574</v>
      </c>
      <c r="G191" s="13" t="s">
        <v>11128</v>
      </c>
      <c r="H191" s="13" t="s">
        <v>11099</v>
      </c>
      <c r="I191" s="13"/>
      <c r="J191" s="13"/>
      <c r="K191" s="13" t="s">
        <v>1152</v>
      </c>
      <c r="L191" s="13" t="s">
        <v>1153</v>
      </c>
    </row>
    <row r="192" customFormat="false" ht="68.65" hidden="false" customHeight="false" outlineLevel="0" collapsed="false">
      <c r="A192" s="13" t="s">
        <v>3</v>
      </c>
      <c r="B192" s="13" t="s">
        <v>68</v>
      </c>
      <c r="C192" s="13" t="n">
        <v>290</v>
      </c>
      <c r="D192" s="13" t="s">
        <v>1148</v>
      </c>
      <c r="E192" s="13" t="s">
        <v>11575</v>
      </c>
      <c r="F192" s="13" t="s">
        <v>11576</v>
      </c>
      <c r="G192" s="13" t="s">
        <v>11098</v>
      </c>
      <c r="H192" s="13" t="s">
        <v>11099</v>
      </c>
      <c r="I192" s="13" t="s">
        <v>11577</v>
      </c>
      <c r="J192" s="13"/>
      <c r="K192" s="13" t="s">
        <v>1152</v>
      </c>
      <c r="L192" s="13" t="s">
        <v>1153</v>
      </c>
    </row>
    <row r="193" customFormat="false" ht="158.2" hidden="false" customHeight="false" outlineLevel="0" collapsed="false">
      <c r="A193" s="13" t="s">
        <v>3</v>
      </c>
      <c r="B193" s="13" t="s">
        <v>68</v>
      </c>
      <c r="C193" s="13" t="n">
        <v>290</v>
      </c>
      <c r="D193" s="13" t="s">
        <v>1162</v>
      </c>
      <c r="E193" s="13" t="s">
        <v>11578</v>
      </c>
      <c r="F193" s="13" t="s">
        <v>11579</v>
      </c>
      <c r="G193" s="13" t="s">
        <v>11098</v>
      </c>
      <c r="H193" s="13" t="s">
        <v>11099</v>
      </c>
      <c r="I193" s="13" t="s">
        <v>1163</v>
      </c>
      <c r="J193" s="13"/>
      <c r="K193" s="13" t="s">
        <v>1166</v>
      </c>
      <c r="L193" s="13" t="s">
        <v>1167</v>
      </c>
    </row>
    <row r="194" customFormat="false" ht="158.2" hidden="false" customHeight="false" outlineLevel="0" collapsed="false">
      <c r="A194" s="13" t="s">
        <v>3</v>
      </c>
      <c r="B194" s="13" t="s">
        <v>68</v>
      </c>
      <c r="C194" s="13" t="n">
        <v>290</v>
      </c>
      <c r="D194" s="13" t="s">
        <v>1162</v>
      </c>
      <c r="E194" s="13" t="s">
        <v>11580</v>
      </c>
      <c r="F194" s="13" t="s">
        <v>11581</v>
      </c>
      <c r="G194" s="13" t="s">
        <v>11098</v>
      </c>
      <c r="H194" s="13" t="s">
        <v>11099</v>
      </c>
      <c r="I194" s="13" t="s">
        <v>11582</v>
      </c>
      <c r="J194" s="13"/>
      <c r="K194" s="13" t="s">
        <v>1166</v>
      </c>
      <c r="L194" s="13" t="s">
        <v>1167</v>
      </c>
    </row>
    <row r="195" customFormat="false" ht="158.2" hidden="false" customHeight="false" outlineLevel="0" collapsed="false">
      <c r="A195" s="13" t="s">
        <v>3</v>
      </c>
      <c r="B195" s="13" t="s">
        <v>68</v>
      </c>
      <c r="C195" s="13" t="n">
        <v>290</v>
      </c>
      <c r="D195" s="13" t="s">
        <v>1175</v>
      </c>
      <c r="E195" s="13" t="s">
        <v>11583</v>
      </c>
      <c r="F195" s="13" t="s">
        <v>11584</v>
      </c>
      <c r="G195" s="13" t="s">
        <v>11128</v>
      </c>
      <c r="H195" s="13" t="s">
        <v>11099</v>
      </c>
      <c r="I195" s="13"/>
      <c r="J195" s="13"/>
      <c r="K195" s="13" t="s">
        <v>1179</v>
      </c>
      <c r="L195" s="13" t="s">
        <v>1180</v>
      </c>
    </row>
    <row r="196" customFormat="false" ht="158.2" hidden="false" customHeight="false" outlineLevel="0" collapsed="false">
      <c r="A196" s="13" t="s">
        <v>3</v>
      </c>
      <c r="B196" s="13" t="s">
        <v>68</v>
      </c>
      <c r="C196" s="13" t="n">
        <v>290</v>
      </c>
      <c r="D196" s="13" t="s">
        <v>1175</v>
      </c>
      <c r="E196" s="13" t="s">
        <v>11585</v>
      </c>
      <c r="F196" s="13" t="s">
        <v>11586</v>
      </c>
      <c r="G196" s="13" t="s">
        <v>11098</v>
      </c>
      <c r="H196" s="13" t="s">
        <v>11099</v>
      </c>
      <c r="I196" s="13" t="s">
        <v>11587</v>
      </c>
      <c r="J196" s="13"/>
      <c r="K196" s="13" t="s">
        <v>1179</v>
      </c>
      <c r="L196" s="13" t="s">
        <v>1180</v>
      </c>
    </row>
    <row r="197" customFormat="false" ht="79.85" hidden="false" customHeight="false" outlineLevel="0" collapsed="false">
      <c r="A197" s="13" t="s">
        <v>3</v>
      </c>
      <c r="B197" s="13" t="s">
        <v>68</v>
      </c>
      <c r="C197" s="13" t="n">
        <v>303</v>
      </c>
      <c r="D197" s="13" t="s">
        <v>1192</v>
      </c>
      <c r="E197" s="13" t="s">
        <v>11588</v>
      </c>
      <c r="F197" s="13" t="s">
        <v>11589</v>
      </c>
      <c r="G197" s="13" t="s">
        <v>11098</v>
      </c>
      <c r="H197" s="13" t="s">
        <v>11099</v>
      </c>
      <c r="I197" s="13" t="s">
        <v>11590</v>
      </c>
      <c r="J197" s="13"/>
      <c r="K197" s="13" t="s">
        <v>1197</v>
      </c>
      <c r="L197" s="13" t="s">
        <v>1198</v>
      </c>
    </row>
    <row r="198" customFormat="false" ht="113.4" hidden="false" customHeight="false" outlineLevel="0" collapsed="false">
      <c r="A198" s="13" t="s">
        <v>3</v>
      </c>
      <c r="B198" s="13" t="s">
        <v>68</v>
      </c>
      <c r="C198" s="13" t="n">
        <v>303</v>
      </c>
      <c r="D198" s="13" t="s">
        <v>1211</v>
      </c>
      <c r="E198" s="13" t="s">
        <v>11591</v>
      </c>
      <c r="F198" s="13" t="s">
        <v>11592</v>
      </c>
      <c r="G198" s="13" t="s">
        <v>11098</v>
      </c>
      <c r="H198" s="13" t="s">
        <v>11099</v>
      </c>
      <c r="I198" s="13" t="s">
        <v>1212</v>
      </c>
      <c r="J198" s="13"/>
      <c r="K198" s="13" t="s">
        <v>1216</v>
      </c>
      <c r="L198" s="13" t="s">
        <v>1217</v>
      </c>
    </row>
    <row r="199" customFormat="false" ht="113.4" hidden="false" customHeight="false" outlineLevel="0" collapsed="false">
      <c r="A199" s="13" t="s">
        <v>3</v>
      </c>
      <c r="B199" s="13" t="s">
        <v>68</v>
      </c>
      <c r="C199" s="13" t="n">
        <v>303</v>
      </c>
      <c r="D199" s="13" t="s">
        <v>1211</v>
      </c>
      <c r="E199" s="13" t="s">
        <v>11593</v>
      </c>
      <c r="F199" s="13" t="s">
        <v>11594</v>
      </c>
      <c r="G199" s="13" t="s">
        <v>11098</v>
      </c>
      <c r="H199" s="13" t="s">
        <v>11099</v>
      </c>
      <c r="I199" s="13" t="s">
        <v>11595</v>
      </c>
      <c r="J199" s="13"/>
      <c r="K199" s="13" t="s">
        <v>1216</v>
      </c>
      <c r="L199" s="13" t="s">
        <v>1217</v>
      </c>
    </row>
    <row r="200" customFormat="false" ht="102.2" hidden="false" customHeight="false" outlineLevel="0" collapsed="false">
      <c r="A200" s="13" t="s">
        <v>3</v>
      </c>
      <c r="B200" s="13" t="s">
        <v>68</v>
      </c>
      <c r="C200" s="13" t="n">
        <v>303</v>
      </c>
      <c r="D200" s="13" t="s">
        <v>1226</v>
      </c>
      <c r="E200" s="13" t="s">
        <v>11596</v>
      </c>
      <c r="F200" s="13" t="s">
        <v>11597</v>
      </c>
      <c r="G200" s="13" t="s">
        <v>11098</v>
      </c>
      <c r="H200" s="13" t="s">
        <v>11099</v>
      </c>
      <c r="I200" s="13" t="s">
        <v>11598</v>
      </c>
      <c r="J200" s="13"/>
      <c r="K200" s="13" t="s">
        <v>1231</v>
      </c>
      <c r="L200" s="13" t="s">
        <v>1232</v>
      </c>
    </row>
    <row r="201" customFormat="false" ht="46.25" hidden="false" customHeight="false" outlineLevel="0" collapsed="false">
      <c r="A201" s="13" t="s">
        <v>3</v>
      </c>
      <c r="B201" s="13" t="s">
        <v>68</v>
      </c>
      <c r="C201" s="13" t="n">
        <v>303</v>
      </c>
      <c r="D201" s="13" t="s">
        <v>1241</v>
      </c>
      <c r="E201" s="13" t="s">
        <v>11599</v>
      </c>
      <c r="F201" s="13" t="s">
        <v>11600</v>
      </c>
      <c r="G201" s="13" t="s">
        <v>11098</v>
      </c>
      <c r="H201" s="13" t="s">
        <v>11099</v>
      </c>
      <c r="I201" s="13" t="s">
        <v>11601</v>
      </c>
      <c r="J201" s="13"/>
      <c r="K201" s="13" t="s">
        <v>1244</v>
      </c>
      <c r="L201" s="13" t="s">
        <v>1245</v>
      </c>
    </row>
    <row r="202" customFormat="false" ht="79.85" hidden="false" customHeight="false" outlineLevel="0" collapsed="false">
      <c r="A202" s="13" t="s">
        <v>3</v>
      </c>
      <c r="B202" s="13" t="s">
        <v>68</v>
      </c>
      <c r="C202" s="13" t="n">
        <v>311</v>
      </c>
      <c r="D202" s="13" t="s">
        <v>1249</v>
      </c>
      <c r="E202" s="13" t="s">
        <v>11602</v>
      </c>
      <c r="F202" s="13" t="s">
        <v>11603</v>
      </c>
      <c r="G202" s="13" t="s">
        <v>11098</v>
      </c>
      <c r="H202" s="13" t="s">
        <v>11099</v>
      </c>
      <c r="I202" s="13" t="s">
        <v>11604</v>
      </c>
      <c r="J202" s="13"/>
      <c r="K202" s="13" t="s">
        <v>1252</v>
      </c>
      <c r="L202" s="13" t="s">
        <v>1253</v>
      </c>
    </row>
    <row r="203" customFormat="false" ht="79.85" hidden="false" customHeight="false" outlineLevel="0" collapsed="false">
      <c r="A203" s="13" t="s">
        <v>3</v>
      </c>
      <c r="B203" s="13" t="s">
        <v>68</v>
      </c>
      <c r="C203" s="13" t="n">
        <v>311</v>
      </c>
      <c r="D203" s="13" t="s">
        <v>1249</v>
      </c>
      <c r="E203" s="13" t="s">
        <v>11605</v>
      </c>
      <c r="F203" s="13" t="s">
        <v>11606</v>
      </c>
      <c r="G203" s="13" t="s">
        <v>11098</v>
      </c>
      <c r="H203" s="13" t="s">
        <v>11099</v>
      </c>
      <c r="I203" s="13" t="s">
        <v>1271</v>
      </c>
      <c r="J203" s="13" t="s">
        <v>11607</v>
      </c>
      <c r="K203" s="13" t="s">
        <v>1252</v>
      </c>
      <c r="L203" s="13" t="s">
        <v>1253</v>
      </c>
    </row>
    <row r="204" customFormat="false" ht="79.85" hidden="false" customHeight="false" outlineLevel="0" collapsed="false">
      <c r="A204" s="13" t="s">
        <v>3</v>
      </c>
      <c r="B204" s="13" t="s">
        <v>68</v>
      </c>
      <c r="C204" s="13" t="n">
        <v>311</v>
      </c>
      <c r="D204" s="13" t="s">
        <v>1249</v>
      </c>
      <c r="E204" s="13" t="s">
        <v>11608</v>
      </c>
      <c r="F204" s="13" t="s">
        <v>11609</v>
      </c>
      <c r="G204" s="13" t="s">
        <v>11098</v>
      </c>
      <c r="H204" s="13" t="s">
        <v>11099</v>
      </c>
      <c r="I204" s="13" t="s">
        <v>1256</v>
      </c>
      <c r="J204" s="13"/>
      <c r="K204" s="13" t="s">
        <v>1252</v>
      </c>
      <c r="L204" s="13" t="s">
        <v>1253</v>
      </c>
    </row>
    <row r="205" customFormat="false" ht="113.4" hidden="false" customHeight="false" outlineLevel="0" collapsed="false">
      <c r="A205" s="13" t="s">
        <v>3</v>
      </c>
      <c r="B205" s="13" t="s">
        <v>68</v>
      </c>
      <c r="C205" s="13" t="n">
        <v>311</v>
      </c>
      <c r="D205" s="13" t="s">
        <v>1260</v>
      </c>
      <c r="E205" s="13" t="s">
        <v>11610</v>
      </c>
      <c r="F205" s="13" t="s">
        <v>11611</v>
      </c>
      <c r="G205" s="13" t="s">
        <v>11098</v>
      </c>
      <c r="H205" s="13" t="s">
        <v>11099</v>
      </c>
      <c r="I205" s="13" t="s">
        <v>11612</v>
      </c>
      <c r="J205" s="13"/>
      <c r="K205" s="13" t="s">
        <v>1264</v>
      </c>
      <c r="L205" s="13" t="s">
        <v>1265</v>
      </c>
    </row>
    <row r="206" customFormat="false" ht="449.25" hidden="false" customHeight="false" outlineLevel="0" collapsed="false">
      <c r="A206" s="13" t="s">
        <v>3</v>
      </c>
      <c r="B206" s="13" t="s">
        <v>68</v>
      </c>
      <c r="C206" s="13" t="n">
        <v>311</v>
      </c>
      <c r="D206" s="13" t="s">
        <v>1270</v>
      </c>
      <c r="E206" s="13" t="s">
        <v>11613</v>
      </c>
      <c r="F206" s="13" t="s">
        <v>11614</v>
      </c>
      <c r="G206" s="13" t="s">
        <v>11098</v>
      </c>
      <c r="H206" s="13" t="s">
        <v>11099</v>
      </c>
      <c r="I206" s="13" t="s">
        <v>1280</v>
      </c>
      <c r="J206" s="13"/>
      <c r="K206" s="13" t="s">
        <v>1275</v>
      </c>
      <c r="L206" s="13" t="s">
        <v>1276</v>
      </c>
    </row>
    <row r="207" customFormat="false" ht="449.25" hidden="false" customHeight="false" outlineLevel="0" collapsed="false">
      <c r="A207" s="13" t="s">
        <v>3</v>
      </c>
      <c r="B207" s="13" t="s">
        <v>68</v>
      </c>
      <c r="C207" s="13" t="n">
        <v>311</v>
      </c>
      <c r="D207" s="13" t="s">
        <v>1270</v>
      </c>
      <c r="E207" s="13" t="s">
        <v>11615</v>
      </c>
      <c r="F207" s="13" t="s">
        <v>11616</v>
      </c>
      <c r="G207" s="13" t="s">
        <v>11098</v>
      </c>
      <c r="H207" s="13" t="s">
        <v>11099</v>
      </c>
      <c r="I207" s="13" t="s">
        <v>1284</v>
      </c>
      <c r="J207" s="13" t="s">
        <v>11617</v>
      </c>
      <c r="K207" s="13" t="s">
        <v>1275</v>
      </c>
      <c r="L207" s="13" t="s">
        <v>1276</v>
      </c>
    </row>
    <row r="208" customFormat="false" ht="449.25" hidden="false" customHeight="false" outlineLevel="0" collapsed="false">
      <c r="A208" s="13" t="s">
        <v>3</v>
      </c>
      <c r="B208" s="13" t="s">
        <v>68</v>
      </c>
      <c r="C208" s="13" t="n">
        <v>311</v>
      </c>
      <c r="D208" s="13" t="s">
        <v>1270</v>
      </c>
      <c r="E208" s="13" t="s">
        <v>11618</v>
      </c>
      <c r="F208" s="13" t="s">
        <v>11619</v>
      </c>
      <c r="G208" s="13" t="s">
        <v>11098</v>
      </c>
      <c r="H208" s="13" t="s">
        <v>11099</v>
      </c>
      <c r="I208" s="13" t="s">
        <v>1287</v>
      </c>
      <c r="J208" s="13"/>
      <c r="K208" s="13" t="s">
        <v>1275</v>
      </c>
      <c r="L208" s="13" t="s">
        <v>1276</v>
      </c>
    </row>
    <row r="209" customFormat="false" ht="449.25" hidden="false" customHeight="false" outlineLevel="0" collapsed="false">
      <c r="A209" s="13" t="s">
        <v>3</v>
      </c>
      <c r="B209" s="13" t="s">
        <v>68</v>
      </c>
      <c r="C209" s="13" t="n">
        <v>311</v>
      </c>
      <c r="D209" s="13" t="s">
        <v>1270</v>
      </c>
      <c r="E209" s="13" t="s">
        <v>11620</v>
      </c>
      <c r="F209" s="13" t="s">
        <v>11621</v>
      </c>
      <c r="G209" s="13" t="s">
        <v>11315</v>
      </c>
      <c r="H209" s="13" t="s">
        <v>11099</v>
      </c>
      <c r="I209" s="13" t="s">
        <v>1287</v>
      </c>
      <c r="J209" s="13" t="s">
        <v>11622</v>
      </c>
      <c r="K209" s="13" t="s">
        <v>1275</v>
      </c>
      <c r="L209" s="13" t="s">
        <v>1276</v>
      </c>
    </row>
    <row r="210" customFormat="false" ht="449.25" hidden="false" customHeight="false" outlineLevel="0" collapsed="false">
      <c r="A210" s="13" t="s">
        <v>3</v>
      </c>
      <c r="B210" s="13" t="s">
        <v>68</v>
      </c>
      <c r="C210" s="13" t="n">
        <v>311</v>
      </c>
      <c r="D210" s="13" t="s">
        <v>1270</v>
      </c>
      <c r="E210" s="13" t="s">
        <v>11623</v>
      </c>
      <c r="F210" s="13" t="s">
        <v>11624</v>
      </c>
      <c r="G210" s="13" t="s">
        <v>11098</v>
      </c>
      <c r="H210" s="13" t="s">
        <v>11099</v>
      </c>
      <c r="I210" s="13" t="s">
        <v>1290</v>
      </c>
      <c r="J210" s="13"/>
      <c r="K210" s="13" t="s">
        <v>1275</v>
      </c>
      <c r="L210" s="13" t="s">
        <v>1276</v>
      </c>
    </row>
    <row r="211" customFormat="false" ht="449.25" hidden="false" customHeight="false" outlineLevel="0" collapsed="false">
      <c r="A211" s="13" t="s">
        <v>3</v>
      </c>
      <c r="B211" s="13" t="s">
        <v>68</v>
      </c>
      <c r="C211" s="13" t="n">
        <v>311</v>
      </c>
      <c r="D211" s="13" t="s">
        <v>1270</v>
      </c>
      <c r="E211" s="13" t="s">
        <v>11625</v>
      </c>
      <c r="F211" s="13" t="s">
        <v>11626</v>
      </c>
      <c r="G211" s="13" t="s">
        <v>11098</v>
      </c>
      <c r="H211" s="13" t="s">
        <v>11099</v>
      </c>
      <c r="I211" s="13" t="s">
        <v>1292</v>
      </c>
      <c r="J211" s="13"/>
      <c r="K211" s="13" t="s">
        <v>1275</v>
      </c>
      <c r="L211" s="13" t="s">
        <v>1276</v>
      </c>
    </row>
    <row r="212" customFormat="false" ht="35.05" hidden="false" customHeight="false" outlineLevel="0" collapsed="false">
      <c r="A212" s="13" t="s">
        <v>3</v>
      </c>
      <c r="B212" s="13" t="s">
        <v>68</v>
      </c>
      <c r="C212" s="13" t="n">
        <v>326</v>
      </c>
      <c r="D212" s="13" t="s">
        <v>1295</v>
      </c>
      <c r="E212" s="13" t="s">
        <v>11627</v>
      </c>
      <c r="F212" s="13" t="s">
        <v>11628</v>
      </c>
      <c r="G212" s="13" t="s">
        <v>11098</v>
      </c>
      <c r="H212" s="13" t="s">
        <v>11099</v>
      </c>
      <c r="I212" s="13" t="s">
        <v>1301</v>
      </c>
      <c r="J212" s="13"/>
      <c r="K212" s="13" t="s">
        <v>1299</v>
      </c>
      <c r="L212" s="13" t="s">
        <v>1300</v>
      </c>
    </row>
    <row r="213" customFormat="false" ht="35.05" hidden="false" customHeight="false" outlineLevel="0" collapsed="false">
      <c r="A213" s="13" t="s">
        <v>3</v>
      </c>
      <c r="B213" s="13" t="s">
        <v>68</v>
      </c>
      <c r="C213" s="13" t="n">
        <v>326</v>
      </c>
      <c r="D213" s="13" t="s">
        <v>1295</v>
      </c>
      <c r="E213" s="13" t="s">
        <v>11629</v>
      </c>
      <c r="F213" s="13" t="s">
        <v>11630</v>
      </c>
      <c r="G213" s="13" t="s">
        <v>11098</v>
      </c>
      <c r="H213" s="13" t="s">
        <v>11099</v>
      </c>
      <c r="I213" s="13" t="s">
        <v>1296</v>
      </c>
      <c r="J213" s="13"/>
      <c r="K213" s="13" t="s">
        <v>1299</v>
      </c>
      <c r="L213" s="13" t="s">
        <v>1300</v>
      </c>
    </row>
    <row r="214" customFormat="false" ht="23.85" hidden="false" customHeight="false" outlineLevel="0" collapsed="false">
      <c r="A214" s="13" t="s">
        <v>3</v>
      </c>
      <c r="B214" s="13" t="s">
        <v>68</v>
      </c>
      <c r="C214" s="13" t="n">
        <v>326</v>
      </c>
      <c r="D214" s="13" t="s">
        <v>1305</v>
      </c>
      <c r="E214" s="13" t="s">
        <v>11631</v>
      </c>
      <c r="F214" s="13" t="s">
        <v>11632</v>
      </c>
      <c r="G214" s="13" t="s">
        <v>11098</v>
      </c>
      <c r="H214" s="13" t="s">
        <v>11099</v>
      </c>
      <c r="I214" s="13" t="s">
        <v>1306</v>
      </c>
      <c r="J214" s="13"/>
      <c r="K214" s="13" t="s">
        <v>1310</v>
      </c>
      <c r="L214" s="13" t="s">
        <v>1311</v>
      </c>
    </row>
    <row r="215" customFormat="false" ht="91" hidden="false" customHeight="false" outlineLevel="0" collapsed="false">
      <c r="A215" s="13" t="s">
        <v>3</v>
      </c>
      <c r="B215" s="13" t="s">
        <v>68</v>
      </c>
      <c r="C215" s="13" t="n">
        <v>326</v>
      </c>
      <c r="D215" s="13" t="s">
        <v>1312</v>
      </c>
      <c r="E215" s="13" t="s">
        <v>11633</v>
      </c>
      <c r="F215" s="13" t="s">
        <v>11634</v>
      </c>
      <c r="G215" s="13" t="s">
        <v>11315</v>
      </c>
      <c r="H215" s="13" t="s">
        <v>11099</v>
      </c>
      <c r="I215" s="13" t="s">
        <v>1313</v>
      </c>
      <c r="J215" s="13" t="s">
        <v>11635</v>
      </c>
      <c r="K215" s="13" t="s">
        <v>1317</v>
      </c>
      <c r="L215" s="13" t="s">
        <v>1318</v>
      </c>
    </row>
    <row r="216" customFormat="false" ht="91" hidden="false" customHeight="false" outlineLevel="0" collapsed="false">
      <c r="A216" s="13" t="s">
        <v>3</v>
      </c>
      <c r="B216" s="13" t="s">
        <v>68</v>
      </c>
      <c r="C216" s="13" t="n">
        <v>326</v>
      </c>
      <c r="D216" s="13" t="s">
        <v>1312</v>
      </c>
      <c r="E216" s="13" t="s">
        <v>11636</v>
      </c>
      <c r="F216" s="13" t="s">
        <v>11637</v>
      </c>
      <c r="G216" s="13" t="s">
        <v>11098</v>
      </c>
      <c r="H216" s="13" t="s">
        <v>11099</v>
      </c>
      <c r="I216" s="13" t="s">
        <v>1319</v>
      </c>
      <c r="J216" s="13"/>
      <c r="K216" s="13" t="s">
        <v>1317</v>
      </c>
      <c r="L216" s="13" t="s">
        <v>1318</v>
      </c>
    </row>
    <row r="217" customFormat="false" ht="91" hidden="false" customHeight="false" outlineLevel="0" collapsed="false">
      <c r="A217" s="13" t="s">
        <v>3</v>
      </c>
      <c r="B217" s="13" t="s">
        <v>68</v>
      </c>
      <c r="C217" s="13" t="n">
        <v>326</v>
      </c>
      <c r="D217" s="13" t="s">
        <v>1312</v>
      </c>
      <c r="E217" s="13" t="s">
        <v>11638</v>
      </c>
      <c r="F217" s="13" t="s">
        <v>11639</v>
      </c>
      <c r="G217" s="13" t="s">
        <v>11098</v>
      </c>
      <c r="H217" s="13" t="s">
        <v>11099</v>
      </c>
      <c r="I217" s="13" t="s">
        <v>1322</v>
      </c>
      <c r="J217" s="13"/>
      <c r="K217" s="13" t="s">
        <v>1317</v>
      </c>
      <c r="L217" s="13" t="s">
        <v>1318</v>
      </c>
    </row>
    <row r="218" customFormat="false" ht="46.25" hidden="false" customHeight="false" outlineLevel="0" collapsed="false">
      <c r="A218" s="13" t="s">
        <v>3</v>
      </c>
      <c r="B218" s="13" t="s">
        <v>68</v>
      </c>
      <c r="C218" s="13" t="n">
        <v>326</v>
      </c>
      <c r="D218" s="13" t="s">
        <v>1325</v>
      </c>
      <c r="E218" s="13" t="s">
        <v>11640</v>
      </c>
      <c r="F218" s="13" t="s">
        <v>11641</v>
      </c>
      <c r="G218" s="13" t="s">
        <v>11098</v>
      </c>
      <c r="H218" s="13" t="s">
        <v>11099</v>
      </c>
      <c r="I218" s="13" t="s">
        <v>1326</v>
      </c>
      <c r="J218" s="13"/>
      <c r="K218" s="13" t="s">
        <v>1329</v>
      </c>
      <c r="L218" s="13" t="s">
        <v>1330</v>
      </c>
    </row>
    <row r="219" customFormat="false" ht="91" hidden="false" customHeight="false" outlineLevel="0" collapsed="false">
      <c r="A219" s="13" t="s">
        <v>3</v>
      </c>
      <c r="B219" s="13" t="s">
        <v>68</v>
      </c>
      <c r="C219" s="13" t="n">
        <v>326</v>
      </c>
      <c r="D219" s="13" t="s">
        <v>1331</v>
      </c>
      <c r="E219" s="13" t="s">
        <v>11642</v>
      </c>
      <c r="F219" s="13" t="s">
        <v>11643</v>
      </c>
      <c r="G219" s="13" t="s">
        <v>11098</v>
      </c>
      <c r="H219" s="13" t="s">
        <v>11099</v>
      </c>
      <c r="I219" s="13" t="s">
        <v>11644</v>
      </c>
      <c r="J219" s="13"/>
      <c r="K219" s="13" t="s">
        <v>1334</v>
      </c>
      <c r="L219" s="13" t="s">
        <v>1335</v>
      </c>
    </row>
    <row r="220" customFormat="false" ht="91" hidden="false" customHeight="false" outlineLevel="0" collapsed="false">
      <c r="A220" s="13" t="s">
        <v>3</v>
      </c>
      <c r="B220" s="13" t="s">
        <v>68</v>
      </c>
      <c r="C220" s="13" t="n">
        <v>326</v>
      </c>
      <c r="D220" s="13" t="s">
        <v>1331</v>
      </c>
      <c r="E220" s="13" t="s">
        <v>11645</v>
      </c>
      <c r="F220" s="13" t="s">
        <v>11646</v>
      </c>
      <c r="G220" s="13" t="s">
        <v>11128</v>
      </c>
      <c r="H220" s="13" t="s">
        <v>11099</v>
      </c>
      <c r="I220" s="13"/>
      <c r="J220" s="13"/>
      <c r="K220" s="13" t="s">
        <v>1334</v>
      </c>
      <c r="L220" s="13" t="s">
        <v>1335</v>
      </c>
    </row>
    <row r="221" customFormat="false" ht="91" hidden="false" customHeight="false" outlineLevel="0" collapsed="false">
      <c r="A221" s="13" t="s">
        <v>3</v>
      </c>
      <c r="B221" s="13" t="s">
        <v>68</v>
      </c>
      <c r="C221" s="13" t="n">
        <v>326</v>
      </c>
      <c r="D221" s="13" t="s">
        <v>1331</v>
      </c>
      <c r="E221" s="13" t="s">
        <v>11647</v>
      </c>
      <c r="F221" s="13" t="s">
        <v>11648</v>
      </c>
      <c r="G221" s="13" t="s">
        <v>11098</v>
      </c>
      <c r="H221" s="13" t="s">
        <v>11099</v>
      </c>
      <c r="I221" s="13" t="s">
        <v>1339</v>
      </c>
      <c r="J221" s="13"/>
      <c r="K221" s="13" t="s">
        <v>1334</v>
      </c>
      <c r="L221" s="13" t="s">
        <v>1335</v>
      </c>
    </row>
    <row r="222" customFormat="false" ht="35.05" hidden="false" customHeight="false" outlineLevel="0" collapsed="false">
      <c r="A222" s="13" t="s">
        <v>3</v>
      </c>
      <c r="B222" s="13" t="s">
        <v>68</v>
      </c>
      <c r="C222" s="13" t="n">
        <v>326</v>
      </c>
      <c r="D222" s="13" t="s">
        <v>1342</v>
      </c>
      <c r="E222" s="13" t="s">
        <v>11649</v>
      </c>
      <c r="F222" s="13" t="s">
        <v>11650</v>
      </c>
      <c r="G222" s="13" t="s">
        <v>11098</v>
      </c>
      <c r="H222" s="13" t="s">
        <v>11099</v>
      </c>
      <c r="I222" s="13" t="s">
        <v>11651</v>
      </c>
      <c r="J222" s="13"/>
      <c r="K222" s="13" t="s">
        <v>1346</v>
      </c>
      <c r="L222" s="13" t="s">
        <v>1347</v>
      </c>
    </row>
    <row r="223" customFormat="false" ht="158.2" hidden="false" customHeight="false" outlineLevel="0" collapsed="false">
      <c r="A223" s="13" t="s">
        <v>3</v>
      </c>
      <c r="B223" s="13" t="s">
        <v>68</v>
      </c>
      <c r="C223" s="13" t="n">
        <v>326</v>
      </c>
      <c r="D223" s="13" t="s">
        <v>1352</v>
      </c>
      <c r="E223" s="13" t="s">
        <v>11652</v>
      </c>
      <c r="F223" s="13" t="s">
        <v>11653</v>
      </c>
      <c r="G223" s="13" t="s">
        <v>11098</v>
      </c>
      <c r="H223" s="13" t="s">
        <v>11099</v>
      </c>
      <c r="I223" s="13" t="s">
        <v>11654</v>
      </c>
      <c r="J223" s="13"/>
      <c r="K223" s="13" t="s">
        <v>1356</v>
      </c>
      <c r="L223" s="13" t="s">
        <v>1357</v>
      </c>
    </row>
    <row r="224" customFormat="false" ht="113.4" hidden="false" customHeight="false" outlineLevel="0" collapsed="false">
      <c r="A224" s="13" t="s">
        <v>3</v>
      </c>
      <c r="B224" s="13" t="s">
        <v>68</v>
      </c>
      <c r="C224" s="13" t="n">
        <v>332</v>
      </c>
      <c r="D224" s="13" t="s">
        <v>1366</v>
      </c>
      <c r="E224" s="13" t="s">
        <v>11655</v>
      </c>
      <c r="F224" s="13" t="s">
        <v>11656</v>
      </c>
      <c r="G224" s="13" t="s">
        <v>11098</v>
      </c>
      <c r="H224" s="13" t="s">
        <v>11099</v>
      </c>
      <c r="I224" s="13" t="s">
        <v>11657</v>
      </c>
      <c r="J224" s="13"/>
      <c r="K224" s="13" t="s">
        <v>1371</v>
      </c>
      <c r="L224" s="13" t="s">
        <v>1372</v>
      </c>
    </row>
    <row r="225" customFormat="false" ht="113.4" hidden="false" customHeight="false" outlineLevel="0" collapsed="false">
      <c r="A225" s="13" t="s">
        <v>3</v>
      </c>
      <c r="B225" s="13" t="s">
        <v>68</v>
      </c>
      <c r="C225" s="13" t="n">
        <v>332</v>
      </c>
      <c r="D225" s="13" t="s">
        <v>1366</v>
      </c>
      <c r="E225" s="13" t="s">
        <v>11658</v>
      </c>
      <c r="F225" s="13" t="s">
        <v>11659</v>
      </c>
      <c r="G225" s="13" t="s">
        <v>11098</v>
      </c>
      <c r="H225" s="13" t="s">
        <v>11099</v>
      </c>
      <c r="I225" s="13" t="s">
        <v>1378</v>
      </c>
      <c r="J225" s="13"/>
      <c r="K225" s="13" t="s">
        <v>1371</v>
      </c>
      <c r="L225" s="13" t="s">
        <v>1372</v>
      </c>
    </row>
    <row r="226" customFormat="false" ht="113.4" hidden="false" customHeight="false" outlineLevel="0" collapsed="false">
      <c r="A226" s="13" t="s">
        <v>3</v>
      </c>
      <c r="B226" s="13" t="s">
        <v>68</v>
      </c>
      <c r="C226" s="13" t="n">
        <v>332</v>
      </c>
      <c r="D226" s="13" t="s">
        <v>1366</v>
      </c>
      <c r="E226" s="13" t="s">
        <v>11660</v>
      </c>
      <c r="F226" s="13" t="s">
        <v>11661</v>
      </c>
      <c r="G226" s="13" t="s">
        <v>11128</v>
      </c>
      <c r="H226" s="13" t="s">
        <v>11099</v>
      </c>
      <c r="I226" s="13"/>
      <c r="J226" s="13"/>
      <c r="K226" s="13" t="s">
        <v>1371</v>
      </c>
      <c r="L226" s="13" t="s">
        <v>1372</v>
      </c>
    </row>
    <row r="227" customFormat="false" ht="23.85" hidden="false" customHeight="false" outlineLevel="0" collapsed="false">
      <c r="A227" s="13" t="s">
        <v>3</v>
      </c>
      <c r="B227" s="13" t="s">
        <v>68</v>
      </c>
      <c r="C227" s="13" t="n">
        <v>332</v>
      </c>
      <c r="D227" s="13" t="s">
        <v>1381</v>
      </c>
      <c r="E227" s="13" t="s">
        <v>11662</v>
      </c>
      <c r="F227" s="13" t="s">
        <v>11663</v>
      </c>
      <c r="G227" s="13" t="s">
        <v>11098</v>
      </c>
      <c r="H227" s="13" t="s">
        <v>11099</v>
      </c>
      <c r="I227" s="13" t="s">
        <v>1382</v>
      </c>
      <c r="J227" s="13"/>
      <c r="K227" s="13" t="s">
        <v>1386</v>
      </c>
      <c r="L227" s="13" t="s">
        <v>1387</v>
      </c>
    </row>
    <row r="228" customFormat="false" ht="102.2" hidden="false" customHeight="false" outlineLevel="0" collapsed="false">
      <c r="A228" s="13" t="s">
        <v>3</v>
      </c>
      <c r="B228" s="13" t="s">
        <v>68</v>
      </c>
      <c r="C228" s="13" t="n">
        <v>332</v>
      </c>
      <c r="D228" s="13" t="s">
        <v>1388</v>
      </c>
      <c r="E228" s="13" t="s">
        <v>11664</v>
      </c>
      <c r="F228" s="13" t="s">
        <v>11665</v>
      </c>
      <c r="G228" s="13" t="s">
        <v>11128</v>
      </c>
      <c r="H228" s="13" t="s">
        <v>11099</v>
      </c>
      <c r="I228" s="13"/>
      <c r="J228" s="13"/>
      <c r="K228" s="13" t="s">
        <v>1392</v>
      </c>
      <c r="L228" s="13" t="s">
        <v>1393</v>
      </c>
    </row>
    <row r="229" customFormat="false" ht="102.2" hidden="false" customHeight="false" outlineLevel="0" collapsed="false">
      <c r="A229" s="13" t="s">
        <v>3</v>
      </c>
      <c r="B229" s="13" t="s">
        <v>68</v>
      </c>
      <c r="C229" s="13" t="n">
        <v>332</v>
      </c>
      <c r="D229" s="13" t="s">
        <v>1388</v>
      </c>
      <c r="E229" s="13" t="s">
        <v>11666</v>
      </c>
      <c r="F229" s="13" t="s">
        <v>11667</v>
      </c>
      <c r="G229" s="13" t="s">
        <v>11098</v>
      </c>
      <c r="H229" s="13" t="s">
        <v>11099</v>
      </c>
      <c r="I229" s="13" t="s">
        <v>11668</v>
      </c>
      <c r="J229" s="13"/>
      <c r="K229" s="13" t="s">
        <v>1392</v>
      </c>
      <c r="L229" s="13" t="s">
        <v>1393</v>
      </c>
    </row>
    <row r="230" customFormat="false" ht="102.2" hidden="false" customHeight="false" outlineLevel="0" collapsed="false">
      <c r="A230" s="13" t="s">
        <v>3</v>
      </c>
      <c r="B230" s="13" t="s">
        <v>68</v>
      </c>
      <c r="C230" s="13" t="n">
        <v>332</v>
      </c>
      <c r="D230" s="13" t="s">
        <v>1388</v>
      </c>
      <c r="E230" s="13" t="s">
        <v>11669</v>
      </c>
      <c r="F230" s="13" t="s">
        <v>11670</v>
      </c>
      <c r="G230" s="13" t="s">
        <v>11098</v>
      </c>
      <c r="H230" s="13" t="s">
        <v>11099</v>
      </c>
      <c r="I230" s="13" t="s">
        <v>11671</v>
      </c>
      <c r="J230" s="13"/>
      <c r="K230" s="13" t="s">
        <v>1392</v>
      </c>
      <c r="L230" s="13" t="s">
        <v>1393</v>
      </c>
    </row>
    <row r="231" customFormat="false" ht="102.2" hidden="false" customHeight="false" outlineLevel="0" collapsed="false">
      <c r="A231" s="13" t="s">
        <v>3</v>
      </c>
      <c r="B231" s="13" t="s">
        <v>68</v>
      </c>
      <c r="C231" s="13" t="n">
        <v>332</v>
      </c>
      <c r="D231" s="13" t="s">
        <v>1402</v>
      </c>
      <c r="E231" s="13" t="s">
        <v>11672</v>
      </c>
      <c r="F231" s="13" t="s">
        <v>11673</v>
      </c>
      <c r="G231" s="13" t="s">
        <v>11098</v>
      </c>
      <c r="H231" s="13" t="s">
        <v>11099</v>
      </c>
      <c r="I231" s="13" t="s">
        <v>11674</v>
      </c>
      <c r="J231" s="13" t="s">
        <v>11675</v>
      </c>
      <c r="K231" s="13" t="s">
        <v>1406</v>
      </c>
      <c r="L231" s="13" t="s">
        <v>1407</v>
      </c>
    </row>
    <row r="232" customFormat="false" ht="102.2" hidden="false" customHeight="false" outlineLevel="0" collapsed="false">
      <c r="A232" s="13" t="s">
        <v>3</v>
      </c>
      <c r="B232" s="13" t="s">
        <v>68</v>
      </c>
      <c r="C232" s="13" t="n">
        <v>332</v>
      </c>
      <c r="D232" s="13" t="s">
        <v>1402</v>
      </c>
      <c r="E232" s="13" t="s">
        <v>11676</v>
      </c>
      <c r="F232" s="13" t="s">
        <v>11677</v>
      </c>
      <c r="G232" s="13" t="s">
        <v>11098</v>
      </c>
      <c r="H232" s="13" t="s">
        <v>11099</v>
      </c>
      <c r="I232" s="13" t="s">
        <v>11678</v>
      </c>
      <c r="J232" s="13"/>
      <c r="K232" s="13" t="s">
        <v>1406</v>
      </c>
      <c r="L232" s="13" t="s">
        <v>1407</v>
      </c>
    </row>
    <row r="233" customFormat="false" ht="102.2" hidden="false" customHeight="false" outlineLevel="0" collapsed="false">
      <c r="A233" s="13" t="s">
        <v>3</v>
      </c>
      <c r="B233" s="13" t="s">
        <v>68</v>
      </c>
      <c r="C233" s="13" t="n">
        <v>332</v>
      </c>
      <c r="D233" s="13" t="s">
        <v>1402</v>
      </c>
      <c r="E233" s="13" t="s">
        <v>11679</v>
      </c>
      <c r="F233" s="13" t="s">
        <v>11680</v>
      </c>
      <c r="G233" s="13" t="s">
        <v>11098</v>
      </c>
      <c r="H233" s="13" t="s">
        <v>11099</v>
      </c>
      <c r="I233" s="13" t="s">
        <v>11674</v>
      </c>
      <c r="J233" s="13" t="s">
        <v>11681</v>
      </c>
      <c r="K233" s="13" t="s">
        <v>1406</v>
      </c>
      <c r="L233" s="13" t="s">
        <v>1407</v>
      </c>
    </row>
    <row r="234" customFormat="false" ht="102.2" hidden="false" customHeight="false" outlineLevel="0" collapsed="false">
      <c r="A234" s="13" t="s">
        <v>3</v>
      </c>
      <c r="B234" s="13" t="s">
        <v>68</v>
      </c>
      <c r="C234" s="13" t="n">
        <v>332</v>
      </c>
      <c r="D234" s="13" t="s">
        <v>1402</v>
      </c>
      <c r="E234" s="13" t="s">
        <v>11682</v>
      </c>
      <c r="F234" s="13" t="s">
        <v>11683</v>
      </c>
      <c r="G234" s="13" t="s">
        <v>11098</v>
      </c>
      <c r="H234" s="13" t="s">
        <v>11099</v>
      </c>
      <c r="I234" s="13" t="s">
        <v>1414</v>
      </c>
      <c r="J234" s="13"/>
      <c r="K234" s="13" t="s">
        <v>1406</v>
      </c>
      <c r="L234" s="13" t="s">
        <v>1407</v>
      </c>
    </row>
    <row r="235" customFormat="false" ht="102.2" hidden="false" customHeight="false" outlineLevel="0" collapsed="false">
      <c r="A235" s="13" t="s">
        <v>3</v>
      </c>
      <c r="B235" s="13" t="s">
        <v>68</v>
      </c>
      <c r="C235" s="13" t="n">
        <v>332</v>
      </c>
      <c r="D235" s="13" t="s">
        <v>1416</v>
      </c>
      <c r="E235" s="13" t="s">
        <v>11684</v>
      </c>
      <c r="F235" s="13" t="s">
        <v>11685</v>
      </c>
      <c r="G235" s="13" t="s">
        <v>11098</v>
      </c>
      <c r="H235" s="13" t="s">
        <v>11099</v>
      </c>
      <c r="I235" s="13" t="s">
        <v>1417</v>
      </c>
      <c r="J235" s="13"/>
      <c r="K235" s="13" t="s">
        <v>1419</v>
      </c>
      <c r="L235" s="13" t="s">
        <v>1420</v>
      </c>
    </row>
    <row r="236" customFormat="false" ht="102.2" hidden="false" customHeight="false" outlineLevel="0" collapsed="false">
      <c r="A236" s="13" t="s">
        <v>3</v>
      </c>
      <c r="B236" s="13" t="s">
        <v>68</v>
      </c>
      <c r="C236" s="13" t="n">
        <v>332</v>
      </c>
      <c r="D236" s="13" t="s">
        <v>1416</v>
      </c>
      <c r="E236" s="13" t="s">
        <v>11686</v>
      </c>
      <c r="F236" s="13" t="s">
        <v>11687</v>
      </c>
      <c r="G236" s="13" t="s">
        <v>11098</v>
      </c>
      <c r="H236" s="13" t="s">
        <v>11099</v>
      </c>
      <c r="I236" s="13" t="s">
        <v>1421</v>
      </c>
      <c r="J236" s="13"/>
      <c r="K236" s="13" t="s">
        <v>1419</v>
      </c>
      <c r="L236" s="13" t="s">
        <v>1420</v>
      </c>
    </row>
    <row r="237" customFormat="false" ht="102.2" hidden="false" customHeight="false" outlineLevel="0" collapsed="false">
      <c r="A237" s="13" t="s">
        <v>3</v>
      </c>
      <c r="B237" s="13" t="s">
        <v>68</v>
      </c>
      <c r="C237" s="13" t="n">
        <v>332</v>
      </c>
      <c r="D237" s="13" t="s">
        <v>1416</v>
      </c>
      <c r="E237" s="13" t="s">
        <v>11688</v>
      </c>
      <c r="F237" s="13" t="s">
        <v>11630</v>
      </c>
      <c r="G237" s="13" t="s">
        <v>11098</v>
      </c>
      <c r="H237" s="13" t="s">
        <v>11099</v>
      </c>
      <c r="I237" s="13" t="s">
        <v>1424</v>
      </c>
      <c r="J237" s="13"/>
      <c r="K237" s="13" t="s">
        <v>1419</v>
      </c>
      <c r="L237" s="13" t="s">
        <v>1420</v>
      </c>
    </row>
    <row r="238" customFormat="false" ht="46.25" hidden="false" customHeight="false" outlineLevel="0" collapsed="false">
      <c r="A238" s="13" t="s">
        <v>3</v>
      </c>
      <c r="B238" s="13" t="s">
        <v>68</v>
      </c>
      <c r="C238" s="13" t="n">
        <v>332</v>
      </c>
      <c r="D238" s="13" t="s">
        <v>1426</v>
      </c>
      <c r="E238" s="13" t="s">
        <v>11689</v>
      </c>
      <c r="F238" s="13" t="s">
        <v>11690</v>
      </c>
      <c r="G238" s="13" t="s">
        <v>11098</v>
      </c>
      <c r="H238" s="13" t="s">
        <v>11099</v>
      </c>
      <c r="I238" s="13" t="s">
        <v>11691</v>
      </c>
      <c r="J238" s="13"/>
      <c r="K238" s="13" t="s">
        <v>1429</v>
      </c>
      <c r="L238" s="13" t="s">
        <v>1430</v>
      </c>
    </row>
    <row r="239" customFormat="false" ht="214.15" hidden="false" customHeight="false" outlineLevel="0" collapsed="false">
      <c r="A239" s="13" t="s">
        <v>3</v>
      </c>
      <c r="B239" s="13" t="s">
        <v>68</v>
      </c>
      <c r="C239" s="13" t="n">
        <v>354</v>
      </c>
      <c r="D239" s="13" t="s">
        <v>1432</v>
      </c>
      <c r="E239" s="13" t="s">
        <v>11692</v>
      </c>
      <c r="F239" s="13" t="s">
        <v>11693</v>
      </c>
      <c r="G239" s="13" t="s">
        <v>11098</v>
      </c>
      <c r="H239" s="13" t="s">
        <v>11099</v>
      </c>
      <c r="I239" s="13" t="s">
        <v>1433</v>
      </c>
      <c r="J239" s="13"/>
      <c r="K239" s="13" t="s">
        <v>1436</v>
      </c>
      <c r="L239" s="13" t="s">
        <v>1437</v>
      </c>
    </row>
    <row r="240" customFormat="false" ht="214.15" hidden="false" customHeight="false" outlineLevel="0" collapsed="false">
      <c r="A240" s="13" t="s">
        <v>3</v>
      </c>
      <c r="B240" s="13" t="s">
        <v>68</v>
      </c>
      <c r="C240" s="13" t="n">
        <v>354</v>
      </c>
      <c r="D240" s="13" t="s">
        <v>1432</v>
      </c>
      <c r="E240" s="13" t="s">
        <v>11694</v>
      </c>
      <c r="F240" s="13" t="s">
        <v>11695</v>
      </c>
      <c r="G240" s="13" t="s">
        <v>11098</v>
      </c>
      <c r="H240" s="13" t="s">
        <v>11099</v>
      </c>
      <c r="I240" s="13" t="s">
        <v>1438</v>
      </c>
      <c r="J240" s="13"/>
      <c r="K240" s="13" t="s">
        <v>1436</v>
      </c>
      <c r="L240" s="13" t="s">
        <v>1437</v>
      </c>
    </row>
    <row r="241" customFormat="false" ht="214.15" hidden="false" customHeight="false" outlineLevel="0" collapsed="false">
      <c r="A241" s="13" t="s">
        <v>3</v>
      </c>
      <c r="B241" s="13" t="s">
        <v>68</v>
      </c>
      <c r="C241" s="13" t="n">
        <v>354</v>
      </c>
      <c r="D241" s="13" t="s">
        <v>1432</v>
      </c>
      <c r="E241" s="13" t="s">
        <v>11696</v>
      </c>
      <c r="F241" s="13" t="s">
        <v>11697</v>
      </c>
      <c r="G241" s="13" t="s">
        <v>11098</v>
      </c>
      <c r="H241" s="13" t="s">
        <v>11099</v>
      </c>
      <c r="I241" s="13" t="s">
        <v>1442</v>
      </c>
      <c r="J241" s="13"/>
      <c r="K241" s="13" t="s">
        <v>1436</v>
      </c>
      <c r="L241" s="13" t="s">
        <v>1437</v>
      </c>
    </row>
    <row r="242" customFormat="false" ht="214.15" hidden="false" customHeight="false" outlineLevel="0" collapsed="false">
      <c r="A242" s="13" t="s">
        <v>3</v>
      </c>
      <c r="B242" s="13" t="s">
        <v>68</v>
      </c>
      <c r="C242" s="13" t="n">
        <v>354</v>
      </c>
      <c r="D242" s="13" t="s">
        <v>1432</v>
      </c>
      <c r="E242" s="13" t="s">
        <v>11698</v>
      </c>
      <c r="F242" s="13" t="s">
        <v>11699</v>
      </c>
      <c r="G242" s="13" t="s">
        <v>11098</v>
      </c>
      <c r="H242" s="13" t="s">
        <v>11099</v>
      </c>
      <c r="I242" s="13" t="s">
        <v>1446</v>
      </c>
      <c r="J242" s="13"/>
      <c r="K242" s="13" t="s">
        <v>1436</v>
      </c>
      <c r="L242" s="13" t="s">
        <v>1437</v>
      </c>
    </row>
    <row r="243" customFormat="false" ht="214.15" hidden="false" customHeight="false" outlineLevel="0" collapsed="false">
      <c r="A243" s="13" t="s">
        <v>3</v>
      </c>
      <c r="B243" s="13" t="s">
        <v>68</v>
      </c>
      <c r="C243" s="13" t="n">
        <v>354</v>
      </c>
      <c r="D243" s="13" t="s">
        <v>1432</v>
      </c>
      <c r="E243" s="13" t="s">
        <v>11700</v>
      </c>
      <c r="F243" s="13" t="s">
        <v>11701</v>
      </c>
      <c r="G243" s="13" t="s">
        <v>11098</v>
      </c>
      <c r="H243" s="13" t="s">
        <v>11099</v>
      </c>
      <c r="I243" s="13" t="s">
        <v>11702</v>
      </c>
      <c r="J243" s="13" t="s">
        <v>11703</v>
      </c>
      <c r="K243" s="13" t="s">
        <v>1436</v>
      </c>
      <c r="L243" s="13" t="s">
        <v>1437</v>
      </c>
    </row>
    <row r="244" customFormat="false" ht="113.4" hidden="false" customHeight="false" outlineLevel="0" collapsed="false">
      <c r="A244" s="13" t="s">
        <v>3</v>
      </c>
      <c r="B244" s="13" t="s">
        <v>68</v>
      </c>
      <c r="C244" s="13" t="n">
        <v>354</v>
      </c>
      <c r="D244" s="13" t="s">
        <v>1450</v>
      </c>
      <c r="E244" s="13" t="s">
        <v>11704</v>
      </c>
      <c r="F244" s="13" t="s">
        <v>11705</v>
      </c>
      <c r="G244" s="13" t="s">
        <v>11098</v>
      </c>
      <c r="H244" s="13" t="s">
        <v>11099</v>
      </c>
      <c r="I244" s="13" t="s">
        <v>11706</v>
      </c>
      <c r="J244" s="13"/>
      <c r="K244" s="13" t="s">
        <v>1453</v>
      </c>
      <c r="L244" s="13" t="s">
        <v>1454</v>
      </c>
    </row>
    <row r="245" customFormat="false" ht="113.4" hidden="false" customHeight="false" outlineLevel="0" collapsed="false">
      <c r="A245" s="13" t="s">
        <v>3</v>
      </c>
      <c r="B245" s="13" t="s">
        <v>68</v>
      </c>
      <c r="C245" s="13" t="n">
        <v>354</v>
      </c>
      <c r="D245" s="13" t="s">
        <v>1450</v>
      </c>
      <c r="E245" s="13" t="s">
        <v>11707</v>
      </c>
      <c r="F245" s="13" t="s">
        <v>11708</v>
      </c>
      <c r="G245" s="13" t="s">
        <v>11098</v>
      </c>
      <c r="H245" s="13" t="s">
        <v>11099</v>
      </c>
      <c r="I245" s="13" t="s">
        <v>11709</v>
      </c>
      <c r="J245" s="13"/>
      <c r="K245" s="13" t="s">
        <v>1453</v>
      </c>
      <c r="L245" s="13" t="s">
        <v>1454</v>
      </c>
    </row>
    <row r="246" customFormat="false" ht="102.2" hidden="false" customHeight="false" outlineLevel="0" collapsed="false">
      <c r="A246" s="13" t="s">
        <v>3</v>
      </c>
      <c r="B246" s="13" t="s">
        <v>68</v>
      </c>
      <c r="C246" s="13" t="n">
        <v>354</v>
      </c>
      <c r="D246" s="13" t="s">
        <v>1464</v>
      </c>
      <c r="E246" s="13" t="s">
        <v>11710</v>
      </c>
      <c r="F246" s="13" t="s">
        <v>11711</v>
      </c>
      <c r="G246" s="13" t="s">
        <v>11098</v>
      </c>
      <c r="H246" s="13" t="s">
        <v>11099</v>
      </c>
      <c r="I246" s="13" t="s">
        <v>11712</v>
      </c>
      <c r="J246" s="13"/>
      <c r="K246" s="13" t="s">
        <v>1468</v>
      </c>
      <c r="L246" s="13" t="s">
        <v>1469</v>
      </c>
    </row>
    <row r="247" customFormat="false" ht="91" hidden="false" customHeight="false" outlineLevel="0" collapsed="false">
      <c r="A247" s="13" t="s">
        <v>3</v>
      </c>
      <c r="B247" s="13" t="s">
        <v>68</v>
      </c>
      <c r="C247" s="13" t="n">
        <v>363</v>
      </c>
      <c r="D247" s="13" t="s">
        <v>1483</v>
      </c>
      <c r="E247" s="13" t="s">
        <v>11713</v>
      </c>
      <c r="F247" s="13" t="s">
        <v>11714</v>
      </c>
      <c r="G247" s="13" t="s">
        <v>11137</v>
      </c>
      <c r="H247" s="13" t="s">
        <v>11099</v>
      </c>
      <c r="I247" s="13" t="s">
        <v>11715</v>
      </c>
      <c r="J247" s="13" t="s">
        <v>11716</v>
      </c>
      <c r="K247" s="13" t="s">
        <v>1489</v>
      </c>
      <c r="L247" s="13" t="s">
        <v>1490</v>
      </c>
    </row>
    <row r="248" customFormat="false" ht="46.25" hidden="false" customHeight="false" outlineLevel="0" collapsed="false">
      <c r="A248" s="13" t="s">
        <v>3</v>
      </c>
      <c r="B248" s="13" t="s">
        <v>68</v>
      </c>
      <c r="C248" s="13" t="n">
        <v>363</v>
      </c>
      <c r="D248" s="13" t="s">
        <v>1500</v>
      </c>
      <c r="E248" s="13" t="s">
        <v>11717</v>
      </c>
      <c r="F248" s="13" t="s">
        <v>11718</v>
      </c>
      <c r="G248" s="13" t="s">
        <v>11137</v>
      </c>
      <c r="H248" s="13" t="s">
        <v>11099</v>
      </c>
      <c r="I248" s="13" t="s">
        <v>11719</v>
      </c>
      <c r="J248" s="13" t="s">
        <v>11720</v>
      </c>
      <c r="K248" s="13" t="s">
        <v>1503</v>
      </c>
      <c r="L248" s="13" t="s">
        <v>1504</v>
      </c>
    </row>
    <row r="249" customFormat="false" ht="46.25" hidden="false" customHeight="false" outlineLevel="0" collapsed="false">
      <c r="A249" s="13" t="s">
        <v>3</v>
      </c>
      <c r="B249" s="13" t="s">
        <v>68</v>
      </c>
      <c r="C249" s="13" t="n">
        <v>363</v>
      </c>
      <c r="D249" s="13" t="s">
        <v>1500</v>
      </c>
      <c r="E249" s="13" t="s">
        <v>11721</v>
      </c>
      <c r="F249" s="13" t="s">
        <v>11722</v>
      </c>
      <c r="G249" s="13" t="s">
        <v>11128</v>
      </c>
      <c r="H249" s="13" t="s">
        <v>11099</v>
      </c>
      <c r="I249" s="13"/>
      <c r="J249" s="13"/>
      <c r="K249" s="13" t="s">
        <v>1503</v>
      </c>
      <c r="L249" s="13" t="s">
        <v>1504</v>
      </c>
    </row>
    <row r="250" customFormat="false" ht="158.2" hidden="false" customHeight="false" outlineLevel="0" collapsed="false">
      <c r="A250" s="13" t="s">
        <v>3</v>
      </c>
      <c r="B250" s="13" t="s">
        <v>68</v>
      </c>
      <c r="C250" s="13" t="n">
        <v>363</v>
      </c>
      <c r="D250" s="13" t="s">
        <v>1510</v>
      </c>
      <c r="E250" s="13" t="s">
        <v>11723</v>
      </c>
      <c r="F250" s="13" t="s">
        <v>11724</v>
      </c>
      <c r="G250" s="13" t="s">
        <v>11128</v>
      </c>
      <c r="H250" s="13" t="s">
        <v>11099</v>
      </c>
      <c r="I250" s="13"/>
      <c r="J250" s="13"/>
      <c r="K250" s="13" t="s">
        <v>1514</v>
      </c>
      <c r="L250" s="13" t="s">
        <v>1515</v>
      </c>
    </row>
    <row r="251" customFormat="false" ht="158.2" hidden="false" customHeight="false" outlineLevel="0" collapsed="false">
      <c r="A251" s="13" t="s">
        <v>3</v>
      </c>
      <c r="B251" s="13" t="s">
        <v>68</v>
      </c>
      <c r="C251" s="13" t="n">
        <v>363</v>
      </c>
      <c r="D251" s="13" t="s">
        <v>1510</v>
      </c>
      <c r="E251" s="13" t="s">
        <v>11725</v>
      </c>
      <c r="F251" s="13" t="s">
        <v>11726</v>
      </c>
      <c r="G251" s="13" t="s">
        <v>11098</v>
      </c>
      <c r="H251" s="13" t="s">
        <v>11099</v>
      </c>
      <c r="I251" s="13" t="s">
        <v>1511</v>
      </c>
      <c r="J251" s="13"/>
      <c r="K251" s="13" t="s">
        <v>1514</v>
      </c>
      <c r="L251" s="13" t="s">
        <v>1515</v>
      </c>
    </row>
    <row r="252" customFormat="false" ht="158.2" hidden="false" customHeight="false" outlineLevel="0" collapsed="false">
      <c r="A252" s="13" t="s">
        <v>3</v>
      </c>
      <c r="B252" s="13" t="s">
        <v>68</v>
      </c>
      <c r="C252" s="13" t="n">
        <v>363</v>
      </c>
      <c r="D252" s="13" t="s">
        <v>1510</v>
      </c>
      <c r="E252" s="13" t="s">
        <v>11727</v>
      </c>
      <c r="F252" s="13" t="s">
        <v>11728</v>
      </c>
      <c r="G252" s="13" t="s">
        <v>11098</v>
      </c>
      <c r="H252" s="13" t="s">
        <v>11099</v>
      </c>
      <c r="I252" s="13" t="s">
        <v>11729</v>
      </c>
      <c r="J252" s="13"/>
      <c r="K252" s="13" t="s">
        <v>1514</v>
      </c>
      <c r="L252" s="13" t="s">
        <v>1515</v>
      </c>
    </row>
    <row r="253" customFormat="false" ht="169.4" hidden="false" customHeight="false" outlineLevel="0" collapsed="false">
      <c r="A253" s="13" t="s">
        <v>3</v>
      </c>
      <c r="B253" s="13" t="s">
        <v>68</v>
      </c>
      <c r="C253" s="13" t="n">
        <v>363</v>
      </c>
      <c r="D253" s="13" t="s">
        <v>1523</v>
      </c>
      <c r="E253" s="13" t="s">
        <v>11730</v>
      </c>
      <c r="F253" s="13" t="s">
        <v>11731</v>
      </c>
      <c r="G253" s="13" t="s">
        <v>11098</v>
      </c>
      <c r="H253" s="13" t="s">
        <v>11099</v>
      </c>
      <c r="I253" s="13" t="s">
        <v>1524</v>
      </c>
      <c r="J253" s="13"/>
      <c r="K253" s="13" t="s">
        <v>1527</v>
      </c>
      <c r="L253" s="13" t="s">
        <v>1528</v>
      </c>
    </row>
    <row r="254" customFormat="false" ht="169.4" hidden="false" customHeight="false" outlineLevel="0" collapsed="false">
      <c r="A254" s="13" t="s">
        <v>3</v>
      </c>
      <c r="B254" s="13" t="s">
        <v>68</v>
      </c>
      <c r="C254" s="13" t="n">
        <v>363</v>
      </c>
      <c r="D254" s="13" t="s">
        <v>1523</v>
      </c>
      <c r="E254" s="13" t="s">
        <v>11732</v>
      </c>
      <c r="F254" s="13" t="s">
        <v>11733</v>
      </c>
      <c r="G254" s="13" t="s">
        <v>11098</v>
      </c>
      <c r="H254" s="13" t="s">
        <v>11099</v>
      </c>
      <c r="I254" s="13" t="s">
        <v>1529</v>
      </c>
      <c r="J254" s="13"/>
      <c r="K254" s="13" t="s">
        <v>1527</v>
      </c>
      <c r="L254" s="13" t="s">
        <v>1528</v>
      </c>
    </row>
    <row r="255" customFormat="false" ht="169.4" hidden="false" customHeight="false" outlineLevel="0" collapsed="false">
      <c r="A255" s="13" t="s">
        <v>3</v>
      </c>
      <c r="B255" s="13" t="s">
        <v>68</v>
      </c>
      <c r="C255" s="13" t="n">
        <v>363</v>
      </c>
      <c r="D255" s="13" t="s">
        <v>1523</v>
      </c>
      <c r="E255" s="13" t="s">
        <v>11734</v>
      </c>
      <c r="F255" s="13" t="s">
        <v>11735</v>
      </c>
      <c r="G255" s="13" t="s">
        <v>11098</v>
      </c>
      <c r="H255" s="13" t="s">
        <v>11099</v>
      </c>
      <c r="I255" s="13" t="s">
        <v>1531</v>
      </c>
      <c r="J255" s="13"/>
      <c r="K255" s="13" t="s">
        <v>1527</v>
      </c>
      <c r="L255" s="13" t="s">
        <v>1528</v>
      </c>
    </row>
    <row r="256" customFormat="false" ht="147" hidden="false" customHeight="false" outlineLevel="0" collapsed="false">
      <c r="A256" s="13" t="s">
        <v>3</v>
      </c>
      <c r="B256" s="13" t="s">
        <v>68</v>
      </c>
      <c r="C256" s="13" t="n">
        <v>363</v>
      </c>
      <c r="D256" s="13" t="s">
        <v>1534</v>
      </c>
      <c r="E256" s="13" t="s">
        <v>11736</v>
      </c>
      <c r="F256" s="13" t="s">
        <v>11737</v>
      </c>
      <c r="G256" s="13" t="s">
        <v>11098</v>
      </c>
      <c r="H256" s="13" t="s">
        <v>11099</v>
      </c>
      <c r="I256" s="13" t="s">
        <v>1535</v>
      </c>
      <c r="J256" s="13"/>
      <c r="K256" s="13" t="s">
        <v>1539</v>
      </c>
      <c r="L256" s="13" t="s">
        <v>1540</v>
      </c>
    </row>
    <row r="257" customFormat="false" ht="147" hidden="false" customHeight="false" outlineLevel="0" collapsed="false">
      <c r="A257" s="13" t="s">
        <v>3</v>
      </c>
      <c r="B257" s="13" t="s">
        <v>68</v>
      </c>
      <c r="C257" s="13" t="n">
        <v>363</v>
      </c>
      <c r="D257" s="13" t="s">
        <v>1534</v>
      </c>
      <c r="E257" s="13" t="s">
        <v>11738</v>
      </c>
      <c r="F257" s="13" t="s">
        <v>11739</v>
      </c>
      <c r="G257" s="13" t="s">
        <v>11315</v>
      </c>
      <c r="H257" s="13" t="s">
        <v>11099</v>
      </c>
      <c r="I257" s="13" t="s">
        <v>11740</v>
      </c>
      <c r="J257" s="13"/>
      <c r="K257" s="13" t="s">
        <v>1539</v>
      </c>
      <c r="L257" s="13" t="s">
        <v>1540</v>
      </c>
    </row>
    <row r="258" customFormat="false" ht="147" hidden="false" customHeight="false" outlineLevel="0" collapsed="false">
      <c r="A258" s="13" t="s">
        <v>3</v>
      </c>
      <c r="B258" s="13" t="s">
        <v>68</v>
      </c>
      <c r="C258" s="13" t="n">
        <v>363</v>
      </c>
      <c r="D258" s="13" t="s">
        <v>1534</v>
      </c>
      <c r="E258" s="13" t="s">
        <v>11741</v>
      </c>
      <c r="F258" s="13" t="s">
        <v>11742</v>
      </c>
      <c r="G258" s="13" t="s">
        <v>11098</v>
      </c>
      <c r="H258" s="13" t="s">
        <v>11099</v>
      </c>
      <c r="I258" s="13" t="s">
        <v>11743</v>
      </c>
      <c r="J258" s="13"/>
      <c r="K258" s="13" t="s">
        <v>1539</v>
      </c>
      <c r="L258" s="13" t="s">
        <v>1540</v>
      </c>
    </row>
    <row r="259" customFormat="false" ht="57.45" hidden="false" customHeight="false" outlineLevel="0" collapsed="false">
      <c r="A259" s="13" t="s">
        <v>3</v>
      </c>
      <c r="B259" s="13" t="s">
        <v>68</v>
      </c>
      <c r="C259" s="13" t="n">
        <v>366</v>
      </c>
      <c r="D259" s="13" t="s">
        <v>1561</v>
      </c>
      <c r="E259" s="13" t="s">
        <v>11744</v>
      </c>
      <c r="F259" s="13" t="s">
        <v>11745</v>
      </c>
      <c r="G259" s="13" t="s">
        <v>11128</v>
      </c>
      <c r="H259" s="13" t="s">
        <v>11099</v>
      </c>
      <c r="I259" s="13"/>
      <c r="J259" s="13"/>
      <c r="K259" s="13" t="s">
        <v>1567</v>
      </c>
      <c r="L259" s="13" t="s">
        <v>1568</v>
      </c>
    </row>
    <row r="260" customFormat="false" ht="57.45" hidden="false" customHeight="false" outlineLevel="0" collapsed="false">
      <c r="A260" s="13" t="s">
        <v>3</v>
      </c>
      <c r="B260" s="13" t="s">
        <v>68</v>
      </c>
      <c r="C260" s="13" t="n">
        <v>366</v>
      </c>
      <c r="D260" s="13" t="s">
        <v>1561</v>
      </c>
      <c r="E260" s="13" t="s">
        <v>11746</v>
      </c>
      <c r="F260" s="13" t="s">
        <v>11747</v>
      </c>
      <c r="G260" s="13" t="s">
        <v>11128</v>
      </c>
      <c r="H260" s="13" t="s">
        <v>11099</v>
      </c>
      <c r="I260" s="13"/>
      <c r="J260" s="13"/>
      <c r="K260" s="13" t="s">
        <v>1567</v>
      </c>
      <c r="L260" s="13" t="s">
        <v>1568</v>
      </c>
    </row>
    <row r="261" customFormat="false" ht="57.45" hidden="false" customHeight="false" outlineLevel="0" collapsed="false">
      <c r="A261" s="13" t="s">
        <v>3</v>
      </c>
      <c r="B261" s="13" t="s">
        <v>68</v>
      </c>
      <c r="C261" s="13" t="n">
        <v>366</v>
      </c>
      <c r="D261" s="13" t="s">
        <v>1561</v>
      </c>
      <c r="E261" s="13" t="s">
        <v>11748</v>
      </c>
      <c r="F261" s="13" t="s">
        <v>11749</v>
      </c>
      <c r="G261" s="13" t="s">
        <v>11137</v>
      </c>
      <c r="H261" s="13" t="s">
        <v>11099</v>
      </c>
      <c r="I261" s="13" t="s">
        <v>1569</v>
      </c>
      <c r="J261" s="13" t="s">
        <v>11750</v>
      </c>
      <c r="K261" s="13" t="s">
        <v>1567</v>
      </c>
      <c r="L261" s="13" t="s">
        <v>1568</v>
      </c>
    </row>
    <row r="262" customFormat="false" ht="23.85" hidden="false" customHeight="false" outlineLevel="0" collapsed="false">
      <c r="A262" s="13" t="s">
        <v>3</v>
      </c>
      <c r="B262" s="13" t="s">
        <v>68</v>
      </c>
      <c r="C262" s="13" t="n">
        <v>366</v>
      </c>
      <c r="D262" s="13" t="s">
        <v>1573</v>
      </c>
      <c r="E262" s="13" t="s">
        <v>11751</v>
      </c>
      <c r="F262" s="13" t="s">
        <v>11752</v>
      </c>
      <c r="G262" s="13" t="s">
        <v>11098</v>
      </c>
      <c r="H262" s="13" t="s">
        <v>11099</v>
      </c>
      <c r="I262" s="13" t="s">
        <v>1574</v>
      </c>
      <c r="J262" s="13"/>
      <c r="K262" s="13" t="s">
        <v>1578</v>
      </c>
      <c r="L262" s="13" t="s">
        <v>1579</v>
      </c>
    </row>
    <row r="263" customFormat="false" ht="147" hidden="false" customHeight="false" outlineLevel="0" collapsed="false">
      <c r="A263" s="13" t="s">
        <v>3</v>
      </c>
      <c r="B263" s="13" t="s">
        <v>68</v>
      </c>
      <c r="C263" s="13" t="n">
        <v>366</v>
      </c>
      <c r="D263" s="13" t="s">
        <v>1580</v>
      </c>
      <c r="E263" s="13" t="s">
        <v>11753</v>
      </c>
      <c r="F263" s="13" t="s">
        <v>11754</v>
      </c>
      <c r="G263" s="13" t="s">
        <v>11098</v>
      </c>
      <c r="H263" s="13" t="s">
        <v>11099</v>
      </c>
      <c r="I263" s="13" t="s">
        <v>11755</v>
      </c>
      <c r="J263" s="13"/>
      <c r="K263" s="13" t="s">
        <v>1584</v>
      </c>
      <c r="L263" s="13" t="s">
        <v>1585</v>
      </c>
    </row>
    <row r="264" customFormat="false" ht="147" hidden="false" customHeight="false" outlineLevel="0" collapsed="false">
      <c r="A264" s="13" t="s">
        <v>3</v>
      </c>
      <c r="B264" s="13" t="s">
        <v>68</v>
      </c>
      <c r="C264" s="13" t="n">
        <v>366</v>
      </c>
      <c r="D264" s="13" t="s">
        <v>1580</v>
      </c>
      <c r="E264" s="13" t="s">
        <v>11756</v>
      </c>
      <c r="F264" s="13" t="s">
        <v>11757</v>
      </c>
      <c r="G264" s="13" t="s">
        <v>11098</v>
      </c>
      <c r="H264" s="13" t="s">
        <v>11099</v>
      </c>
      <c r="I264" s="13" t="s">
        <v>11758</v>
      </c>
      <c r="J264" s="13"/>
      <c r="K264" s="13" t="s">
        <v>1584</v>
      </c>
      <c r="L264" s="13" t="s">
        <v>1585</v>
      </c>
    </row>
    <row r="265" customFormat="false" ht="147" hidden="false" customHeight="false" outlineLevel="0" collapsed="false">
      <c r="A265" s="13" t="s">
        <v>3</v>
      </c>
      <c r="B265" s="13" t="s">
        <v>68</v>
      </c>
      <c r="C265" s="13" t="n">
        <v>366</v>
      </c>
      <c r="D265" s="13" t="s">
        <v>1580</v>
      </c>
      <c r="E265" s="13" t="s">
        <v>11759</v>
      </c>
      <c r="F265" s="13" t="s">
        <v>11760</v>
      </c>
      <c r="G265" s="13" t="s">
        <v>11137</v>
      </c>
      <c r="H265" s="13" t="s">
        <v>11099</v>
      </c>
      <c r="I265" s="13" t="s">
        <v>1594</v>
      </c>
      <c r="J265" s="13" t="s">
        <v>11761</v>
      </c>
      <c r="K265" s="13" t="s">
        <v>1584</v>
      </c>
      <c r="L265" s="13" t="s">
        <v>1585</v>
      </c>
    </row>
    <row r="266" customFormat="false" ht="147" hidden="false" customHeight="false" outlineLevel="0" collapsed="false">
      <c r="A266" s="13" t="s">
        <v>3</v>
      </c>
      <c r="B266" s="13" t="s">
        <v>68</v>
      </c>
      <c r="C266" s="13" t="n">
        <v>366</v>
      </c>
      <c r="D266" s="13" t="s">
        <v>1580</v>
      </c>
      <c r="E266" s="13" t="s">
        <v>11762</v>
      </c>
      <c r="F266" s="13" t="s">
        <v>11763</v>
      </c>
      <c r="G266" s="13" t="s">
        <v>11098</v>
      </c>
      <c r="H266" s="13" t="s">
        <v>11099</v>
      </c>
      <c r="I266" s="13" t="s">
        <v>1599</v>
      </c>
      <c r="J266" s="13"/>
      <c r="K266" s="13" t="s">
        <v>1584</v>
      </c>
      <c r="L266" s="13" t="s">
        <v>1585</v>
      </c>
    </row>
    <row r="267" customFormat="false" ht="102.2" hidden="false" customHeight="false" outlineLevel="0" collapsed="false">
      <c r="A267" s="13" t="s">
        <v>3</v>
      </c>
      <c r="B267" s="13" t="s">
        <v>68</v>
      </c>
      <c r="C267" s="13" t="n">
        <v>366</v>
      </c>
      <c r="D267" s="13" t="s">
        <v>1602</v>
      </c>
      <c r="E267" s="13" t="s">
        <v>11764</v>
      </c>
      <c r="F267" s="13" t="s">
        <v>11765</v>
      </c>
      <c r="G267" s="13" t="s">
        <v>11098</v>
      </c>
      <c r="H267" s="13" t="s">
        <v>11099</v>
      </c>
      <c r="I267" s="13" t="s">
        <v>11766</v>
      </c>
      <c r="J267" s="13"/>
      <c r="K267" s="13" t="s">
        <v>1606</v>
      </c>
      <c r="L267" s="13" t="s">
        <v>1607</v>
      </c>
    </row>
    <row r="268" customFormat="false" ht="102.2" hidden="false" customHeight="false" outlineLevel="0" collapsed="false">
      <c r="A268" s="13" t="s">
        <v>3</v>
      </c>
      <c r="B268" s="13" t="s">
        <v>68</v>
      </c>
      <c r="C268" s="13" t="n">
        <v>366</v>
      </c>
      <c r="D268" s="13" t="s">
        <v>1602</v>
      </c>
      <c r="E268" s="13" t="s">
        <v>11767</v>
      </c>
      <c r="F268" s="13" t="s">
        <v>11768</v>
      </c>
      <c r="G268" s="13" t="s">
        <v>11098</v>
      </c>
      <c r="H268" s="13" t="s">
        <v>11099</v>
      </c>
      <c r="I268" s="13" t="s">
        <v>1609</v>
      </c>
      <c r="J268" s="13"/>
      <c r="K268" s="13" t="s">
        <v>1606</v>
      </c>
      <c r="L268" s="13" t="s">
        <v>1607</v>
      </c>
    </row>
    <row r="269" customFormat="false" ht="35.05" hidden="false" customHeight="false" outlineLevel="0" collapsed="false">
      <c r="A269" s="13" t="s">
        <v>3</v>
      </c>
      <c r="B269" s="13" t="s">
        <v>68</v>
      </c>
      <c r="C269" s="13" t="n">
        <v>373</v>
      </c>
      <c r="D269" s="13" t="s">
        <v>1611</v>
      </c>
      <c r="E269" s="13" t="s">
        <v>11769</v>
      </c>
      <c r="F269" s="13" t="s">
        <v>11770</v>
      </c>
      <c r="G269" s="13" t="s">
        <v>11098</v>
      </c>
      <c r="H269" s="13" t="s">
        <v>11099</v>
      </c>
      <c r="I269" s="13" t="s">
        <v>11771</v>
      </c>
      <c r="J269" s="13" t="s">
        <v>11772</v>
      </c>
      <c r="K269" s="13" t="s">
        <v>1615</v>
      </c>
      <c r="L269" s="13" t="s">
        <v>1616</v>
      </c>
    </row>
    <row r="270" customFormat="false" ht="35.05" hidden="false" customHeight="false" outlineLevel="0" collapsed="false">
      <c r="A270" s="13" t="s">
        <v>3</v>
      </c>
      <c r="B270" s="13" t="s">
        <v>68</v>
      </c>
      <c r="C270" s="13" t="n">
        <v>373</v>
      </c>
      <c r="D270" s="13" t="s">
        <v>1620</v>
      </c>
      <c r="E270" s="13" t="s">
        <v>11773</v>
      </c>
      <c r="F270" s="13" t="s">
        <v>11774</v>
      </c>
      <c r="G270" s="13" t="s">
        <v>11098</v>
      </c>
      <c r="H270" s="13" t="s">
        <v>11099</v>
      </c>
      <c r="I270" s="13" t="s">
        <v>11775</v>
      </c>
      <c r="J270" s="13"/>
      <c r="K270" s="13" t="s">
        <v>1624</v>
      </c>
      <c r="L270" s="13" t="s">
        <v>1625</v>
      </c>
    </row>
    <row r="271" customFormat="false" ht="35.05" hidden="false" customHeight="false" outlineLevel="0" collapsed="false">
      <c r="A271" s="13" t="s">
        <v>3</v>
      </c>
      <c r="B271" s="13" t="s">
        <v>68</v>
      </c>
      <c r="C271" s="13" t="n">
        <v>373</v>
      </c>
      <c r="D271" s="13" t="s">
        <v>1628</v>
      </c>
      <c r="E271" s="13" t="s">
        <v>11776</v>
      </c>
      <c r="F271" s="13" t="s">
        <v>11777</v>
      </c>
      <c r="G271" s="13" t="s">
        <v>11098</v>
      </c>
      <c r="H271" s="13" t="s">
        <v>11099</v>
      </c>
      <c r="I271" s="13" t="s">
        <v>11778</v>
      </c>
      <c r="J271" s="13"/>
      <c r="K271" s="13" t="s">
        <v>1631</v>
      </c>
      <c r="L271" s="13" t="s">
        <v>1632</v>
      </c>
    </row>
    <row r="272" customFormat="false" ht="23.85" hidden="false" customHeight="false" outlineLevel="0" collapsed="false">
      <c r="A272" s="13" t="s">
        <v>3</v>
      </c>
      <c r="B272" s="13" t="s">
        <v>68</v>
      </c>
      <c r="C272" s="13" t="n">
        <v>373</v>
      </c>
      <c r="D272" s="13" t="s">
        <v>1634</v>
      </c>
      <c r="E272" s="13" t="s">
        <v>11779</v>
      </c>
      <c r="F272" s="13" t="s">
        <v>11780</v>
      </c>
      <c r="G272" s="13" t="s">
        <v>11098</v>
      </c>
      <c r="H272" s="13" t="s">
        <v>11099</v>
      </c>
      <c r="I272" s="13" t="s">
        <v>11781</v>
      </c>
      <c r="J272" s="13"/>
      <c r="K272" s="13" t="s">
        <v>1637</v>
      </c>
      <c r="L272" s="13" t="s">
        <v>1638</v>
      </c>
    </row>
    <row r="273" customFormat="false" ht="35.05" hidden="false" customHeight="false" outlineLevel="0" collapsed="false">
      <c r="A273" s="13" t="s">
        <v>3</v>
      </c>
      <c r="B273" s="13" t="s">
        <v>68</v>
      </c>
      <c r="C273" s="13" t="n">
        <v>373</v>
      </c>
      <c r="D273" s="13" t="s">
        <v>1640</v>
      </c>
      <c r="E273" s="13" t="s">
        <v>11782</v>
      </c>
      <c r="F273" s="13" t="s">
        <v>11783</v>
      </c>
      <c r="G273" s="13" t="s">
        <v>11098</v>
      </c>
      <c r="H273" s="13" t="s">
        <v>11099</v>
      </c>
      <c r="I273" s="13" t="s">
        <v>11784</v>
      </c>
      <c r="J273" s="13"/>
      <c r="K273" s="13" t="s">
        <v>1644</v>
      </c>
      <c r="L273" s="13" t="s">
        <v>1645</v>
      </c>
    </row>
    <row r="274" customFormat="false" ht="35.05" hidden="false" customHeight="false" outlineLevel="0" collapsed="false">
      <c r="A274" s="13" t="s">
        <v>3</v>
      </c>
      <c r="B274" s="13" t="s">
        <v>68</v>
      </c>
      <c r="C274" s="13" t="n">
        <v>373</v>
      </c>
      <c r="D274" s="13" t="s">
        <v>1647</v>
      </c>
      <c r="E274" s="13" t="s">
        <v>11785</v>
      </c>
      <c r="F274" s="13" t="s">
        <v>11786</v>
      </c>
      <c r="G274" s="13" t="s">
        <v>11098</v>
      </c>
      <c r="H274" s="13" t="s">
        <v>11099</v>
      </c>
      <c r="I274" s="13" t="s">
        <v>11787</v>
      </c>
      <c r="J274" s="13"/>
      <c r="K274" s="13" t="s">
        <v>1650</v>
      </c>
      <c r="L274" s="13" t="s">
        <v>1651</v>
      </c>
    </row>
    <row r="275" customFormat="false" ht="46.25" hidden="false" customHeight="false" outlineLevel="0" collapsed="false">
      <c r="A275" s="13" t="s">
        <v>3</v>
      </c>
      <c r="B275" s="13" t="s">
        <v>68</v>
      </c>
      <c r="C275" s="13" t="n">
        <v>373</v>
      </c>
      <c r="D275" s="13" t="s">
        <v>1653</v>
      </c>
      <c r="E275" s="13" t="s">
        <v>11788</v>
      </c>
      <c r="F275" s="13" t="s">
        <v>11789</v>
      </c>
      <c r="G275" s="13" t="s">
        <v>11098</v>
      </c>
      <c r="H275" s="13" t="s">
        <v>11099</v>
      </c>
      <c r="I275" s="13" t="s">
        <v>11790</v>
      </c>
      <c r="J275" s="13"/>
      <c r="K275" s="13" t="s">
        <v>1657</v>
      </c>
      <c r="L275" s="13" t="s">
        <v>1658</v>
      </c>
    </row>
    <row r="276" customFormat="false" ht="68.65" hidden="false" customHeight="false" outlineLevel="0" collapsed="false">
      <c r="A276" s="13" t="s">
        <v>3</v>
      </c>
      <c r="B276" s="13" t="s">
        <v>68</v>
      </c>
      <c r="C276" s="13" t="n">
        <v>373</v>
      </c>
      <c r="D276" s="13" t="s">
        <v>1661</v>
      </c>
      <c r="E276" s="13" t="s">
        <v>11791</v>
      </c>
      <c r="F276" s="13" t="s">
        <v>11792</v>
      </c>
      <c r="G276" s="13" t="s">
        <v>11098</v>
      </c>
      <c r="H276" s="13" t="s">
        <v>11099</v>
      </c>
      <c r="I276" s="13" t="s">
        <v>11793</v>
      </c>
      <c r="J276" s="13"/>
      <c r="K276" s="13" t="s">
        <v>1666</v>
      </c>
      <c r="L276" s="13" t="s">
        <v>1667</v>
      </c>
    </row>
    <row r="277" customFormat="false" ht="46.25" hidden="false" customHeight="false" outlineLevel="0" collapsed="false">
      <c r="A277" s="13" t="s">
        <v>3</v>
      </c>
      <c r="B277" s="13" t="s">
        <v>68</v>
      </c>
      <c r="C277" s="13" t="n">
        <v>373</v>
      </c>
      <c r="D277" s="13" t="s">
        <v>1671</v>
      </c>
      <c r="E277" s="13" t="s">
        <v>11794</v>
      </c>
      <c r="F277" s="13" t="s">
        <v>11795</v>
      </c>
      <c r="G277" s="13" t="s">
        <v>11098</v>
      </c>
      <c r="H277" s="13" t="s">
        <v>11099</v>
      </c>
      <c r="I277" s="13" t="s">
        <v>1672</v>
      </c>
      <c r="J277" s="13"/>
      <c r="K277" s="13" t="s">
        <v>1676</v>
      </c>
      <c r="L277" s="13" t="s">
        <v>1677</v>
      </c>
    </row>
    <row r="278" customFormat="false" ht="23.85" hidden="false" customHeight="false" outlineLevel="0" collapsed="false">
      <c r="A278" s="13" t="s">
        <v>3</v>
      </c>
      <c r="B278" s="13" t="s">
        <v>68</v>
      </c>
      <c r="C278" s="13" t="n">
        <v>373</v>
      </c>
      <c r="D278" s="13" t="s">
        <v>1678</v>
      </c>
      <c r="E278" s="13" t="s">
        <v>11796</v>
      </c>
      <c r="F278" s="13" t="s">
        <v>11797</v>
      </c>
      <c r="G278" s="13" t="s">
        <v>11098</v>
      </c>
      <c r="H278" s="13" t="s">
        <v>11099</v>
      </c>
      <c r="I278" s="13" t="s">
        <v>11798</v>
      </c>
      <c r="J278" s="13"/>
      <c r="K278" s="13" t="s">
        <v>1682</v>
      </c>
      <c r="L278" s="13" t="s">
        <v>1683</v>
      </c>
    </row>
    <row r="279" customFormat="false" ht="79.85" hidden="false" customHeight="false" outlineLevel="0" collapsed="false">
      <c r="A279" s="13" t="s">
        <v>3</v>
      </c>
      <c r="B279" s="13" t="s">
        <v>68</v>
      </c>
      <c r="C279" s="13" t="n">
        <v>373</v>
      </c>
      <c r="D279" s="13" t="s">
        <v>1687</v>
      </c>
      <c r="E279" s="13" t="s">
        <v>11799</v>
      </c>
      <c r="F279" s="13" t="s">
        <v>11800</v>
      </c>
      <c r="G279" s="13" t="s">
        <v>11098</v>
      </c>
      <c r="H279" s="13" t="s">
        <v>11099</v>
      </c>
      <c r="I279" s="13" t="s">
        <v>11801</v>
      </c>
      <c r="J279" s="13"/>
      <c r="K279" s="13" t="s">
        <v>1691</v>
      </c>
      <c r="L279" s="13" t="s">
        <v>1692</v>
      </c>
    </row>
    <row r="280" customFormat="false" ht="23.85" hidden="false" customHeight="false" outlineLevel="0" collapsed="false">
      <c r="A280" s="13" t="s">
        <v>3</v>
      </c>
      <c r="B280" s="13" t="s">
        <v>68</v>
      </c>
      <c r="C280" s="13" t="n">
        <v>385</v>
      </c>
      <c r="D280" s="13" t="s">
        <v>1699</v>
      </c>
      <c r="E280" s="13" t="s">
        <v>11802</v>
      </c>
      <c r="F280" s="13" t="s">
        <v>11803</v>
      </c>
      <c r="G280" s="13" t="s">
        <v>11098</v>
      </c>
      <c r="H280" s="13" t="s">
        <v>11099</v>
      </c>
      <c r="I280" s="13" t="s">
        <v>11804</v>
      </c>
      <c r="J280" s="13"/>
      <c r="K280" s="13" t="s">
        <v>1704</v>
      </c>
      <c r="L280" s="13" t="s">
        <v>1705</v>
      </c>
    </row>
    <row r="281" customFormat="false" ht="23.85" hidden="false" customHeight="false" outlineLevel="0" collapsed="false">
      <c r="A281" s="13" t="s">
        <v>3</v>
      </c>
      <c r="B281" s="13" t="s">
        <v>68</v>
      </c>
      <c r="C281" s="13" t="n">
        <v>385</v>
      </c>
      <c r="D281" s="13" t="s">
        <v>1708</v>
      </c>
      <c r="E281" s="13" t="s">
        <v>11805</v>
      </c>
      <c r="F281" s="13" t="s">
        <v>11806</v>
      </c>
      <c r="G281" s="13" t="s">
        <v>11098</v>
      </c>
      <c r="H281" s="13" t="s">
        <v>11099</v>
      </c>
      <c r="I281" s="13" t="s">
        <v>11807</v>
      </c>
      <c r="J281" s="13"/>
      <c r="K281" s="13" t="s">
        <v>1712</v>
      </c>
      <c r="L281" s="13" t="s">
        <v>1713</v>
      </c>
    </row>
    <row r="282" customFormat="false" ht="23.85" hidden="false" customHeight="false" outlineLevel="0" collapsed="false">
      <c r="A282" s="13" t="s">
        <v>3</v>
      </c>
      <c r="B282" s="13" t="s">
        <v>68</v>
      </c>
      <c r="C282" s="13" t="n">
        <v>385</v>
      </c>
      <c r="D282" s="13" t="s">
        <v>1716</v>
      </c>
      <c r="E282" s="13" t="s">
        <v>11808</v>
      </c>
      <c r="F282" s="13" t="s">
        <v>11809</v>
      </c>
      <c r="G282" s="13" t="s">
        <v>11098</v>
      </c>
      <c r="H282" s="13" t="s">
        <v>11099</v>
      </c>
      <c r="I282" s="13" t="s">
        <v>1717</v>
      </c>
      <c r="J282" s="13"/>
      <c r="K282" s="13" t="s">
        <v>1720</v>
      </c>
      <c r="L282" s="13" t="s">
        <v>1721</v>
      </c>
    </row>
    <row r="283" customFormat="false" ht="46.25" hidden="false" customHeight="false" outlineLevel="0" collapsed="false">
      <c r="A283" s="13" t="s">
        <v>3</v>
      </c>
      <c r="B283" s="13" t="s">
        <v>68</v>
      </c>
      <c r="C283" s="13" t="n">
        <v>385</v>
      </c>
      <c r="D283" s="13" t="s">
        <v>1722</v>
      </c>
      <c r="E283" s="13" t="s">
        <v>11810</v>
      </c>
      <c r="F283" s="13" t="s">
        <v>11811</v>
      </c>
      <c r="G283" s="13" t="s">
        <v>11098</v>
      </c>
      <c r="H283" s="13" t="s">
        <v>11099</v>
      </c>
      <c r="I283" s="13" t="s">
        <v>11812</v>
      </c>
      <c r="J283" s="13"/>
      <c r="K283" s="13" t="s">
        <v>1726</v>
      </c>
      <c r="L283" s="13" t="s">
        <v>1727</v>
      </c>
    </row>
    <row r="284" customFormat="false" ht="91" hidden="false" customHeight="false" outlineLevel="0" collapsed="false">
      <c r="A284" s="13" t="s">
        <v>3</v>
      </c>
      <c r="B284" s="13" t="s">
        <v>68</v>
      </c>
      <c r="C284" s="13" t="n">
        <v>385</v>
      </c>
      <c r="D284" s="13" t="s">
        <v>1734</v>
      </c>
      <c r="E284" s="13" t="s">
        <v>11813</v>
      </c>
      <c r="F284" s="13" t="s">
        <v>11814</v>
      </c>
      <c r="G284" s="13" t="s">
        <v>11098</v>
      </c>
      <c r="H284" s="13" t="s">
        <v>11099</v>
      </c>
      <c r="I284" s="13" t="s">
        <v>11815</v>
      </c>
      <c r="J284" s="13"/>
      <c r="K284" s="13" t="s">
        <v>1737</v>
      </c>
      <c r="L284" s="13" t="s">
        <v>1738</v>
      </c>
    </row>
    <row r="285" customFormat="false" ht="46.25" hidden="false" customHeight="false" outlineLevel="0" collapsed="false">
      <c r="A285" s="13" t="s">
        <v>3</v>
      </c>
      <c r="B285" s="13" t="s">
        <v>68</v>
      </c>
      <c r="C285" s="13" t="n">
        <v>385</v>
      </c>
      <c r="D285" s="13" t="s">
        <v>1745</v>
      </c>
      <c r="E285" s="13" t="s">
        <v>11816</v>
      </c>
      <c r="F285" s="13" t="s">
        <v>11817</v>
      </c>
      <c r="G285" s="13" t="s">
        <v>11098</v>
      </c>
      <c r="H285" s="13" t="s">
        <v>11099</v>
      </c>
      <c r="I285" s="13" t="s">
        <v>1746</v>
      </c>
      <c r="J285" s="13"/>
      <c r="K285" s="13" t="s">
        <v>1749</v>
      </c>
      <c r="L285" s="13" t="s">
        <v>1750</v>
      </c>
    </row>
    <row r="286" customFormat="false" ht="46.25" hidden="false" customHeight="false" outlineLevel="0" collapsed="false">
      <c r="A286" s="13" t="s">
        <v>3</v>
      </c>
      <c r="B286" s="13" t="s">
        <v>68</v>
      </c>
      <c r="C286" s="13" t="n">
        <v>385</v>
      </c>
      <c r="D286" s="13" t="s">
        <v>1745</v>
      </c>
      <c r="E286" s="13" t="s">
        <v>11818</v>
      </c>
      <c r="F286" s="13" t="s">
        <v>11819</v>
      </c>
      <c r="G286" s="13" t="s">
        <v>11098</v>
      </c>
      <c r="H286" s="13" t="s">
        <v>11099</v>
      </c>
      <c r="I286" s="13" t="s">
        <v>1751</v>
      </c>
      <c r="J286" s="13"/>
      <c r="K286" s="13" t="s">
        <v>1749</v>
      </c>
      <c r="L286" s="13" t="s">
        <v>1750</v>
      </c>
    </row>
    <row r="287" customFormat="false" ht="23.85" hidden="false" customHeight="false" outlineLevel="0" collapsed="false">
      <c r="A287" s="13" t="s">
        <v>3</v>
      </c>
      <c r="B287" s="13" t="s">
        <v>68</v>
      </c>
      <c r="C287" s="13" t="n">
        <v>385</v>
      </c>
      <c r="D287" s="13" t="s">
        <v>1754</v>
      </c>
      <c r="E287" s="13" t="s">
        <v>11820</v>
      </c>
      <c r="F287" s="13" t="s">
        <v>11821</v>
      </c>
      <c r="G287" s="13" t="s">
        <v>11098</v>
      </c>
      <c r="H287" s="13" t="s">
        <v>11099</v>
      </c>
      <c r="I287" s="13" t="s">
        <v>11822</v>
      </c>
      <c r="J287" s="13"/>
      <c r="K287" s="13" t="s">
        <v>1756</v>
      </c>
      <c r="L287" s="13" t="s">
        <v>1757</v>
      </c>
    </row>
    <row r="288" customFormat="false" ht="23.85" hidden="false" customHeight="false" outlineLevel="0" collapsed="false">
      <c r="A288" s="13" t="s">
        <v>3</v>
      </c>
      <c r="B288" s="13" t="s">
        <v>68</v>
      </c>
      <c r="C288" s="13" t="n">
        <v>385</v>
      </c>
      <c r="D288" s="13" t="s">
        <v>1761</v>
      </c>
      <c r="E288" s="13" t="s">
        <v>11823</v>
      </c>
      <c r="F288" s="13" t="s">
        <v>11824</v>
      </c>
      <c r="G288" s="13" t="s">
        <v>11098</v>
      </c>
      <c r="H288" s="13" t="s">
        <v>11099</v>
      </c>
      <c r="I288" s="13" t="s">
        <v>11825</v>
      </c>
      <c r="J288" s="13"/>
      <c r="K288" s="13" t="s">
        <v>1764</v>
      </c>
      <c r="L288" s="13" t="s">
        <v>1765</v>
      </c>
    </row>
    <row r="289" customFormat="false" ht="23.85" hidden="false" customHeight="false" outlineLevel="0" collapsed="false">
      <c r="A289" s="13" t="s">
        <v>3</v>
      </c>
      <c r="B289" s="13" t="s">
        <v>68</v>
      </c>
      <c r="C289" s="13" t="n">
        <v>385</v>
      </c>
      <c r="D289" s="13" t="s">
        <v>1768</v>
      </c>
      <c r="E289" s="13" t="s">
        <v>11826</v>
      </c>
      <c r="F289" s="13" t="s">
        <v>11827</v>
      </c>
      <c r="G289" s="13" t="s">
        <v>11098</v>
      </c>
      <c r="H289" s="13" t="s">
        <v>11099</v>
      </c>
      <c r="I289" s="13" t="s">
        <v>11828</v>
      </c>
      <c r="J289" s="13"/>
      <c r="K289" s="13" t="s">
        <v>1771</v>
      </c>
      <c r="L289" s="13" t="s">
        <v>1772</v>
      </c>
    </row>
    <row r="290" customFormat="false" ht="23.85" hidden="false" customHeight="false" outlineLevel="0" collapsed="false">
      <c r="A290" s="13" t="s">
        <v>3</v>
      </c>
      <c r="B290" s="13" t="s">
        <v>68</v>
      </c>
      <c r="C290" s="13" t="n">
        <v>385</v>
      </c>
      <c r="D290" s="13" t="s">
        <v>1775</v>
      </c>
      <c r="E290" s="13" t="s">
        <v>11829</v>
      </c>
      <c r="F290" s="13" t="s">
        <v>11830</v>
      </c>
      <c r="G290" s="13" t="s">
        <v>11098</v>
      </c>
      <c r="H290" s="13" t="s">
        <v>11099</v>
      </c>
      <c r="I290" s="13" t="s">
        <v>1776</v>
      </c>
      <c r="J290" s="13"/>
      <c r="K290" s="13" t="s">
        <v>1779</v>
      </c>
      <c r="L290" s="13" t="s">
        <v>1780</v>
      </c>
    </row>
    <row r="291" customFormat="false" ht="46.25" hidden="false" customHeight="false" outlineLevel="0" collapsed="false">
      <c r="A291" s="13" t="s">
        <v>3</v>
      </c>
      <c r="B291" s="13" t="s">
        <v>68</v>
      </c>
      <c r="C291" s="13" t="n">
        <v>385</v>
      </c>
      <c r="D291" s="13" t="s">
        <v>1781</v>
      </c>
      <c r="E291" s="13" t="s">
        <v>11831</v>
      </c>
      <c r="F291" s="13" t="s">
        <v>11832</v>
      </c>
      <c r="G291" s="13" t="s">
        <v>11098</v>
      </c>
      <c r="H291" s="13" t="s">
        <v>11099</v>
      </c>
      <c r="I291" s="13" t="s">
        <v>11833</v>
      </c>
      <c r="J291" s="13"/>
      <c r="K291" s="13" t="s">
        <v>1785</v>
      </c>
      <c r="L291" s="13" t="s">
        <v>1786</v>
      </c>
    </row>
    <row r="292" customFormat="false" ht="79.85" hidden="false" customHeight="false" outlineLevel="0" collapsed="false">
      <c r="A292" s="13" t="s">
        <v>3</v>
      </c>
      <c r="B292" s="13" t="s">
        <v>68</v>
      </c>
      <c r="C292" s="13" t="n">
        <v>385</v>
      </c>
      <c r="D292" s="13" t="s">
        <v>1790</v>
      </c>
      <c r="E292" s="13" t="s">
        <v>11834</v>
      </c>
      <c r="F292" s="13" t="s">
        <v>11835</v>
      </c>
      <c r="G292" s="13" t="s">
        <v>11128</v>
      </c>
      <c r="H292" s="13" t="s">
        <v>11099</v>
      </c>
      <c r="I292" s="13"/>
      <c r="J292" s="13" t="s">
        <v>11836</v>
      </c>
      <c r="K292" s="13" t="s">
        <v>1794</v>
      </c>
      <c r="L292" s="13" t="s">
        <v>1795</v>
      </c>
    </row>
    <row r="293" customFormat="false" ht="79.85" hidden="false" customHeight="false" outlineLevel="0" collapsed="false">
      <c r="A293" s="13" t="s">
        <v>3</v>
      </c>
      <c r="B293" s="13" t="s">
        <v>68</v>
      </c>
      <c r="C293" s="13" t="n">
        <v>385</v>
      </c>
      <c r="D293" s="13" t="s">
        <v>1790</v>
      </c>
      <c r="E293" s="13" t="s">
        <v>11837</v>
      </c>
      <c r="F293" s="13" t="s">
        <v>11838</v>
      </c>
      <c r="G293" s="13" t="s">
        <v>11098</v>
      </c>
      <c r="H293" s="13" t="s">
        <v>11099</v>
      </c>
      <c r="I293" s="13" t="s">
        <v>11839</v>
      </c>
      <c r="J293" s="13"/>
      <c r="K293" s="13" t="s">
        <v>1794</v>
      </c>
      <c r="L293" s="13" t="s">
        <v>1795</v>
      </c>
    </row>
    <row r="294" customFormat="false" ht="23.85" hidden="false" customHeight="false" outlineLevel="0" collapsed="false">
      <c r="A294" s="13" t="s">
        <v>3</v>
      </c>
      <c r="B294" s="13" t="s">
        <v>68</v>
      </c>
      <c r="C294" s="13" t="n">
        <v>385</v>
      </c>
      <c r="D294" s="13" t="s">
        <v>1801</v>
      </c>
      <c r="E294" s="13" t="s">
        <v>11840</v>
      </c>
      <c r="F294" s="13" t="s">
        <v>11841</v>
      </c>
      <c r="G294" s="13" t="s">
        <v>11098</v>
      </c>
      <c r="H294" s="13" t="s">
        <v>11099</v>
      </c>
      <c r="I294" s="13" t="s">
        <v>1802</v>
      </c>
      <c r="J294" s="13"/>
      <c r="K294" s="13" t="s">
        <v>1805</v>
      </c>
      <c r="L294" s="13" t="s">
        <v>1806</v>
      </c>
    </row>
    <row r="295" customFormat="false" ht="91" hidden="false" customHeight="false" outlineLevel="0" collapsed="false">
      <c r="A295" s="13" t="s">
        <v>3</v>
      </c>
      <c r="B295" s="13" t="s">
        <v>68</v>
      </c>
      <c r="C295" s="13" t="n">
        <v>385</v>
      </c>
      <c r="D295" s="13" t="s">
        <v>1807</v>
      </c>
      <c r="E295" s="13" t="s">
        <v>11842</v>
      </c>
      <c r="F295" s="13" t="s">
        <v>11843</v>
      </c>
      <c r="G295" s="13" t="s">
        <v>11098</v>
      </c>
      <c r="H295" s="13" t="s">
        <v>11099</v>
      </c>
      <c r="I295" s="13" t="s">
        <v>1808</v>
      </c>
      <c r="J295" s="13"/>
      <c r="K295" s="13" t="s">
        <v>1810</v>
      </c>
      <c r="L295" s="13" t="s">
        <v>1811</v>
      </c>
    </row>
    <row r="296" customFormat="false" ht="91" hidden="false" customHeight="false" outlineLevel="0" collapsed="false">
      <c r="A296" s="13" t="s">
        <v>3</v>
      </c>
      <c r="B296" s="13" t="s">
        <v>68</v>
      </c>
      <c r="C296" s="13" t="n">
        <v>385</v>
      </c>
      <c r="D296" s="13" t="s">
        <v>1807</v>
      </c>
      <c r="E296" s="13" t="s">
        <v>11844</v>
      </c>
      <c r="F296" s="13" t="s">
        <v>11845</v>
      </c>
      <c r="G296" s="13" t="s">
        <v>11098</v>
      </c>
      <c r="H296" s="13" t="s">
        <v>11099</v>
      </c>
      <c r="I296" s="13" t="s">
        <v>11846</v>
      </c>
      <c r="J296" s="13"/>
      <c r="K296" s="13" t="s">
        <v>1810</v>
      </c>
      <c r="L296" s="13" t="s">
        <v>1811</v>
      </c>
    </row>
    <row r="297" customFormat="false" ht="91" hidden="false" customHeight="false" outlineLevel="0" collapsed="false">
      <c r="A297" s="13" t="s">
        <v>3</v>
      </c>
      <c r="B297" s="13" t="s">
        <v>68</v>
      </c>
      <c r="C297" s="13" t="n">
        <v>385</v>
      </c>
      <c r="D297" s="13" t="s">
        <v>1807</v>
      </c>
      <c r="E297" s="13" t="s">
        <v>11847</v>
      </c>
      <c r="F297" s="13" t="s">
        <v>11848</v>
      </c>
      <c r="G297" s="13" t="s">
        <v>11098</v>
      </c>
      <c r="H297" s="13" t="s">
        <v>11099</v>
      </c>
      <c r="I297" s="13" t="s">
        <v>1820</v>
      </c>
      <c r="J297" s="13"/>
      <c r="K297" s="13" t="s">
        <v>1810</v>
      </c>
      <c r="L297" s="13" t="s">
        <v>1811</v>
      </c>
    </row>
    <row r="298" customFormat="false" ht="91" hidden="false" customHeight="false" outlineLevel="0" collapsed="false">
      <c r="A298" s="13" t="s">
        <v>3</v>
      </c>
      <c r="B298" s="13" t="s">
        <v>68</v>
      </c>
      <c r="C298" s="13" t="n">
        <v>385</v>
      </c>
      <c r="D298" s="13" t="s">
        <v>1807</v>
      </c>
      <c r="E298" s="13" t="s">
        <v>11849</v>
      </c>
      <c r="F298" s="13" t="s">
        <v>11850</v>
      </c>
      <c r="G298" s="13" t="s">
        <v>11098</v>
      </c>
      <c r="H298" s="13" t="s">
        <v>11099</v>
      </c>
      <c r="I298" s="13" t="s">
        <v>1823</v>
      </c>
      <c r="J298" s="13"/>
      <c r="K298" s="13" t="s">
        <v>1810</v>
      </c>
      <c r="L298" s="13" t="s">
        <v>1811</v>
      </c>
    </row>
    <row r="299" customFormat="false" ht="68.65" hidden="false" customHeight="false" outlineLevel="0" collapsed="false">
      <c r="A299" s="13" t="s">
        <v>3</v>
      </c>
      <c r="B299" s="13" t="s">
        <v>68</v>
      </c>
      <c r="C299" s="13" t="n">
        <v>388</v>
      </c>
      <c r="D299" s="13" t="s">
        <v>1825</v>
      </c>
      <c r="E299" s="13" t="s">
        <v>11851</v>
      </c>
      <c r="F299" s="13" t="s">
        <v>11852</v>
      </c>
      <c r="G299" s="13" t="s">
        <v>11098</v>
      </c>
      <c r="H299" s="13" t="s">
        <v>11099</v>
      </c>
      <c r="I299" s="13" t="s">
        <v>1826</v>
      </c>
      <c r="J299" s="13"/>
      <c r="K299" s="13" t="s">
        <v>1829</v>
      </c>
      <c r="L299" s="13" t="s">
        <v>1830</v>
      </c>
    </row>
    <row r="300" customFormat="false" ht="68.65" hidden="false" customHeight="false" outlineLevel="0" collapsed="false">
      <c r="A300" s="13" t="s">
        <v>3</v>
      </c>
      <c r="B300" s="13" t="s">
        <v>68</v>
      </c>
      <c r="C300" s="13" t="n">
        <v>388</v>
      </c>
      <c r="D300" s="13" t="s">
        <v>1825</v>
      </c>
      <c r="E300" s="13" t="s">
        <v>11853</v>
      </c>
      <c r="F300" s="13" t="s">
        <v>11854</v>
      </c>
      <c r="G300" s="13" t="s">
        <v>11098</v>
      </c>
      <c r="H300" s="13" t="s">
        <v>11099</v>
      </c>
      <c r="I300" s="13" t="s">
        <v>11855</v>
      </c>
      <c r="J300" s="13"/>
      <c r="K300" s="13" t="s">
        <v>1829</v>
      </c>
      <c r="L300" s="13" t="s">
        <v>1830</v>
      </c>
    </row>
    <row r="301" customFormat="false" ht="23.85" hidden="false" customHeight="false" outlineLevel="0" collapsed="false">
      <c r="A301" s="13" t="s">
        <v>3</v>
      </c>
      <c r="B301" s="13" t="s">
        <v>68</v>
      </c>
      <c r="C301" s="13" t="n">
        <v>388</v>
      </c>
      <c r="D301" s="13" t="s">
        <v>1838</v>
      </c>
      <c r="E301" s="13" t="s">
        <v>11856</v>
      </c>
      <c r="F301" s="13" t="s">
        <v>11857</v>
      </c>
      <c r="G301" s="13" t="s">
        <v>11098</v>
      </c>
      <c r="H301" s="13" t="s">
        <v>11099</v>
      </c>
      <c r="I301" s="13" t="s">
        <v>1839</v>
      </c>
      <c r="J301" s="13"/>
      <c r="K301" s="13" t="s">
        <v>1843</v>
      </c>
      <c r="L301" s="13" t="s">
        <v>1844</v>
      </c>
    </row>
    <row r="302" customFormat="false" ht="68.65" hidden="false" customHeight="false" outlineLevel="0" collapsed="false">
      <c r="A302" s="13" t="s">
        <v>3</v>
      </c>
      <c r="B302" s="13" t="s">
        <v>68</v>
      </c>
      <c r="C302" s="13" t="n">
        <v>388</v>
      </c>
      <c r="D302" s="13" t="s">
        <v>1845</v>
      </c>
      <c r="E302" s="13" t="s">
        <v>11858</v>
      </c>
      <c r="F302" s="13" t="s">
        <v>11859</v>
      </c>
      <c r="G302" s="13" t="s">
        <v>11098</v>
      </c>
      <c r="H302" s="13" t="s">
        <v>11099</v>
      </c>
      <c r="I302" s="13" t="s">
        <v>11860</v>
      </c>
      <c r="J302" s="13"/>
      <c r="K302" s="13" t="s">
        <v>1849</v>
      </c>
      <c r="L302" s="13" t="s">
        <v>1850</v>
      </c>
    </row>
    <row r="303" customFormat="false" ht="68.65" hidden="false" customHeight="false" outlineLevel="0" collapsed="false">
      <c r="A303" s="13" t="s">
        <v>3</v>
      </c>
      <c r="B303" s="13" t="s">
        <v>68</v>
      </c>
      <c r="C303" s="13" t="n">
        <v>388</v>
      </c>
      <c r="D303" s="13" t="s">
        <v>1845</v>
      </c>
      <c r="E303" s="13" t="s">
        <v>11861</v>
      </c>
      <c r="F303" s="13" t="s">
        <v>11862</v>
      </c>
      <c r="G303" s="13" t="s">
        <v>11128</v>
      </c>
      <c r="H303" s="13" t="s">
        <v>11099</v>
      </c>
      <c r="I303" s="13"/>
      <c r="J303" s="13"/>
      <c r="K303" s="13" t="s">
        <v>1849</v>
      </c>
      <c r="L303" s="13" t="s">
        <v>1850</v>
      </c>
    </row>
    <row r="304" customFormat="false" ht="169.4" hidden="false" customHeight="false" outlineLevel="0" collapsed="false">
      <c r="A304" s="13" t="s">
        <v>3</v>
      </c>
      <c r="B304" s="13" t="s">
        <v>68</v>
      </c>
      <c r="C304" s="13" t="n">
        <v>388</v>
      </c>
      <c r="D304" s="13" t="s">
        <v>1862</v>
      </c>
      <c r="E304" s="13" t="s">
        <v>11863</v>
      </c>
      <c r="F304" s="13" t="s">
        <v>11864</v>
      </c>
      <c r="G304" s="13" t="s">
        <v>11098</v>
      </c>
      <c r="H304" s="13" t="s">
        <v>11099</v>
      </c>
      <c r="I304" s="13" t="s">
        <v>1863</v>
      </c>
      <c r="J304" s="13"/>
      <c r="K304" s="13" t="s">
        <v>1866</v>
      </c>
      <c r="L304" s="13" t="s">
        <v>1867</v>
      </c>
    </row>
    <row r="305" customFormat="false" ht="169.4" hidden="false" customHeight="false" outlineLevel="0" collapsed="false">
      <c r="A305" s="13" t="s">
        <v>3</v>
      </c>
      <c r="B305" s="13" t="s">
        <v>68</v>
      </c>
      <c r="C305" s="13" t="n">
        <v>388</v>
      </c>
      <c r="D305" s="13" t="s">
        <v>1862</v>
      </c>
      <c r="E305" s="13" t="s">
        <v>11865</v>
      </c>
      <c r="F305" s="13" t="s">
        <v>11866</v>
      </c>
      <c r="G305" s="13" t="s">
        <v>11098</v>
      </c>
      <c r="H305" s="13" t="s">
        <v>11099</v>
      </c>
      <c r="I305" s="13" t="s">
        <v>11867</v>
      </c>
      <c r="J305" s="13"/>
      <c r="K305" s="13" t="s">
        <v>1866</v>
      </c>
      <c r="L305" s="13" t="s">
        <v>1867</v>
      </c>
    </row>
    <row r="306" customFormat="false" ht="169.4" hidden="false" customHeight="false" outlineLevel="0" collapsed="false">
      <c r="A306" s="13" t="s">
        <v>3</v>
      </c>
      <c r="B306" s="13" t="s">
        <v>68</v>
      </c>
      <c r="C306" s="13" t="n">
        <v>388</v>
      </c>
      <c r="D306" s="13" t="s">
        <v>1862</v>
      </c>
      <c r="E306" s="13" t="s">
        <v>11868</v>
      </c>
      <c r="F306" s="13" t="s">
        <v>11869</v>
      </c>
      <c r="G306" s="13" t="s">
        <v>11128</v>
      </c>
      <c r="H306" s="13" t="s">
        <v>11099</v>
      </c>
      <c r="I306" s="13"/>
      <c r="J306" s="13"/>
      <c r="K306" s="13" t="s">
        <v>1866</v>
      </c>
      <c r="L306" s="13" t="s">
        <v>1867</v>
      </c>
    </row>
    <row r="307" customFormat="false" ht="169.4" hidden="false" customHeight="false" outlineLevel="0" collapsed="false">
      <c r="A307" s="13" t="s">
        <v>3</v>
      </c>
      <c r="B307" s="13" t="s">
        <v>68</v>
      </c>
      <c r="C307" s="13" t="n">
        <v>388</v>
      </c>
      <c r="D307" s="13" t="s">
        <v>1862</v>
      </c>
      <c r="E307" s="13" t="s">
        <v>11870</v>
      </c>
      <c r="F307" s="13" t="s">
        <v>11871</v>
      </c>
      <c r="G307" s="13" t="s">
        <v>11098</v>
      </c>
      <c r="H307" s="13" t="s">
        <v>11099</v>
      </c>
      <c r="I307" s="13" t="s">
        <v>1878</v>
      </c>
      <c r="J307" s="13"/>
      <c r="K307" s="13" t="s">
        <v>1866</v>
      </c>
      <c r="L307" s="13" t="s">
        <v>1867</v>
      </c>
    </row>
    <row r="308" customFormat="false" ht="57.45" hidden="false" customHeight="false" outlineLevel="0" collapsed="false">
      <c r="A308" s="13" t="s">
        <v>3</v>
      </c>
      <c r="B308" s="13" t="s">
        <v>68</v>
      </c>
      <c r="C308" s="13" t="n">
        <v>396</v>
      </c>
      <c r="D308" s="13" t="s">
        <v>1881</v>
      </c>
      <c r="E308" s="13" t="s">
        <v>11872</v>
      </c>
      <c r="F308" s="13" t="s">
        <v>11873</v>
      </c>
      <c r="G308" s="13" t="s">
        <v>11098</v>
      </c>
      <c r="H308" s="13" t="s">
        <v>11099</v>
      </c>
      <c r="I308" s="13" t="s">
        <v>1882</v>
      </c>
      <c r="J308" s="13"/>
      <c r="K308" s="13" t="s">
        <v>1885</v>
      </c>
      <c r="L308" s="13" t="s">
        <v>1886</v>
      </c>
    </row>
    <row r="309" customFormat="false" ht="23.85" hidden="false" customHeight="false" outlineLevel="0" collapsed="false">
      <c r="A309" s="13" t="s">
        <v>3</v>
      </c>
      <c r="B309" s="13" t="s">
        <v>68</v>
      </c>
      <c r="C309" s="13" t="n">
        <v>396</v>
      </c>
      <c r="D309" s="13" t="s">
        <v>1887</v>
      </c>
      <c r="E309" s="13" t="s">
        <v>11874</v>
      </c>
      <c r="F309" s="13" t="s">
        <v>11875</v>
      </c>
      <c r="G309" s="13" t="s">
        <v>11098</v>
      </c>
      <c r="H309" s="13" t="s">
        <v>11099</v>
      </c>
      <c r="I309" s="13" t="s">
        <v>1888</v>
      </c>
      <c r="J309" s="13"/>
      <c r="K309" s="13" t="s">
        <v>1891</v>
      </c>
      <c r="L309" s="13" t="s">
        <v>1892</v>
      </c>
    </row>
    <row r="310" customFormat="false" ht="23.85" hidden="false" customHeight="false" outlineLevel="0" collapsed="false">
      <c r="A310" s="13" t="s">
        <v>3</v>
      </c>
      <c r="B310" s="13" t="s">
        <v>68</v>
      </c>
      <c r="C310" s="13" t="n">
        <v>396</v>
      </c>
      <c r="D310" s="13" t="s">
        <v>1893</v>
      </c>
      <c r="E310" s="13" t="s">
        <v>11876</v>
      </c>
      <c r="F310" s="13" t="s">
        <v>11877</v>
      </c>
      <c r="G310" s="13" t="s">
        <v>11098</v>
      </c>
      <c r="H310" s="13" t="s">
        <v>11099</v>
      </c>
      <c r="I310" s="13" t="s">
        <v>11878</v>
      </c>
      <c r="J310" s="13"/>
      <c r="K310" s="13" t="s">
        <v>1897</v>
      </c>
      <c r="L310" s="13" t="s">
        <v>1898</v>
      </c>
    </row>
    <row r="311" customFormat="false" ht="57.45" hidden="false" customHeight="false" outlineLevel="0" collapsed="false">
      <c r="A311" s="13" t="s">
        <v>3</v>
      </c>
      <c r="B311" s="13" t="s">
        <v>68</v>
      </c>
      <c r="C311" s="13" t="n">
        <v>396</v>
      </c>
      <c r="D311" s="13" t="s">
        <v>1901</v>
      </c>
      <c r="E311" s="13" t="s">
        <v>11879</v>
      </c>
      <c r="F311" s="13" t="s">
        <v>11880</v>
      </c>
      <c r="G311" s="13" t="s">
        <v>11098</v>
      </c>
      <c r="H311" s="13" t="s">
        <v>11099</v>
      </c>
      <c r="I311" s="13" t="s">
        <v>11881</v>
      </c>
      <c r="J311" s="13"/>
      <c r="K311" s="13" t="s">
        <v>1906</v>
      </c>
      <c r="L311" s="13" t="s">
        <v>1907</v>
      </c>
    </row>
    <row r="312" customFormat="false" ht="57.45" hidden="false" customHeight="false" outlineLevel="0" collapsed="false">
      <c r="A312" s="13" t="s">
        <v>3</v>
      </c>
      <c r="B312" s="13" t="s">
        <v>68</v>
      </c>
      <c r="C312" s="13" t="n">
        <v>396</v>
      </c>
      <c r="D312" s="13" t="s">
        <v>1916</v>
      </c>
      <c r="E312" s="13" t="s">
        <v>11882</v>
      </c>
      <c r="F312" s="13" t="s">
        <v>11883</v>
      </c>
      <c r="G312" s="13" t="s">
        <v>11098</v>
      </c>
      <c r="H312" s="13" t="s">
        <v>11099</v>
      </c>
      <c r="I312" s="13" t="s">
        <v>1917</v>
      </c>
      <c r="J312" s="13"/>
      <c r="K312" s="13" t="s">
        <v>1920</v>
      </c>
      <c r="L312" s="13" t="s">
        <v>1921</v>
      </c>
    </row>
    <row r="313" customFormat="false" ht="57.45" hidden="false" customHeight="false" outlineLevel="0" collapsed="false">
      <c r="A313" s="13" t="s">
        <v>3</v>
      </c>
      <c r="B313" s="13" t="s">
        <v>68</v>
      </c>
      <c r="C313" s="13" t="n">
        <v>396</v>
      </c>
      <c r="D313" s="13" t="s">
        <v>1916</v>
      </c>
      <c r="E313" s="13" t="s">
        <v>11884</v>
      </c>
      <c r="F313" s="13" t="s">
        <v>11885</v>
      </c>
      <c r="G313" s="13" t="s">
        <v>11098</v>
      </c>
      <c r="H313" s="13" t="s">
        <v>11099</v>
      </c>
      <c r="I313" s="13" t="s">
        <v>1922</v>
      </c>
      <c r="J313" s="13"/>
      <c r="K313" s="13" t="s">
        <v>1920</v>
      </c>
      <c r="L313" s="13" t="s">
        <v>1921</v>
      </c>
    </row>
    <row r="314" customFormat="false" ht="46.25" hidden="false" customHeight="false" outlineLevel="0" collapsed="false">
      <c r="A314" s="13" t="s">
        <v>3</v>
      </c>
      <c r="B314" s="13" t="s">
        <v>68</v>
      </c>
      <c r="C314" s="13" t="n">
        <v>396</v>
      </c>
      <c r="D314" s="13" t="s">
        <v>1925</v>
      </c>
      <c r="E314" s="13" t="s">
        <v>11886</v>
      </c>
      <c r="F314" s="13" t="s">
        <v>11887</v>
      </c>
      <c r="G314" s="13" t="s">
        <v>11315</v>
      </c>
      <c r="H314" s="13" t="s">
        <v>11099</v>
      </c>
      <c r="I314" s="13" t="s">
        <v>11888</v>
      </c>
      <c r="J314" s="13"/>
      <c r="K314" s="13" t="s">
        <v>1929</v>
      </c>
      <c r="L314" s="13" t="s">
        <v>1930</v>
      </c>
    </row>
    <row r="315" customFormat="false" ht="15" hidden="false" customHeight="false" outlineLevel="0" collapsed="false">
      <c r="A315" s="13" t="s">
        <v>3</v>
      </c>
      <c r="B315" s="13" t="s">
        <v>68</v>
      </c>
      <c r="C315" s="13" t="n">
        <v>396</v>
      </c>
      <c r="D315" s="13" t="s">
        <v>1936</v>
      </c>
      <c r="E315" s="13" t="s">
        <v>11889</v>
      </c>
      <c r="F315" s="13" t="s">
        <v>11890</v>
      </c>
      <c r="G315" s="13" t="s">
        <v>11098</v>
      </c>
      <c r="H315" s="13" t="s">
        <v>11099</v>
      </c>
      <c r="I315" s="13" t="s">
        <v>1937</v>
      </c>
      <c r="J315" s="13"/>
      <c r="K315" s="13" t="s">
        <v>1940</v>
      </c>
      <c r="L315" s="13" t="s">
        <v>1941</v>
      </c>
    </row>
    <row r="316" customFormat="false" ht="23.85" hidden="false" customHeight="false" outlineLevel="0" collapsed="false">
      <c r="A316" s="13" t="s">
        <v>3</v>
      </c>
      <c r="B316" s="13" t="s">
        <v>68</v>
      </c>
      <c r="C316" s="13" t="n">
        <v>396</v>
      </c>
      <c r="D316" s="13" t="s">
        <v>1942</v>
      </c>
      <c r="E316" s="13" t="s">
        <v>11891</v>
      </c>
      <c r="F316" s="13" t="s">
        <v>11892</v>
      </c>
      <c r="G316" s="13" t="s">
        <v>11098</v>
      </c>
      <c r="H316" s="13" t="s">
        <v>11099</v>
      </c>
      <c r="I316" s="13" t="s">
        <v>1943</v>
      </c>
      <c r="J316" s="13"/>
      <c r="K316" s="13" t="s">
        <v>1946</v>
      </c>
      <c r="L316" s="13" t="s">
        <v>1947</v>
      </c>
    </row>
    <row r="317" customFormat="false" ht="35.05" hidden="false" customHeight="false" outlineLevel="0" collapsed="false">
      <c r="A317" s="13" t="s">
        <v>3</v>
      </c>
      <c r="B317" s="13" t="s">
        <v>68</v>
      </c>
      <c r="C317" s="13" t="n">
        <v>396</v>
      </c>
      <c r="D317" s="13" t="s">
        <v>1948</v>
      </c>
      <c r="E317" s="13" t="s">
        <v>11893</v>
      </c>
      <c r="F317" s="13" t="s">
        <v>11894</v>
      </c>
      <c r="G317" s="13" t="s">
        <v>11098</v>
      </c>
      <c r="H317" s="13" t="s">
        <v>11099</v>
      </c>
      <c r="I317" s="13" t="s">
        <v>1949</v>
      </c>
      <c r="J317" s="13"/>
      <c r="K317" s="13" t="s">
        <v>1951</v>
      </c>
      <c r="L317" s="13" t="s">
        <v>1952</v>
      </c>
    </row>
    <row r="318" customFormat="false" ht="35.05" hidden="false" customHeight="false" outlineLevel="0" collapsed="false">
      <c r="A318" s="13" t="s">
        <v>3</v>
      </c>
      <c r="B318" s="13" t="s">
        <v>68</v>
      </c>
      <c r="C318" s="13" t="n">
        <v>396</v>
      </c>
      <c r="D318" s="13" t="s">
        <v>1953</v>
      </c>
      <c r="E318" s="13" t="s">
        <v>11895</v>
      </c>
      <c r="F318" s="13" t="s">
        <v>11896</v>
      </c>
      <c r="G318" s="13" t="s">
        <v>11098</v>
      </c>
      <c r="H318" s="13" t="s">
        <v>11099</v>
      </c>
      <c r="I318" s="13" t="s">
        <v>1954</v>
      </c>
      <c r="J318" s="13"/>
      <c r="K318" s="13" t="s">
        <v>1957</v>
      </c>
      <c r="L318" s="13" t="s">
        <v>1958</v>
      </c>
    </row>
    <row r="319" customFormat="false" ht="23.85" hidden="false" customHeight="false" outlineLevel="0" collapsed="false">
      <c r="A319" s="13" t="s">
        <v>3</v>
      </c>
      <c r="B319" s="13" t="s">
        <v>68</v>
      </c>
      <c r="C319" s="13" t="n">
        <v>396</v>
      </c>
      <c r="D319" s="13" t="s">
        <v>1959</v>
      </c>
      <c r="E319" s="13" t="s">
        <v>11897</v>
      </c>
      <c r="F319" s="13" t="s">
        <v>11898</v>
      </c>
      <c r="G319" s="13" t="s">
        <v>11098</v>
      </c>
      <c r="H319" s="13" t="s">
        <v>11099</v>
      </c>
      <c r="I319" s="13" t="s">
        <v>1960</v>
      </c>
      <c r="J319" s="13"/>
      <c r="K319" s="13" t="s">
        <v>1962</v>
      </c>
      <c r="L319" s="13" t="s">
        <v>1963</v>
      </c>
    </row>
    <row r="320" customFormat="false" ht="15" hidden="false" customHeight="false" outlineLevel="0" collapsed="false">
      <c r="A320" s="13" t="s">
        <v>3</v>
      </c>
      <c r="B320" s="13" t="s">
        <v>68</v>
      </c>
      <c r="C320" s="13" t="n">
        <v>396</v>
      </c>
      <c r="D320" s="13" t="s">
        <v>1964</v>
      </c>
      <c r="E320" s="13" t="s">
        <v>11899</v>
      </c>
      <c r="F320" s="13" t="s">
        <v>11900</v>
      </c>
      <c r="G320" s="13" t="s">
        <v>11098</v>
      </c>
      <c r="H320" s="13" t="s">
        <v>11099</v>
      </c>
      <c r="I320" s="13" t="s">
        <v>1965</v>
      </c>
      <c r="J320" s="13"/>
      <c r="K320" s="13" t="s">
        <v>1968</v>
      </c>
      <c r="L320" s="13" t="s">
        <v>1969</v>
      </c>
    </row>
    <row r="321" customFormat="false" ht="135.8" hidden="false" customHeight="false" outlineLevel="0" collapsed="false">
      <c r="A321" s="13" t="s">
        <v>3</v>
      </c>
      <c r="B321" s="13" t="s">
        <v>68</v>
      </c>
      <c r="C321" s="13" t="n">
        <v>396</v>
      </c>
      <c r="D321" s="13" t="s">
        <v>1970</v>
      </c>
      <c r="E321" s="13" t="s">
        <v>11901</v>
      </c>
      <c r="F321" s="13" t="s">
        <v>11902</v>
      </c>
      <c r="G321" s="13" t="s">
        <v>11315</v>
      </c>
      <c r="H321" s="13" t="s">
        <v>11099</v>
      </c>
      <c r="I321" s="13" t="s">
        <v>11903</v>
      </c>
      <c r="J321" s="13"/>
      <c r="K321" s="13" t="s">
        <v>1974</v>
      </c>
      <c r="L321" s="13" t="s">
        <v>1975</v>
      </c>
    </row>
    <row r="322" customFormat="false" ht="135.8" hidden="false" customHeight="false" outlineLevel="0" collapsed="false">
      <c r="A322" s="13" t="s">
        <v>3</v>
      </c>
      <c r="B322" s="13" t="s">
        <v>68</v>
      </c>
      <c r="C322" s="13" t="n">
        <v>396</v>
      </c>
      <c r="D322" s="13" t="s">
        <v>1970</v>
      </c>
      <c r="E322" s="13" t="s">
        <v>11904</v>
      </c>
      <c r="F322" s="13" t="s">
        <v>11905</v>
      </c>
      <c r="G322" s="13" t="s">
        <v>11315</v>
      </c>
      <c r="H322" s="13" t="s">
        <v>11099</v>
      </c>
      <c r="I322" s="13" t="s">
        <v>11906</v>
      </c>
      <c r="J322" s="13"/>
      <c r="K322" s="13" t="s">
        <v>1974</v>
      </c>
      <c r="L322" s="13" t="s">
        <v>1975</v>
      </c>
    </row>
    <row r="323" customFormat="false" ht="15" hidden="false" customHeight="false" outlineLevel="0" collapsed="false">
      <c r="A323" s="13" t="s">
        <v>3</v>
      </c>
      <c r="B323" s="13" t="s">
        <v>68</v>
      </c>
      <c r="C323" s="13" t="n">
        <v>400</v>
      </c>
      <c r="D323" s="13" t="s">
        <v>1989</v>
      </c>
      <c r="E323" s="13" t="s">
        <v>11907</v>
      </c>
      <c r="F323" s="13" t="s">
        <v>11908</v>
      </c>
      <c r="G323" s="13" t="s">
        <v>11098</v>
      </c>
      <c r="H323" s="13" t="s">
        <v>11099</v>
      </c>
      <c r="I323" s="13" t="s">
        <v>1990</v>
      </c>
      <c r="J323" s="13"/>
      <c r="K323" s="13" t="s">
        <v>1993</v>
      </c>
      <c r="L323" s="13" t="s">
        <v>1994</v>
      </c>
    </row>
    <row r="324" customFormat="false" ht="46.25" hidden="false" customHeight="false" outlineLevel="0" collapsed="false">
      <c r="A324" s="13" t="s">
        <v>3</v>
      </c>
      <c r="B324" s="13" t="s">
        <v>68</v>
      </c>
      <c r="C324" s="13" t="n">
        <v>400</v>
      </c>
      <c r="D324" s="13" t="s">
        <v>1995</v>
      </c>
      <c r="E324" s="13" t="s">
        <v>11909</v>
      </c>
      <c r="F324" s="13" t="s">
        <v>11910</v>
      </c>
      <c r="G324" s="13" t="s">
        <v>11098</v>
      </c>
      <c r="H324" s="13" t="s">
        <v>11099</v>
      </c>
      <c r="I324" s="13" t="s">
        <v>1996</v>
      </c>
      <c r="J324" s="13"/>
      <c r="K324" s="13" t="s">
        <v>1998</v>
      </c>
      <c r="L324" s="13" t="s">
        <v>1999</v>
      </c>
    </row>
    <row r="325" customFormat="false" ht="46.25" hidden="false" customHeight="false" outlineLevel="0" collapsed="false">
      <c r="A325" s="13" t="s">
        <v>3</v>
      </c>
      <c r="B325" s="13" t="s">
        <v>68</v>
      </c>
      <c r="C325" s="13" t="n">
        <v>400</v>
      </c>
      <c r="D325" s="13" t="s">
        <v>2000</v>
      </c>
      <c r="E325" s="13" t="s">
        <v>11911</v>
      </c>
      <c r="F325" s="13" t="s">
        <v>11912</v>
      </c>
      <c r="G325" s="13" t="s">
        <v>11098</v>
      </c>
      <c r="H325" s="13" t="s">
        <v>11099</v>
      </c>
      <c r="I325" s="13" t="s">
        <v>2001</v>
      </c>
      <c r="J325" s="13"/>
      <c r="K325" s="13" t="s">
        <v>2006</v>
      </c>
      <c r="L325" s="13" t="s">
        <v>2007</v>
      </c>
    </row>
    <row r="326" customFormat="false" ht="91" hidden="false" customHeight="false" outlineLevel="0" collapsed="false">
      <c r="A326" s="13" t="s">
        <v>3</v>
      </c>
      <c r="B326" s="13" t="s">
        <v>68</v>
      </c>
      <c r="C326" s="13" t="n">
        <v>400</v>
      </c>
      <c r="D326" s="13" t="s">
        <v>2008</v>
      </c>
      <c r="E326" s="13" t="s">
        <v>11913</v>
      </c>
      <c r="F326" s="13" t="s">
        <v>11914</v>
      </c>
      <c r="G326" s="13" t="s">
        <v>11098</v>
      </c>
      <c r="H326" s="13" t="s">
        <v>11099</v>
      </c>
      <c r="I326" s="13" t="s">
        <v>11915</v>
      </c>
      <c r="J326" s="13"/>
      <c r="K326" s="13" t="s">
        <v>2013</v>
      </c>
      <c r="L326" s="13" t="s">
        <v>2014</v>
      </c>
    </row>
    <row r="327" customFormat="false" ht="35.05" hidden="false" customHeight="false" outlineLevel="0" collapsed="false">
      <c r="A327" s="13" t="s">
        <v>3</v>
      </c>
      <c r="B327" s="13" t="s">
        <v>68</v>
      </c>
      <c r="C327" s="13" t="n">
        <v>400</v>
      </c>
      <c r="D327" s="13" t="s">
        <v>2036</v>
      </c>
      <c r="E327" s="13" t="s">
        <v>11916</v>
      </c>
      <c r="F327" s="13" t="s">
        <v>11917</v>
      </c>
      <c r="G327" s="13" t="s">
        <v>11098</v>
      </c>
      <c r="H327" s="13" t="s">
        <v>11099</v>
      </c>
      <c r="I327" s="13" t="s">
        <v>2037</v>
      </c>
      <c r="J327" s="13"/>
      <c r="K327" s="13" t="s">
        <v>2040</v>
      </c>
      <c r="L327" s="13" t="s">
        <v>2041</v>
      </c>
    </row>
    <row r="328" customFormat="false" ht="23.85" hidden="false" customHeight="false" outlineLevel="0" collapsed="false">
      <c r="A328" s="13" t="s">
        <v>3</v>
      </c>
      <c r="B328" s="13" t="s">
        <v>68</v>
      </c>
      <c r="C328" s="13" t="n">
        <v>400</v>
      </c>
      <c r="D328" s="13" t="s">
        <v>2042</v>
      </c>
      <c r="E328" s="13" t="s">
        <v>11918</v>
      </c>
      <c r="F328" s="13" t="s">
        <v>11919</v>
      </c>
      <c r="G328" s="13" t="s">
        <v>11098</v>
      </c>
      <c r="H328" s="13" t="s">
        <v>11099</v>
      </c>
      <c r="I328" s="13" t="s">
        <v>2043</v>
      </c>
      <c r="J328" s="13"/>
      <c r="K328" s="13" t="s">
        <v>2045</v>
      </c>
      <c r="L328" s="13" t="s">
        <v>2046</v>
      </c>
    </row>
    <row r="329" customFormat="false" ht="23.85" hidden="false" customHeight="false" outlineLevel="0" collapsed="false">
      <c r="A329" s="13" t="s">
        <v>3</v>
      </c>
      <c r="B329" s="13" t="s">
        <v>68</v>
      </c>
      <c r="C329" s="13" t="n">
        <v>400</v>
      </c>
      <c r="D329" s="13" t="s">
        <v>2047</v>
      </c>
      <c r="E329" s="13" t="s">
        <v>11920</v>
      </c>
      <c r="F329" s="13" t="s">
        <v>11921</v>
      </c>
      <c r="G329" s="13" t="s">
        <v>11098</v>
      </c>
      <c r="H329" s="13" t="s">
        <v>11099</v>
      </c>
      <c r="I329" s="13" t="s">
        <v>2048</v>
      </c>
      <c r="J329" s="13"/>
      <c r="K329" s="13" t="s">
        <v>2050</v>
      </c>
      <c r="L329" s="13" t="s">
        <v>2051</v>
      </c>
    </row>
    <row r="330" customFormat="false" ht="23.85" hidden="false" customHeight="false" outlineLevel="0" collapsed="false">
      <c r="A330" s="13" t="s">
        <v>3</v>
      </c>
      <c r="B330" s="13" t="s">
        <v>68</v>
      </c>
      <c r="C330" s="13" t="n">
        <v>400</v>
      </c>
      <c r="D330" s="13" t="s">
        <v>2052</v>
      </c>
      <c r="E330" s="13" t="s">
        <v>11922</v>
      </c>
      <c r="F330" s="13" t="s">
        <v>11923</v>
      </c>
      <c r="G330" s="13" t="s">
        <v>11098</v>
      </c>
      <c r="H330" s="13" t="s">
        <v>11099</v>
      </c>
      <c r="I330" s="13" t="s">
        <v>2053</v>
      </c>
      <c r="J330" s="13"/>
      <c r="K330" s="13" t="s">
        <v>2055</v>
      </c>
      <c r="L330" s="13" t="s">
        <v>2056</v>
      </c>
    </row>
    <row r="331" customFormat="false" ht="35.05" hidden="false" customHeight="false" outlineLevel="0" collapsed="false">
      <c r="A331" s="13" t="s">
        <v>3</v>
      </c>
      <c r="B331" s="13" t="s">
        <v>68</v>
      </c>
      <c r="C331" s="13" t="n">
        <v>400</v>
      </c>
      <c r="D331" s="13" t="s">
        <v>2057</v>
      </c>
      <c r="E331" s="13" t="s">
        <v>11924</v>
      </c>
      <c r="F331" s="13" t="s">
        <v>11925</v>
      </c>
      <c r="G331" s="13" t="s">
        <v>11098</v>
      </c>
      <c r="H331" s="13" t="s">
        <v>11099</v>
      </c>
      <c r="I331" s="13" t="s">
        <v>11926</v>
      </c>
      <c r="J331" s="13"/>
      <c r="K331" s="13" t="s">
        <v>2062</v>
      </c>
      <c r="L331" s="13" t="s">
        <v>2063</v>
      </c>
    </row>
    <row r="332" customFormat="false" ht="23.85" hidden="false" customHeight="false" outlineLevel="0" collapsed="false">
      <c r="A332" s="13" t="s">
        <v>3</v>
      </c>
      <c r="B332" s="13" t="s">
        <v>68</v>
      </c>
      <c r="C332" s="13" t="n">
        <v>400</v>
      </c>
      <c r="D332" s="13" t="s">
        <v>2067</v>
      </c>
      <c r="E332" s="13" t="s">
        <v>11927</v>
      </c>
      <c r="F332" s="13" t="s">
        <v>11928</v>
      </c>
      <c r="G332" s="13" t="s">
        <v>11098</v>
      </c>
      <c r="H332" s="13" t="s">
        <v>11099</v>
      </c>
      <c r="I332" s="13" t="s">
        <v>2068</v>
      </c>
      <c r="J332" s="13"/>
      <c r="K332" s="13" t="s">
        <v>2072</v>
      </c>
      <c r="L332" s="13" t="s">
        <v>2073</v>
      </c>
    </row>
    <row r="333" customFormat="false" ht="35.05" hidden="false" customHeight="false" outlineLevel="0" collapsed="false">
      <c r="A333" s="13" t="s">
        <v>3</v>
      </c>
      <c r="B333" s="13" t="s">
        <v>68</v>
      </c>
      <c r="C333" s="13" t="n">
        <v>400</v>
      </c>
      <c r="D333" s="13" t="s">
        <v>2074</v>
      </c>
      <c r="E333" s="13" t="s">
        <v>11929</v>
      </c>
      <c r="F333" s="13" t="s">
        <v>11930</v>
      </c>
      <c r="G333" s="13" t="s">
        <v>11098</v>
      </c>
      <c r="H333" s="13" t="s">
        <v>11099</v>
      </c>
      <c r="I333" s="13" t="s">
        <v>11931</v>
      </c>
      <c r="J333" s="13"/>
      <c r="K333" s="13" t="s">
        <v>2078</v>
      </c>
      <c r="L333" s="13" t="s">
        <v>2079</v>
      </c>
    </row>
    <row r="334" customFormat="false" ht="68.65" hidden="false" customHeight="false" outlineLevel="0" collapsed="false">
      <c r="A334" s="13" t="s">
        <v>3</v>
      </c>
      <c r="B334" s="13" t="s">
        <v>68</v>
      </c>
      <c r="C334" s="13" t="n">
        <v>400</v>
      </c>
      <c r="D334" s="13" t="s">
        <v>2086</v>
      </c>
      <c r="E334" s="13" t="s">
        <v>11932</v>
      </c>
      <c r="F334" s="13" t="s">
        <v>11933</v>
      </c>
      <c r="G334" s="13" t="s">
        <v>11098</v>
      </c>
      <c r="H334" s="13" t="s">
        <v>11099</v>
      </c>
      <c r="I334" s="13" t="s">
        <v>11934</v>
      </c>
      <c r="J334" s="13"/>
      <c r="K334" s="13" t="s">
        <v>2090</v>
      </c>
      <c r="L334" s="13" t="s">
        <v>2091</v>
      </c>
    </row>
    <row r="335" customFormat="false" ht="35.05" hidden="false" customHeight="false" outlineLevel="0" collapsed="false">
      <c r="A335" s="13" t="s">
        <v>3</v>
      </c>
      <c r="B335" s="13" t="s">
        <v>68</v>
      </c>
      <c r="C335" s="13" t="n">
        <v>400</v>
      </c>
      <c r="D335" s="13" t="s">
        <v>2107</v>
      </c>
      <c r="E335" s="13" t="s">
        <v>11935</v>
      </c>
      <c r="F335" s="13" t="s">
        <v>11936</v>
      </c>
      <c r="G335" s="13" t="s">
        <v>11315</v>
      </c>
      <c r="H335" s="13" t="s">
        <v>11099</v>
      </c>
      <c r="I335" s="13" t="s">
        <v>11937</v>
      </c>
      <c r="J335" s="13"/>
      <c r="K335" s="13" t="s">
        <v>2111</v>
      </c>
      <c r="L335" s="13" t="s">
        <v>2112</v>
      </c>
    </row>
    <row r="336" customFormat="false" ht="15" hidden="false" customHeight="false" outlineLevel="0" collapsed="false">
      <c r="A336" s="13" t="s">
        <v>3</v>
      </c>
      <c r="B336" s="13" t="s">
        <v>68</v>
      </c>
      <c r="C336" s="13" t="n">
        <v>400</v>
      </c>
      <c r="D336" s="13" t="s">
        <v>2121</v>
      </c>
      <c r="E336" s="13" t="s">
        <v>11938</v>
      </c>
      <c r="F336" s="13" t="s">
        <v>11939</v>
      </c>
      <c r="G336" s="13" t="s">
        <v>11098</v>
      </c>
      <c r="H336" s="13" t="s">
        <v>11099</v>
      </c>
      <c r="I336" s="13" t="s">
        <v>2122</v>
      </c>
      <c r="J336" s="13"/>
      <c r="K336" s="13" t="s">
        <v>2125</v>
      </c>
      <c r="L336" s="13" t="s">
        <v>2126</v>
      </c>
    </row>
    <row r="337" customFormat="false" ht="35.05" hidden="false" customHeight="false" outlineLevel="0" collapsed="false">
      <c r="A337" s="13" t="s">
        <v>3</v>
      </c>
      <c r="B337" s="13" t="s">
        <v>68</v>
      </c>
      <c r="C337" s="13" t="n">
        <v>400</v>
      </c>
      <c r="D337" s="13" t="s">
        <v>2127</v>
      </c>
      <c r="E337" s="13" t="s">
        <v>11940</v>
      </c>
      <c r="F337" s="13" t="s">
        <v>11941</v>
      </c>
      <c r="G337" s="13" t="s">
        <v>11098</v>
      </c>
      <c r="H337" s="13" t="s">
        <v>11099</v>
      </c>
      <c r="I337" s="13" t="s">
        <v>2128</v>
      </c>
      <c r="J337" s="13"/>
      <c r="K337" s="13" t="s">
        <v>2131</v>
      </c>
      <c r="L337" s="13" t="s">
        <v>2132</v>
      </c>
    </row>
    <row r="338" customFormat="false" ht="35.05" hidden="false" customHeight="false" outlineLevel="0" collapsed="false">
      <c r="A338" s="13" t="s">
        <v>3</v>
      </c>
      <c r="B338" s="13" t="s">
        <v>68</v>
      </c>
      <c r="C338" s="13" t="n">
        <v>400</v>
      </c>
      <c r="D338" s="13" t="s">
        <v>2133</v>
      </c>
      <c r="E338" s="13" t="s">
        <v>11942</v>
      </c>
      <c r="F338" s="13" t="s">
        <v>11943</v>
      </c>
      <c r="G338" s="13" t="s">
        <v>11098</v>
      </c>
      <c r="H338" s="13" t="s">
        <v>11099</v>
      </c>
      <c r="I338" s="13" t="s">
        <v>2134</v>
      </c>
      <c r="J338" s="13"/>
      <c r="K338" s="13" t="s">
        <v>2136</v>
      </c>
      <c r="L338" s="13" t="s">
        <v>2137</v>
      </c>
    </row>
    <row r="339" customFormat="false" ht="23.85" hidden="false" customHeight="false" outlineLevel="0" collapsed="false">
      <c r="A339" s="13" t="s">
        <v>3</v>
      </c>
      <c r="B339" s="13" t="s">
        <v>68</v>
      </c>
      <c r="C339" s="13" t="n">
        <v>400</v>
      </c>
      <c r="D339" s="13" t="s">
        <v>2138</v>
      </c>
      <c r="E339" s="13" t="s">
        <v>11944</v>
      </c>
      <c r="F339" s="13" t="s">
        <v>11945</v>
      </c>
      <c r="G339" s="13" t="s">
        <v>11098</v>
      </c>
      <c r="H339" s="13" t="s">
        <v>11099</v>
      </c>
      <c r="I339" s="13" t="s">
        <v>2139</v>
      </c>
      <c r="J339" s="13"/>
      <c r="K339" s="13" t="s">
        <v>2142</v>
      </c>
      <c r="L339" s="13" t="s">
        <v>2143</v>
      </c>
    </row>
    <row r="340" customFormat="false" ht="158.2" hidden="false" customHeight="false" outlineLevel="0" collapsed="false">
      <c r="A340" s="13" t="s">
        <v>3</v>
      </c>
      <c r="B340" s="13" t="s">
        <v>68</v>
      </c>
      <c r="C340" s="13" t="n">
        <v>400</v>
      </c>
      <c r="D340" s="13" t="s">
        <v>2144</v>
      </c>
      <c r="E340" s="13" t="s">
        <v>11946</v>
      </c>
      <c r="F340" s="13" t="s">
        <v>11947</v>
      </c>
      <c r="G340" s="13" t="s">
        <v>11098</v>
      </c>
      <c r="H340" s="13" t="s">
        <v>11099</v>
      </c>
      <c r="I340" s="13" t="s">
        <v>2145</v>
      </c>
      <c r="J340" s="13"/>
      <c r="K340" s="13" t="s">
        <v>2148</v>
      </c>
      <c r="L340" s="13" t="s">
        <v>2149</v>
      </c>
    </row>
    <row r="341" customFormat="false" ht="91" hidden="false" customHeight="false" outlineLevel="0" collapsed="false">
      <c r="A341" s="13" t="s">
        <v>3</v>
      </c>
      <c r="B341" s="13" t="s">
        <v>2150</v>
      </c>
      <c r="C341" s="13" t="n">
        <v>61</v>
      </c>
      <c r="D341" s="13" t="s">
        <v>2151</v>
      </c>
      <c r="E341" s="13" t="s">
        <v>11948</v>
      </c>
      <c r="F341" s="13" t="s">
        <v>11949</v>
      </c>
      <c r="G341" s="13" t="s">
        <v>11098</v>
      </c>
      <c r="H341" s="13" t="s">
        <v>11099</v>
      </c>
      <c r="I341" s="13" t="s">
        <v>11950</v>
      </c>
      <c r="J341" s="13"/>
      <c r="K341" s="13" t="s">
        <v>2155</v>
      </c>
      <c r="L341" s="13" t="s">
        <v>2156</v>
      </c>
    </row>
    <row r="342" customFormat="false" ht="46.25" hidden="false" customHeight="false" outlineLevel="0" collapsed="false">
      <c r="A342" s="13" t="s">
        <v>3</v>
      </c>
      <c r="B342" s="13" t="s">
        <v>2150</v>
      </c>
      <c r="C342" s="13" t="n">
        <v>61</v>
      </c>
      <c r="D342" s="13" t="s">
        <v>2161</v>
      </c>
      <c r="E342" s="13" t="s">
        <v>11951</v>
      </c>
      <c r="F342" s="13" t="s">
        <v>11952</v>
      </c>
      <c r="G342" s="13" t="s">
        <v>11098</v>
      </c>
      <c r="H342" s="13" t="s">
        <v>11099</v>
      </c>
      <c r="I342" s="13" t="s">
        <v>2173</v>
      </c>
      <c r="J342" s="13"/>
      <c r="K342" s="13" t="s">
        <v>2165</v>
      </c>
      <c r="L342" s="13" t="s">
        <v>2166</v>
      </c>
    </row>
    <row r="343" customFormat="false" ht="35.05" hidden="false" customHeight="false" outlineLevel="0" collapsed="false">
      <c r="A343" s="13" t="s">
        <v>3</v>
      </c>
      <c r="B343" s="13" t="s">
        <v>2150</v>
      </c>
      <c r="C343" s="13" t="n">
        <v>61</v>
      </c>
      <c r="D343" s="13" t="s">
        <v>2175</v>
      </c>
      <c r="E343" s="13" t="s">
        <v>11953</v>
      </c>
      <c r="F343" s="13" t="s">
        <v>11954</v>
      </c>
      <c r="G343" s="13" t="s">
        <v>11098</v>
      </c>
      <c r="H343" s="13" t="s">
        <v>11099</v>
      </c>
      <c r="I343" s="13" t="s">
        <v>11955</v>
      </c>
      <c r="J343" s="13"/>
      <c r="K343" s="13" t="s">
        <v>2179</v>
      </c>
      <c r="L343" s="13" t="s">
        <v>2180</v>
      </c>
    </row>
    <row r="344" customFormat="false" ht="147" hidden="false" customHeight="false" outlineLevel="0" collapsed="false">
      <c r="A344" s="13" t="s">
        <v>3</v>
      </c>
      <c r="B344" s="13" t="s">
        <v>2150</v>
      </c>
      <c r="C344" s="13" t="n">
        <v>61</v>
      </c>
      <c r="D344" s="13" t="s">
        <v>2187</v>
      </c>
      <c r="E344" s="13" t="s">
        <v>11956</v>
      </c>
      <c r="F344" s="13" t="s">
        <v>11957</v>
      </c>
      <c r="G344" s="13" t="s">
        <v>11098</v>
      </c>
      <c r="H344" s="13" t="s">
        <v>11099</v>
      </c>
      <c r="I344" s="13" t="s">
        <v>11958</v>
      </c>
      <c r="J344" s="13"/>
      <c r="K344" s="13" t="s">
        <v>2190</v>
      </c>
      <c r="L344" s="13" t="s">
        <v>2191</v>
      </c>
    </row>
    <row r="345" customFormat="false" ht="147" hidden="false" customHeight="false" outlineLevel="0" collapsed="false">
      <c r="A345" s="13" t="s">
        <v>3</v>
      </c>
      <c r="B345" s="13" t="s">
        <v>2150</v>
      </c>
      <c r="C345" s="13" t="n">
        <v>61</v>
      </c>
      <c r="D345" s="13" t="s">
        <v>2187</v>
      </c>
      <c r="E345" s="13" t="s">
        <v>11959</v>
      </c>
      <c r="F345" s="13" t="s">
        <v>11960</v>
      </c>
      <c r="G345" s="13" t="s">
        <v>11098</v>
      </c>
      <c r="H345" s="13" t="s">
        <v>11099</v>
      </c>
      <c r="I345" s="13" t="s">
        <v>11961</v>
      </c>
      <c r="J345" s="13"/>
      <c r="K345" s="13" t="s">
        <v>2190</v>
      </c>
      <c r="L345" s="13" t="s">
        <v>2191</v>
      </c>
    </row>
    <row r="346" customFormat="false" ht="35.05" hidden="false" customHeight="false" outlineLevel="0" collapsed="false">
      <c r="A346" s="13" t="s">
        <v>3</v>
      </c>
      <c r="B346" s="13" t="s">
        <v>2150</v>
      </c>
      <c r="C346" s="13" t="n">
        <v>61</v>
      </c>
      <c r="D346" s="13" t="s">
        <v>2200</v>
      </c>
      <c r="E346" s="13" t="s">
        <v>11962</v>
      </c>
      <c r="F346" s="13" t="s">
        <v>11963</v>
      </c>
      <c r="G346" s="13" t="s">
        <v>11098</v>
      </c>
      <c r="H346" s="13" t="s">
        <v>11099</v>
      </c>
      <c r="I346" s="13" t="s">
        <v>11964</v>
      </c>
      <c r="J346" s="13"/>
      <c r="K346" s="13" t="s">
        <v>2204</v>
      </c>
      <c r="L346" s="13" t="s">
        <v>2205</v>
      </c>
    </row>
    <row r="347" customFormat="false" ht="15" hidden="false" customHeight="false" outlineLevel="0" collapsed="false">
      <c r="A347" s="13" t="s">
        <v>3</v>
      </c>
      <c r="B347" s="13" t="s">
        <v>2150</v>
      </c>
      <c r="C347" s="13" t="n">
        <v>61</v>
      </c>
      <c r="D347" s="13" t="s">
        <v>2208</v>
      </c>
      <c r="E347" s="13" t="s">
        <v>11965</v>
      </c>
      <c r="F347" s="13" t="s">
        <v>11966</v>
      </c>
      <c r="G347" s="13" t="s">
        <v>11098</v>
      </c>
      <c r="H347" s="13" t="s">
        <v>11099</v>
      </c>
      <c r="I347" s="13" t="s">
        <v>2209</v>
      </c>
      <c r="J347" s="13"/>
      <c r="K347" s="13" t="s">
        <v>2212</v>
      </c>
      <c r="L347" s="13" t="s">
        <v>2213</v>
      </c>
    </row>
    <row r="348" customFormat="false" ht="23.85" hidden="false" customHeight="false" outlineLevel="0" collapsed="false">
      <c r="A348" s="13" t="s">
        <v>3</v>
      </c>
      <c r="B348" s="13" t="s">
        <v>2150</v>
      </c>
      <c r="C348" s="13" t="n">
        <v>61</v>
      </c>
      <c r="D348" s="13" t="s">
        <v>2221</v>
      </c>
      <c r="E348" s="13" t="s">
        <v>11967</v>
      </c>
      <c r="F348" s="13" t="s">
        <v>11968</v>
      </c>
      <c r="G348" s="13" t="s">
        <v>11098</v>
      </c>
      <c r="H348" s="13" t="s">
        <v>11099</v>
      </c>
      <c r="I348" s="13" t="s">
        <v>11969</v>
      </c>
      <c r="J348" s="13"/>
      <c r="K348" s="13" t="s">
        <v>2225</v>
      </c>
      <c r="L348" s="13" t="s">
        <v>2226</v>
      </c>
    </row>
    <row r="349" customFormat="false" ht="113.4" hidden="false" customHeight="false" outlineLevel="0" collapsed="false">
      <c r="A349" s="13" t="s">
        <v>3</v>
      </c>
      <c r="B349" s="13" t="s">
        <v>2150</v>
      </c>
      <c r="C349" s="13" t="n">
        <v>61</v>
      </c>
      <c r="D349" s="13" t="s">
        <v>2240</v>
      </c>
      <c r="E349" s="13" t="s">
        <v>11970</v>
      </c>
      <c r="F349" s="13" t="s">
        <v>11971</v>
      </c>
      <c r="G349" s="13" t="s">
        <v>11098</v>
      </c>
      <c r="H349" s="13" t="s">
        <v>11099</v>
      </c>
      <c r="I349" s="13" t="s">
        <v>2241</v>
      </c>
      <c r="J349" s="13"/>
      <c r="K349" s="13" t="s">
        <v>2244</v>
      </c>
      <c r="L349" s="13" t="s">
        <v>2245</v>
      </c>
    </row>
    <row r="350" customFormat="false" ht="113.4" hidden="false" customHeight="false" outlineLevel="0" collapsed="false">
      <c r="A350" s="13" t="s">
        <v>3</v>
      </c>
      <c r="B350" s="13" t="s">
        <v>2150</v>
      </c>
      <c r="C350" s="13" t="n">
        <v>61</v>
      </c>
      <c r="D350" s="13" t="s">
        <v>2240</v>
      </c>
      <c r="E350" s="13" t="s">
        <v>11972</v>
      </c>
      <c r="F350" s="13" t="s">
        <v>11973</v>
      </c>
      <c r="G350" s="13" t="s">
        <v>11315</v>
      </c>
      <c r="H350" s="13" t="s">
        <v>11099</v>
      </c>
      <c r="I350" s="13" t="s">
        <v>11974</v>
      </c>
      <c r="J350" s="13"/>
      <c r="K350" s="13" t="s">
        <v>2244</v>
      </c>
      <c r="L350" s="13" t="s">
        <v>2245</v>
      </c>
    </row>
    <row r="351" customFormat="false" ht="135.8" hidden="false" customHeight="false" outlineLevel="0" collapsed="false">
      <c r="A351" s="13" t="s">
        <v>3</v>
      </c>
      <c r="B351" s="13" t="s">
        <v>2150</v>
      </c>
      <c r="C351" s="13" t="n">
        <v>63</v>
      </c>
      <c r="D351" s="13" t="s">
        <v>2255</v>
      </c>
      <c r="E351" s="13" t="s">
        <v>11975</v>
      </c>
      <c r="F351" s="13" t="s">
        <v>11976</v>
      </c>
      <c r="G351" s="13" t="s">
        <v>11098</v>
      </c>
      <c r="H351" s="13" t="s">
        <v>11099</v>
      </c>
      <c r="I351" s="13" t="s">
        <v>11977</v>
      </c>
      <c r="J351" s="13"/>
      <c r="K351" s="13" t="s">
        <v>2259</v>
      </c>
      <c r="L351" s="13" t="s">
        <v>2260</v>
      </c>
    </row>
    <row r="352" customFormat="false" ht="68.65" hidden="false" customHeight="false" outlineLevel="0" collapsed="false">
      <c r="A352" s="13" t="s">
        <v>3</v>
      </c>
      <c r="B352" s="13" t="s">
        <v>2150</v>
      </c>
      <c r="C352" s="13" t="n">
        <v>63</v>
      </c>
      <c r="D352" s="13" t="s">
        <v>2267</v>
      </c>
      <c r="E352" s="13" t="s">
        <v>11978</v>
      </c>
      <c r="F352" s="13" t="s">
        <v>11979</v>
      </c>
      <c r="G352" s="13" t="s">
        <v>11098</v>
      </c>
      <c r="H352" s="13" t="s">
        <v>11099</v>
      </c>
      <c r="I352" s="13" t="s">
        <v>2268</v>
      </c>
      <c r="J352" s="13"/>
      <c r="K352" s="13" t="s">
        <v>2272</v>
      </c>
      <c r="L352" s="13" t="s">
        <v>2273</v>
      </c>
    </row>
    <row r="353" customFormat="false" ht="57.45" hidden="false" customHeight="false" outlineLevel="0" collapsed="false">
      <c r="A353" s="13" t="s">
        <v>3</v>
      </c>
      <c r="B353" s="13" t="s">
        <v>2150</v>
      </c>
      <c r="C353" s="13" t="n">
        <v>63</v>
      </c>
      <c r="D353" s="13" t="s">
        <v>2274</v>
      </c>
      <c r="E353" s="13" t="s">
        <v>11980</v>
      </c>
      <c r="F353" s="13" t="s">
        <v>11981</v>
      </c>
      <c r="G353" s="13" t="s">
        <v>11098</v>
      </c>
      <c r="H353" s="13" t="s">
        <v>11099</v>
      </c>
      <c r="I353" s="13" t="s">
        <v>11982</v>
      </c>
      <c r="J353" s="13"/>
      <c r="K353" s="13" t="s">
        <v>2278</v>
      </c>
      <c r="L353" s="13" t="s">
        <v>2279</v>
      </c>
    </row>
    <row r="354" customFormat="false" ht="15" hidden="false" customHeight="false" outlineLevel="0" collapsed="false">
      <c r="A354" s="13" t="s">
        <v>3</v>
      </c>
      <c r="B354" s="13" t="s">
        <v>2150</v>
      </c>
      <c r="C354" s="13" t="n">
        <v>63</v>
      </c>
      <c r="D354" s="13" t="s">
        <v>2283</v>
      </c>
      <c r="E354" s="13" t="s">
        <v>11983</v>
      </c>
      <c r="F354" s="13" t="s">
        <v>11984</v>
      </c>
      <c r="G354" s="13" t="s">
        <v>11098</v>
      </c>
      <c r="H354" s="13" t="s">
        <v>11099</v>
      </c>
      <c r="I354" s="13" t="s">
        <v>2284</v>
      </c>
      <c r="J354" s="13"/>
      <c r="K354" s="13" t="s">
        <v>2286</v>
      </c>
      <c r="L354" s="13" t="s">
        <v>2287</v>
      </c>
    </row>
    <row r="355" customFormat="false" ht="23.85" hidden="false" customHeight="false" outlineLevel="0" collapsed="false">
      <c r="A355" s="13" t="s">
        <v>3</v>
      </c>
      <c r="B355" s="13" t="s">
        <v>2150</v>
      </c>
      <c r="C355" s="13" t="n">
        <v>63</v>
      </c>
      <c r="D355" s="13" t="s">
        <v>2288</v>
      </c>
      <c r="E355" s="13" t="s">
        <v>11985</v>
      </c>
      <c r="F355" s="13" t="s">
        <v>11986</v>
      </c>
      <c r="G355" s="13" t="s">
        <v>11098</v>
      </c>
      <c r="H355" s="13" t="s">
        <v>11099</v>
      </c>
      <c r="I355" s="13" t="s">
        <v>2289</v>
      </c>
      <c r="J355" s="13"/>
      <c r="K355" s="13" t="s">
        <v>2292</v>
      </c>
      <c r="L355" s="13" t="s">
        <v>2293</v>
      </c>
    </row>
    <row r="356" customFormat="false" ht="23.85" hidden="false" customHeight="false" outlineLevel="0" collapsed="false">
      <c r="A356" s="13" t="s">
        <v>3</v>
      </c>
      <c r="B356" s="13" t="s">
        <v>2150</v>
      </c>
      <c r="C356" s="13" t="n">
        <v>63</v>
      </c>
      <c r="D356" s="13" t="s">
        <v>2294</v>
      </c>
      <c r="E356" s="13" t="s">
        <v>11987</v>
      </c>
      <c r="F356" s="13" t="s">
        <v>11988</v>
      </c>
      <c r="G356" s="13" t="s">
        <v>11098</v>
      </c>
      <c r="H356" s="13" t="s">
        <v>11099</v>
      </c>
      <c r="I356" s="13" t="s">
        <v>2295</v>
      </c>
      <c r="J356" s="13"/>
      <c r="K356" s="13" t="s">
        <v>2298</v>
      </c>
      <c r="L356" s="13" t="s">
        <v>2299</v>
      </c>
    </row>
    <row r="357" customFormat="false" ht="46.25" hidden="false" customHeight="false" outlineLevel="0" collapsed="false">
      <c r="A357" s="13" t="s">
        <v>3</v>
      </c>
      <c r="B357" s="13" t="s">
        <v>2150</v>
      </c>
      <c r="C357" s="13" t="n">
        <v>63</v>
      </c>
      <c r="D357" s="13" t="s">
        <v>2300</v>
      </c>
      <c r="E357" s="13" t="s">
        <v>11989</v>
      </c>
      <c r="F357" s="13" t="s">
        <v>11990</v>
      </c>
      <c r="G357" s="13" t="s">
        <v>11098</v>
      </c>
      <c r="H357" s="13" t="s">
        <v>11099</v>
      </c>
      <c r="I357" s="13" t="s">
        <v>2301</v>
      </c>
      <c r="J357" s="13"/>
      <c r="K357" s="13" t="s">
        <v>2305</v>
      </c>
      <c r="L357" s="13" t="s">
        <v>2306</v>
      </c>
    </row>
    <row r="358" customFormat="false" ht="91" hidden="false" customHeight="false" outlineLevel="0" collapsed="false">
      <c r="A358" s="13" t="s">
        <v>3</v>
      </c>
      <c r="B358" s="13" t="s">
        <v>2150</v>
      </c>
      <c r="C358" s="13" t="n">
        <v>63</v>
      </c>
      <c r="D358" s="13" t="s">
        <v>2307</v>
      </c>
      <c r="E358" s="13" t="s">
        <v>11991</v>
      </c>
      <c r="F358" s="13" t="s">
        <v>11992</v>
      </c>
      <c r="G358" s="13" t="s">
        <v>11098</v>
      </c>
      <c r="H358" s="13" t="s">
        <v>11099</v>
      </c>
      <c r="I358" s="13" t="s">
        <v>11993</v>
      </c>
      <c r="J358" s="13"/>
      <c r="K358" s="13" t="s">
        <v>2311</v>
      </c>
      <c r="L358" s="13" t="s">
        <v>2312</v>
      </c>
    </row>
    <row r="359" customFormat="false" ht="91" hidden="false" customHeight="false" outlineLevel="0" collapsed="false">
      <c r="A359" s="13" t="s">
        <v>3</v>
      </c>
      <c r="B359" s="13" t="s">
        <v>2150</v>
      </c>
      <c r="C359" s="13" t="n">
        <v>63</v>
      </c>
      <c r="D359" s="13" t="s">
        <v>2307</v>
      </c>
      <c r="E359" s="13" t="s">
        <v>11994</v>
      </c>
      <c r="F359" s="13" t="s">
        <v>11995</v>
      </c>
      <c r="G359" s="13" t="s">
        <v>11098</v>
      </c>
      <c r="H359" s="13" t="s">
        <v>11099</v>
      </c>
      <c r="I359" s="13" t="s">
        <v>2316</v>
      </c>
      <c r="J359" s="13"/>
      <c r="K359" s="13" t="s">
        <v>2311</v>
      </c>
      <c r="L359" s="13" t="s">
        <v>2312</v>
      </c>
    </row>
    <row r="360" customFormat="false" ht="35.05" hidden="false" customHeight="false" outlineLevel="0" collapsed="false">
      <c r="A360" s="13" t="s">
        <v>3</v>
      </c>
      <c r="B360" s="13" t="s">
        <v>2150</v>
      </c>
      <c r="C360" s="13" t="n">
        <v>63</v>
      </c>
      <c r="D360" s="13" t="s">
        <v>2323</v>
      </c>
      <c r="E360" s="13" t="s">
        <v>11996</v>
      </c>
      <c r="F360" s="13" t="s">
        <v>11997</v>
      </c>
      <c r="G360" s="13" t="s">
        <v>11098</v>
      </c>
      <c r="H360" s="13" t="s">
        <v>11099</v>
      </c>
      <c r="I360" s="13" t="s">
        <v>11998</v>
      </c>
      <c r="J360" s="13"/>
      <c r="K360" s="13" t="s">
        <v>2327</v>
      </c>
      <c r="L360" s="13" t="s">
        <v>2328</v>
      </c>
    </row>
    <row r="361" customFormat="false" ht="35.05" hidden="false" customHeight="false" outlineLevel="0" collapsed="false">
      <c r="A361" s="13" t="s">
        <v>3</v>
      </c>
      <c r="B361" s="13" t="s">
        <v>2150</v>
      </c>
      <c r="C361" s="13" t="n">
        <v>63</v>
      </c>
      <c r="D361" s="13" t="s">
        <v>11999</v>
      </c>
      <c r="E361" s="13" t="s">
        <v>12000</v>
      </c>
      <c r="F361" s="13" t="s">
        <v>12001</v>
      </c>
      <c r="G361" s="13" t="s">
        <v>11098</v>
      </c>
      <c r="H361" s="13" t="s">
        <v>11099</v>
      </c>
      <c r="I361" s="13" t="s">
        <v>12002</v>
      </c>
      <c r="J361" s="13" t="s">
        <v>12003</v>
      </c>
      <c r="K361" s="13" t="s">
        <v>12004</v>
      </c>
      <c r="L361" s="13" t="s">
        <v>12005</v>
      </c>
    </row>
    <row r="362" customFormat="false" ht="46.25" hidden="false" customHeight="false" outlineLevel="0" collapsed="false">
      <c r="A362" s="13" t="s">
        <v>3</v>
      </c>
      <c r="B362" s="13" t="s">
        <v>2150</v>
      </c>
      <c r="C362" s="13" t="n">
        <v>63</v>
      </c>
      <c r="D362" s="13" t="s">
        <v>2335</v>
      </c>
      <c r="E362" s="13" t="s">
        <v>12006</v>
      </c>
      <c r="F362" s="13" t="s">
        <v>12007</v>
      </c>
      <c r="G362" s="13" t="s">
        <v>11098</v>
      </c>
      <c r="H362" s="13" t="s">
        <v>11099</v>
      </c>
      <c r="I362" s="13" t="s">
        <v>12008</v>
      </c>
      <c r="J362" s="13"/>
      <c r="K362" s="13" t="s">
        <v>2339</v>
      </c>
      <c r="L362" s="13" t="s">
        <v>2340</v>
      </c>
    </row>
    <row r="363" customFormat="false" ht="113.4" hidden="false" customHeight="false" outlineLevel="0" collapsed="false">
      <c r="A363" s="13" t="s">
        <v>3</v>
      </c>
      <c r="B363" s="13" t="s">
        <v>2150</v>
      </c>
      <c r="C363" s="13" t="n">
        <v>81</v>
      </c>
      <c r="D363" s="13" t="s">
        <v>2348</v>
      </c>
      <c r="E363" s="13" t="s">
        <v>12009</v>
      </c>
      <c r="F363" s="13" t="s">
        <v>12010</v>
      </c>
      <c r="G363" s="13" t="s">
        <v>11098</v>
      </c>
      <c r="H363" s="13" t="s">
        <v>11099</v>
      </c>
      <c r="I363" s="13" t="s">
        <v>12011</v>
      </c>
      <c r="J363" s="13"/>
      <c r="K363" s="13" t="s">
        <v>2352</v>
      </c>
      <c r="L363" s="13" t="s">
        <v>2353</v>
      </c>
    </row>
    <row r="364" customFormat="false" ht="113.4" hidden="false" customHeight="false" outlineLevel="0" collapsed="false">
      <c r="A364" s="13" t="s">
        <v>3</v>
      </c>
      <c r="B364" s="13" t="s">
        <v>2150</v>
      </c>
      <c r="C364" s="13" t="n">
        <v>81</v>
      </c>
      <c r="D364" s="13" t="s">
        <v>2348</v>
      </c>
      <c r="E364" s="13" t="s">
        <v>12012</v>
      </c>
      <c r="F364" s="13" t="s">
        <v>12013</v>
      </c>
      <c r="G364" s="13" t="s">
        <v>11098</v>
      </c>
      <c r="H364" s="13" t="s">
        <v>11099</v>
      </c>
      <c r="I364" s="13" t="s">
        <v>2357</v>
      </c>
      <c r="J364" s="13" t="s">
        <v>12014</v>
      </c>
      <c r="K364" s="13" t="s">
        <v>2352</v>
      </c>
      <c r="L364" s="13" t="s">
        <v>2353</v>
      </c>
    </row>
    <row r="365" customFormat="false" ht="23.85" hidden="false" customHeight="false" outlineLevel="0" collapsed="false">
      <c r="A365" s="13" t="s">
        <v>3</v>
      </c>
      <c r="B365" s="13" t="s">
        <v>2150</v>
      </c>
      <c r="C365" s="13" t="n">
        <v>81</v>
      </c>
      <c r="D365" s="13" t="s">
        <v>2360</v>
      </c>
      <c r="E365" s="13" t="s">
        <v>12015</v>
      </c>
      <c r="F365" s="13" t="s">
        <v>12016</v>
      </c>
      <c r="G365" s="13" t="s">
        <v>11098</v>
      </c>
      <c r="H365" s="13" t="s">
        <v>11099</v>
      </c>
      <c r="I365" s="13" t="s">
        <v>2361</v>
      </c>
      <c r="J365" s="13"/>
      <c r="K365" s="13" t="s">
        <v>2364</v>
      </c>
      <c r="L365" s="13" t="s">
        <v>2365</v>
      </c>
    </row>
    <row r="366" customFormat="false" ht="15" hidden="false" customHeight="false" outlineLevel="0" collapsed="false">
      <c r="A366" s="13" t="s">
        <v>3</v>
      </c>
      <c r="B366" s="13" t="s">
        <v>2150</v>
      </c>
      <c r="C366" s="13" t="n">
        <v>81</v>
      </c>
      <c r="D366" s="13" t="s">
        <v>2366</v>
      </c>
      <c r="E366" s="13" t="s">
        <v>12017</v>
      </c>
      <c r="F366" s="13" t="s">
        <v>12018</v>
      </c>
      <c r="G366" s="13" t="s">
        <v>11098</v>
      </c>
      <c r="H366" s="13" t="s">
        <v>11099</v>
      </c>
      <c r="I366" s="13" t="s">
        <v>2367</v>
      </c>
      <c r="J366" s="13"/>
      <c r="K366" s="13" t="s">
        <v>2370</v>
      </c>
      <c r="L366" s="13" t="s">
        <v>2371</v>
      </c>
    </row>
    <row r="367" customFormat="false" ht="15" hidden="false" customHeight="false" outlineLevel="0" collapsed="false">
      <c r="A367" s="13" t="s">
        <v>3</v>
      </c>
      <c r="B367" s="13" t="s">
        <v>2150</v>
      </c>
      <c r="C367" s="13" t="n">
        <v>81</v>
      </c>
      <c r="D367" s="13" t="s">
        <v>2372</v>
      </c>
      <c r="E367" s="13" t="s">
        <v>12019</v>
      </c>
      <c r="F367" s="13" t="s">
        <v>12020</v>
      </c>
      <c r="G367" s="13" t="s">
        <v>11098</v>
      </c>
      <c r="H367" s="13" t="s">
        <v>11099</v>
      </c>
      <c r="I367" s="13" t="s">
        <v>2373</v>
      </c>
      <c r="J367" s="13"/>
      <c r="K367" s="13" t="s">
        <v>2375</v>
      </c>
      <c r="L367" s="13" t="s">
        <v>2376</v>
      </c>
    </row>
    <row r="368" customFormat="false" ht="15" hidden="false" customHeight="false" outlineLevel="0" collapsed="false">
      <c r="A368" s="13" t="s">
        <v>3</v>
      </c>
      <c r="B368" s="13" t="s">
        <v>2150</v>
      </c>
      <c r="C368" s="13" t="n">
        <v>81</v>
      </c>
      <c r="D368" s="13" t="s">
        <v>2377</v>
      </c>
      <c r="E368" s="13" t="s">
        <v>12021</v>
      </c>
      <c r="F368" s="13" t="s">
        <v>12022</v>
      </c>
      <c r="G368" s="13" t="s">
        <v>11098</v>
      </c>
      <c r="H368" s="13" t="s">
        <v>11099</v>
      </c>
      <c r="I368" s="13" t="s">
        <v>2378</v>
      </c>
      <c r="J368" s="13"/>
      <c r="K368" s="13" t="s">
        <v>2380</v>
      </c>
      <c r="L368" s="13" t="s">
        <v>2381</v>
      </c>
    </row>
    <row r="369" customFormat="false" ht="15" hidden="false" customHeight="false" outlineLevel="0" collapsed="false">
      <c r="A369" s="13" t="s">
        <v>3</v>
      </c>
      <c r="B369" s="13" t="s">
        <v>2150</v>
      </c>
      <c r="C369" s="13" t="n">
        <v>81</v>
      </c>
      <c r="D369" s="13" t="s">
        <v>2382</v>
      </c>
      <c r="E369" s="13" t="s">
        <v>12023</v>
      </c>
      <c r="F369" s="13" t="s">
        <v>12024</v>
      </c>
      <c r="G369" s="13" t="s">
        <v>11098</v>
      </c>
      <c r="H369" s="13" t="s">
        <v>11099</v>
      </c>
      <c r="I369" s="13" t="s">
        <v>2383</v>
      </c>
      <c r="J369" s="13"/>
      <c r="K369" s="13" t="s">
        <v>2385</v>
      </c>
      <c r="L369" s="13" t="s">
        <v>2386</v>
      </c>
    </row>
    <row r="370" customFormat="false" ht="79.85" hidden="false" customHeight="false" outlineLevel="0" collapsed="false">
      <c r="A370" s="13" t="s">
        <v>3</v>
      </c>
      <c r="B370" s="13" t="s">
        <v>2150</v>
      </c>
      <c r="C370" s="13" t="n">
        <v>81</v>
      </c>
      <c r="D370" s="13" t="s">
        <v>2387</v>
      </c>
      <c r="E370" s="13" t="s">
        <v>12025</v>
      </c>
      <c r="F370" s="13" t="s">
        <v>12026</v>
      </c>
      <c r="G370" s="13" t="s">
        <v>11098</v>
      </c>
      <c r="H370" s="13" t="s">
        <v>11099</v>
      </c>
      <c r="I370" s="13" t="s">
        <v>2388</v>
      </c>
      <c r="J370" s="13" t="s">
        <v>12027</v>
      </c>
      <c r="K370" s="13" t="s">
        <v>2390</v>
      </c>
      <c r="L370" s="13" t="s">
        <v>2391</v>
      </c>
    </row>
    <row r="371" customFormat="false" ht="79.85" hidden="false" customHeight="false" outlineLevel="0" collapsed="false">
      <c r="A371" s="13" t="s">
        <v>3</v>
      </c>
      <c r="B371" s="13" t="s">
        <v>2150</v>
      </c>
      <c r="C371" s="13" t="n">
        <v>81</v>
      </c>
      <c r="D371" s="13" t="s">
        <v>2387</v>
      </c>
      <c r="E371" s="13" t="s">
        <v>12028</v>
      </c>
      <c r="F371" s="13" t="s">
        <v>12029</v>
      </c>
      <c r="G371" s="13" t="s">
        <v>11098</v>
      </c>
      <c r="H371" s="13" t="s">
        <v>11099</v>
      </c>
      <c r="I371" s="13" t="s">
        <v>2392</v>
      </c>
      <c r="J371" s="13"/>
      <c r="K371" s="13" t="s">
        <v>2390</v>
      </c>
      <c r="L371" s="13" t="s">
        <v>2391</v>
      </c>
    </row>
    <row r="372" customFormat="false" ht="35.05" hidden="false" customHeight="false" outlineLevel="0" collapsed="false">
      <c r="A372" s="13" t="s">
        <v>3</v>
      </c>
      <c r="B372" s="13" t="s">
        <v>2150</v>
      </c>
      <c r="C372" s="13" t="n">
        <v>81</v>
      </c>
      <c r="D372" s="13" t="s">
        <v>2402</v>
      </c>
      <c r="E372" s="13" t="s">
        <v>12030</v>
      </c>
      <c r="F372" s="13" t="s">
        <v>12031</v>
      </c>
      <c r="G372" s="13" t="s">
        <v>11098</v>
      </c>
      <c r="H372" s="13" t="s">
        <v>11099</v>
      </c>
      <c r="I372" s="13" t="s">
        <v>2403</v>
      </c>
      <c r="J372" s="13"/>
      <c r="K372" s="13" t="s">
        <v>2407</v>
      </c>
      <c r="L372" s="13" t="s">
        <v>2408</v>
      </c>
    </row>
    <row r="373" customFormat="false" ht="23.85" hidden="false" customHeight="false" outlineLevel="0" collapsed="false">
      <c r="A373" s="13" t="s">
        <v>3</v>
      </c>
      <c r="B373" s="13" t="s">
        <v>2150</v>
      </c>
      <c r="C373" s="13" t="n">
        <v>81</v>
      </c>
      <c r="D373" s="13" t="s">
        <v>2409</v>
      </c>
      <c r="E373" s="13" t="s">
        <v>12032</v>
      </c>
      <c r="F373" s="13" t="s">
        <v>12033</v>
      </c>
      <c r="G373" s="13" t="s">
        <v>11098</v>
      </c>
      <c r="H373" s="13" t="s">
        <v>11099</v>
      </c>
      <c r="I373" s="13" t="s">
        <v>2410</v>
      </c>
      <c r="J373" s="13"/>
      <c r="K373" s="13" t="s">
        <v>2412</v>
      </c>
      <c r="L373" s="13" t="s">
        <v>2413</v>
      </c>
    </row>
    <row r="374" customFormat="false" ht="35.05" hidden="false" customHeight="false" outlineLevel="0" collapsed="false">
      <c r="A374" s="13" t="s">
        <v>3</v>
      </c>
      <c r="B374" s="13" t="s">
        <v>2150</v>
      </c>
      <c r="C374" s="13" t="n">
        <v>81</v>
      </c>
      <c r="D374" s="13" t="s">
        <v>2414</v>
      </c>
      <c r="E374" s="13" t="s">
        <v>12034</v>
      </c>
      <c r="F374" s="13" t="s">
        <v>12035</v>
      </c>
      <c r="G374" s="13" t="s">
        <v>11098</v>
      </c>
      <c r="H374" s="13" t="s">
        <v>11099</v>
      </c>
      <c r="I374" s="13" t="s">
        <v>12036</v>
      </c>
      <c r="J374" s="13"/>
      <c r="K374" s="13" t="s">
        <v>2417</v>
      </c>
      <c r="L374" s="13" t="s">
        <v>2418</v>
      </c>
    </row>
    <row r="375" customFormat="false" ht="23.85" hidden="false" customHeight="false" outlineLevel="0" collapsed="false">
      <c r="A375" s="13" t="s">
        <v>3</v>
      </c>
      <c r="B375" s="13" t="s">
        <v>2150</v>
      </c>
      <c r="C375" s="13" t="n">
        <v>81</v>
      </c>
      <c r="D375" s="13" t="s">
        <v>2421</v>
      </c>
      <c r="E375" s="13" t="s">
        <v>12037</v>
      </c>
      <c r="F375" s="13" t="s">
        <v>12038</v>
      </c>
      <c r="G375" s="13" t="s">
        <v>11098</v>
      </c>
      <c r="H375" s="13" t="s">
        <v>11099</v>
      </c>
      <c r="I375" s="13" t="s">
        <v>2422</v>
      </c>
      <c r="J375" s="13"/>
      <c r="K375" s="13" t="s">
        <v>2425</v>
      </c>
      <c r="L375" s="13" t="s">
        <v>2426</v>
      </c>
    </row>
    <row r="376" customFormat="false" ht="57.45" hidden="false" customHeight="false" outlineLevel="0" collapsed="false">
      <c r="A376" s="13" t="s">
        <v>3</v>
      </c>
      <c r="B376" s="13" t="s">
        <v>2150</v>
      </c>
      <c r="C376" s="13" t="n">
        <v>81</v>
      </c>
      <c r="D376" s="13" t="s">
        <v>2427</v>
      </c>
      <c r="E376" s="13" t="s">
        <v>12039</v>
      </c>
      <c r="F376" s="13" t="s">
        <v>12040</v>
      </c>
      <c r="G376" s="13" t="s">
        <v>11098</v>
      </c>
      <c r="H376" s="13" t="s">
        <v>11099</v>
      </c>
      <c r="I376" s="13" t="s">
        <v>12041</v>
      </c>
      <c r="J376" s="13"/>
      <c r="K376" s="13" t="s">
        <v>2432</v>
      </c>
      <c r="L376" s="13" t="s">
        <v>2433</v>
      </c>
    </row>
    <row r="377" customFormat="false" ht="79.85" hidden="false" customHeight="false" outlineLevel="0" collapsed="false">
      <c r="A377" s="13" t="s">
        <v>3</v>
      </c>
      <c r="B377" s="13" t="s">
        <v>2150</v>
      </c>
      <c r="C377" s="13" t="n">
        <v>81</v>
      </c>
      <c r="D377" s="13" t="s">
        <v>2440</v>
      </c>
      <c r="E377" s="13" t="s">
        <v>12042</v>
      </c>
      <c r="F377" s="13" t="s">
        <v>12043</v>
      </c>
      <c r="G377" s="13" t="s">
        <v>11098</v>
      </c>
      <c r="H377" s="13" t="s">
        <v>11099</v>
      </c>
      <c r="I377" s="13" t="s">
        <v>2441</v>
      </c>
      <c r="J377" s="13"/>
      <c r="K377" s="13" t="s">
        <v>2445</v>
      </c>
      <c r="L377" s="13" t="s">
        <v>2446</v>
      </c>
    </row>
    <row r="378" customFormat="false" ht="79.85" hidden="false" customHeight="false" outlineLevel="0" collapsed="false">
      <c r="A378" s="13" t="s">
        <v>3</v>
      </c>
      <c r="B378" s="13" t="s">
        <v>2150</v>
      </c>
      <c r="C378" s="13" t="n">
        <v>81</v>
      </c>
      <c r="D378" s="13" t="s">
        <v>2440</v>
      </c>
      <c r="E378" s="13" t="s">
        <v>12044</v>
      </c>
      <c r="F378" s="13" t="s">
        <v>12045</v>
      </c>
      <c r="G378" s="13" t="s">
        <v>11098</v>
      </c>
      <c r="H378" s="13" t="s">
        <v>11099</v>
      </c>
      <c r="I378" s="13" t="s">
        <v>2447</v>
      </c>
      <c r="J378" s="13"/>
      <c r="K378" s="13" t="s">
        <v>2445</v>
      </c>
      <c r="L378" s="13" t="s">
        <v>2446</v>
      </c>
    </row>
    <row r="379" customFormat="false" ht="46.25" hidden="false" customHeight="false" outlineLevel="0" collapsed="false">
      <c r="A379" s="13" t="s">
        <v>3</v>
      </c>
      <c r="B379" s="13" t="s">
        <v>2150</v>
      </c>
      <c r="C379" s="13" t="n">
        <v>86</v>
      </c>
      <c r="D379" s="13" t="s">
        <v>2455</v>
      </c>
      <c r="E379" s="13" t="s">
        <v>12046</v>
      </c>
      <c r="F379" s="13" t="s">
        <v>12047</v>
      </c>
      <c r="G379" s="13" t="s">
        <v>11098</v>
      </c>
      <c r="H379" s="13" t="s">
        <v>11099</v>
      </c>
      <c r="I379" s="13" t="s">
        <v>12048</v>
      </c>
      <c r="J379" s="13"/>
      <c r="K379" s="13" t="s">
        <v>2460</v>
      </c>
      <c r="L379" s="13" t="s">
        <v>2461</v>
      </c>
    </row>
    <row r="380" customFormat="false" ht="46.25" hidden="false" customHeight="false" outlineLevel="0" collapsed="false">
      <c r="A380" s="13" t="s">
        <v>3</v>
      </c>
      <c r="B380" s="13" t="s">
        <v>2150</v>
      </c>
      <c r="C380" s="13" t="n">
        <v>86</v>
      </c>
      <c r="D380" s="13" t="s">
        <v>2455</v>
      </c>
      <c r="E380" s="13" t="s">
        <v>12049</v>
      </c>
      <c r="F380" s="13" t="s">
        <v>12050</v>
      </c>
      <c r="G380" s="13" t="s">
        <v>11098</v>
      </c>
      <c r="H380" s="13" t="s">
        <v>11099</v>
      </c>
      <c r="I380" s="13" t="s">
        <v>2465</v>
      </c>
      <c r="J380" s="13"/>
      <c r="K380" s="13" t="s">
        <v>2460</v>
      </c>
      <c r="L380" s="13" t="s">
        <v>2461</v>
      </c>
    </row>
    <row r="381" customFormat="false" ht="15" hidden="false" customHeight="false" outlineLevel="0" collapsed="false">
      <c r="A381" s="13" t="s">
        <v>3</v>
      </c>
      <c r="B381" s="13" t="s">
        <v>2150</v>
      </c>
      <c r="C381" s="13" t="n">
        <v>86</v>
      </c>
      <c r="D381" s="13" t="s">
        <v>2474</v>
      </c>
      <c r="E381" s="13" t="s">
        <v>12051</v>
      </c>
      <c r="F381" s="13" t="s">
        <v>12052</v>
      </c>
      <c r="G381" s="13" t="s">
        <v>11098</v>
      </c>
      <c r="H381" s="13" t="s">
        <v>11099</v>
      </c>
      <c r="I381" s="13" t="s">
        <v>2475</v>
      </c>
      <c r="J381" s="13"/>
      <c r="K381" s="13" t="s">
        <v>2478</v>
      </c>
      <c r="L381" s="13" t="s">
        <v>2479</v>
      </c>
    </row>
    <row r="382" customFormat="false" ht="15" hidden="false" customHeight="false" outlineLevel="0" collapsed="false">
      <c r="A382" s="13" t="s">
        <v>3</v>
      </c>
      <c r="B382" s="13" t="s">
        <v>2150</v>
      </c>
      <c r="C382" s="13" t="n">
        <v>86</v>
      </c>
      <c r="D382" s="13" t="s">
        <v>2480</v>
      </c>
      <c r="E382" s="13" t="s">
        <v>12053</v>
      </c>
      <c r="F382" s="13" t="s">
        <v>12054</v>
      </c>
      <c r="G382" s="13" t="s">
        <v>11098</v>
      </c>
      <c r="H382" s="13" t="s">
        <v>11099</v>
      </c>
      <c r="I382" s="13" t="s">
        <v>2481</v>
      </c>
      <c r="J382" s="13"/>
      <c r="K382" s="13" t="s">
        <v>2485</v>
      </c>
      <c r="L382" s="13" t="s">
        <v>2486</v>
      </c>
    </row>
    <row r="383" customFormat="false" ht="79.85" hidden="false" customHeight="false" outlineLevel="0" collapsed="false">
      <c r="A383" s="13" t="s">
        <v>3</v>
      </c>
      <c r="B383" s="13" t="s">
        <v>2150</v>
      </c>
      <c r="C383" s="13" t="n">
        <v>86</v>
      </c>
      <c r="D383" s="13" t="s">
        <v>2487</v>
      </c>
      <c r="E383" s="13" t="s">
        <v>12055</v>
      </c>
      <c r="F383" s="13" t="s">
        <v>12056</v>
      </c>
      <c r="G383" s="13" t="s">
        <v>11098</v>
      </c>
      <c r="H383" s="13" t="s">
        <v>11099</v>
      </c>
      <c r="I383" s="13" t="s">
        <v>2488</v>
      </c>
      <c r="J383" s="13"/>
      <c r="K383" s="13" t="s">
        <v>2491</v>
      </c>
      <c r="L383" s="13" t="s">
        <v>2492</v>
      </c>
    </row>
    <row r="384" customFormat="false" ht="79.85" hidden="false" customHeight="false" outlineLevel="0" collapsed="false">
      <c r="A384" s="13" t="s">
        <v>3</v>
      </c>
      <c r="B384" s="13" t="s">
        <v>2150</v>
      </c>
      <c r="C384" s="13" t="n">
        <v>86</v>
      </c>
      <c r="D384" s="13" t="s">
        <v>2487</v>
      </c>
      <c r="E384" s="13" t="s">
        <v>12057</v>
      </c>
      <c r="F384" s="13" t="s">
        <v>12058</v>
      </c>
      <c r="G384" s="13" t="s">
        <v>11098</v>
      </c>
      <c r="H384" s="13" t="s">
        <v>11099</v>
      </c>
      <c r="I384" s="13" t="s">
        <v>12059</v>
      </c>
      <c r="J384" s="13"/>
      <c r="K384" s="13" t="s">
        <v>2491</v>
      </c>
      <c r="L384" s="13" t="s">
        <v>2492</v>
      </c>
    </row>
    <row r="385" customFormat="false" ht="23.85" hidden="false" customHeight="false" outlineLevel="0" collapsed="false">
      <c r="A385" s="13" t="s">
        <v>3</v>
      </c>
      <c r="B385" s="13" t="s">
        <v>2150</v>
      </c>
      <c r="C385" s="13" t="n">
        <v>86</v>
      </c>
      <c r="D385" s="13" t="s">
        <v>2499</v>
      </c>
      <c r="E385" s="13" t="s">
        <v>12060</v>
      </c>
      <c r="F385" s="13" t="s">
        <v>12061</v>
      </c>
      <c r="G385" s="13" t="s">
        <v>11098</v>
      </c>
      <c r="H385" s="13" t="s">
        <v>11099</v>
      </c>
      <c r="I385" s="13" t="s">
        <v>2500</v>
      </c>
      <c r="J385" s="13"/>
      <c r="K385" s="13" t="s">
        <v>2504</v>
      </c>
      <c r="L385" s="13" t="s">
        <v>2505</v>
      </c>
    </row>
    <row r="386" customFormat="false" ht="23.85" hidden="false" customHeight="false" outlineLevel="0" collapsed="false">
      <c r="A386" s="13" t="s">
        <v>3</v>
      </c>
      <c r="B386" s="13" t="s">
        <v>2150</v>
      </c>
      <c r="C386" s="13" t="n">
        <v>86</v>
      </c>
      <c r="D386" s="13" t="s">
        <v>2506</v>
      </c>
      <c r="E386" s="13" t="s">
        <v>12062</v>
      </c>
      <c r="F386" s="13" t="s">
        <v>12063</v>
      </c>
      <c r="G386" s="13" t="s">
        <v>11098</v>
      </c>
      <c r="H386" s="13" t="s">
        <v>11099</v>
      </c>
      <c r="I386" s="13" t="s">
        <v>2507</v>
      </c>
      <c r="J386" s="13"/>
      <c r="K386" s="13" t="s">
        <v>2510</v>
      </c>
      <c r="L386" s="13" t="s">
        <v>2511</v>
      </c>
    </row>
    <row r="387" customFormat="false" ht="68.65" hidden="false" customHeight="false" outlineLevel="0" collapsed="false">
      <c r="A387" s="13" t="s">
        <v>3</v>
      </c>
      <c r="B387" s="13" t="s">
        <v>2150</v>
      </c>
      <c r="C387" s="13" t="n">
        <v>86</v>
      </c>
      <c r="D387" s="13" t="s">
        <v>2512</v>
      </c>
      <c r="E387" s="13" t="s">
        <v>12064</v>
      </c>
      <c r="F387" s="13" t="s">
        <v>12065</v>
      </c>
      <c r="G387" s="13" t="s">
        <v>11098</v>
      </c>
      <c r="H387" s="13" t="s">
        <v>11099</v>
      </c>
      <c r="I387" s="13" t="s">
        <v>12066</v>
      </c>
      <c r="J387" s="13"/>
      <c r="K387" s="13" t="s">
        <v>2515</v>
      </c>
      <c r="L387" s="13" t="s">
        <v>2516</v>
      </c>
    </row>
    <row r="388" customFormat="false" ht="68.65" hidden="false" customHeight="false" outlineLevel="0" collapsed="false">
      <c r="A388" s="13" t="s">
        <v>3</v>
      </c>
      <c r="B388" s="13" t="s">
        <v>2150</v>
      </c>
      <c r="C388" s="13" t="n">
        <v>86</v>
      </c>
      <c r="D388" s="13" t="s">
        <v>2512</v>
      </c>
      <c r="E388" s="13" t="s">
        <v>12067</v>
      </c>
      <c r="F388" s="13" t="s">
        <v>12068</v>
      </c>
      <c r="G388" s="13" t="s">
        <v>11098</v>
      </c>
      <c r="H388" s="13" t="s">
        <v>11099</v>
      </c>
      <c r="I388" s="13" t="s">
        <v>2520</v>
      </c>
      <c r="J388" s="13"/>
      <c r="K388" s="13" t="s">
        <v>2515</v>
      </c>
      <c r="L388" s="13" t="s">
        <v>2516</v>
      </c>
    </row>
    <row r="389" customFormat="false" ht="35.05" hidden="false" customHeight="false" outlineLevel="0" collapsed="false">
      <c r="A389" s="13" t="s">
        <v>3</v>
      </c>
      <c r="B389" s="13" t="s">
        <v>2150</v>
      </c>
      <c r="C389" s="13" t="n">
        <v>86</v>
      </c>
      <c r="D389" s="13" t="s">
        <v>2522</v>
      </c>
      <c r="E389" s="13" t="s">
        <v>12069</v>
      </c>
      <c r="F389" s="13" t="s">
        <v>12070</v>
      </c>
      <c r="G389" s="13" t="s">
        <v>11315</v>
      </c>
      <c r="H389" s="13" t="s">
        <v>11099</v>
      </c>
      <c r="I389" s="13" t="s">
        <v>2523</v>
      </c>
      <c r="J389" s="13"/>
      <c r="K389" s="13" t="s">
        <v>2526</v>
      </c>
      <c r="L389" s="13" t="s">
        <v>2527</v>
      </c>
    </row>
    <row r="390" customFormat="false" ht="15" hidden="false" customHeight="false" outlineLevel="0" collapsed="false">
      <c r="A390" s="13" t="s">
        <v>3</v>
      </c>
      <c r="B390" s="13" t="s">
        <v>2150</v>
      </c>
      <c r="C390" s="13" t="n">
        <v>86</v>
      </c>
      <c r="D390" s="13" t="s">
        <v>2532</v>
      </c>
      <c r="E390" s="13" t="s">
        <v>12071</v>
      </c>
      <c r="F390" s="13" t="s">
        <v>12072</v>
      </c>
      <c r="G390" s="13" t="s">
        <v>11098</v>
      </c>
      <c r="H390" s="13" t="s">
        <v>11099</v>
      </c>
      <c r="I390" s="13" t="s">
        <v>2533</v>
      </c>
      <c r="J390" s="13"/>
      <c r="K390" s="13" t="s">
        <v>2535</v>
      </c>
      <c r="L390" s="13" t="s">
        <v>2536</v>
      </c>
    </row>
    <row r="391" customFormat="false" ht="15" hidden="false" customHeight="false" outlineLevel="0" collapsed="false">
      <c r="A391" s="13" t="s">
        <v>3</v>
      </c>
      <c r="B391" s="13" t="s">
        <v>2150</v>
      </c>
      <c r="C391" s="13" t="n">
        <v>86</v>
      </c>
      <c r="D391" s="13" t="s">
        <v>2537</v>
      </c>
      <c r="E391" s="13" t="s">
        <v>12073</v>
      </c>
      <c r="F391" s="13" t="s">
        <v>12074</v>
      </c>
      <c r="G391" s="13" t="s">
        <v>11137</v>
      </c>
      <c r="H391" s="13" t="s">
        <v>11099</v>
      </c>
      <c r="I391" s="13" t="s">
        <v>2538</v>
      </c>
      <c r="J391" s="13" t="s">
        <v>12075</v>
      </c>
      <c r="K391" s="13" t="s">
        <v>2542</v>
      </c>
      <c r="L391" s="13" t="s">
        <v>2543</v>
      </c>
    </row>
    <row r="392" customFormat="false" ht="15" hidden="false" customHeight="false" outlineLevel="0" collapsed="false">
      <c r="A392" s="13" t="s">
        <v>3</v>
      </c>
      <c r="B392" s="13" t="s">
        <v>2150</v>
      </c>
      <c r="C392" s="13" t="n">
        <v>86</v>
      </c>
      <c r="D392" s="13" t="s">
        <v>2544</v>
      </c>
      <c r="E392" s="13" t="s">
        <v>12076</v>
      </c>
      <c r="F392" s="13" t="s">
        <v>12077</v>
      </c>
      <c r="G392" s="13" t="s">
        <v>11098</v>
      </c>
      <c r="H392" s="13" t="s">
        <v>11099</v>
      </c>
      <c r="I392" s="13" t="s">
        <v>2545</v>
      </c>
      <c r="J392" s="13"/>
      <c r="K392" s="13" t="s">
        <v>2547</v>
      </c>
      <c r="L392" s="13" t="s">
        <v>2548</v>
      </c>
    </row>
    <row r="393" customFormat="false" ht="15" hidden="false" customHeight="false" outlineLevel="0" collapsed="false">
      <c r="A393" s="13" t="s">
        <v>3</v>
      </c>
      <c r="B393" s="13" t="s">
        <v>2150</v>
      </c>
      <c r="C393" s="13" t="n">
        <v>86</v>
      </c>
      <c r="D393" s="13" t="s">
        <v>2549</v>
      </c>
      <c r="E393" s="13" t="s">
        <v>12078</v>
      </c>
      <c r="F393" s="13" t="s">
        <v>12079</v>
      </c>
      <c r="G393" s="13" t="s">
        <v>11098</v>
      </c>
      <c r="H393" s="13" t="s">
        <v>11099</v>
      </c>
      <c r="I393" s="13" t="s">
        <v>2550</v>
      </c>
      <c r="J393" s="13"/>
      <c r="K393" s="13" t="s">
        <v>2552</v>
      </c>
      <c r="L393" s="13" t="s">
        <v>2553</v>
      </c>
    </row>
    <row r="394" customFormat="false" ht="15" hidden="false" customHeight="false" outlineLevel="0" collapsed="false">
      <c r="A394" s="13" t="s">
        <v>3</v>
      </c>
      <c r="B394" s="13" t="s">
        <v>2150</v>
      </c>
      <c r="C394" s="13" t="n">
        <v>86</v>
      </c>
      <c r="D394" s="13" t="s">
        <v>2554</v>
      </c>
      <c r="E394" s="13" t="s">
        <v>12080</v>
      </c>
      <c r="F394" s="13" t="s">
        <v>12081</v>
      </c>
      <c r="G394" s="13" t="s">
        <v>11098</v>
      </c>
      <c r="H394" s="13" t="s">
        <v>11099</v>
      </c>
      <c r="I394" s="13" t="s">
        <v>2555</v>
      </c>
      <c r="J394" s="13"/>
      <c r="K394" s="13" t="s">
        <v>2557</v>
      </c>
      <c r="L394" s="13" t="s">
        <v>2558</v>
      </c>
    </row>
    <row r="395" customFormat="false" ht="15" hidden="false" customHeight="false" outlineLevel="0" collapsed="false">
      <c r="A395" s="13" t="s">
        <v>3</v>
      </c>
      <c r="B395" s="13" t="s">
        <v>2150</v>
      </c>
      <c r="C395" s="13" t="n">
        <v>86</v>
      </c>
      <c r="D395" s="13" t="s">
        <v>2559</v>
      </c>
      <c r="E395" s="13" t="s">
        <v>12082</v>
      </c>
      <c r="F395" s="13" t="s">
        <v>12083</v>
      </c>
      <c r="G395" s="13" t="s">
        <v>11098</v>
      </c>
      <c r="H395" s="13" t="s">
        <v>11099</v>
      </c>
      <c r="I395" s="13" t="s">
        <v>2560</v>
      </c>
      <c r="J395" s="13"/>
      <c r="K395" s="13" t="s">
        <v>2562</v>
      </c>
      <c r="L395" s="13" t="s">
        <v>2563</v>
      </c>
    </row>
    <row r="396" customFormat="false" ht="23.85" hidden="false" customHeight="false" outlineLevel="0" collapsed="false">
      <c r="A396" s="13" t="s">
        <v>3</v>
      </c>
      <c r="B396" s="13" t="s">
        <v>2150</v>
      </c>
      <c r="C396" s="13" t="n">
        <v>86</v>
      </c>
      <c r="D396" s="13" t="s">
        <v>2564</v>
      </c>
      <c r="E396" s="13" t="s">
        <v>12084</v>
      </c>
      <c r="F396" s="13" t="s">
        <v>12085</v>
      </c>
      <c r="G396" s="13" t="s">
        <v>11098</v>
      </c>
      <c r="H396" s="13" t="s">
        <v>11099</v>
      </c>
      <c r="I396" s="13" t="s">
        <v>2565</v>
      </c>
      <c r="J396" s="13"/>
      <c r="K396" s="13" t="s">
        <v>2568</v>
      </c>
      <c r="L396" s="13" t="s">
        <v>2569</v>
      </c>
    </row>
    <row r="397" customFormat="false" ht="15" hidden="false" customHeight="false" outlineLevel="0" collapsed="false">
      <c r="A397" s="13" t="s">
        <v>3</v>
      </c>
      <c r="B397" s="13" t="s">
        <v>2150</v>
      </c>
      <c r="C397" s="13" t="n">
        <v>86</v>
      </c>
      <c r="D397" s="13" t="s">
        <v>2570</v>
      </c>
      <c r="E397" s="13" t="s">
        <v>12086</v>
      </c>
      <c r="F397" s="13" t="s">
        <v>12087</v>
      </c>
      <c r="G397" s="13" t="s">
        <v>11098</v>
      </c>
      <c r="H397" s="13" t="s">
        <v>11099</v>
      </c>
      <c r="I397" s="13" t="s">
        <v>2571</v>
      </c>
      <c r="J397" s="13"/>
      <c r="K397" s="13" t="s">
        <v>2572</v>
      </c>
      <c r="L397" s="13" t="s">
        <v>2573</v>
      </c>
    </row>
    <row r="398" customFormat="false" ht="35.05" hidden="false" customHeight="false" outlineLevel="0" collapsed="false">
      <c r="A398" s="13" t="s">
        <v>3</v>
      </c>
      <c r="B398" s="13" t="s">
        <v>2150</v>
      </c>
      <c r="C398" s="13" t="n">
        <v>86</v>
      </c>
      <c r="D398" s="13" t="s">
        <v>2574</v>
      </c>
      <c r="E398" s="13" t="s">
        <v>12088</v>
      </c>
      <c r="F398" s="13" t="s">
        <v>12089</v>
      </c>
      <c r="G398" s="13" t="s">
        <v>11098</v>
      </c>
      <c r="H398" s="13" t="s">
        <v>11099</v>
      </c>
      <c r="I398" s="13" t="s">
        <v>2575</v>
      </c>
      <c r="J398" s="13"/>
      <c r="K398" s="13" t="s">
        <v>2580</v>
      </c>
      <c r="L398" s="13" t="s">
        <v>2581</v>
      </c>
    </row>
    <row r="399" customFormat="false" ht="23.85" hidden="false" customHeight="false" outlineLevel="0" collapsed="false">
      <c r="A399" s="13" t="s">
        <v>3</v>
      </c>
      <c r="B399" s="13" t="s">
        <v>2150</v>
      </c>
      <c r="C399" s="13" t="n">
        <v>86</v>
      </c>
      <c r="D399" s="13" t="s">
        <v>2582</v>
      </c>
      <c r="E399" s="13" t="s">
        <v>12090</v>
      </c>
      <c r="F399" s="13" t="s">
        <v>12091</v>
      </c>
      <c r="G399" s="13" t="s">
        <v>11098</v>
      </c>
      <c r="H399" s="13" t="s">
        <v>11099</v>
      </c>
      <c r="I399" s="13" t="s">
        <v>2583</v>
      </c>
      <c r="J399" s="13"/>
      <c r="K399" s="13" t="s">
        <v>2587</v>
      </c>
      <c r="L399" s="13" t="s">
        <v>2588</v>
      </c>
    </row>
    <row r="400" customFormat="false" ht="35.05" hidden="false" customHeight="false" outlineLevel="0" collapsed="false">
      <c r="A400" s="13" t="s">
        <v>3</v>
      </c>
      <c r="B400" s="13" t="s">
        <v>2150</v>
      </c>
      <c r="C400" s="13" t="n">
        <v>86</v>
      </c>
      <c r="D400" s="13" t="s">
        <v>2589</v>
      </c>
      <c r="E400" s="13" t="s">
        <v>12092</v>
      </c>
      <c r="F400" s="13" t="s">
        <v>12093</v>
      </c>
      <c r="G400" s="13" t="s">
        <v>11098</v>
      </c>
      <c r="H400" s="13" t="s">
        <v>11099</v>
      </c>
      <c r="I400" s="13" t="s">
        <v>2590</v>
      </c>
      <c r="J400" s="13"/>
      <c r="K400" s="13" t="s">
        <v>2593</v>
      </c>
      <c r="L400" s="13" t="s">
        <v>2594</v>
      </c>
    </row>
    <row r="401" customFormat="false" ht="57.45" hidden="false" customHeight="false" outlineLevel="0" collapsed="false">
      <c r="A401" s="13" t="s">
        <v>3</v>
      </c>
      <c r="B401" s="13" t="s">
        <v>2150</v>
      </c>
      <c r="C401" s="13" t="n">
        <v>86</v>
      </c>
      <c r="D401" s="13" t="s">
        <v>2595</v>
      </c>
      <c r="E401" s="13" t="s">
        <v>12094</v>
      </c>
      <c r="F401" s="13" t="s">
        <v>12095</v>
      </c>
      <c r="G401" s="13" t="s">
        <v>11098</v>
      </c>
      <c r="H401" s="13" t="s">
        <v>11099</v>
      </c>
      <c r="I401" s="13" t="s">
        <v>12096</v>
      </c>
      <c r="J401" s="13"/>
      <c r="K401" s="13" t="s">
        <v>2599</v>
      </c>
      <c r="L401" s="13" t="s">
        <v>2600</v>
      </c>
    </row>
    <row r="402" customFormat="false" ht="46.25" hidden="false" customHeight="false" outlineLevel="0" collapsed="false">
      <c r="A402" s="13" t="s">
        <v>3</v>
      </c>
      <c r="B402" s="13" t="s">
        <v>2150</v>
      </c>
      <c r="C402" s="13" t="n">
        <v>92</v>
      </c>
      <c r="D402" s="13" t="s">
        <v>2604</v>
      </c>
      <c r="E402" s="13" t="s">
        <v>12097</v>
      </c>
      <c r="F402" s="13" t="s">
        <v>12098</v>
      </c>
      <c r="G402" s="13" t="s">
        <v>11098</v>
      </c>
      <c r="H402" s="13" t="s">
        <v>11099</v>
      </c>
      <c r="I402" s="13" t="s">
        <v>12099</v>
      </c>
      <c r="J402" s="13"/>
      <c r="K402" s="13" t="s">
        <v>2609</v>
      </c>
      <c r="L402" s="13" t="s">
        <v>2610</v>
      </c>
    </row>
    <row r="403" customFormat="false" ht="79.85" hidden="false" customHeight="false" outlineLevel="0" collapsed="false">
      <c r="A403" s="13" t="s">
        <v>3</v>
      </c>
      <c r="B403" s="13" t="s">
        <v>2150</v>
      </c>
      <c r="C403" s="13" t="n">
        <v>92</v>
      </c>
      <c r="D403" s="13" t="s">
        <v>2620</v>
      </c>
      <c r="E403" s="13" t="s">
        <v>12100</v>
      </c>
      <c r="F403" s="13" t="s">
        <v>12101</v>
      </c>
      <c r="G403" s="13" t="s">
        <v>11098</v>
      </c>
      <c r="H403" s="13" t="s">
        <v>11099</v>
      </c>
      <c r="I403" s="13" t="s">
        <v>12102</v>
      </c>
      <c r="J403" s="13"/>
      <c r="K403" s="13" t="s">
        <v>2625</v>
      </c>
      <c r="L403" s="13" t="s">
        <v>2626</v>
      </c>
    </row>
    <row r="404" customFormat="false" ht="35.05" hidden="false" customHeight="false" outlineLevel="0" collapsed="false">
      <c r="A404" s="13" t="s">
        <v>3</v>
      </c>
      <c r="B404" s="13" t="s">
        <v>2150</v>
      </c>
      <c r="C404" s="13" t="n">
        <v>92</v>
      </c>
      <c r="D404" s="13" t="s">
        <v>2633</v>
      </c>
      <c r="E404" s="13" t="s">
        <v>12103</v>
      </c>
      <c r="F404" s="13" t="s">
        <v>12104</v>
      </c>
      <c r="G404" s="13" t="s">
        <v>11098</v>
      </c>
      <c r="H404" s="13" t="s">
        <v>11099</v>
      </c>
      <c r="I404" s="13" t="s">
        <v>12105</v>
      </c>
      <c r="J404" s="13"/>
      <c r="K404" s="13" t="s">
        <v>2637</v>
      </c>
      <c r="L404" s="13" t="s">
        <v>2638</v>
      </c>
    </row>
    <row r="405" customFormat="false" ht="35.05" hidden="false" customHeight="false" outlineLevel="0" collapsed="false">
      <c r="A405" s="13" t="s">
        <v>3</v>
      </c>
      <c r="B405" s="13" t="s">
        <v>2150</v>
      </c>
      <c r="C405" s="13" t="n">
        <v>92</v>
      </c>
      <c r="D405" s="13" t="s">
        <v>2641</v>
      </c>
      <c r="E405" s="13" t="s">
        <v>12106</v>
      </c>
      <c r="F405" s="13" t="s">
        <v>12107</v>
      </c>
      <c r="G405" s="13" t="s">
        <v>11098</v>
      </c>
      <c r="H405" s="13" t="s">
        <v>11099</v>
      </c>
      <c r="I405" s="13" t="s">
        <v>12108</v>
      </c>
      <c r="J405" s="13"/>
      <c r="K405" s="13" t="s">
        <v>2644</v>
      </c>
      <c r="L405" s="13" t="s">
        <v>2645</v>
      </c>
    </row>
    <row r="406" customFormat="false" ht="57.45" hidden="false" customHeight="false" outlineLevel="0" collapsed="false">
      <c r="A406" s="13" t="s">
        <v>3</v>
      </c>
      <c r="B406" s="13" t="s">
        <v>2150</v>
      </c>
      <c r="C406" s="13" t="n">
        <v>92</v>
      </c>
      <c r="D406" s="13" t="s">
        <v>2650</v>
      </c>
      <c r="E406" s="13" t="s">
        <v>12109</v>
      </c>
      <c r="F406" s="13" t="s">
        <v>12110</v>
      </c>
      <c r="G406" s="13" t="s">
        <v>11098</v>
      </c>
      <c r="H406" s="13" t="s">
        <v>11099</v>
      </c>
      <c r="I406" s="13" t="s">
        <v>12111</v>
      </c>
      <c r="J406" s="13"/>
      <c r="K406" s="13" t="s">
        <v>2654</v>
      </c>
      <c r="L406" s="13" t="s">
        <v>2655</v>
      </c>
    </row>
    <row r="407" customFormat="false" ht="35.05" hidden="false" customHeight="false" outlineLevel="0" collapsed="false">
      <c r="A407" s="13" t="s">
        <v>3</v>
      </c>
      <c r="B407" s="13" t="s">
        <v>2150</v>
      </c>
      <c r="C407" s="13" t="n">
        <v>92</v>
      </c>
      <c r="D407" s="13" t="s">
        <v>2658</v>
      </c>
      <c r="E407" s="13" t="s">
        <v>12112</v>
      </c>
      <c r="F407" s="13" t="s">
        <v>12113</v>
      </c>
      <c r="G407" s="13" t="s">
        <v>11098</v>
      </c>
      <c r="H407" s="13" t="s">
        <v>11099</v>
      </c>
      <c r="I407" s="13" t="s">
        <v>12114</v>
      </c>
      <c r="J407" s="13"/>
      <c r="K407" s="13" t="s">
        <v>2662</v>
      </c>
      <c r="L407" s="13" t="s">
        <v>2663</v>
      </c>
    </row>
    <row r="408" customFormat="false" ht="46.25" hidden="false" customHeight="false" outlineLevel="0" collapsed="false">
      <c r="A408" s="13" t="s">
        <v>3</v>
      </c>
      <c r="B408" s="13" t="s">
        <v>2150</v>
      </c>
      <c r="C408" s="13" t="n">
        <v>92</v>
      </c>
      <c r="D408" s="13" t="s">
        <v>2666</v>
      </c>
      <c r="E408" s="13" t="s">
        <v>12115</v>
      </c>
      <c r="F408" s="13" t="s">
        <v>12116</v>
      </c>
      <c r="G408" s="13" t="s">
        <v>11098</v>
      </c>
      <c r="H408" s="13" t="s">
        <v>11099</v>
      </c>
      <c r="I408" s="13" t="s">
        <v>12117</v>
      </c>
      <c r="J408" s="13"/>
      <c r="K408" s="13" t="s">
        <v>2668</v>
      </c>
      <c r="L408" s="13" t="s">
        <v>2669</v>
      </c>
    </row>
    <row r="409" customFormat="false" ht="57.45" hidden="false" customHeight="false" outlineLevel="0" collapsed="false">
      <c r="A409" s="13" t="s">
        <v>3</v>
      </c>
      <c r="B409" s="13" t="s">
        <v>2150</v>
      </c>
      <c r="C409" s="13" t="n">
        <v>92</v>
      </c>
      <c r="D409" s="13" t="s">
        <v>2673</v>
      </c>
      <c r="E409" s="13" t="s">
        <v>12118</v>
      </c>
      <c r="F409" s="13" t="s">
        <v>12119</v>
      </c>
      <c r="G409" s="13" t="s">
        <v>11098</v>
      </c>
      <c r="H409" s="13" t="s">
        <v>11099</v>
      </c>
      <c r="I409" s="13" t="s">
        <v>12120</v>
      </c>
      <c r="J409" s="13"/>
      <c r="K409" s="13" t="s">
        <v>2677</v>
      </c>
      <c r="L409" s="13" t="s">
        <v>2678</v>
      </c>
    </row>
    <row r="410" customFormat="false" ht="35.05" hidden="false" customHeight="false" outlineLevel="0" collapsed="false">
      <c r="A410" s="13" t="s">
        <v>3</v>
      </c>
      <c r="B410" s="13" t="s">
        <v>2150</v>
      </c>
      <c r="C410" s="13" t="n">
        <v>92</v>
      </c>
      <c r="D410" s="13" t="s">
        <v>2683</v>
      </c>
      <c r="E410" s="13" t="s">
        <v>12121</v>
      </c>
      <c r="F410" s="13" t="s">
        <v>12122</v>
      </c>
      <c r="G410" s="13" t="s">
        <v>11128</v>
      </c>
      <c r="H410" s="13" t="s">
        <v>11099</v>
      </c>
      <c r="I410" s="13"/>
      <c r="J410" s="13" t="s">
        <v>12123</v>
      </c>
      <c r="K410" s="13" t="s">
        <v>2686</v>
      </c>
      <c r="L410" s="13" t="s">
        <v>2687</v>
      </c>
    </row>
    <row r="411" customFormat="false" ht="23.85" hidden="false" customHeight="false" outlineLevel="0" collapsed="false">
      <c r="A411" s="13" t="s">
        <v>3</v>
      </c>
      <c r="B411" s="13" t="s">
        <v>2150</v>
      </c>
      <c r="C411" s="13" t="n">
        <v>92</v>
      </c>
      <c r="D411" s="13" t="s">
        <v>2688</v>
      </c>
      <c r="E411" s="13" t="s">
        <v>12124</v>
      </c>
      <c r="F411" s="13" t="s">
        <v>12125</v>
      </c>
      <c r="G411" s="13" t="s">
        <v>11098</v>
      </c>
      <c r="H411" s="13" t="s">
        <v>11099</v>
      </c>
      <c r="I411" s="13" t="s">
        <v>2689</v>
      </c>
      <c r="J411" s="13"/>
      <c r="K411" s="13" t="s">
        <v>2693</v>
      </c>
      <c r="L411" s="13" t="s">
        <v>2694</v>
      </c>
    </row>
    <row r="412" customFormat="false" ht="46.25" hidden="false" customHeight="false" outlineLevel="0" collapsed="false">
      <c r="A412" s="13" t="s">
        <v>3</v>
      </c>
      <c r="B412" s="13" t="s">
        <v>2150</v>
      </c>
      <c r="C412" s="13" t="n">
        <v>92</v>
      </c>
      <c r="D412" s="13" t="s">
        <v>2695</v>
      </c>
      <c r="E412" s="13" t="s">
        <v>12126</v>
      </c>
      <c r="F412" s="13" t="s">
        <v>12127</v>
      </c>
      <c r="G412" s="13" t="s">
        <v>11315</v>
      </c>
      <c r="H412" s="13" t="s">
        <v>11099</v>
      </c>
      <c r="I412" s="13" t="s">
        <v>12128</v>
      </c>
      <c r="J412" s="13" t="s">
        <v>12129</v>
      </c>
      <c r="K412" s="13" t="s">
        <v>2699</v>
      </c>
      <c r="L412" s="13" t="s">
        <v>2700</v>
      </c>
    </row>
    <row r="413" customFormat="false" ht="23.85" hidden="false" customHeight="false" outlineLevel="0" collapsed="false">
      <c r="A413" s="13" t="s">
        <v>3</v>
      </c>
      <c r="B413" s="13" t="s">
        <v>2150</v>
      </c>
      <c r="C413" s="13" t="n">
        <v>92</v>
      </c>
      <c r="D413" s="13" t="s">
        <v>2703</v>
      </c>
      <c r="E413" s="13" t="s">
        <v>12130</v>
      </c>
      <c r="F413" s="13" t="s">
        <v>12131</v>
      </c>
      <c r="G413" s="13" t="s">
        <v>11098</v>
      </c>
      <c r="H413" s="13" t="s">
        <v>11099</v>
      </c>
      <c r="I413" s="13" t="s">
        <v>2704</v>
      </c>
      <c r="J413" s="13"/>
      <c r="K413" s="13" t="s">
        <v>2706</v>
      </c>
      <c r="L413" s="13" t="s">
        <v>2707</v>
      </c>
    </row>
    <row r="414" customFormat="false" ht="46.25" hidden="false" customHeight="false" outlineLevel="0" collapsed="false">
      <c r="A414" s="13" t="s">
        <v>3</v>
      </c>
      <c r="B414" s="13" t="s">
        <v>2150</v>
      </c>
      <c r="C414" s="13" t="n">
        <v>92</v>
      </c>
      <c r="D414" s="13" t="s">
        <v>2708</v>
      </c>
      <c r="E414" s="13" t="s">
        <v>12132</v>
      </c>
      <c r="F414" s="13" t="s">
        <v>12133</v>
      </c>
      <c r="G414" s="13" t="s">
        <v>11098</v>
      </c>
      <c r="H414" s="13" t="s">
        <v>11099</v>
      </c>
      <c r="I414" s="13" t="s">
        <v>2709</v>
      </c>
      <c r="J414" s="13" t="s">
        <v>12134</v>
      </c>
      <c r="K414" s="13" t="s">
        <v>2712</v>
      </c>
      <c r="L414" s="13" t="s">
        <v>2713</v>
      </c>
    </row>
    <row r="415" customFormat="false" ht="46.25" hidden="false" customHeight="false" outlineLevel="0" collapsed="false">
      <c r="A415" s="13" t="s">
        <v>3</v>
      </c>
      <c r="B415" s="13" t="s">
        <v>2150</v>
      </c>
      <c r="C415" s="13" t="n">
        <v>92</v>
      </c>
      <c r="D415" s="13" t="s">
        <v>2717</v>
      </c>
      <c r="E415" s="13" t="s">
        <v>12135</v>
      </c>
      <c r="F415" s="13" t="s">
        <v>12136</v>
      </c>
      <c r="G415" s="13" t="s">
        <v>11098</v>
      </c>
      <c r="H415" s="13" t="s">
        <v>11099</v>
      </c>
      <c r="I415" s="13" t="s">
        <v>12137</v>
      </c>
      <c r="J415" s="13"/>
      <c r="K415" s="13" t="s">
        <v>2720</v>
      </c>
      <c r="L415" s="13" t="s">
        <v>2721</v>
      </c>
    </row>
    <row r="416" customFormat="false" ht="35.05" hidden="false" customHeight="false" outlineLevel="0" collapsed="false">
      <c r="A416" s="13" t="s">
        <v>3</v>
      </c>
      <c r="B416" s="13" t="s">
        <v>2150</v>
      </c>
      <c r="C416" s="13" t="n">
        <v>92</v>
      </c>
      <c r="D416" s="13" t="s">
        <v>2723</v>
      </c>
      <c r="E416" s="13" t="s">
        <v>12138</v>
      </c>
      <c r="F416" s="13" t="s">
        <v>12139</v>
      </c>
      <c r="G416" s="13" t="s">
        <v>11098</v>
      </c>
      <c r="H416" s="13" t="s">
        <v>11099</v>
      </c>
      <c r="I416" s="13" t="s">
        <v>2724</v>
      </c>
      <c r="J416" s="13"/>
      <c r="K416" s="13" t="s">
        <v>2727</v>
      </c>
      <c r="L416" s="13" t="s">
        <v>2728</v>
      </c>
    </row>
    <row r="417" customFormat="false" ht="102.2" hidden="false" customHeight="false" outlineLevel="0" collapsed="false">
      <c r="A417" s="13" t="s">
        <v>3</v>
      </c>
      <c r="B417" s="13" t="s">
        <v>2150</v>
      </c>
      <c r="C417" s="13" t="n">
        <v>157</v>
      </c>
      <c r="D417" s="13" t="s">
        <v>2729</v>
      </c>
      <c r="E417" s="13" t="s">
        <v>12140</v>
      </c>
      <c r="F417" s="13" t="s">
        <v>12141</v>
      </c>
      <c r="G417" s="13" t="s">
        <v>11098</v>
      </c>
      <c r="H417" s="13" t="s">
        <v>11099</v>
      </c>
      <c r="I417" s="13" t="s">
        <v>12142</v>
      </c>
      <c r="J417" s="13"/>
      <c r="K417" s="13" t="s">
        <v>2733</v>
      </c>
      <c r="L417" s="13" t="s">
        <v>2734</v>
      </c>
    </row>
    <row r="418" customFormat="false" ht="102.2" hidden="false" customHeight="false" outlineLevel="0" collapsed="false">
      <c r="A418" s="13" t="s">
        <v>3</v>
      </c>
      <c r="B418" s="13" t="s">
        <v>2150</v>
      </c>
      <c r="C418" s="13" t="n">
        <v>157</v>
      </c>
      <c r="D418" s="13" t="s">
        <v>2729</v>
      </c>
      <c r="E418" s="13" t="s">
        <v>12143</v>
      </c>
      <c r="F418" s="13" t="s">
        <v>12144</v>
      </c>
      <c r="G418" s="13" t="s">
        <v>11098</v>
      </c>
      <c r="H418" s="13" t="s">
        <v>11099</v>
      </c>
      <c r="I418" s="13" t="s">
        <v>2737</v>
      </c>
      <c r="J418" s="13"/>
      <c r="K418" s="13" t="s">
        <v>2733</v>
      </c>
      <c r="L418" s="13" t="s">
        <v>2734</v>
      </c>
    </row>
    <row r="419" customFormat="false" ht="79.85" hidden="false" customHeight="false" outlineLevel="0" collapsed="false">
      <c r="A419" s="13" t="s">
        <v>3</v>
      </c>
      <c r="B419" s="13" t="s">
        <v>2150</v>
      </c>
      <c r="C419" s="13" t="n">
        <v>157</v>
      </c>
      <c r="D419" s="13" t="s">
        <v>2740</v>
      </c>
      <c r="E419" s="13" t="s">
        <v>12145</v>
      </c>
      <c r="F419" s="13" t="s">
        <v>12146</v>
      </c>
      <c r="G419" s="13" t="s">
        <v>11098</v>
      </c>
      <c r="H419" s="13" t="s">
        <v>11099</v>
      </c>
      <c r="I419" s="13" t="s">
        <v>12147</v>
      </c>
      <c r="J419" s="13"/>
      <c r="K419" s="13" t="s">
        <v>2744</v>
      </c>
      <c r="L419" s="13" t="s">
        <v>2745</v>
      </c>
    </row>
    <row r="420" customFormat="false" ht="35.05" hidden="false" customHeight="false" outlineLevel="0" collapsed="false">
      <c r="A420" s="13" t="s">
        <v>3</v>
      </c>
      <c r="B420" s="13" t="s">
        <v>2150</v>
      </c>
      <c r="C420" s="13" t="n">
        <v>157</v>
      </c>
      <c r="D420" s="13" t="s">
        <v>2748</v>
      </c>
      <c r="E420" s="13" t="s">
        <v>12148</v>
      </c>
      <c r="F420" s="13" t="s">
        <v>12149</v>
      </c>
      <c r="G420" s="13" t="s">
        <v>11098</v>
      </c>
      <c r="H420" s="13" t="s">
        <v>11099</v>
      </c>
      <c r="I420" s="13" t="s">
        <v>2749</v>
      </c>
      <c r="J420" s="13"/>
      <c r="K420" s="13" t="s">
        <v>2752</v>
      </c>
      <c r="L420" s="13" t="s">
        <v>2753</v>
      </c>
    </row>
    <row r="421" customFormat="false" ht="57.45" hidden="false" customHeight="false" outlineLevel="0" collapsed="false">
      <c r="A421" s="13" t="s">
        <v>3</v>
      </c>
      <c r="B421" s="13" t="s">
        <v>2150</v>
      </c>
      <c r="C421" s="13" t="n">
        <v>157</v>
      </c>
      <c r="D421" s="13" t="s">
        <v>2754</v>
      </c>
      <c r="E421" s="13" t="s">
        <v>12150</v>
      </c>
      <c r="F421" s="13" t="s">
        <v>12151</v>
      </c>
      <c r="G421" s="13" t="s">
        <v>11098</v>
      </c>
      <c r="H421" s="13" t="s">
        <v>11099</v>
      </c>
      <c r="I421" s="13" t="s">
        <v>12152</v>
      </c>
      <c r="J421" s="13"/>
      <c r="K421" s="13" t="s">
        <v>2757</v>
      </c>
      <c r="L421" s="13" t="s">
        <v>2758</v>
      </c>
    </row>
    <row r="422" customFormat="false" ht="57.45" hidden="false" customHeight="false" outlineLevel="0" collapsed="false">
      <c r="A422" s="13" t="s">
        <v>3</v>
      </c>
      <c r="B422" s="13" t="s">
        <v>2150</v>
      </c>
      <c r="C422" s="13" t="n">
        <v>157</v>
      </c>
      <c r="D422" s="13" t="s">
        <v>2754</v>
      </c>
      <c r="E422" s="13" t="s">
        <v>12153</v>
      </c>
      <c r="F422" s="13" t="s">
        <v>12154</v>
      </c>
      <c r="G422" s="13" t="s">
        <v>11098</v>
      </c>
      <c r="H422" s="13" t="s">
        <v>11099</v>
      </c>
      <c r="I422" s="13" t="s">
        <v>2761</v>
      </c>
      <c r="J422" s="13"/>
      <c r="K422" s="13" t="s">
        <v>2757</v>
      </c>
      <c r="L422" s="13" t="s">
        <v>2758</v>
      </c>
    </row>
    <row r="423" customFormat="false" ht="23.85" hidden="false" customHeight="false" outlineLevel="0" collapsed="false">
      <c r="A423" s="13" t="s">
        <v>3</v>
      </c>
      <c r="B423" s="13" t="s">
        <v>2150</v>
      </c>
      <c r="C423" s="13" t="n">
        <v>157</v>
      </c>
      <c r="D423" s="13" t="s">
        <v>2764</v>
      </c>
      <c r="E423" s="13" t="s">
        <v>12155</v>
      </c>
      <c r="F423" s="13" t="s">
        <v>12156</v>
      </c>
      <c r="G423" s="13" t="s">
        <v>11098</v>
      </c>
      <c r="H423" s="13" t="s">
        <v>11099</v>
      </c>
      <c r="I423" s="13" t="s">
        <v>2765</v>
      </c>
      <c r="J423" s="13"/>
      <c r="K423" s="13" t="s">
        <v>2768</v>
      </c>
      <c r="L423" s="13" t="s">
        <v>2769</v>
      </c>
    </row>
    <row r="424" customFormat="false" ht="35.05" hidden="false" customHeight="false" outlineLevel="0" collapsed="false">
      <c r="A424" s="13" t="s">
        <v>3</v>
      </c>
      <c r="B424" s="13" t="s">
        <v>2150</v>
      </c>
      <c r="C424" s="13" t="n">
        <v>157</v>
      </c>
      <c r="D424" s="13" t="s">
        <v>2770</v>
      </c>
      <c r="E424" s="13" t="s">
        <v>12157</v>
      </c>
      <c r="F424" s="13" t="s">
        <v>12158</v>
      </c>
      <c r="G424" s="13" t="s">
        <v>11098</v>
      </c>
      <c r="H424" s="13" t="s">
        <v>11099</v>
      </c>
      <c r="I424" s="13" t="s">
        <v>2771</v>
      </c>
      <c r="J424" s="13"/>
      <c r="K424" s="13" t="s">
        <v>2774</v>
      </c>
      <c r="L424" s="13" t="s">
        <v>2775</v>
      </c>
    </row>
    <row r="425" customFormat="false" ht="23.85" hidden="false" customHeight="false" outlineLevel="0" collapsed="false">
      <c r="A425" s="13" t="s">
        <v>3</v>
      </c>
      <c r="B425" s="13" t="s">
        <v>2150</v>
      </c>
      <c r="C425" s="13" t="n">
        <v>157</v>
      </c>
      <c r="D425" s="13" t="s">
        <v>2776</v>
      </c>
      <c r="E425" s="13" t="s">
        <v>12159</v>
      </c>
      <c r="F425" s="13" t="s">
        <v>12160</v>
      </c>
      <c r="G425" s="13" t="s">
        <v>11098</v>
      </c>
      <c r="H425" s="13" t="s">
        <v>11099</v>
      </c>
      <c r="I425" s="13" t="s">
        <v>2777</v>
      </c>
      <c r="J425" s="13"/>
      <c r="K425" s="13" t="s">
        <v>2780</v>
      </c>
      <c r="L425" s="13" t="s">
        <v>2781</v>
      </c>
    </row>
    <row r="426" customFormat="false" ht="15" hidden="false" customHeight="false" outlineLevel="0" collapsed="false">
      <c r="A426" s="13" t="s">
        <v>3</v>
      </c>
      <c r="B426" s="13" t="s">
        <v>2150</v>
      </c>
      <c r="C426" s="13" t="n">
        <v>157</v>
      </c>
      <c r="D426" s="13" t="s">
        <v>2782</v>
      </c>
      <c r="E426" s="13" t="s">
        <v>12161</v>
      </c>
      <c r="F426" s="13" t="s">
        <v>12162</v>
      </c>
      <c r="G426" s="13" t="s">
        <v>11098</v>
      </c>
      <c r="H426" s="13" t="s">
        <v>11099</v>
      </c>
      <c r="I426" s="13" t="s">
        <v>2783</v>
      </c>
      <c r="J426" s="13"/>
      <c r="K426" s="13" t="s">
        <v>2785</v>
      </c>
      <c r="L426" s="13" t="s">
        <v>2786</v>
      </c>
    </row>
    <row r="427" customFormat="false" ht="57.45" hidden="false" customHeight="false" outlineLevel="0" collapsed="false">
      <c r="A427" s="13" t="s">
        <v>3</v>
      </c>
      <c r="B427" s="13" t="s">
        <v>2150</v>
      </c>
      <c r="C427" s="13" t="n">
        <v>157</v>
      </c>
      <c r="D427" s="13" t="s">
        <v>2787</v>
      </c>
      <c r="E427" s="13" t="s">
        <v>12163</v>
      </c>
      <c r="F427" s="13" t="s">
        <v>12164</v>
      </c>
      <c r="G427" s="13" t="s">
        <v>11315</v>
      </c>
      <c r="H427" s="13" t="s">
        <v>11099</v>
      </c>
      <c r="I427" s="13" t="s">
        <v>2788</v>
      </c>
      <c r="J427" s="13" t="s">
        <v>12165</v>
      </c>
      <c r="K427" s="13" t="s">
        <v>2790</v>
      </c>
      <c r="L427" s="13" t="s">
        <v>2791</v>
      </c>
    </row>
    <row r="428" customFormat="false" ht="23.85" hidden="false" customHeight="false" outlineLevel="0" collapsed="false">
      <c r="A428" s="13" t="s">
        <v>3</v>
      </c>
      <c r="B428" s="13" t="s">
        <v>2150</v>
      </c>
      <c r="C428" s="13" t="n">
        <v>157</v>
      </c>
      <c r="D428" s="13" t="s">
        <v>2792</v>
      </c>
      <c r="E428" s="13" t="s">
        <v>12166</v>
      </c>
      <c r="F428" s="13" t="s">
        <v>12167</v>
      </c>
      <c r="G428" s="13" t="s">
        <v>11098</v>
      </c>
      <c r="H428" s="13" t="s">
        <v>11099</v>
      </c>
      <c r="I428" s="13" t="s">
        <v>2793</v>
      </c>
      <c r="J428" s="13"/>
      <c r="K428" s="13" t="s">
        <v>2795</v>
      </c>
      <c r="L428" s="13" t="s">
        <v>2796</v>
      </c>
    </row>
    <row r="429" customFormat="false" ht="35.05" hidden="false" customHeight="false" outlineLevel="0" collapsed="false">
      <c r="A429" s="13" t="s">
        <v>3</v>
      </c>
      <c r="B429" s="13" t="s">
        <v>2150</v>
      </c>
      <c r="C429" s="13" t="n">
        <v>157</v>
      </c>
      <c r="D429" s="13" t="s">
        <v>2797</v>
      </c>
      <c r="E429" s="13" t="s">
        <v>12168</v>
      </c>
      <c r="F429" s="13" t="s">
        <v>12169</v>
      </c>
      <c r="G429" s="13" t="s">
        <v>11098</v>
      </c>
      <c r="H429" s="13" t="s">
        <v>11099</v>
      </c>
      <c r="I429" s="13" t="s">
        <v>12170</v>
      </c>
      <c r="J429" s="13"/>
      <c r="K429" s="13" t="s">
        <v>2801</v>
      </c>
      <c r="L429" s="13" t="s">
        <v>2802</v>
      </c>
    </row>
    <row r="430" customFormat="false" ht="23.85" hidden="false" customHeight="false" outlineLevel="0" collapsed="false">
      <c r="A430" s="13" t="s">
        <v>3</v>
      </c>
      <c r="B430" s="13" t="s">
        <v>2150</v>
      </c>
      <c r="C430" s="13" t="n">
        <v>157</v>
      </c>
      <c r="D430" s="13" t="s">
        <v>2805</v>
      </c>
      <c r="E430" s="13" t="s">
        <v>12171</v>
      </c>
      <c r="F430" s="13" t="s">
        <v>12172</v>
      </c>
      <c r="G430" s="13" t="s">
        <v>11098</v>
      </c>
      <c r="H430" s="13" t="s">
        <v>11099</v>
      </c>
      <c r="I430" s="13" t="s">
        <v>2806</v>
      </c>
      <c r="J430" s="13"/>
      <c r="K430" s="13" t="s">
        <v>2809</v>
      </c>
      <c r="L430" s="13" t="s">
        <v>2810</v>
      </c>
    </row>
    <row r="431" customFormat="false" ht="46.25" hidden="false" customHeight="false" outlineLevel="0" collapsed="false">
      <c r="A431" s="13" t="s">
        <v>3</v>
      </c>
      <c r="B431" s="13" t="s">
        <v>2150</v>
      </c>
      <c r="C431" s="13" t="n">
        <v>157</v>
      </c>
      <c r="D431" s="13" t="s">
        <v>2811</v>
      </c>
      <c r="E431" s="13" t="s">
        <v>12173</v>
      </c>
      <c r="F431" s="13" t="s">
        <v>12174</v>
      </c>
      <c r="G431" s="13" t="s">
        <v>11098</v>
      </c>
      <c r="H431" s="13" t="s">
        <v>11099</v>
      </c>
      <c r="I431" s="13" t="s">
        <v>12175</v>
      </c>
      <c r="J431" s="13"/>
      <c r="K431" s="13" t="s">
        <v>2815</v>
      </c>
      <c r="L431" s="13" t="s">
        <v>2816</v>
      </c>
    </row>
    <row r="432" customFormat="false" ht="124.6" hidden="false" customHeight="false" outlineLevel="0" collapsed="false">
      <c r="A432" s="13" t="s">
        <v>3</v>
      </c>
      <c r="B432" s="13" t="s">
        <v>2150</v>
      </c>
      <c r="C432" s="13" t="n">
        <v>178</v>
      </c>
      <c r="D432" s="13" t="s">
        <v>2819</v>
      </c>
      <c r="E432" s="13" t="s">
        <v>12176</v>
      </c>
      <c r="F432" s="13" t="s">
        <v>12177</v>
      </c>
      <c r="G432" s="13" t="s">
        <v>11098</v>
      </c>
      <c r="H432" s="13" t="s">
        <v>11099</v>
      </c>
      <c r="I432" s="13" t="s">
        <v>2820</v>
      </c>
      <c r="J432" s="13" t="s">
        <v>12178</v>
      </c>
      <c r="K432" s="13" t="s">
        <v>2822</v>
      </c>
      <c r="L432" s="13" t="s">
        <v>2823</v>
      </c>
    </row>
    <row r="433" customFormat="false" ht="516.4" hidden="false" customHeight="false" outlineLevel="0" collapsed="false">
      <c r="A433" s="13" t="s">
        <v>3</v>
      </c>
      <c r="B433" s="13" t="s">
        <v>2150</v>
      </c>
      <c r="C433" s="13" t="n">
        <v>178</v>
      </c>
      <c r="D433" s="13" t="s">
        <v>2824</v>
      </c>
      <c r="E433" s="13" t="s">
        <v>12179</v>
      </c>
      <c r="F433" s="13" t="s">
        <v>12180</v>
      </c>
      <c r="G433" s="13" t="s">
        <v>11098</v>
      </c>
      <c r="H433" s="13" t="s">
        <v>11099</v>
      </c>
      <c r="I433" s="13" t="s">
        <v>12181</v>
      </c>
      <c r="J433" s="13" t="s">
        <v>12182</v>
      </c>
      <c r="K433" s="13" t="s">
        <v>2828</v>
      </c>
      <c r="L433" s="13" t="s">
        <v>2829</v>
      </c>
    </row>
    <row r="434" customFormat="false" ht="35.05" hidden="false" customHeight="false" outlineLevel="0" collapsed="false">
      <c r="A434" s="13" t="s">
        <v>3</v>
      </c>
      <c r="B434" s="13" t="s">
        <v>2150</v>
      </c>
      <c r="C434" s="13" t="n">
        <v>178</v>
      </c>
      <c r="D434" s="13" t="s">
        <v>2919</v>
      </c>
      <c r="E434" s="13" t="s">
        <v>12183</v>
      </c>
      <c r="F434" s="13" t="s">
        <v>12184</v>
      </c>
      <c r="G434" s="13" t="s">
        <v>11098</v>
      </c>
      <c r="H434" s="13" t="s">
        <v>11099</v>
      </c>
      <c r="I434" s="13" t="s">
        <v>2920</v>
      </c>
      <c r="J434" s="13"/>
      <c r="K434" s="13" t="s">
        <v>2922</v>
      </c>
      <c r="L434" s="13" t="s">
        <v>2923</v>
      </c>
    </row>
    <row r="435" customFormat="false" ht="23.85" hidden="false" customHeight="false" outlineLevel="0" collapsed="false">
      <c r="A435" s="13" t="s">
        <v>3</v>
      </c>
      <c r="B435" s="13" t="s">
        <v>2150</v>
      </c>
      <c r="C435" s="13" t="n">
        <v>178</v>
      </c>
      <c r="D435" s="13" t="s">
        <v>2924</v>
      </c>
      <c r="E435" s="13" t="s">
        <v>12185</v>
      </c>
      <c r="F435" s="13" t="s">
        <v>12186</v>
      </c>
      <c r="G435" s="13" t="s">
        <v>11098</v>
      </c>
      <c r="H435" s="13" t="s">
        <v>11099</v>
      </c>
      <c r="I435" s="13" t="s">
        <v>12187</v>
      </c>
      <c r="J435" s="13"/>
      <c r="K435" s="13" t="s">
        <v>2927</v>
      </c>
      <c r="L435" s="13" t="s">
        <v>2928</v>
      </c>
    </row>
    <row r="436" customFormat="false" ht="23.85" hidden="false" customHeight="false" outlineLevel="0" collapsed="false">
      <c r="A436" s="13" t="s">
        <v>3</v>
      </c>
      <c r="B436" s="13" t="s">
        <v>2150</v>
      </c>
      <c r="C436" s="13" t="n">
        <v>178</v>
      </c>
      <c r="D436" s="13" t="s">
        <v>2931</v>
      </c>
      <c r="E436" s="13" t="s">
        <v>12188</v>
      </c>
      <c r="F436" s="13" t="s">
        <v>12189</v>
      </c>
      <c r="G436" s="13" t="s">
        <v>11098</v>
      </c>
      <c r="H436" s="13" t="s">
        <v>11099</v>
      </c>
      <c r="I436" s="13" t="s">
        <v>2932</v>
      </c>
      <c r="J436" s="13"/>
      <c r="K436" s="13" t="s">
        <v>2933</v>
      </c>
      <c r="L436" s="13" t="s">
        <v>2934</v>
      </c>
    </row>
    <row r="437" customFormat="false" ht="516.4" hidden="false" customHeight="false" outlineLevel="0" collapsed="false">
      <c r="A437" s="13" t="s">
        <v>3</v>
      </c>
      <c r="B437" s="13" t="s">
        <v>2150</v>
      </c>
      <c r="C437" s="13" t="n">
        <v>178</v>
      </c>
      <c r="D437" s="13" t="s">
        <v>2935</v>
      </c>
      <c r="E437" s="13" t="s">
        <v>12190</v>
      </c>
      <c r="F437" s="13" t="s">
        <v>12191</v>
      </c>
      <c r="G437" s="13" t="s">
        <v>11098</v>
      </c>
      <c r="H437" s="13" t="s">
        <v>11099</v>
      </c>
      <c r="I437" s="13" t="s">
        <v>12192</v>
      </c>
      <c r="J437" s="13" t="s">
        <v>12193</v>
      </c>
      <c r="K437" s="13" t="s">
        <v>2938</v>
      </c>
      <c r="L437" s="13" t="s">
        <v>2939</v>
      </c>
    </row>
    <row r="438" customFormat="false" ht="35.05" hidden="false" customHeight="false" outlineLevel="0" collapsed="false">
      <c r="A438" s="13" t="s">
        <v>3</v>
      </c>
      <c r="B438" s="13" t="s">
        <v>2150</v>
      </c>
      <c r="C438" s="13" t="n">
        <v>178</v>
      </c>
      <c r="D438" s="13" t="s">
        <v>3030</v>
      </c>
      <c r="E438" s="13" t="s">
        <v>12194</v>
      </c>
      <c r="F438" s="13" t="s">
        <v>12195</v>
      </c>
      <c r="G438" s="13" t="s">
        <v>11098</v>
      </c>
      <c r="H438" s="13" t="s">
        <v>11099</v>
      </c>
      <c r="I438" s="13" t="s">
        <v>12196</v>
      </c>
      <c r="J438" s="13"/>
      <c r="K438" s="13" t="s">
        <v>3034</v>
      </c>
      <c r="L438" s="13" t="s">
        <v>3035</v>
      </c>
    </row>
    <row r="439" customFormat="false" ht="23.85" hidden="false" customHeight="false" outlineLevel="0" collapsed="false">
      <c r="A439" s="13" t="s">
        <v>3</v>
      </c>
      <c r="B439" s="13" t="s">
        <v>2150</v>
      </c>
      <c r="C439" s="13" t="n">
        <v>182</v>
      </c>
      <c r="D439" s="13" t="s">
        <v>3038</v>
      </c>
      <c r="E439" s="13" t="s">
        <v>12197</v>
      </c>
      <c r="F439" s="13" t="s">
        <v>12198</v>
      </c>
      <c r="G439" s="13" t="s">
        <v>11098</v>
      </c>
      <c r="H439" s="13" t="s">
        <v>11099</v>
      </c>
      <c r="I439" s="13" t="s">
        <v>3039</v>
      </c>
      <c r="J439" s="13"/>
      <c r="K439" s="13" t="s">
        <v>3042</v>
      </c>
      <c r="L439" s="13" t="s">
        <v>3043</v>
      </c>
    </row>
    <row r="440" customFormat="false" ht="23.85" hidden="false" customHeight="false" outlineLevel="0" collapsed="false">
      <c r="A440" s="13" t="s">
        <v>3</v>
      </c>
      <c r="B440" s="13" t="s">
        <v>2150</v>
      </c>
      <c r="C440" s="13" t="n">
        <v>182</v>
      </c>
      <c r="D440" s="13" t="s">
        <v>3044</v>
      </c>
      <c r="E440" s="13" t="s">
        <v>12199</v>
      </c>
      <c r="F440" s="13" t="s">
        <v>12200</v>
      </c>
      <c r="G440" s="13" t="s">
        <v>11098</v>
      </c>
      <c r="H440" s="13" t="s">
        <v>11099</v>
      </c>
      <c r="I440" s="13" t="s">
        <v>3045</v>
      </c>
      <c r="J440" s="13"/>
      <c r="K440" s="13" t="s">
        <v>3049</v>
      </c>
      <c r="L440" s="13" t="s">
        <v>3050</v>
      </c>
    </row>
    <row r="441" customFormat="false" ht="35.05" hidden="false" customHeight="false" outlineLevel="0" collapsed="false">
      <c r="A441" s="13" t="s">
        <v>3</v>
      </c>
      <c r="B441" s="13" t="s">
        <v>2150</v>
      </c>
      <c r="C441" s="13" t="n">
        <v>182</v>
      </c>
      <c r="D441" s="13" t="s">
        <v>3051</v>
      </c>
      <c r="E441" s="13" t="s">
        <v>12201</v>
      </c>
      <c r="F441" s="13" t="s">
        <v>12202</v>
      </c>
      <c r="G441" s="13" t="s">
        <v>11098</v>
      </c>
      <c r="H441" s="13" t="s">
        <v>11099</v>
      </c>
      <c r="I441" s="13" t="s">
        <v>3052</v>
      </c>
      <c r="J441" s="13" t="s">
        <v>12203</v>
      </c>
      <c r="K441" s="13" t="s">
        <v>3055</v>
      </c>
      <c r="L441" s="13" t="s">
        <v>3056</v>
      </c>
    </row>
    <row r="442" customFormat="false" ht="23.85" hidden="false" customHeight="false" outlineLevel="0" collapsed="false">
      <c r="A442" s="13" t="s">
        <v>3</v>
      </c>
      <c r="B442" s="13" t="s">
        <v>2150</v>
      </c>
      <c r="C442" s="13" t="n">
        <v>182</v>
      </c>
      <c r="D442" s="13" t="s">
        <v>3057</v>
      </c>
      <c r="E442" s="13" t="s">
        <v>12204</v>
      </c>
      <c r="F442" s="13" t="s">
        <v>12205</v>
      </c>
      <c r="G442" s="13" t="s">
        <v>11098</v>
      </c>
      <c r="H442" s="13" t="s">
        <v>11099</v>
      </c>
      <c r="I442" s="13" t="s">
        <v>3058</v>
      </c>
      <c r="J442" s="13"/>
      <c r="K442" s="13" t="s">
        <v>3061</v>
      </c>
      <c r="L442" s="13" t="s">
        <v>3062</v>
      </c>
    </row>
    <row r="443" customFormat="false" ht="46.25" hidden="false" customHeight="false" outlineLevel="0" collapsed="false">
      <c r="A443" s="13" t="s">
        <v>3</v>
      </c>
      <c r="B443" s="13" t="s">
        <v>2150</v>
      </c>
      <c r="C443" s="13" t="n">
        <v>182</v>
      </c>
      <c r="D443" s="13" t="s">
        <v>3063</v>
      </c>
      <c r="E443" s="13" t="s">
        <v>12206</v>
      </c>
      <c r="F443" s="13" t="s">
        <v>12207</v>
      </c>
      <c r="G443" s="13" t="s">
        <v>11098</v>
      </c>
      <c r="H443" s="13" t="s">
        <v>11099</v>
      </c>
      <c r="I443" s="13" t="s">
        <v>12208</v>
      </c>
      <c r="J443" s="13"/>
      <c r="K443" s="13" t="s">
        <v>3067</v>
      </c>
      <c r="L443" s="13" t="s">
        <v>3068</v>
      </c>
    </row>
    <row r="444" customFormat="false" ht="23.85" hidden="false" customHeight="false" outlineLevel="0" collapsed="false">
      <c r="A444" s="13" t="s">
        <v>3</v>
      </c>
      <c r="B444" s="13" t="s">
        <v>2150</v>
      </c>
      <c r="C444" s="13" t="n">
        <v>182</v>
      </c>
      <c r="D444" s="13" t="s">
        <v>3072</v>
      </c>
      <c r="E444" s="13" t="s">
        <v>12209</v>
      </c>
      <c r="F444" s="13" t="s">
        <v>12210</v>
      </c>
      <c r="G444" s="13" t="s">
        <v>11098</v>
      </c>
      <c r="H444" s="13" t="s">
        <v>11099</v>
      </c>
      <c r="I444" s="13" t="s">
        <v>3073</v>
      </c>
      <c r="J444" s="13"/>
      <c r="K444" s="13" t="s">
        <v>3076</v>
      </c>
      <c r="L444" s="13" t="s">
        <v>3077</v>
      </c>
    </row>
    <row r="445" customFormat="false" ht="23.85" hidden="false" customHeight="false" outlineLevel="0" collapsed="false">
      <c r="A445" s="13" t="s">
        <v>3</v>
      </c>
      <c r="B445" s="13" t="s">
        <v>2150</v>
      </c>
      <c r="C445" s="13" t="n">
        <v>182</v>
      </c>
      <c r="D445" s="13" t="s">
        <v>3078</v>
      </c>
      <c r="E445" s="13" t="s">
        <v>12211</v>
      </c>
      <c r="F445" s="13" t="s">
        <v>12212</v>
      </c>
      <c r="G445" s="13" t="s">
        <v>11098</v>
      </c>
      <c r="H445" s="13" t="s">
        <v>11099</v>
      </c>
      <c r="I445" s="13" t="s">
        <v>3079</v>
      </c>
      <c r="J445" s="13"/>
      <c r="K445" s="13" t="s">
        <v>3082</v>
      </c>
      <c r="L445" s="13" t="s">
        <v>3083</v>
      </c>
    </row>
    <row r="446" customFormat="false" ht="46.25" hidden="false" customHeight="false" outlineLevel="0" collapsed="false">
      <c r="A446" s="13" t="s">
        <v>3</v>
      </c>
      <c r="B446" s="13" t="s">
        <v>2150</v>
      </c>
      <c r="C446" s="13" t="n">
        <v>182</v>
      </c>
      <c r="D446" s="13" t="s">
        <v>3084</v>
      </c>
      <c r="E446" s="13" t="s">
        <v>12213</v>
      </c>
      <c r="F446" s="13" t="s">
        <v>12214</v>
      </c>
      <c r="G446" s="13" t="s">
        <v>11098</v>
      </c>
      <c r="H446" s="13" t="s">
        <v>11099</v>
      </c>
      <c r="I446" s="13" t="s">
        <v>12215</v>
      </c>
      <c r="J446" s="13"/>
      <c r="K446" s="13" t="s">
        <v>3088</v>
      </c>
      <c r="L446" s="13" t="s">
        <v>3089</v>
      </c>
    </row>
    <row r="447" customFormat="false" ht="23.85" hidden="false" customHeight="false" outlineLevel="0" collapsed="false">
      <c r="A447" s="13" t="s">
        <v>3</v>
      </c>
      <c r="B447" s="13" t="s">
        <v>2150</v>
      </c>
      <c r="C447" s="13" t="n">
        <v>182</v>
      </c>
      <c r="D447" s="13" t="s">
        <v>3093</v>
      </c>
      <c r="E447" s="13" t="s">
        <v>12216</v>
      </c>
      <c r="F447" s="13" t="s">
        <v>12217</v>
      </c>
      <c r="G447" s="13" t="s">
        <v>11098</v>
      </c>
      <c r="H447" s="13" t="s">
        <v>11099</v>
      </c>
      <c r="I447" s="13" t="s">
        <v>3094</v>
      </c>
      <c r="J447" s="13"/>
      <c r="K447" s="13" t="s">
        <v>3097</v>
      </c>
      <c r="L447" s="13" t="s">
        <v>3098</v>
      </c>
    </row>
    <row r="448" customFormat="false" ht="23.85" hidden="false" customHeight="false" outlineLevel="0" collapsed="false">
      <c r="A448" s="13" t="s">
        <v>3</v>
      </c>
      <c r="B448" s="13" t="s">
        <v>2150</v>
      </c>
      <c r="C448" s="13" t="n">
        <v>182</v>
      </c>
      <c r="D448" s="13" t="s">
        <v>3099</v>
      </c>
      <c r="E448" s="13" t="s">
        <v>12218</v>
      </c>
      <c r="F448" s="13" t="s">
        <v>12219</v>
      </c>
      <c r="G448" s="13" t="s">
        <v>11098</v>
      </c>
      <c r="H448" s="13" t="s">
        <v>11099</v>
      </c>
      <c r="I448" s="13" t="s">
        <v>3100</v>
      </c>
      <c r="J448" s="13"/>
      <c r="K448" s="13" t="s">
        <v>3103</v>
      </c>
      <c r="L448" s="13" t="s">
        <v>3104</v>
      </c>
    </row>
    <row r="449" customFormat="false" ht="23.85" hidden="false" customHeight="false" outlineLevel="0" collapsed="false">
      <c r="A449" s="13" t="s">
        <v>3</v>
      </c>
      <c r="B449" s="13" t="s">
        <v>2150</v>
      </c>
      <c r="C449" s="13" t="n">
        <v>182</v>
      </c>
      <c r="D449" s="13" t="s">
        <v>3105</v>
      </c>
      <c r="E449" s="13" t="s">
        <v>12220</v>
      </c>
      <c r="F449" s="13" t="s">
        <v>12221</v>
      </c>
      <c r="G449" s="13" t="s">
        <v>11098</v>
      </c>
      <c r="H449" s="13" t="s">
        <v>11099</v>
      </c>
      <c r="I449" s="13" t="s">
        <v>3106</v>
      </c>
      <c r="J449" s="13"/>
      <c r="K449" s="13" t="s">
        <v>3109</v>
      </c>
      <c r="L449" s="13" t="s">
        <v>3110</v>
      </c>
    </row>
    <row r="450" customFormat="false" ht="23.85" hidden="false" customHeight="false" outlineLevel="0" collapsed="false">
      <c r="A450" s="13" t="s">
        <v>3</v>
      </c>
      <c r="B450" s="13" t="s">
        <v>2150</v>
      </c>
      <c r="C450" s="13" t="n">
        <v>182</v>
      </c>
      <c r="D450" s="13" t="s">
        <v>3111</v>
      </c>
      <c r="E450" s="13" t="s">
        <v>12222</v>
      </c>
      <c r="F450" s="13" t="s">
        <v>12223</v>
      </c>
      <c r="G450" s="13" t="s">
        <v>11098</v>
      </c>
      <c r="H450" s="13" t="s">
        <v>11099</v>
      </c>
      <c r="I450" s="13" t="s">
        <v>3112</v>
      </c>
      <c r="J450" s="13"/>
      <c r="K450" s="13" t="s">
        <v>3115</v>
      </c>
      <c r="L450" s="13" t="s">
        <v>3116</v>
      </c>
    </row>
    <row r="451" customFormat="false" ht="23.85" hidden="false" customHeight="false" outlineLevel="0" collapsed="false">
      <c r="A451" s="13" t="s">
        <v>3</v>
      </c>
      <c r="B451" s="13" t="s">
        <v>2150</v>
      </c>
      <c r="C451" s="13" t="n">
        <v>182</v>
      </c>
      <c r="D451" s="13" t="s">
        <v>3117</v>
      </c>
      <c r="E451" s="13" t="s">
        <v>12224</v>
      </c>
      <c r="F451" s="13" t="s">
        <v>12225</v>
      </c>
      <c r="G451" s="13" t="s">
        <v>11098</v>
      </c>
      <c r="H451" s="13" t="s">
        <v>11099</v>
      </c>
      <c r="I451" s="13" t="s">
        <v>3118</v>
      </c>
      <c r="J451" s="13"/>
      <c r="K451" s="13" t="s">
        <v>3121</v>
      </c>
      <c r="L451" s="13" t="s">
        <v>3122</v>
      </c>
    </row>
    <row r="452" customFormat="false" ht="23.85" hidden="false" customHeight="false" outlineLevel="0" collapsed="false">
      <c r="A452" s="13" t="s">
        <v>3</v>
      </c>
      <c r="B452" s="13" t="s">
        <v>2150</v>
      </c>
      <c r="C452" s="13" t="n">
        <v>182</v>
      </c>
      <c r="D452" s="13" t="s">
        <v>3123</v>
      </c>
      <c r="E452" s="13" t="s">
        <v>12226</v>
      </c>
      <c r="F452" s="13" t="s">
        <v>12227</v>
      </c>
      <c r="G452" s="13" t="s">
        <v>11098</v>
      </c>
      <c r="H452" s="13" t="s">
        <v>11099</v>
      </c>
      <c r="I452" s="13" t="s">
        <v>3124</v>
      </c>
      <c r="J452" s="13"/>
      <c r="K452" s="13" t="s">
        <v>3127</v>
      </c>
      <c r="L452" s="13" t="s">
        <v>3128</v>
      </c>
    </row>
    <row r="453" customFormat="false" ht="23.85" hidden="false" customHeight="false" outlineLevel="0" collapsed="false">
      <c r="A453" s="13" t="s">
        <v>3</v>
      </c>
      <c r="B453" s="13" t="s">
        <v>2150</v>
      </c>
      <c r="C453" s="13" t="n">
        <v>182</v>
      </c>
      <c r="D453" s="13" t="s">
        <v>3129</v>
      </c>
      <c r="E453" s="13" t="s">
        <v>12228</v>
      </c>
      <c r="F453" s="13" t="s">
        <v>12229</v>
      </c>
      <c r="G453" s="13" t="s">
        <v>11098</v>
      </c>
      <c r="H453" s="13" t="s">
        <v>11099</v>
      </c>
      <c r="I453" s="13" t="s">
        <v>3130</v>
      </c>
      <c r="J453" s="13"/>
      <c r="K453" s="13" t="s">
        <v>3133</v>
      </c>
      <c r="L453" s="13" t="s">
        <v>3134</v>
      </c>
    </row>
    <row r="454" customFormat="false" ht="23.85" hidden="false" customHeight="false" outlineLevel="0" collapsed="false">
      <c r="A454" s="13" t="s">
        <v>3</v>
      </c>
      <c r="B454" s="13" t="s">
        <v>2150</v>
      </c>
      <c r="C454" s="13" t="n">
        <v>182</v>
      </c>
      <c r="D454" s="13" t="s">
        <v>3135</v>
      </c>
      <c r="E454" s="13" t="s">
        <v>12230</v>
      </c>
      <c r="F454" s="13" t="s">
        <v>12231</v>
      </c>
      <c r="G454" s="13" t="s">
        <v>11098</v>
      </c>
      <c r="H454" s="13" t="s">
        <v>11099</v>
      </c>
      <c r="I454" s="13" t="s">
        <v>3136</v>
      </c>
      <c r="J454" s="13"/>
      <c r="K454" s="13" t="s">
        <v>3139</v>
      </c>
      <c r="L454" s="13" t="s">
        <v>3140</v>
      </c>
    </row>
    <row r="455" customFormat="false" ht="23.85" hidden="false" customHeight="false" outlineLevel="0" collapsed="false">
      <c r="A455" s="13" t="s">
        <v>3</v>
      </c>
      <c r="B455" s="13" t="s">
        <v>2150</v>
      </c>
      <c r="C455" s="13" t="n">
        <v>182</v>
      </c>
      <c r="D455" s="13" t="s">
        <v>3141</v>
      </c>
      <c r="E455" s="13" t="s">
        <v>12232</v>
      </c>
      <c r="F455" s="13" t="s">
        <v>12233</v>
      </c>
      <c r="G455" s="13" t="s">
        <v>11098</v>
      </c>
      <c r="H455" s="13" t="s">
        <v>11099</v>
      </c>
      <c r="I455" s="13" t="s">
        <v>3142</v>
      </c>
      <c r="J455" s="13"/>
      <c r="K455" s="13" t="s">
        <v>3145</v>
      </c>
      <c r="L455" s="13" t="s">
        <v>3146</v>
      </c>
    </row>
    <row r="456" customFormat="false" ht="23.85" hidden="false" customHeight="false" outlineLevel="0" collapsed="false">
      <c r="A456" s="13" t="s">
        <v>3</v>
      </c>
      <c r="B456" s="13" t="s">
        <v>2150</v>
      </c>
      <c r="C456" s="13" t="n">
        <v>182</v>
      </c>
      <c r="D456" s="13" t="s">
        <v>3147</v>
      </c>
      <c r="E456" s="13" t="s">
        <v>12234</v>
      </c>
      <c r="F456" s="13" t="s">
        <v>12235</v>
      </c>
      <c r="G456" s="13" t="s">
        <v>11098</v>
      </c>
      <c r="H456" s="13" t="s">
        <v>11099</v>
      </c>
      <c r="I456" s="13" t="s">
        <v>3148</v>
      </c>
      <c r="J456" s="13"/>
      <c r="K456" s="13" t="s">
        <v>3151</v>
      </c>
      <c r="L456" s="13" t="s">
        <v>3152</v>
      </c>
    </row>
    <row r="457" customFormat="false" ht="23.85" hidden="false" customHeight="false" outlineLevel="0" collapsed="false">
      <c r="A457" s="13" t="s">
        <v>3</v>
      </c>
      <c r="B457" s="13" t="s">
        <v>2150</v>
      </c>
      <c r="C457" s="13" t="n">
        <v>182</v>
      </c>
      <c r="D457" s="13" t="s">
        <v>3153</v>
      </c>
      <c r="E457" s="13" t="s">
        <v>12236</v>
      </c>
      <c r="F457" s="13" t="s">
        <v>12237</v>
      </c>
      <c r="G457" s="13" t="s">
        <v>11098</v>
      </c>
      <c r="H457" s="13" t="s">
        <v>11099</v>
      </c>
      <c r="I457" s="13" t="s">
        <v>3154</v>
      </c>
      <c r="J457" s="13"/>
      <c r="K457" s="13" t="s">
        <v>3157</v>
      </c>
      <c r="L457" s="13" t="s">
        <v>3158</v>
      </c>
    </row>
    <row r="458" customFormat="false" ht="23.85" hidden="false" customHeight="false" outlineLevel="0" collapsed="false">
      <c r="A458" s="13" t="s">
        <v>3</v>
      </c>
      <c r="B458" s="13" t="s">
        <v>2150</v>
      </c>
      <c r="C458" s="13" t="n">
        <v>182</v>
      </c>
      <c r="D458" s="13" t="s">
        <v>3159</v>
      </c>
      <c r="E458" s="13" t="s">
        <v>12238</v>
      </c>
      <c r="F458" s="13" t="s">
        <v>12239</v>
      </c>
      <c r="G458" s="13" t="s">
        <v>11098</v>
      </c>
      <c r="H458" s="13" t="s">
        <v>11099</v>
      </c>
      <c r="I458" s="13" t="s">
        <v>3160</v>
      </c>
      <c r="J458" s="13"/>
      <c r="K458" s="13" t="s">
        <v>3163</v>
      </c>
      <c r="L458" s="13" t="s">
        <v>3164</v>
      </c>
    </row>
    <row r="459" customFormat="false" ht="23.85" hidden="false" customHeight="false" outlineLevel="0" collapsed="false">
      <c r="A459" s="13" t="s">
        <v>3</v>
      </c>
      <c r="B459" s="13" t="s">
        <v>2150</v>
      </c>
      <c r="C459" s="13" t="n">
        <v>182</v>
      </c>
      <c r="D459" s="13" t="s">
        <v>3165</v>
      </c>
      <c r="E459" s="13" t="s">
        <v>12240</v>
      </c>
      <c r="F459" s="13" t="s">
        <v>12241</v>
      </c>
      <c r="G459" s="13" t="s">
        <v>11098</v>
      </c>
      <c r="H459" s="13" t="s">
        <v>11099</v>
      </c>
      <c r="I459" s="13" t="s">
        <v>3166</v>
      </c>
      <c r="J459" s="13"/>
      <c r="K459" s="13" t="s">
        <v>3169</v>
      </c>
      <c r="L459" s="13" t="s">
        <v>3170</v>
      </c>
    </row>
    <row r="460" customFormat="false" ht="23.85" hidden="false" customHeight="false" outlineLevel="0" collapsed="false">
      <c r="A460" s="13" t="s">
        <v>3</v>
      </c>
      <c r="B460" s="13" t="s">
        <v>2150</v>
      </c>
      <c r="C460" s="13" t="n">
        <v>182</v>
      </c>
      <c r="D460" s="13" t="s">
        <v>3171</v>
      </c>
      <c r="E460" s="13" t="s">
        <v>12242</v>
      </c>
      <c r="F460" s="13" t="s">
        <v>12243</v>
      </c>
      <c r="G460" s="13" t="s">
        <v>11098</v>
      </c>
      <c r="H460" s="13" t="s">
        <v>11099</v>
      </c>
      <c r="I460" s="13" t="s">
        <v>3172</v>
      </c>
      <c r="J460" s="13"/>
      <c r="K460" s="13" t="s">
        <v>3175</v>
      </c>
      <c r="L460" s="13" t="s">
        <v>3176</v>
      </c>
    </row>
    <row r="461" customFormat="false" ht="23.85" hidden="false" customHeight="false" outlineLevel="0" collapsed="false">
      <c r="A461" s="13" t="s">
        <v>3</v>
      </c>
      <c r="B461" s="13" t="s">
        <v>2150</v>
      </c>
      <c r="C461" s="13" t="n">
        <v>182</v>
      </c>
      <c r="D461" s="13" t="s">
        <v>3177</v>
      </c>
      <c r="E461" s="13" t="s">
        <v>12244</v>
      </c>
      <c r="F461" s="13" t="s">
        <v>12245</v>
      </c>
      <c r="G461" s="13" t="s">
        <v>11098</v>
      </c>
      <c r="H461" s="13" t="s">
        <v>11099</v>
      </c>
      <c r="I461" s="13" t="s">
        <v>3178</v>
      </c>
      <c r="J461" s="13"/>
      <c r="K461" s="13" t="s">
        <v>3181</v>
      </c>
      <c r="L461" s="13" t="s">
        <v>3182</v>
      </c>
    </row>
    <row r="462" customFormat="false" ht="23.85" hidden="false" customHeight="false" outlineLevel="0" collapsed="false">
      <c r="A462" s="13" t="s">
        <v>3</v>
      </c>
      <c r="B462" s="13" t="s">
        <v>2150</v>
      </c>
      <c r="C462" s="13" t="n">
        <v>182</v>
      </c>
      <c r="D462" s="13" t="s">
        <v>3183</v>
      </c>
      <c r="E462" s="13" t="s">
        <v>12246</v>
      </c>
      <c r="F462" s="13" t="s">
        <v>12247</v>
      </c>
      <c r="G462" s="13" t="s">
        <v>11098</v>
      </c>
      <c r="H462" s="13" t="s">
        <v>11099</v>
      </c>
      <c r="I462" s="13" t="s">
        <v>3184</v>
      </c>
      <c r="J462" s="13"/>
      <c r="K462" s="13" t="s">
        <v>3187</v>
      </c>
      <c r="L462" s="13" t="s">
        <v>3188</v>
      </c>
    </row>
    <row r="463" customFormat="false" ht="23.85" hidden="false" customHeight="false" outlineLevel="0" collapsed="false">
      <c r="A463" s="13" t="s">
        <v>3</v>
      </c>
      <c r="B463" s="13" t="s">
        <v>2150</v>
      </c>
      <c r="C463" s="13" t="n">
        <v>182</v>
      </c>
      <c r="D463" s="13" t="s">
        <v>3189</v>
      </c>
      <c r="E463" s="13" t="s">
        <v>12248</v>
      </c>
      <c r="F463" s="13" t="s">
        <v>12249</v>
      </c>
      <c r="G463" s="13" t="s">
        <v>11098</v>
      </c>
      <c r="H463" s="13" t="s">
        <v>11099</v>
      </c>
      <c r="I463" s="13" t="s">
        <v>3190</v>
      </c>
      <c r="J463" s="13"/>
      <c r="K463" s="13" t="s">
        <v>3193</v>
      </c>
      <c r="L463" s="13" t="s">
        <v>3194</v>
      </c>
    </row>
    <row r="464" customFormat="false" ht="23.85" hidden="false" customHeight="false" outlineLevel="0" collapsed="false">
      <c r="A464" s="13" t="s">
        <v>3</v>
      </c>
      <c r="B464" s="13" t="s">
        <v>2150</v>
      </c>
      <c r="C464" s="13" t="n">
        <v>182</v>
      </c>
      <c r="D464" s="13" t="s">
        <v>3195</v>
      </c>
      <c r="E464" s="13" t="s">
        <v>12250</v>
      </c>
      <c r="F464" s="13" t="s">
        <v>12251</v>
      </c>
      <c r="G464" s="13" t="s">
        <v>11098</v>
      </c>
      <c r="H464" s="13" t="s">
        <v>11099</v>
      </c>
      <c r="I464" s="13" t="s">
        <v>3196</v>
      </c>
      <c r="J464" s="13"/>
      <c r="K464" s="13" t="s">
        <v>3199</v>
      </c>
      <c r="L464" s="13" t="s">
        <v>3200</v>
      </c>
    </row>
    <row r="465" customFormat="false" ht="23.85" hidden="false" customHeight="false" outlineLevel="0" collapsed="false">
      <c r="A465" s="13" t="s">
        <v>3</v>
      </c>
      <c r="B465" s="13" t="s">
        <v>2150</v>
      </c>
      <c r="C465" s="13" t="n">
        <v>182</v>
      </c>
      <c r="D465" s="13" t="s">
        <v>3201</v>
      </c>
      <c r="E465" s="13" t="s">
        <v>12252</v>
      </c>
      <c r="F465" s="13" t="s">
        <v>12253</v>
      </c>
      <c r="G465" s="13" t="s">
        <v>11098</v>
      </c>
      <c r="H465" s="13" t="s">
        <v>11099</v>
      </c>
      <c r="I465" s="13" t="s">
        <v>3202</v>
      </c>
      <c r="J465" s="13"/>
      <c r="K465" s="13" t="s">
        <v>3205</v>
      </c>
      <c r="L465" s="13" t="s">
        <v>3206</v>
      </c>
    </row>
    <row r="466" customFormat="false" ht="102.2" hidden="false" customHeight="false" outlineLevel="0" collapsed="false">
      <c r="A466" s="13" t="s">
        <v>3</v>
      </c>
      <c r="B466" s="13" t="s">
        <v>2150</v>
      </c>
      <c r="C466" s="13" t="n">
        <v>226</v>
      </c>
      <c r="D466" s="13" t="s">
        <v>3207</v>
      </c>
      <c r="E466" s="13" t="s">
        <v>12254</v>
      </c>
      <c r="F466" s="13" t="s">
        <v>12255</v>
      </c>
      <c r="G466" s="13" t="s">
        <v>11098</v>
      </c>
      <c r="H466" s="13" t="s">
        <v>11099</v>
      </c>
      <c r="I466" s="13" t="s">
        <v>12256</v>
      </c>
      <c r="J466" s="13"/>
      <c r="K466" s="13" t="s">
        <v>3211</v>
      </c>
      <c r="L466" s="13" t="s">
        <v>3212</v>
      </c>
    </row>
    <row r="467" customFormat="false" ht="57.45" hidden="false" customHeight="false" outlineLevel="0" collapsed="false">
      <c r="A467" s="13" t="s">
        <v>3</v>
      </c>
      <c r="B467" s="13" t="s">
        <v>2150</v>
      </c>
      <c r="C467" s="13" t="n">
        <v>226</v>
      </c>
      <c r="D467" s="13" t="s">
        <v>3219</v>
      </c>
      <c r="E467" s="13" t="s">
        <v>12257</v>
      </c>
      <c r="F467" s="13" t="s">
        <v>12258</v>
      </c>
      <c r="G467" s="13" t="s">
        <v>11098</v>
      </c>
      <c r="H467" s="13" t="s">
        <v>11099</v>
      </c>
      <c r="I467" s="13" t="s">
        <v>3220</v>
      </c>
      <c r="J467" s="13"/>
      <c r="K467" s="13" t="s">
        <v>3223</v>
      </c>
      <c r="L467" s="13" t="s">
        <v>3224</v>
      </c>
    </row>
    <row r="468" customFormat="false" ht="68.65" hidden="false" customHeight="false" outlineLevel="0" collapsed="false">
      <c r="A468" s="13" t="s">
        <v>3</v>
      </c>
      <c r="B468" s="13" t="s">
        <v>2150</v>
      </c>
      <c r="C468" s="13" t="n">
        <v>226</v>
      </c>
      <c r="D468" s="13" t="s">
        <v>3225</v>
      </c>
      <c r="E468" s="13" t="s">
        <v>12259</v>
      </c>
      <c r="F468" s="13" t="s">
        <v>12260</v>
      </c>
      <c r="G468" s="13" t="s">
        <v>11098</v>
      </c>
      <c r="H468" s="13" t="s">
        <v>11099</v>
      </c>
      <c r="I468" s="13" t="s">
        <v>3226</v>
      </c>
      <c r="J468" s="13"/>
      <c r="K468" s="13" t="s">
        <v>3230</v>
      </c>
      <c r="L468" s="13" t="s">
        <v>3231</v>
      </c>
    </row>
    <row r="469" customFormat="false" ht="68.65" hidden="false" customHeight="false" outlineLevel="0" collapsed="false">
      <c r="A469" s="13" t="s">
        <v>3</v>
      </c>
      <c r="B469" s="13" t="s">
        <v>2150</v>
      </c>
      <c r="C469" s="13" t="n">
        <v>226</v>
      </c>
      <c r="D469" s="13" t="s">
        <v>3225</v>
      </c>
      <c r="E469" s="13" t="s">
        <v>12261</v>
      </c>
      <c r="F469" s="13" t="s">
        <v>12262</v>
      </c>
      <c r="G469" s="13" t="s">
        <v>11098</v>
      </c>
      <c r="H469" s="13" t="s">
        <v>11099</v>
      </c>
      <c r="I469" s="13" t="s">
        <v>12263</v>
      </c>
      <c r="J469" s="13"/>
      <c r="K469" s="13" t="s">
        <v>3230</v>
      </c>
      <c r="L469" s="13" t="s">
        <v>3231</v>
      </c>
    </row>
    <row r="470" customFormat="false" ht="236.55" hidden="false" customHeight="false" outlineLevel="0" collapsed="false">
      <c r="A470" s="13" t="s">
        <v>3</v>
      </c>
      <c r="B470" s="13" t="s">
        <v>2150</v>
      </c>
      <c r="C470" s="13" t="n">
        <v>226</v>
      </c>
      <c r="D470" s="13" t="s">
        <v>3238</v>
      </c>
      <c r="E470" s="13" t="s">
        <v>12264</v>
      </c>
      <c r="F470" s="13" t="s">
        <v>12265</v>
      </c>
      <c r="G470" s="13" t="s">
        <v>11128</v>
      </c>
      <c r="H470" s="13" t="s">
        <v>11099</v>
      </c>
      <c r="I470" s="13"/>
      <c r="J470" s="13"/>
      <c r="K470" s="13" t="s">
        <v>3242</v>
      </c>
      <c r="L470" s="13" t="s">
        <v>3243</v>
      </c>
    </row>
    <row r="471" customFormat="false" ht="236.55" hidden="false" customHeight="false" outlineLevel="0" collapsed="false">
      <c r="A471" s="13" t="s">
        <v>3</v>
      </c>
      <c r="B471" s="13" t="s">
        <v>2150</v>
      </c>
      <c r="C471" s="13" t="n">
        <v>226</v>
      </c>
      <c r="D471" s="13" t="s">
        <v>3238</v>
      </c>
      <c r="E471" s="13" t="s">
        <v>12266</v>
      </c>
      <c r="F471" s="13" t="s">
        <v>12267</v>
      </c>
      <c r="G471" s="13" t="s">
        <v>11315</v>
      </c>
      <c r="H471" s="13" t="s">
        <v>11099</v>
      </c>
      <c r="I471" s="13" t="s">
        <v>12268</v>
      </c>
      <c r="J471" s="13" t="s">
        <v>12269</v>
      </c>
      <c r="K471" s="13" t="s">
        <v>3242</v>
      </c>
      <c r="L471" s="13" t="s">
        <v>3243</v>
      </c>
    </row>
    <row r="472" customFormat="false" ht="236.55" hidden="false" customHeight="false" outlineLevel="0" collapsed="false">
      <c r="A472" s="13" t="s">
        <v>3</v>
      </c>
      <c r="B472" s="13" t="s">
        <v>2150</v>
      </c>
      <c r="C472" s="13" t="n">
        <v>226</v>
      </c>
      <c r="D472" s="13" t="s">
        <v>3238</v>
      </c>
      <c r="E472" s="13" t="s">
        <v>12270</v>
      </c>
      <c r="F472" s="13" t="s">
        <v>12271</v>
      </c>
      <c r="G472" s="13" t="s">
        <v>11098</v>
      </c>
      <c r="H472" s="13" t="s">
        <v>11099</v>
      </c>
      <c r="I472" s="13" t="s">
        <v>3247</v>
      </c>
      <c r="J472" s="13"/>
      <c r="K472" s="13" t="s">
        <v>3242</v>
      </c>
      <c r="L472" s="13" t="s">
        <v>3243</v>
      </c>
    </row>
    <row r="473" customFormat="false" ht="23.85" hidden="false" customHeight="false" outlineLevel="0" collapsed="false">
      <c r="A473" s="13" t="s">
        <v>3</v>
      </c>
      <c r="B473" s="13" t="s">
        <v>2150</v>
      </c>
      <c r="C473" s="13" t="n">
        <v>226</v>
      </c>
      <c r="D473" s="13" t="s">
        <v>3252</v>
      </c>
      <c r="E473" s="13" t="s">
        <v>12272</v>
      </c>
      <c r="F473" s="13" t="s">
        <v>12273</v>
      </c>
      <c r="G473" s="13" t="s">
        <v>11098</v>
      </c>
      <c r="H473" s="13" t="s">
        <v>11099</v>
      </c>
      <c r="I473" s="13" t="s">
        <v>3253</v>
      </c>
      <c r="J473" s="13"/>
      <c r="K473" s="13" t="s">
        <v>3257</v>
      </c>
      <c r="L473" s="13" t="s">
        <v>3258</v>
      </c>
    </row>
    <row r="474" customFormat="false" ht="35.05" hidden="false" customHeight="false" outlineLevel="0" collapsed="false">
      <c r="A474" s="13" t="s">
        <v>3</v>
      </c>
      <c r="B474" s="13" t="s">
        <v>2150</v>
      </c>
      <c r="C474" s="13" t="n">
        <v>235</v>
      </c>
      <c r="D474" s="13" t="s">
        <v>3259</v>
      </c>
      <c r="E474" s="13" t="s">
        <v>12274</v>
      </c>
      <c r="F474" s="13" t="s">
        <v>12275</v>
      </c>
      <c r="G474" s="13" t="s">
        <v>11098</v>
      </c>
      <c r="H474" s="13" t="s">
        <v>11099</v>
      </c>
      <c r="I474" s="13" t="s">
        <v>3260</v>
      </c>
      <c r="J474" s="13" t="s">
        <v>12276</v>
      </c>
      <c r="K474" s="13" t="s">
        <v>3264</v>
      </c>
      <c r="L474" s="13" t="s">
        <v>3265</v>
      </c>
    </row>
    <row r="475" customFormat="false" ht="35.05" hidden="false" customHeight="false" outlineLevel="0" collapsed="false">
      <c r="A475" s="13" t="s">
        <v>3</v>
      </c>
      <c r="B475" s="13" t="s">
        <v>2150</v>
      </c>
      <c r="C475" s="13" t="n">
        <v>235</v>
      </c>
      <c r="D475" s="13" t="s">
        <v>3266</v>
      </c>
      <c r="E475" s="13" t="s">
        <v>12277</v>
      </c>
      <c r="F475" s="13" t="s">
        <v>12278</v>
      </c>
      <c r="G475" s="13" t="s">
        <v>11098</v>
      </c>
      <c r="H475" s="13" t="s">
        <v>11099</v>
      </c>
      <c r="I475" s="13" t="s">
        <v>3267</v>
      </c>
      <c r="J475" s="13"/>
      <c r="K475" s="13" t="s">
        <v>3270</v>
      </c>
      <c r="L475" s="13" t="s">
        <v>3271</v>
      </c>
    </row>
    <row r="476" customFormat="false" ht="35.05" hidden="false" customHeight="false" outlineLevel="0" collapsed="false">
      <c r="A476" s="13" t="s">
        <v>3</v>
      </c>
      <c r="B476" s="13" t="s">
        <v>2150</v>
      </c>
      <c r="C476" s="13" t="n">
        <v>235</v>
      </c>
      <c r="D476" s="13" t="s">
        <v>3272</v>
      </c>
      <c r="E476" s="13" t="s">
        <v>12279</v>
      </c>
      <c r="F476" s="13" t="s">
        <v>12280</v>
      </c>
      <c r="G476" s="13" t="s">
        <v>11098</v>
      </c>
      <c r="H476" s="13" t="s">
        <v>11099</v>
      </c>
      <c r="I476" s="13" t="s">
        <v>12281</v>
      </c>
      <c r="J476" s="13"/>
      <c r="K476" s="13" t="s">
        <v>3276</v>
      </c>
      <c r="L476" s="13" t="s">
        <v>3277</v>
      </c>
    </row>
    <row r="477" customFormat="false" ht="35.05" hidden="false" customHeight="false" outlineLevel="0" collapsed="false">
      <c r="A477" s="13" t="s">
        <v>3</v>
      </c>
      <c r="B477" s="13" t="s">
        <v>2150</v>
      </c>
      <c r="C477" s="13" t="n">
        <v>235</v>
      </c>
      <c r="D477" s="13" t="s">
        <v>3280</v>
      </c>
      <c r="E477" s="13" t="s">
        <v>12282</v>
      </c>
      <c r="F477" s="13" t="s">
        <v>12283</v>
      </c>
      <c r="G477" s="13" t="s">
        <v>11098</v>
      </c>
      <c r="H477" s="13" t="s">
        <v>11099</v>
      </c>
      <c r="I477" s="13" t="s">
        <v>3281</v>
      </c>
      <c r="J477" s="13"/>
      <c r="K477" s="13" t="s">
        <v>3283</v>
      </c>
      <c r="L477" s="13" t="s">
        <v>3284</v>
      </c>
    </row>
    <row r="478" customFormat="false" ht="23.85" hidden="false" customHeight="false" outlineLevel="0" collapsed="false">
      <c r="A478" s="13" t="s">
        <v>3</v>
      </c>
      <c r="B478" s="13" t="s">
        <v>2150</v>
      </c>
      <c r="C478" s="13" t="n">
        <v>235</v>
      </c>
      <c r="D478" s="13" t="s">
        <v>3285</v>
      </c>
      <c r="E478" s="13" t="s">
        <v>12284</v>
      </c>
      <c r="F478" s="13" t="s">
        <v>12285</v>
      </c>
      <c r="G478" s="13" t="s">
        <v>11098</v>
      </c>
      <c r="H478" s="13" t="s">
        <v>11099</v>
      </c>
      <c r="I478" s="13" t="s">
        <v>3286</v>
      </c>
      <c r="J478" s="13"/>
      <c r="K478" s="13" t="s">
        <v>3288</v>
      </c>
      <c r="L478" s="13" t="s">
        <v>3289</v>
      </c>
    </row>
    <row r="479" customFormat="false" ht="57.45" hidden="false" customHeight="false" outlineLevel="0" collapsed="false">
      <c r="A479" s="13" t="s">
        <v>3</v>
      </c>
      <c r="B479" s="13" t="s">
        <v>2150</v>
      </c>
      <c r="C479" s="13" t="n">
        <v>235</v>
      </c>
      <c r="D479" s="13" t="s">
        <v>3290</v>
      </c>
      <c r="E479" s="13" t="s">
        <v>12286</v>
      </c>
      <c r="F479" s="13" t="s">
        <v>12287</v>
      </c>
      <c r="G479" s="13" t="s">
        <v>11098</v>
      </c>
      <c r="H479" s="13" t="s">
        <v>11099</v>
      </c>
      <c r="I479" s="13" t="s">
        <v>12288</v>
      </c>
      <c r="J479" s="13"/>
      <c r="K479" s="13" t="s">
        <v>3294</v>
      </c>
      <c r="L479" s="13" t="s">
        <v>3295</v>
      </c>
    </row>
    <row r="480" customFormat="false" ht="23.85" hidden="false" customHeight="false" outlineLevel="0" collapsed="false">
      <c r="A480" s="13" t="s">
        <v>3</v>
      </c>
      <c r="B480" s="13" t="s">
        <v>2150</v>
      </c>
      <c r="C480" s="13" t="n">
        <v>235</v>
      </c>
      <c r="D480" s="13" t="s">
        <v>3299</v>
      </c>
      <c r="E480" s="13" t="s">
        <v>12289</v>
      </c>
      <c r="F480" s="13" t="s">
        <v>12290</v>
      </c>
      <c r="G480" s="13" t="s">
        <v>11098</v>
      </c>
      <c r="H480" s="13" t="s">
        <v>11099</v>
      </c>
      <c r="I480" s="13" t="s">
        <v>3300</v>
      </c>
      <c r="J480" s="13"/>
      <c r="K480" s="13" t="s">
        <v>3304</v>
      </c>
      <c r="L480" s="13" t="s">
        <v>3305</v>
      </c>
    </row>
    <row r="481" customFormat="false" ht="102.2" hidden="false" customHeight="false" outlineLevel="0" collapsed="false">
      <c r="A481" s="13" t="s">
        <v>3</v>
      </c>
      <c r="B481" s="13" t="s">
        <v>2150</v>
      </c>
      <c r="C481" s="13" t="n">
        <v>235</v>
      </c>
      <c r="D481" s="13" t="s">
        <v>3306</v>
      </c>
      <c r="E481" s="13" t="s">
        <v>12291</v>
      </c>
      <c r="F481" s="13" t="s">
        <v>12292</v>
      </c>
      <c r="G481" s="13" t="s">
        <v>11098</v>
      </c>
      <c r="H481" s="13" t="s">
        <v>11099</v>
      </c>
      <c r="I481" s="13" t="s">
        <v>12293</v>
      </c>
      <c r="J481" s="13"/>
      <c r="K481" s="13" t="s">
        <v>3310</v>
      </c>
      <c r="L481" s="13" t="s">
        <v>3311</v>
      </c>
    </row>
    <row r="482" customFormat="false" ht="102.2" hidden="false" customHeight="false" outlineLevel="0" collapsed="false">
      <c r="A482" s="13" t="s">
        <v>3</v>
      </c>
      <c r="B482" s="13" t="s">
        <v>2150</v>
      </c>
      <c r="C482" s="13" t="n">
        <v>235</v>
      </c>
      <c r="D482" s="13" t="s">
        <v>3306</v>
      </c>
      <c r="E482" s="13" t="s">
        <v>12294</v>
      </c>
      <c r="F482" s="13" t="s">
        <v>12295</v>
      </c>
      <c r="G482" s="13" t="s">
        <v>11128</v>
      </c>
      <c r="H482" s="13" t="s">
        <v>11099</v>
      </c>
      <c r="I482" s="13"/>
      <c r="J482" s="13" t="s">
        <v>12296</v>
      </c>
      <c r="K482" s="13" t="s">
        <v>3310</v>
      </c>
      <c r="L482" s="13" t="s">
        <v>3311</v>
      </c>
    </row>
    <row r="483" customFormat="false" ht="102.2" hidden="false" customHeight="false" outlineLevel="0" collapsed="false">
      <c r="A483" s="13" t="s">
        <v>3</v>
      </c>
      <c r="B483" s="13" t="s">
        <v>2150</v>
      </c>
      <c r="C483" s="13" t="n">
        <v>235</v>
      </c>
      <c r="D483" s="13" t="s">
        <v>3317</v>
      </c>
      <c r="E483" s="13" t="s">
        <v>12297</v>
      </c>
      <c r="F483" s="13" t="s">
        <v>12298</v>
      </c>
      <c r="G483" s="13" t="s">
        <v>11098</v>
      </c>
      <c r="H483" s="13" t="s">
        <v>11099</v>
      </c>
      <c r="I483" s="13" t="s">
        <v>12299</v>
      </c>
      <c r="J483" s="13"/>
      <c r="K483" s="13" t="s">
        <v>3321</v>
      </c>
      <c r="L483" s="13" t="s">
        <v>3322</v>
      </c>
    </row>
    <row r="484" customFormat="false" ht="303.7" hidden="false" customHeight="false" outlineLevel="0" collapsed="false">
      <c r="A484" s="13" t="s">
        <v>3</v>
      </c>
      <c r="B484" s="13" t="s">
        <v>2150</v>
      </c>
      <c r="C484" s="13" t="n">
        <v>266</v>
      </c>
      <c r="D484" s="13" t="s">
        <v>3336</v>
      </c>
      <c r="E484" s="13" t="s">
        <v>12300</v>
      </c>
      <c r="F484" s="13" t="s">
        <v>12301</v>
      </c>
      <c r="G484" s="13" t="s">
        <v>11098</v>
      </c>
      <c r="H484" s="13" t="s">
        <v>11099</v>
      </c>
      <c r="I484" s="13" t="s">
        <v>12302</v>
      </c>
      <c r="J484" s="13"/>
      <c r="K484" s="13" t="s">
        <v>3340</v>
      </c>
      <c r="L484" s="13" t="s">
        <v>3341</v>
      </c>
    </row>
    <row r="485" customFormat="false" ht="303.7" hidden="false" customHeight="false" outlineLevel="0" collapsed="false">
      <c r="A485" s="13" t="s">
        <v>3</v>
      </c>
      <c r="B485" s="13" t="s">
        <v>2150</v>
      </c>
      <c r="C485" s="13" t="n">
        <v>266</v>
      </c>
      <c r="D485" s="13" t="s">
        <v>3336</v>
      </c>
      <c r="E485" s="13" t="s">
        <v>12303</v>
      </c>
      <c r="F485" s="13" t="s">
        <v>12304</v>
      </c>
      <c r="G485" s="13" t="s">
        <v>11098</v>
      </c>
      <c r="H485" s="13" t="s">
        <v>11099</v>
      </c>
      <c r="I485" s="13" t="s">
        <v>3348</v>
      </c>
      <c r="J485" s="13"/>
      <c r="K485" s="13" t="s">
        <v>3340</v>
      </c>
      <c r="L485" s="13" t="s">
        <v>3341</v>
      </c>
    </row>
    <row r="486" customFormat="false" ht="303.7" hidden="false" customHeight="false" outlineLevel="0" collapsed="false">
      <c r="A486" s="13" t="s">
        <v>3</v>
      </c>
      <c r="B486" s="13" t="s">
        <v>2150</v>
      </c>
      <c r="C486" s="13" t="n">
        <v>266</v>
      </c>
      <c r="D486" s="13" t="s">
        <v>3336</v>
      </c>
      <c r="E486" s="13" t="s">
        <v>12305</v>
      </c>
      <c r="F486" s="13" t="s">
        <v>12306</v>
      </c>
      <c r="G486" s="13" t="s">
        <v>11098</v>
      </c>
      <c r="H486" s="13" t="s">
        <v>11099</v>
      </c>
      <c r="I486" s="13" t="s">
        <v>12307</v>
      </c>
      <c r="J486" s="13"/>
      <c r="K486" s="13" t="s">
        <v>3340</v>
      </c>
      <c r="L486" s="13" t="s">
        <v>3341</v>
      </c>
    </row>
    <row r="487" customFormat="false" ht="303.7" hidden="false" customHeight="false" outlineLevel="0" collapsed="false">
      <c r="A487" s="13" t="s">
        <v>3</v>
      </c>
      <c r="B487" s="13" t="s">
        <v>2150</v>
      </c>
      <c r="C487" s="13" t="n">
        <v>266</v>
      </c>
      <c r="D487" s="13" t="s">
        <v>3336</v>
      </c>
      <c r="E487" s="13" t="s">
        <v>12308</v>
      </c>
      <c r="F487" s="13" t="s">
        <v>12309</v>
      </c>
      <c r="G487" s="13" t="s">
        <v>11098</v>
      </c>
      <c r="H487" s="13" t="s">
        <v>11099</v>
      </c>
      <c r="I487" s="13" t="s">
        <v>3357</v>
      </c>
      <c r="J487" s="13"/>
      <c r="K487" s="13" t="s">
        <v>3340</v>
      </c>
      <c r="L487" s="13" t="s">
        <v>3341</v>
      </c>
    </row>
    <row r="488" customFormat="false" ht="191.75" hidden="false" customHeight="false" outlineLevel="0" collapsed="false">
      <c r="A488" s="13" t="s">
        <v>3</v>
      </c>
      <c r="B488" s="13" t="s">
        <v>2150</v>
      </c>
      <c r="C488" s="13" t="n">
        <v>266</v>
      </c>
      <c r="D488" s="13" t="s">
        <v>3359</v>
      </c>
      <c r="E488" s="13" t="s">
        <v>12310</v>
      </c>
      <c r="F488" s="13" t="s">
        <v>12311</v>
      </c>
      <c r="G488" s="13" t="s">
        <v>11098</v>
      </c>
      <c r="H488" s="13" t="s">
        <v>11099</v>
      </c>
      <c r="I488" s="13" t="s">
        <v>12312</v>
      </c>
      <c r="J488" s="13"/>
      <c r="K488" s="13" t="s">
        <v>3364</v>
      </c>
      <c r="L488" s="13" t="s">
        <v>3365</v>
      </c>
    </row>
    <row r="489" customFormat="false" ht="191.75" hidden="false" customHeight="false" outlineLevel="0" collapsed="false">
      <c r="A489" s="13" t="s">
        <v>3</v>
      </c>
      <c r="B489" s="13" t="s">
        <v>2150</v>
      </c>
      <c r="C489" s="13" t="n">
        <v>266</v>
      </c>
      <c r="D489" s="13" t="s">
        <v>3359</v>
      </c>
      <c r="E489" s="13" t="s">
        <v>12313</v>
      </c>
      <c r="F489" s="13" t="s">
        <v>12314</v>
      </c>
      <c r="G489" s="13" t="s">
        <v>11098</v>
      </c>
      <c r="H489" s="13" t="s">
        <v>11099</v>
      </c>
      <c r="I489" s="13" t="s">
        <v>12315</v>
      </c>
      <c r="J489" s="13"/>
      <c r="K489" s="13" t="s">
        <v>3364</v>
      </c>
      <c r="L489" s="13" t="s">
        <v>3365</v>
      </c>
    </row>
    <row r="490" customFormat="false" ht="191.75" hidden="false" customHeight="false" outlineLevel="0" collapsed="false">
      <c r="A490" s="13" t="s">
        <v>3</v>
      </c>
      <c r="B490" s="13" t="s">
        <v>2150</v>
      </c>
      <c r="C490" s="13" t="n">
        <v>266</v>
      </c>
      <c r="D490" s="13" t="s">
        <v>3359</v>
      </c>
      <c r="E490" s="13" t="s">
        <v>12316</v>
      </c>
      <c r="F490" s="13" t="s">
        <v>12317</v>
      </c>
      <c r="G490" s="13" t="s">
        <v>11128</v>
      </c>
      <c r="H490" s="13" t="s">
        <v>11099</v>
      </c>
      <c r="I490" s="13"/>
      <c r="J490" s="13"/>
      <c r="K490" s="13" t="s">
        <v>3364</v>
      </c>
      <c r="L490" s="13" t="s">
        <v>3365</v>
      </c>
    </row>
    <row r="491" customFormat="false" ht="191.75" hidden="false" customHeight="false" outlineLevel="0" collapsed="false">
      <c r="A491" s="13" t="s">
        <v>3</v>
      </c>
      <c r="B491" s="13" t="s">
        <v>2150</v>
      </c>
      <c r="C491" s="13" t="n">
        <v>266</v>
      </c>
      <c r="D491" s="13" t="s">
        <v>3359</v>
      </c>
      <c r="E491" s="13" t="s">
        <v>12318</v>
      </c>
      <c r="F491" s="13" t="s">
        <v>12319</v>
      </c>
      <c r="G491" s="13" t="s">
        <v>11098</v>
      </c>
      <c r="H491" s="13" t="s">
        <v>11099</v>
      </c>
      <c r="I491" s="13" t="s">
        <v>12320</v>
      </c>
      <c r="J491" s="13"/>
      <c r="K491" s="13" t="s">
        <v>3364</v>
      </c>
      <c r="L491" s="13" t="s">
        <v>3365</v>
      </c>
    </row>
    <row r="492" customFormat="false" ht="191.75" hidden="false" customHeight="false" outlineLevel="0" collapsed="false">
      <c r="A492" s="13" t="s">
        <v>3</v>
      </c>
      <c r="B492" s="13" t="s">
        <v>2150</v>
      </c>
      <c r="C492" s="13" t="n">
        <v>266</v>
      </c>
      <c r="D492" s="13" t="s">
        <v>3359</v>
      </c>
      <c r="E492" s="13" t="s">
        <v>12321</v>
      </c>
      <c r="F492" s="13" t="s">
        <v>12322</v>
      </c>
      <c r="G492" s="13" t="s">
        <v>11098</v>
      </c>
      <c r="H492" s="13" t="s">
        <v>11099</v>
      </c>
      <c r="I492" s="13" t="s">
        <v>3380</v>
      </c>
      <c r="J492" s="13"/>
      <c r="K492" s="13" t="s">
        <v>3364</v>
      </c>
      <c r="L492" s="13" t="s">
        <v>3365</v>
      </c>
    </row>
    <row r="493" customFormat="false" ht="102.2" hidden="false" customHeight="false" outlineLevel="0" collapsed="false">
      <c r="A493" s="13" t="s">
        <v>3</v>
      </c>
      <c r="B493" s="13" t="s">
        <v>2150</v>
      </c>
      <c r="C493" s="13" t="n">
        <v>273</v>
      </c>
      <c r="D493" s="13" t="s">
        <v>3383</v>
      </c>
      <c r="E493" s="13" t="s">
        <v>12323</v>
      </c>
      <c r="F493" s="13" t="s">
        <v>12324</v>
      </c>
      <c r="G493" s="13" t="s">
        <v>11098</v>
      </c>
      <c r="H493" s="13" t="s">
        <v>11099</v>
      </c>
      <c r="I493" s="13" t="s">
        <v>12325</v>
      </c>
      <c r="J493" s="13"/>
      <c r="K493" s="13" t="s">
        <v>3387</v>
      </c>
      <c r="L493" s="13" t="s">
        <v>3388</v>
      </c>
    </row>
    <row r="494" customFormat="false" ht="23.85" hidden="false" customHeight="false" outlineLevel="0" collapsed="false">
      <c r="A494" s="13" t="s">
        <v>3</v>
      </c>
      <c r="B494" s="13" t="s">
        <v>2150</v>
      </c>
      <c r="C494" s="13" t="n">
        <v>273</v>
      </c>
      <c r="D494" s="13" t="s">
        <v>3410</v>
      </c>
      <c r="E494" s="13" t="s">
        <v>12326</v>
      </c>
      <c r="F494" s="13" t="s">
        <v>12327</v>
      </c>
      <c r="G494" s="13" t="s">
        <v>11098</v>
      </c>
      <c r="H494" s="13" t="s">
        <v>11099</v>
      </c>
      <c r="I494" s="13" t="s">
        <v>12328</v>
      </c>
      <c r="J494" s="13"/>
      <c r="K494" s="13" t="s">
        <v>3415</v>
      </c>
      <c r="L494" s="13" t="s">
        <v>3416</v>
      </c>
    </row>
    <row r="495" customFormat="false" ht="23.85" hidden="false" customHeight="false" outlineLevel="0" collapsed="false">
      <c r="A495" s="13" t="s">
        <v>3</v>
      </c>
      <c r="B495" s="13" t="s">
        <v>2150</v>
      </c>
      <c r="C495" s="13" t="n">
        <v>273</v>
      </c>
      <c r="D495" s="13" t="s">
        <v>3419</v>
      </c>
      <c r="E495" s="13" t="s">
        <v>12329</v>
      </c>
      <c r="F495" s="13" t="s">
        <v>12330</v>
      </c>
      <c r="G495" s="13" t="s">
        <v>11098</v>
      </c>
      <c r="H495" s="13" t="s">
        <v>11099</v>
      </c>
      <c r="I495" s="13" t="s">
        <v>3426</v>
      </c>
      <c r="J495" s="13" t="s">
        <v>12331</v>
      </c>
      <c r="K495" s="13" t="s">
        <v>3424</v>
      </c>
      <c r="L495" s="13" t="s">
        <v>3425</v>
      </c>
    </row>
    <row r="496" customFormat="false" ht="79.85" hidden="false" customHeight="false" outlineLevel="0" collapsed="false">
      <c r="A496" s="13" t="s">
        <v>3</v>
      </c>
      <c r="B496" s="13" t="s">
        <v>2150</v>
      </c>
      <c r="C496" s="13" t="n">
        <v>273</v>
      </c>
      <c r="D496" s="13" t="s">
        <v>3428</v>
      </c>
      <c r="E496" s="13" t="s">
        <v>12332</v>
      </c>
      <c r="F496" s="13" t="s">
        <v>12333</v>
      </c>
      <c r="G496" s="13" t="s">
        <v>11137</v>
      </c>
      <c r="H496" s="13" t="s">
        <v>11099</v>
      </c>
      <c r="I496" s="13" t="s">
        <v>3429</v>
      </c>
      <c r="J496" s="13" t="s">
        <v>12334</v>
      </c>
      <c r="K496" s="13" t="s">
        <v>3433</v>
      </c>
      <c r="L496" s="13" t="s">
        <v>3434</v>
      </c>
    </row>
    <row r="497" customFormat="false" ht="79.85" hidden="false" customHeight="false" outlineLevel="0" collapsed="false">
      <c r="A497" s="13" t="s">
        <v>3</v>
      </c>
      <c r="B497" s="13" t="s">
        <v>2150</v>
      </c>
      <c r="C497" s="13" t="n">
        <v>273</v>
      </c>
      <c r="D497" s="13" t="s">
        <v>3428</v>
      </c>
      <c r="E497" s="13" t="s">
        <v>12335</v>
      </c>
      <c r="F497" s="13" t="s">
        <v>12336</v>
      </c>
      <c r="G497" s="13" t="s">
        <v>11098</v>
      </c>
      <c r="H497" s="13" t="s">
        <v>11099</v>
      </c>
      <c r="I497" s="13" t="s">
        <v>12337</v>
      </c>
      <c r="J497" s="13"/>
      <c r="K497" s="13" t="s">
        <v>3433</v>
      </c>
      <c r="L497" s="13" t="s">
        <v>3434</v>
      </c>
    </row>
    <row r="498" customFormat="false" ht="23.85" hidden="false" customHeight="false" outlineLevel="0" collapsed="false">
      <c r="A498" s="13" t="s">
        <v>3</v>
      </c>
      <c r="B498" s="13" t="s">
        <v>2150</v>
      </c>
      <c r="C498" s="13" t="n">
        <v>273</v>
      </c>
      <c r="D498" s="13" t="s">
        <v>3444</v>
      </c>
      <c r="E498" s="13" t="s">
        <v>12338</v>
      </c>
      <c r="F498" s="13" t="s">
        <v>12339</v>
      </c>
      <c r="G498" s="13" t="s">
        <v>11098</v>
      </c>
      <c r="H498" s="13" t="s">
        <v>11099</v>
      </c>
      <c r="I498" s="13" t="s">
        <v>3451</v>
      </c>
      <c r="J498" s="13" t="s">
        <v>12340</v>
      </c>
      <c r="K498" s="13" t="s">
        <v>3449</v>
      </c>
      <c r="L498" s="13" t="s">
        <v>3450</v>
      </c>
    </row>
    <row r="499" customFormat="false" ht="57.45" hidden="false" customHeight="false" outlineLevel="0" collapsed="false">
      <c r="A499" s="13" t="s">
        <v>3</v>
      </c>
      <c r="B499" s="13" t="s">
        <v>2150</v>
      </c>
      <c r="C499" s="13" t="n">
        <v>273</v>
      </c>
      <c r="D499" s="13" t="s">
        <v>3453</v>
      </c>
      <c r="E499" s="13" t="s">
        <v>12341</v>
      </c>
      <c r="F499" s="13" t="s">
        <v>12342</v>
      </c>
      <c r="G499" s="13" t="s">
        <v>11098</v>
      </c>
      <c r="H499" s="13" t="s">
        <v>11099</v>
      </c>
      <c r="I499" s="13" t="s">
        <v>12343</v>
      </c>
      <c r="J499" s="13" t="s">
        <v>12344</v>
      </c>
      <c r="K499" s="13" t="s">
        <v>3458</v>
      </c>
      <c r="L499" s="13" t="s">
        <v>3459</v>
      </c>
    </row>
    <row r="500" customFormat="false" ht="35.05" hidden="false" customHeight="false" outlineLevel="0" collapsed="false">
      <c r="A500" s="13" t="s">
        <v>3</v>
      </c>
      <c r="B500" s="13" t="s">
        <v>2150</v>
      </c>
      <c r="C500" s="13" t="n">
        <v>273</v>
      </c>
      <c r="D500" s="13" t="s">
        <v>3470</v>
      </c>
      <c r="E500" s="13" t="s">
        <v>12345</v>
      </c>
      <c r="F500" s="13" t="s">
        <v>12346</v>
      </c>
      <c r="G500" s="13" t="s">
        <v>11098</v>
      </c>
      <c r="H500" s="13" t="s">
        <v>11099</v>
      </c>
      <c r="I500" s="13" t="s">
        <v>12347</v>
      </c>
      <c r="J500" s="13" t="s">
        <v>12348</v>
      </c>
      <c r="K500" s="13" t="s">
        <v>3472</v>
      </c>
      <c r="L500" s="13" t="s">
        <v>3473</v>
      </c>
    </row>
    <row r="501" customFormat="false" ht="35.05" hidden="false" customHeight="false" outlineLevel="0" collapsed="false">
      <c r="A501" s="13" t="s">
        <v>3</v>
      </c>
      <c r="B501" s="13" t="s">
        <v>2150</v>
      </c>
      <c r="C501" s="13" t="n">
        <v>273</v>
      </c>
      <c r="D501" s="13" t="s">
        <v>3475</v>
      </c>
      <c r="E501" s="13" t="s">
        <v>12349</v>
      </c>
      <c r="F501" s="13" t="s">
        <v>12350</v>
      </c>
      <c r="G501" s="13" t="s">
        <v>11098</v>
      </c>
      <c r="H501" s="13" t="s">
        <v>11099</v>
      </c>
      <c r="I501" s="13" t="s">
        <v>3485</v>
      </c>
      <c r="J501" s="13" t="s">
        <v>12351</v>
      </c>
      <c r="K501" s="13" t="s">
        <v>3481</v>
      </c>
      <c r="L501" s="13" t="s">
        <v>3482</v>
      </c>
    </row>
    <row r="502" customFormat="false" ht="57.45" hidden="false" customHeight="false" outlineLevel="0" collapsed="false">
      <c r="A502" s="13" t="s">
        <v>3</v>
      </c>
      <c r="B502" s="13" t="s">
        <v>2150</v>
      </c>
      <c r="C502" s="13" t="n">
        <v>273</v>
      </c>
      <c r="D502" s="13" t="s">
        <v>3489</v>
      </c>
      <c r="E502" s="13" t="s">
        <v>12352</v>
      </c>
      <c r="F502" s="13" t="s">
        <v>12353</v>
      </c>
      <c r="G502" s="13" t="s">
        <v>11098</v>
      </c>
      <c r="H502" s="13" t="s">
        <v>11099</v>
      </c>
      <c r="I502" s="13" t="s">
        <v>12354</v>
      </c>
      <c r="J502" s="13"/>
      <c r="K502" s="13" t="s">
        <v>3493</v>
      </c>
      <c r="L502" s="13" t="s">
        <v>3494</v>
      </c>
    </row>
    <row r="503" customFormat="false" ht="15" hidden="false" customHeight="false" outlineLevel="0" collapsed="false">
      <c r="A503" s="13" t="s">
        <v>3</v>
      </c>
      <c r="B503" s="13" t="s">
        <v>2150</v>
      </c>
      <c r="C503" s="13" t="n">
        <v>273</v>
      </c>
      <c r="D503" s="13" t="s">
        <v>3501</v>
      </c>
      <c r="E503" s="13" t="s">
        <v>12355</v>
      </c>
      <c r="F503" s="13" t="s">
        <v>12356</v>
      </c>
      <c r="G503" s="13" t="s">
        <v>11098</v>
      </c>
      <c r="H503" s="13" t="s">
        <v>11099</v>
      </c>
      <c r="I503" s="13" t="s">
        <v>3502</v>
      </c>
      <c r="J503" s="13"/>
      <c r="K503" s="13" t="s">
        <v>3505</v>
      </c>
      <c r="L503" s="13" t="s">
        <v>3506</v>
      </c>
    </row>
    <row r="504" customFormat="false" ht="35.05" hidden="false" customHeight="false" outlineLevel="0" collapsed="false">
      <c r="A504" s="13" t="s">
        <v>3</v>
      </c>
      <c r="B504" s="13" t="s">
        <v>2150</v>
      </c>
      <c r="C504" s="13" t="n">
        <v>273</v>
      </c>
      <c r="D504" s="13" t="s">
        <v>3507</v>
      </c>
      <c r="E504" s="13" t="s">
        <v>12357</v>
      </c>
      <c r="F504" s="13" t="s">
        <v>12358</v>
      </c>
      <c r="G504" s="13" t="s">
        <v>11098</v>
      </c>
      <c r="H504" s="13" t="s">
        <v>11099</v>
      </c>
      <c r="I504" s="13" t="s">
        <v>12359</v>
      </c>
      <c r="J504" s="13"/>
      <c r="K504" s="13" t="s">
        <v>3511</v>
      </c>
      <c r="L504" s="13" t="s">
        <v>3512</v>
      </c>
    </row>
    <row r="505" customFormat="false" ht="35.05" hidden="false" customHeight="false" outlineLevel="0" collapsed="false">
      <c r="A505" s="13" t="s">
        <v>3</v>
      </c>
      <c r="B505" s="13" t="s">
        <v>2150</v>
      </c>
      <c r="C505" s="13" t="n">
        <v>273</v>
      </c>
      <c r="D505" s="13" t="s">
        <v>3516</v>
      </c>
      <c r="E505" s="13" t="s">
        <v>12360</v>
      </c>
      <c r="F505" s="13" t="s">
        <v>12361</v>
      </c>
      <c r="G505" s="13" t="s">
        <v>11098</v>
      </c>
      <c r="H505" s="13" t="s">
        <v>11099</v>
      </c>
      <c r="I505" s="13" t="s">
        <v>12362</v>
      </c>
      <c r="J505" s="13"/>
      <c r="K505" s="13" t="s">
        <v>3520</v>
      </c>
      <c r="L505" s="13" t="s">
        <v>3521</v>
      </c>
    </row>
    <row r="506" customFormat="false" ht="135.8" hidden="false" customHeight="false" outlineLevel="0" collapsed="false">
      <c r="A506" s="13" t="s">
        <v>3</v>
      </c>
      <c r="B506" s="13" t="s">
        <v>2150</v>
      </c>
      <c r="C506" s="13" t="n">
        <v>273</v>
      </c>
      <c r="D506" s="13" t="s">
        <v>3525</v>
      </c>
      <c r="E506" s="13" t="s">
        <v>12363</v>
      </c>
      <c r="F506" s="13" t="s">
        <v>12364</v>
      </c>
      <c r="G506" s="13" t="s">
        <v>11098</v>
      </c>
      <c r="H506" s="13" t="s">
        <v>11099</v>
      </c>
      <c r="I506" s="13" t="s">
        <v>12365</v>
      </c>
      <c r="J506" s="13"/>
      <c r="K506" s="13" t="s">
        <v>3528</v>
      </c>
      <c r="L506" s="13" t="s">
        <v>3529</v>
      </c>
    </row>
    <row r="507" customFormat="false" ht="135.8" hidden="false" customHeight="false" outlineLevel="0" collapsed="false">
      <c r="A507" s="13" t="s">
        <v>3</v>
      </c>
      <c r="B507" s="13" t="s">
        <v>2150</v>
      </c>
      <c r="C507" s="13" t="n">
        <v>273</v>
      </c>
      <c r="D507" s="13" t="s">
        <v>3525</v>
      </c>
      <c r="E507" s="13" t="s">
        <v>12366</v>
      </c>
      <c r="F507" s="13" t="s">
        <v>12367</v>
      </c>
      <c r="G507" s="13" t="s">
        <v>11098</v>
      </c>
      <c r="H507" s="13" t="s">
        <v>11099</v>
      </c>
      <c r="I507" s="13" t="s">
        <v>3536</v>
      </c>
      <c r="J507" s="13"/>
      <c r="K507" s="13" t="s">
        <v>3528</v>
      </c>
      <c r="L507" s="13" t="s">
        <v>3529</v>
      </c>
    </row>
    <row r="508" customFormat="false" ht="225.35" hidden="false" customHeight="false" outlineLevel="0" collapsed="false">
      <c r="A508" s="13" t="s">
        <v>3</v>
      </c>
      <c r="B508" s="13" t="s">
        <v>2150</v>
      </c>
      <c r="C508" s="13" t="n">
        <v>289</v>
      </c>
      <c r="D508" s="13" t="s">
        <v>3539</v>
      </c>
      <c r="E508" s="13" t="s">
        <v>12368</v>
      </c>
      <c r="F508" s="13" t="s">
        <v>12369</v>
      </c>
      <c r="G508" s="13" t="s">
        <v>11128</v>
      </c>
      <c r="H508" s="13" t="s">
        <v>11099</v>
      </c>
      <c r="I508" s="13"/>
      <c r="J508" s="13"/>
      <c r="K508" s="13" t="s">
        <v>3544</v>
      </c>
      <c r="L508" s="13" t="s">
        <v>3545</v>
      </c>
    </row>
    <row r="509" customFormat="false" ht="225.35" hidden="false" customHeight="false" outlineLevel="0" collapsed="false">
      <c r="A509" s="13" t="s">
        <v>3</v>
      </c>
      <c r="B509" s="13" t="s">
        <v>2150</v>
      </c>
      <c r="C509" s="13" t="n">
        <v>289</v>
      </c>
      <c r="D509" s="13" t="s">
        <v>3539</v>
      </c>
      <c r="E509" s="13" t="s">
        <v>12370</v>
      </c>
      <c r="F509" s="13" t="s">
        <v>12371</v>
      </c>
      <c r="G509" s="13" t="s">
        <v>11098</v>
      </c>
      <c r="H509" s="13" t="s">
        <v>11099</v>
      </c>
      <c r="I509" s="13" t="s">
        <v>12372</v>
      </c>
      <c r="J509" s="13"/>
      <c r="K509" s="13" t="s">
        <v>3544</v>
      </c>
      <c r="L509" s="13" t="s">
        <v>3545</v>
      </c>
    </row>
    <row r="510" customFormat="false" ht="225.35" hidden="false" customHeight="false" outlineLevel="0" collapsed="false">
      <c r="A510" s="13" t="s">
        <v>3</v>
      </c>
      <c r="B510" s="13" t="s">
        <v>2150</v>
      </c>
      <c r="C510" s="13" t="n">
        <v>289</v>
      </c>
      <c r="D510" s="13" t="s">
        <v>3539</v>
      </c>
      <c r="E510" s="13" t="s">
        <v>12373</v>
      </c>
      <c r="F510" s="13" t="s">
        <v>12374</v>
      </c>
      <c r="G510" s="13" t="s">
        <v>11098</v>
      </c>
      <c r="H510" s="13" t="s">
        <v>11099</v>
      </c>
      <c r="I510" s="13" t="s">
        <v>3549</v>
      </c>
      <c r="J510" s="13"/>
      <c r="K510" s="13" t="s">
        <v>3544</v>
      </c>
      <c r="L510" s="13" t="s">
        <v>3545</v>
      </c>
    </row>
    <row r="511" customFormat="false" ht="225.35" hidden="false" customHeight="false" outlineLevel="0" collapsed="false">
      <c r="A511" s="13" t="s">
        <v>3</v>
      </c>
      <c r="B511" s="13" t="s">
        <v>2150</v>
      </c>
      <c r="C511" s="13" t="n">
        <v>289</v>
      </c>
      <c r="D511" s="13" t="s">
        <v>3539</v>
      </c>
      <c r="E511" s="13" t="s">
        <v>12375</v>
      </c>
      <c r="F511" s="13" t="s">
        <v>12376</v>
      </c>
      <c r="G511" s="13" t="s">
        <v>11098</v>
      </c>
      <c r="H511" s="13" t="s">
        <v>11099</v>
      </c>
      <c r="I511" s="13" t="s">
        <v>12377</v>
      </c>
      <c r="J511" s="13"/>
      <c r="K511" s="13" t="s">
        <v>3544</v>
      </c>
      <c r="L511" s="13" t="s">
        <v>3545</v>
      </c>
    </row>
    <row r="512" customFormat="false" ht="225.35" hidden="false" customHeight="false" outlineLevel="0" collapsed="false">
      <c r="A512" s="13" t="s">
        <v>3</v>
      </c>
      <c r="B512" s="13" t="s">
        <v>2150</v>
      </c>
      <c r="C512" s="13" t="n">
        <v>289</v>
      </c>
      <c r="D512" s="13" t="s">
        <v>3539</v>
      </c>
      <c r="E512" s="13" t="s">
        <v>12378</v>
      </c>
      <c r="F512" s="13" t="s">
        <v>12379</v>
      </c>
      <c r="G512" s="13" t="s">
        <v>11098</v>
      </c>
      <c r="H512" s="13" t="s">
        <v>11099</v>
      </c>
      <c r="I512" s="13" t="s">
        <v>12380</v>
      </c>
      <c r="J512" s="13"/>
      <c r="K512" s="13" t="s">
        <v>3544</v>
      </c>
      <c r="L512" s="13" t="s">
        <v>3545</v>
      </c>
    </row>
    <row r="513" customFormat="false" ht="169.4" hidden="false" customHeight="false" outlineLevel="0" collapsed="false">
      <c r="A513" s="13" t="s">
        <v>3</v>
      </c>
      <c r="B513" s="13" t="s">
        <v>2150</v>
      </c>
      <c r="C513" s="13" t="n">
        <v>289</v>
      </c>
      <c r="D513" s="13" t="s">
        <v>3563</v>
      </c>
      <c r="E513" s="13" t="s">
        <v>12381</v>
      </c>
      <c r="F513" s="13" t="s">
        <v>12382</v>
      </c>
      <c r="G513" s="13" t="s">
        <v>11098</v>
      </c>
      <c r="H513" s="13" t="s">
        <v>11099</v>
      </c>
      <c r="I513" s="13" t="s">
        <v>3564</v>
      </c>
      <c r="J513" s="13"/>
      <c r="K513" s="13" t="s">
        <v>3567</v>
      </c>
      <c r="L513" s="13" t="s">
        <v>3568</v>
      </c>
    </row>
    <row r="514" customFormat="false" ht="169.4" hidden="false" customHeight="false" outlineLevel="0" collapsed="false">
      <c r="A514" s="13" t="s">
        <v>3</v>
      </c>
      <c r="B514" s="13" t="s">
        <v>2150</v>
      </c>
      <c r="C514" s="13" t="n">
        <v>289</v>
      </c>
      <c r="D514" s="13" t="s">
        <v>3563</v>
      </c>
      <c r="E514" s="13" t="s">
        <v>12383</v>
      </c>
      <c r="F514" s="13" t="s">
        <v>12384</v>
      </c>
      <c r="G514" s="13" t="s">
        <v>11098</v>
      </c>
      <c r="H514" s="13" t="s">
        <v>11099</v>
      </c>
      <c r="I514" s="13" t="s">
        <v>3553</v>
      </c>
      <c r="J514" s="13" t="s">
        <v>12385</v>
      </c>
      <c r="K514" s="13" t="s">
        <v>3567</v>
      </c>
      <c r="L514" s="13" t="s">
        <v>3568</v>
      </c>
    </row>
    <row r="515" customFormat="false" ht="169.4" hidden="false" customHeight="false" outlineLevel="0" collapsed="false">
      <c r="A515" s="13" t="s">
        <v>3</v>
      </c>
      <c r="B515" s="13" t="s">
        <v>2150</v>
      </c>
      <c r="C515" s="13" t="n">
        <v>289</v>
      </c>
      <c r="D515" s="13" t="s">
        <v>3563</v>
      </c>
      <c r="E515" s="13" t="s">
        <v>12386</v>
      </c>
      <c r="F515" s="13" t="s">
        <v>12387</v>
      </c>
      <c r="G515" s="13" t="s">
        <v>11098</v>
      </c>
      <c r="H515" s="13" t="s">
        <v>11099</v>
      </c>
      <c r="I515" s="13" t="s">
        <v>12388</v>
      </c>
      <c r="J515" s="13"/>
      <c r="K515" s="13" t="s">
        <v>3567</v>
      </c>
      <c r="L515" s="13" t="s">
        <v>3568</v>
      </c>
    </row>
    <row r="516" customFormat="false" ht="169.4" hidden="false" customHeight="false" outlineLevel="0" collapsed="false">
      <c r="A516" s="13" t="s">
        <v>3</v>
      </c>
      <c r="B516" s="13" t="s">
        <v>2150</v>
      </c>
      <c r="C516" s="13" t="n">
        <v>289</v>
      </c>
      <c r="D516" s="13" t="s">
        <v>3563</v>
      </c>
      <c r="E516" s="13" t="s">
        <v>12389</v>
      </c>
      <c r="F516" s="13" t="s">
        <v>12390</v>
      </c>
      <c r="G516" s="13" t="s">
        <v>11098</v>
      </c>
      <c r="H516" s="13" t="s">
        <v>11099</v>
      </c>
      <c r="I516" s="13" t="s">
        <v>3580</v>
      </c>
      <c r="J516" s="13"/>
      <c r="K516" s="13" t="s">
        <v>3567</v>
      </c>
      <c r="L516" s="13" t="s">
        <v>3568</v>
      </c>
    </row>
    <row r="517" customFormat="false" ht="35.05" hidden="false" customHeight="false" outlineLevel="0" collapsed="false">
      <c r="A517" s="13" t="s">
        <v>3</v>
      </c>
      <c r="B517" s="13" t="s">
        <v>2150</v>
      </c>
      <c r="C517" s="13" t="n">
        <v>289</v>
      </c>
      <c r="D517" s="13" t="s">
        <v>3583</v>
      </c>
      <c r="E517" s="13" t="s">
        <v>12391</v>
      </c>
      <c r="F517" s="13" t="s">
        <v>12392</v>
      </c>
      <c r="G517" s="13" t="s">
        <v>11098</v>
      </c>
      <c r="H517" s="13" t="s">
        <v>11099</v>
      </c>
      <c r="I517" s="13" t="s">
        <v>12393</v>
      </c>
      <c r="J517" s="13"/>
      <c r="K517" s="13" t="s">
        <v>3588</v>
      </c>
      <c r="L517" s="13" t="s">
        <v>3589</v>
      </c>
    </row>
    <row r="518" customFormat="false" ht="79.85" hidden="false" customHeight="false" outlineLevel="0" collapsed="false">
      <c r="A518" s="13" t="s">
        <v>3</v>
      </c>
      <c r="B518" s="13" t="s">
        <v>2150</v>
      </c>
      <c r="C518" s="13" t="n">
        <v>289</v>
      </c>
      <c r="D518" s="13" t="s">
        <v>3596</v>
      </c>
      <c r="E518" s="13" t="s">
        <v>12394</v>
      </c>
      <c r="F518" s="13" t="s">
        <v>12395</v>
      </c>
      <c r="G518" s="13" t="s">
        <v>11098</v>
      </c>
      <c r="H518" s="13" t="s">
        <v>11099</v>
      </c>
      <c r="I518" s="13" t="s">
        <v>12396</v>
      </c>
      <c r="J518" s="13"/>
      <c r="K518" s="13" t="s">
        <v>3600</v>
      </c>
      <c r="L518" s="13" t="s">
        <v>3601</v>
      </c>
    </row>
    <row r="519" customFormat="false" ht="147" hidden="false" customHeight="false" outlineLevel="0" collapsed="false">
      <c r="A519" s="13" t="s">
        <v>3</v>
      </c>
      <c r="B519" s="13" t="s">
        <v>2150</v>
      </c>
      <c r="C519" s="13" t="n">
        <v>290</v>
      </c>
      <c r="D519" s="13" t="s">
        <v>3615</v>
      </c>
      <c r="E519" s="13" t="s">
        <v>12397</v>
      </c>
      <c r="F519" s="13" t="s">
        <v>12398</v>
      </c>
      <c r="G519" s="13" t="s">
        <v>11098</v>
      </c>
      <c r="H519" s="13" t="s">
        <v>11099</v>
      </c>
      <c r="I519" s="13" t="s">
        <v>12399</v>
      </c>
      <c r="J519" s="13"/>
      <c r="K519" s="13" t="s">
        <v>3620</v>
      </c>
      <c r="L519" s="13" t="s">
        <v>3621</v>
      </c>
    </row>
    <row r="520" customFormat="false" ht="147" hidden="false" customHeight="false" outlineLevel="0" collapsed="false">
      <c r="A520" s="13" t="s">
        <v>3</v>
      </c>
      <c r="B520" s="13" t="s">
        <v>2150</v>
      </c>
      <c r="C520" s="13" t="n">
        <v>290</v>
      </c>
      <c r="D520" s="13" t="s">
        <v>3615</v>
      </c>
      <c r="E520" s="13" t="s">
        <v>12400</v>
      </c>
      <c r="F520" s="13" t="s">
        <v>12401</v>
      </c>
      <c r="G520" s="13" t="s">
        <v>11098</v>
      </c>
      <c r="H520" s="13" t="s">
        <v>11099</v>
      </c>
      <c r="I520" s="13" t="s">
        <v>12402</v>
      </c>
      <c r="J520" s="13"/>
      <c r="K520" s="13" t="s">
        <v>3620</v>
      </c>
      <c r="L520" s="13" t="s">
        <v>3621</v>
      </c>
    </row>
    <row r="521" customFormat="false" ht="23.85" hidden="false" customHeight="false" outlineLevel="0" collapsed="false">
      <c r="A521" s="13" t="s">
        <v>3</v>
      </c>
      <c r="B521" s="13" t="s">
        <v>2150</v>
      </c>
      <c r="C521" s="13" t="n">
        <v>290</v>
      </c>
      <c r="D521" s="13" t="s">
        <v>3633</v>
      </c>
      <c r="E521" s="13" t="s">
        <v>12403</v>
      </c>
      <c r="F521" s="13" t="s">
        <v>12404</v>
      </c>
      <c r="G521" s="13" t="s">
        <v>11098</v>
      </c>
      <c r="H521" s="13" t="s">
        <v>11099</v>
      </c>
      <c r="I521" s="13" t="s">
        <v>3634</v>
      </c>
      <c r="J521" s="13"/>
      <c r="K521" s="13" t="s">
        <v>3637</v>
      </c>
      <c r="L521" s="13" t="s">
        <v>3638</v>
      </c>
    </row>
    <row r="522" customFormat="false" ht="113.4" hidden="false" customHeight="false" outlineLevel="0" collapsed="false">
      <c r="A522" s="13" t="s">
        <v>3</v>
      </c>
      <c r="B522" s="13" t="s">
        <v>2150</v>
      </c>
      <c r="C522" s="13" t="n">
        <v>290</v>
      </c>
      <c r="D522" s="13" t="s">
        <v>3639</v>
      </c>
      <c r="E522" s="13" t="s">
        <v>12405</v>
      </c>
      <c r="F522" s="13" t="s">
        <v>12406</v>
      </c>
      <c r="G522" s="13" t="s">
        <v>11098</v>
      </c>
      <c r="H522" s="13" t="s">
        <v>11099</v>
      </c>
      <c r="I522" s="13" t="s">
        <v>12407</v>
      </c>
      <c r="J522" s="13"/>
      <c r="K522" s="13" t="s">
        <v>3643</v>
      </c>
      <c r="L522" s="13" t="s">
        <v>3644</v>
      </c>
    </row>
    <row r="523" customFormat="false" ht="113.4" hidden="false" customHeight="false" outlineLevel="0" collapsed="false">
      <c r="A523" s="13" t="s">
        <v>3</v>
      </c>
      <c r="B523" s="13" t="s">
        <v>2150</v>
      </c>
      <c r="C523" s="13" t="n">
        <v>290</v>
      </c>
      <c r="D523" s="13" t="s">
        <v>3639</v>
      </c>
      <c r="E523" s="13" t="s">
        <v>12408</v>
      </c>
      <c r="F523" s="13" t="s">
        <v>12409</v>
      </c>
      <c r="G523" s="13" t="s">
        <v>11098</v>
      </c>
      <c r="H523" s="13" t="s">
        <v>11099</v>
      </c>
      <c r="I523" s="13" t="s">
        <v>12410</v>
      </c>
      <c r="J523" s="13"/>
      <c r="K523" s="13" t="s">
        <v>3643</v>
      </c>
      <c r="L523" s="13" t="s">
        <v>3644</v>
      </c>
    </row>
    <row r="524" customFormat="false" ht="23.85" hidden="false" customHeight="false" outlineLevel="0" collapsed="false">
      <c r="A524" s="13" t="s">
        <v>3</v>
      </c>
      <c r="B524" s="13" t="s">
        <v>2150</v>
      </c>
      <c r="C524" s="13" t="n">
        <v>290</v>
      </c>
      <c r="D524" s="13" t="s">
        <v>3653</v>
      </c>
      <c r="E524" s="13" t="s">
        <v>12411</v>
      </c>
      <c r="F524" s="13" t="s">
        <v>12412</v>
      </c>
      <c r="G524" s="13" t="s">
        <v>11098</v>
      </c>
      <c r="H524" s="13" t="s">
        <v>11099</v>
      </c>
      <c r="I524" s="13" t="s">
        <v>3654</v>
      </c>
      <c r="J524" s="13"/>
      <c r="K524" s="13" t="s">
        <v>3656</v>
      </c>
      <c r="L524" s="13" t="s">
        <v>3657</v>
      </c>
    </row>
    <row r="525" customFormat="false" ht="35.05" hidden="false" customHeight="false" outlineLevel="0" collapsed="false">
      <c r="A525" s="13" t="s">
        <v>3</v>
      </c>
      <c r="B525" s="13" t="s">
        <v>2150</v>
      </c>
      <c r="C525" s="13" t="n">
        <v>290</v>
      </c>
      <c r="D525" s="13" t="s">
        <v>3658</v>
      </c>
      <c r="E525" s="13" t="s">
        <v>12413</v>
      </c>
      <c r="F525" s="13" t="s">
        <v>12414</v>
      </c>
      <c r="G525" s="13" t="s">
        <v>11098</v>
      </c>
      <c r="H525" s="13" t="s">
        <v>11099</v>
      </c>
      <c r="I525" s="13" t="s">
        <v>12415</v>
      </c>
      <c r="J525" s="13"/>
      <c r="K525" s="13" t="s">
        <v>3661</v>
      </c>
      <c r="L525" s="13" t="s">
        <v>3662</v>
      </c>
    </row>
    <row r="526" customFormat="false" ht="113.4" hidden="false" customHeight="false" outlineLevel="0" collapsed="false">
      <c r="A526" s="13" t="s">
        <v>3</v>
      </c>
      <c r="B526" s="13" t="s">
        <v>2150</v>
      </c>
      <c r="C526" s="13" t="n">
        <v>290</v>
      </c>
      <c r="D526" s="13" t="s">
        <v>3666</v>
      </c>
      <c r="E526" s="13" t="s">
        <v>12416</v>
      </c>
      <c r="F526" s="13" t="s">
        <v>12417</v>
      </c>
      <c r="G526" s="13" t="s">
        <v>11098</v>
      </c>
      <c r="H526" s="13" t="s">
        <v>11099</v>
      </c>
      <c r="I526" s="13" t="s">
        <v>3667</v>
      </c>
      <c r="J526" s="13"/>
      <c r="K526" s="13" t="s">
        <v>3671</v>
      </c>
      <c r="L526" s="13" t="s">
        <v>3672</v>
      </c>
    </row>
    <row r="527" customFormat="false" ht="113.4" hidden="false" customHeight="false" outlineLevel="0" collapsed="false">
      <c r="A527" s="13" t="s">
        <v>3</v>
      </c>
      <c r="B527" s="13" t="s">
        <v>2150</v>
      </c>
      <c r="C527" s="13" t="n">
        <v>290</v>
      </c>
      <c r="D527" s="13" t="s">
        <v>3666</v>
      </c>
      <c r="E527" s="13" t="s">
        <v>12418</v>
      </c>
      <c r="F527" s="13" t="s">
        <v>12419</v>
      </c>
      <c r="G527" s="13" t="s">
        <v>11098</v>
      </c>
      <c r="H527" s="13" t="s">
        <v>11099</v>
      </c>
      <c r="I527" s="13" t="s">
        <v>3673</v>
      </c>
      <c r="J527" s="13"/>
      <c r="K527" s="13" t="s">
        <v>3671</v>
      </c>
      <c r="L527" s="13" t="s">
        <v>3672</v>
      </c>
    </row>
    <row r="528" customFormat="false" ht="113.4" hidden="false" customHeight="false" outlineLevel="0" collapsed="false">
      <c r="A528" s="13" t="s">
        <v>3</v>
      </c>
      <c r="B528" s="13" t="s">
        <v>2150</v>
      </c>
      <c r="C528" s="13" t="n">
        <v>290</v>
      </c>
      <c r="D528" s="13" t="s">
        <v>3666</v>
      </c>
      <c r="E528" s="13" t="s">
        <v>12420</v>
      </c>
      <c r="F528" s="13" t="s">
        <v>12421</v>
      </c>
      <c r="G528" s="13" t="s">
        <v>11315</v>
      </c>
      <c r="H528" s="13" t="s">
        <v>11099</v>
      </c>
      <c r="I528" s="13" t="s">
        <v>3676</v>
      </c>
      <c r="J528" s="13"/>
      <c r="K528" s="13" t="s">
        <v>3671</v>
      </c>
      <c r="L528" s="13" t="s">
        <v>3672</v>
      </c>
    </row>
    <row r="529" customFormat="false" ht="23.85" hidden="false" customHeight="false" outlineLevel="0" collapsed="false">
      <c r="A529" s="13" t="s">
        <v>3</v>
      </c>
      <c r="B529" s="13" t="s">
        <v>2150</v>
      </c>
      <c r="C529" s="13" t="n">
        <v>290</v>
      </c>
      <c r="D529" s="13" t="s">
        <v>3684</v>
      </c>
      <c r="E529" s="13" t="s">
        <v>12422</v>
      </c>
      <c r="F529" s="13" t="s">
        <v>12423</v>
      </c>
      <c r="G529" s="13" t="s">
        <v>11098</v>
      </c>
      <c r="H529" s="13" t="s">
        <v>11099</v>
      </c>
      <c r="I529" s="13" t="s">
        <v>3685</v>
      </c>
      <c r="J529" s="13"/>
      <c r="K529" s="13" t="s">
        <v>3688</v>
      </c>
      <c r="L529" s="13" t="s">
        <v>3689</v>
      </c>
    </row>
    <row r="530" customFormat="false" ht="91" hidden="false" customHeight="false" outlineLevel="0" collapsed="false">
      <c r="A530" s="13" t="s">
        <v>3</v>
      </c>
      <c r="B530" s="13" t="s">
        <v>2150</v>
      </c>
      <c r="C530" s="13" t="n">
        <v>290</v>
      </c>
      <c r="D530" s="13" t="s">
        <v>3690</v>
      </c>
      <c r="E530" s="13" t="s">
        <v>12424</v>
      </c>
      <c r="F530" s="13" t="s">
        <v>12425</v>
      </c>
      <c r="G530" s="13" t="s">
        <v>11098</v>
      </c>
      <c r="H530" s="13" t="s">
        <v>11099</v>
      </c>
      <c r="I530" s="13" t="s">
        <v>12426</v>
      </c>
      <c r="J530" s="13"/>
      <c r="K530" s="13" t="s">
        <v>3694</v>
      </c>
      <c r="L530" s="13" t="s">
        <v>3695</v>
      </c>
    </row>
    <row r="531" customFormat="false" ht="15" hidden="false" customHeight="false" outlineLevel="0" collapsed="false">
      <c r="A531" s="13" t="s">
        <v>3</v>
      </c>
      <c r="B531" s="13" t="s">
        <v>2150</v>
      </c>
      <c r="C531" s="13" t="n">
        <v>301</v>
      </c>
      <c r="D531" s="13" t="s">
        <v>3703</v>
      </c>
      <c r="E531" s="13" t="s">
        <v>12427</v>
      </c>
      <c r="F531" s="13" t="s">
        <v>12428</v>
      </c>
      <c r="G531" s="13" t="s">
        <v>11098</v>
      </c>
      <c r="H531" s="13" t="s">
        <v>11099</v>
      </c>
      <c r="I531" s="13" t="s">
        <v>3704</v>
      </c>
      <c r="J531" s="13"/>
      <c r="K531" s="13" t="s">
        <v>3706</v>
      </c>
      <c r="L531" s="13" t="s">
        <v>3707</v>
      </c>
    </row>
    <row r="532" customFormat="false" ht="113.4" hidden="false" customHeight="false" outlineLevel="0" collapsed="false">
      <c r="A532" s="13" t="s">
        <v>3</v>
      </c>
      <c r="B532" s="13" t="s">
        <v>2150</v>
      </c>
      <c r="C532" s="13" t="n">
        <v>301</v>
      </c>
      <c r="D532" s="13" t="s">
        <v>3708</v>
      </c>
      <c r="E532" s="13" t="s">
        <v>12429</v>
      </c>
      <c r="F532" s="13" t="s">
        <v>12430</v>
      </c>
      <c r="G532" s="13" t="s">
        <v>11098</v>
      </c>
      <c r="H532" s="13" t="s">
        <v>11099</v>
      </c>
      <c r="I532" s="13" t="s">
        <v>3716</v>
      </c>
      <c r="J532" s="13"/>
      <c r="K532" s="13" t="s">
        <v>3714</v>
      </c>
      <c r="L532" s="13" t="s">
        <v>3715</v>
      </c>
    </row>
    <row r="533" customFormat="false" ht="113.4" hidden="false" customHeight="false" outlineLevel="0" collapsed="false">
      <c r="A533" s="13" t="s">
        <v>3</v>
      </c>
      <c r="B533" s="13" t="s">
        <v>2150</v>
      </c>
      <c r="C533" s="13" t="n">
        <v>301</v>
      </c>
      <c r="D533" s="13" t="s">
        <v>3708</v>
      </c>
      <c r="E533" s="13" t="s">
        <v>12431</v>
      </c>
      <c r="F533" s="13" t="s">
        <v>12432</v>
      </c>
      <c r="G533" s="13" t="s">
        <v>11098</v>
      </c>
      <c r="H533" s="13" t="s">
        <v>11099</v>
      </c>
      <c r="I533" s="13" t="s">
        <v>12433</v>
      </c>
      <c r="J533" s="13"/>
      <c r="K533" s="13" t="s">
        <v>3714</v>
      </c>
      <c r="L533" s="13" t="s">
        <v>3715</v>
      </c>
    </row>
    <row r="534" customFormat="false" ht="449.25" hidden="false" customHeight="false" outlineLevel="0" collapsed="false">
      <c r="A534" s="13" t="s">
        <v>3</v>
      </c>
      <c r="B534" s="13" t="s">
        <v>2150</v>
      </c>
      <c r="C534" s="13" t="n">
        <v>301</v>
      </c>
      <c r="D534" s="13" t="s">
        <v>3726</v>
      </c>
      <c r="E534" s="13" t="s">
        <v>12434</v>
      </c>
      <c r="F534" s="13" t="s">
        <v>12435</v>
      </c>
      <c r="G534" s="13" t="s">
        <v>11128</v>
      </c>
      <c r="H534" s="13" t="s">
        <v>11099</v>
      </c>
      <c r="I534" s="13"/>
      <c r="J534" s="13"/>
      <c r="K534" s="13" t="s">
        <v>3731</v>
      </c>
      <c r="L534" s="13" t="s">
        <v>3732</v>
      </c>
    </row>
    <row r="535" customFormat="false" ht="449.25" hidden="false" customHeight="false" outlineLevel="0" collapsed="false">
      <c r="A535" s="13" t="s">
        <v>3</v>
      </c>
      <c r="B535" s="13" t="s">
        <v>2150</v>
      </c>
      <c r="C535" s="13" t="n">
        <v>301</v>
      </c>
      <c r="D535" s="13" t="s">
        <v>3726</v>
      </c>
      <c r="E535" s="13" t="s">
        <v>12436</v>
      </c>
      <c r="F535" s="13" t="s">
        <v>12437</v>
      </c>
      <c r="G535" s="13" t="s">
        <v>11098</v>
      </c>
      <c r="H535" s="13" t="s">
        <v>11099</v>
      </c>
      <c r="I535" s="13" t="s">
        <v>12438</v>
      </c>
      <c r="J535" s="13"/>
      <c r="K535" s="13" t="s">
        <v>3731</v>
      </c>
      <c r="L535" s="13" t="s">
        <v>3732</v>
      </c>
    </row>
    <row r="536" customFormat="false" ht="449.25" hidden="false" customHeight="false" outlineLevel="0" collapsed="false">
      <c r="A536" s="13" t="s">
        <v>3</v>
      </c>
      <c r="B536" s="13" t="s">
        <v>2150</v>
      </c>
      <c r="C536" s="13" t="n">
        <v>301</v>
      </c>
      <c r="D536" s="13" t="s">
        <v>3726</v>
      </c>
      <c r="E536" s="13" t="s">
        <v>12439</v>
      </c>
      <c r="F536" s="13" t="s">
        <v>12440</v>
      </c>
      <c r="G536" s="13" t="s">
        <v>11098</v>
      </c>
      <c r="H536" s="13" t="s">
        <v>11099</v>
      </c>
      <c r="I536" s="13" t="s">
        <v>12441</v>
      </c>
      <c r="J536" s="13"/>
      <c r="K536" s="13" t="s">
        <v>3731</v>
      </c>
      <c r="L536" s="13" t="s">
        <v>3732</v>
      </c>
    </row>
    <row r="537" customFormat="false" ht="449.25" hidden="false" customHeight="false" outlineLevel="0" collapsed="false">
      <c r="A537" s="13" t="s">
        <v>3</v>
      </c>
      <c r="B537" s="13" t="s">
        <v>2150</v>
      </c>
      <c r="C537" s="13" t="n">
        <v>301</v>
      </c>
      <c r="D537" s="13" t="s">
        <v>3726</v>
      </c>
      <c r="E537" s="13" t="s">
        <v>12442</v>
      </c>
      <c r="F537" s="13" t="s">
        <v>12443</v>
      </c>
      <c r="G537" s="13" t="s">
        <v>11098</v>
      </c>
      <c r="H537" s="13" t="s">
        <v>11099</v>
      </c>
      <c r="I537" s="13" t="s">
        <v>12444</v>
      </c>
      <c r="J537" s="13"/>
      <c r="K537" s="13" t="s">
        <v>3731</v>
      </c>
      <c r="L537" s="13" t="s">
        <v>3732</v>
      </c>
    </row>
    <row r="538" customFormat="false" ht="449.25" hidden="false" customHeight="false" outlineLevel="0" collapsed="false">
      <c r="A538" s="13" t="s">
        <v>3</v>
      </c>
      <c r="B538" s="13" t="s">
        <v>2150</v>
      </c>
      <c r="C538" s="13" t="n">
        <v>301</v>
      </c>
      <c r="D538" s="13" t="s">
        <v>3726</v>
      </c>
      <c r="E538" s="13" t="s">
        <v>12445</v>
      </c>
      <c r="F538" s="13" t="s">
        <v>12446</v>
      </c>
      <c r="G538" s="13" t="s">
        <v>11098</v>
      </c>
      <c r="H538" s="13" t="s">
        <v>11099</v>
      </c>
      <c r="I538" s="13" t="s">
        <v>12447</v>
      </c>
      <c r="J538" s="13" t="s">
        <v>12448</v>
      </c>
      <c r="K538" s="13" t="s">
        <v>3731</v>
      </c>
      <c r="L538" s="13" t="s">
        <v>3732</v>
      </c>
    </row>
    <row r="539" customFormat="false" ht="46.25" hidden="false" customHeight="false" outlineLevel="0" collapsed="false">
      <c r="A539" s="13" t="s">
        <v>3</v>
      </c>
      <c r="B539" s="13" t="s">
        <v>2150</v>
      </c>
      <c r="C539" s="13" t="n">
        <v>313</v>
      </c>
      <c r="D539" s="13" t="s">
        <v>3759</v>
      </c>
      <c r="E539" s="13" t="s">
        <v>12449</v>
      </c>
      <c r="F539" s="13" t="s">
        <v>12450</v>
      </c>
      <c r="G539" s="13" t="s">
        <v>11098</v>
      </c>
      <c r="H539" s="13" t="s">
        <v>11099</v>
      </c>
      <c r="I539" s="13" t="s">
        <v>3760</v>
      </c>
      <c r="J539" s="13"/>
      <c r="K539" s="13" t="s">
        <v>3763</v>
      </c>
      <c r="L539" s="13" t="s">
        <v>3764</v>
      </c>
    </row>
    <row r="540" customFormat="false" ht="46.25" hidden="false" customHeight="false" outlineLevel="0" collapsed="false">
      <c r="A540" s="13" t="s">
        <v>3</v>
      </c>
      <c r="B540" s="13" t="s">
        <v>2150</v>
      </c>
      <c r="C540" s="13" t="n">
        <v>313</v>
      </c>
      <c r="D540" s="13" t="s">
        <v>3765</v>
      </c>
      <c r="E540" s="13" t="s">
        <v>12451</v>
      </c>
      <c r="F540" s="13" t="s">
        <v>12452</v>
      </c>
      <c r="G540" s="13" t="s">
        <v>11098</v>
      </c>
      <c r="H540" s="13" t="s">
        <v>11099</v>
      </c>
      <c r="I540" s="13" t="s">
        <v>3766</v>
      </c>
      <c r="J540" s="13"/>
      <c r="K540" s="13" t="s">
        <v>3769</v>
      </c>
      <c r="L540" s="13" t="s">
        <v>3770</v>
      </c>
    </row>
    <row r="541" customFormat="false" ht="57.45" hidden="false" customHeight="false" outlineLevel="0" collapsed="false">
      <c r="A541" s="13" t="s">
        <v>3</v>
      </c>
      <c r="B541" s="13" t="s">
        <v>2150</v>
      </c>
      <c r="C541" s="13" t="n">
        <v>313</v>
      </c>
      <c r="D541" s="13" t="s">
        <v>3771</v>
      </c>
      <c r="E541" s="13" t="s">
        <v>12453</v>
      </c>
      <c r="F541" s="13" t="s">
        <v>12454</v>
      </c>
      <c r="G541" s="13" t="s">
        <v>11098</v>
      </c>
      <c r="H541" s="13" t="s">
        <v>11099</v>
      </c>
      <c r="I541" s="13" t="s">
        <v>3772</v>
      </c>
      <c r="J541" s="13"/>
      <c r="K541" s="13" t="s">
        <v>3775</v>
      </c>
      <c r="L541" s="13" t="s">
        <v>3776</v>
      </c>
    </row>
    <row r="542" customFormat="false" ht="91" hidden="false" customHeight="false" outlineLevel="0" collapsed="false">
      <c r="A542" s="13" t="s">
        <v>3</v>
      </c>
      <c r="B542" s="13" t="s">
        <v>2150</v>
      </c>
      <c r="C542" s="13" t="n">
        <v>313</v>
      </c>
      <c r="D542" s="13" t="s">
        <v>3777</v>
      </c>
      <c r="E542" s="13" t="s">
        <v>12455</v>
      </c>
      <c r="F542" s="13" t="s">
        <v>12456</v>
      </c>
      <c r="G542" s="13" t="s">
        <v>11098</v>
      </c>
      <c r="H542" s="13" t="s">
        <v>11099</v>
      </c>
      <c r="I542" s="13" t="s">
        <v>3778</v>
      </c>
      <c r="J542" s="13"/>
      <c r="K542" s="13" t="s">
        <v>3780</v>
      </c>
      <c r="L542" s="13" t="s">
        <v>3781</v>
      </c>
    </row>
    <row r="543" customFormat="false" ht="91" hidden="false" customHeight="false" outlineLevel="0" collapsed="false">
      <c r="A543" s="13" t="s">
        <v>3</v>
      </c>
      <c r="B543" s="13" t="s">
        <v>2150</v>
      </c>
      <c r="C543" s="13" t="n">
        <v>313</v>
      </c>
      <c r="D543" s="13" t="s">
        <v>3777</v>
      </c>
      <c r="E543" s="13" t="s">
        <v>12457</v>
      </c>
      <c r="F543" s="13" t="s">
        <v>12458</v>
      </c>
      <c r="G543" s="13" t="s">
        <v>11098</v>
      </c>
      <c r="H543" s="13" t="s">
        <v>11099</v>
      </c>
      <c r="I543" s="13" t="s">
        <v>12459</v>
      </c>
      <c r="J543" s="13"/>
      <c r="K543" s="13" t="s">
        <v>3780</v>
      </c>
      <c r="L543" s="13" t="s">
        <v>3781</v>
      </c>
    </row>
    <row r="544" customFormat="false" ht="79.85" hidden="false" customHeight="false" outlineLevel="0" collapsed="false">
      <c r="A544" s="13" t="s">
        <v>3</v>
      </c>
      <c r="B544" s="13" t="s">
        <v>2150</v>
      </c>
      <c r="C544" s="13" t="n">
        <v>313</v>
      </c>
      <c r="D544" s="13" t="s">
        <v>3787</v>
      </c>
      <c r="E544" s="13" t="s">
        <v>12460</v>
      </c>
      <c r="F544" s="13" t="s">
        <v>12461</v>
      </c>
      <c r="G544" s="13" t="s">
        <v>11098</v>
      </c>
      <c r="H544" s="13" t="s">
        <v>11099</v>
      </c>
      <c r="I544" s="13" t="s">
        <v>12462</v>
      </c>
      <c r="J544" s="13"/>
      <c r="K544" s="13" t="s">
        <v>3792</v>
      </c>
      <c r="L544" s="13" t="s">
        <v>3793</v>
      </c>
    </row>
    <row r="545" customFormat="false" ht="46.25" hidden="false" customHeight="false" outlineLevel="0" collapsed="false">
      <c r="A545" s="13" t="s">
        <v>3</v>
      </c>
      <c r="B545" s="13" t="s">
        <v>2150</v>
      </c>
      <c r="C545" s="13" t="n">
        <v>313</v>
      </c>
      <c r="D545" s="13" t="s">
        <v>3800</v>
      </c>
      <c r="E545" s="13" t="s">
        <v>12463</v>
      </c>
      <c r="F545" s="13" t="s">
        <v>12464</v>
      </c>
      <c r="G545" s="13" t="s">
        <v>11098</v>
      </c>
      <c r="H545" s="13" t="s">
        <v>11099</v>
      </c>
      <c r="I545" s="13" t="s">
        <v>12465</v>
      </c>
      <c r="J545" s="13"/>
      <c r="K545" s="13" t="s">
        <v>3805</v>
      </c>
      <c r="L545" s="13" t="s">
        <v>3806</v>
      </c>
    </row>
    <row r="546" customFormat="false" ht="46.25" hidden="false" customHeight="false" outlineLevel="0" collapsed="false">
      <c r="A546" s="13" t="s">
        <v>3</v>
      </c>
      <c r="B546" s="13" t="s">
        <v>2150</v>
      </c>
      <c r="C546" s="13" t="n">
        <v>313</v>
      </c>
      <c r="D546" s="13" t="s">
        <v>3800</v>
      </c>
      <c r="E546" s="13" t="s">
        <v>12466</v>
      </c>
      <c r="F546" s="13" t="s">
        <v>12467</v>
      </c>
      <c r="G546" s="13" t="s">
        <v>11098</v>
      </c>
      <c r="H546" s="13" t="s">
        <v>11099</v>
      </c>
      <c r="I546" s="13" t="s">
        <v>3809</v>
      </c>
      <c r="J546" s="13"/>
      <c r="K546" s="13" t="s">
        <v>3805</v>
      </c>
      <c r="L546" s="13" t="s">
        <v>3806</v>
      </c>
    </row>
    <row r="547" customFormat="false" ht="393.25" hidden="false" customHeight="false" outlineLevel="0" collapsed="false">
      <c r="A547" s="13" t="s">
        <v>3</v>
      </c>
      <c r="B547" s="13" t="s">
        <v>2150</v>
      </c>
      <c r="C547" s="13" t="n">
        <v>313</v>
      </c>
      <c r="D547" s="13" t="s">
        <v>3812</v>
      </c>
      <c r="E547" s="13" t="s">
        <v>12468</v>
      </c>
      <c r="F547" s="13" t="s">
        <v>12469</v>
      </c>
      <c r="G547" s="13" t="s">
        <v>11098</v>
      </c>
      <c r="H547" s="13" t="s">
        <v>11099</v>
      </c>
      <c r="I547" s="13" t="s">
        <v>12470</v>
      </c>
      <c r="J547" s="13"/>
      <c r="K547" s="13" t="s">
        <v>3817</v>
      </c>
      <c r="L547" s="13" t="s">
        <v>3818</v>
      </c>
    </row>
    <row r="548" customFormat="false" ht="393.25" hidden="false" customHeight="false" outlineLevel="0" collapsed="false">
      <c r="A548" s="13" t="s">
        <v>3</v>
      </c>
      <c r="B548" s="13" t="s">
        <v>2150</v>
      </c>
      <c r="C548" s="13" t="n">
        <v>313</v>
      </c>
      <c r="D548" s="13" t="s">
        <v>3812</v>
      </c>
      <c r="E548" s="13" t="s">
        <v>12471</v>
      </c>
      <c r="F548" s="13" t="s">
        <v>12472</v>
      </c>
      <c r="G548" s="13" t="s">
        <v>11098</v>
      </c>
      <c r="H548" s="13" t="s">
        <v>11099</v>
      </c>
      <c r="I548" s="13" t="s">
        <v>12473</v>
      </c>
      <c r="J548" s="13"/>
      <c r="K548" s="13" t="s">
        <v>3817</v>
      </c>
      <c r="L548" s="13" t="s">
        <v>3818</v>
      </c>
    </row>
    <row r="549" customFormat="false" ht="393.25" hidden="false" customHeight="false" outlineLevel="0" collapsed="false">
      <c r="A549" s="13" t="s">
        <v>3</v>
      </c>
      <c r="B549" s="13" t="s">
        <v>2150</v>
      </c>
      <c r="C549" s="13" t="n">
        <v>313</v>
      </c>
      <c r="D549" s="13" t="s">
        <v>3812</v>
      </c>
      <c r="E549" s="13" t="s">
        <v>12474</v>
      </c>
      <c r="F549" s="13" t="s">
        <v>12475</v>
      </c>
      <c r="G549" s="13" t="s">
        <v>11315</v>
      </c>
      <c r="H549" s="13" t="s">
        <v>11099</v>
      </c>
      <c r="I549" s="13" t="s">
        <v>3821</v>
      </c>
      <c r="J549" s="13" t="s">
        <v>12476</v>
      </c>
      <c r="K549" s="13" t="s">
        <v>3817</v>
      </c>
      <c r="L549" s="13" t="s">
        <v>3818</v>
      </c>
    </row>
    <row r="550" customFormat="false" ht="393.25" hidden="false" customHeight="false" outlineLevel="0" collapsed="false">
      <c r="A550" s="13" t="s">
        <v>3</v>
      </c>
      <c r="B550" s="13" t="s">
        <v>2150</v>
      </c>
      <c r="C550" s="13" t="n">
        <v>313</v>
      </c>
      <c r="D550" s="13" t="s">
        <v>3812</v>
      </c>
      <c r="E550" s="13" t="s">
        <v>12477</v>
      </c>
      <c r="F550" s="13" t="s">
        <v>12478</v>
      </c>
      <c r="G550" s="13" t="s">
        <v>11098</v>
      </c>
      <c r="H550" s="13" t="s">
        <v>11099</v>
      </c>
      <c r="I550" s="13" t="s">
        <v>3839</v>
      </c>
      <c r="J550" s="13"/>
      <c r="K550" s="13" t="s">
        <v>3817</v>
      </c>
      <c r="L550" s="13" t="s">
        <v>3818</v>
      </c>
    </row>
    <row r="551" customFormat="false" ht="46.25" hidden="false" customHeight="false" outlineLevel="0" collapsed="false">
      <c r="A551" s="13" t="s">
        <v>3</v>
      </c>
      <c r="B551" s="13" t="s">
        <v>2150</v>
      </c>
      <c r="C551" s="13" t="n">
        <v>322</v>
      </c>
      <c r="D551" s="13" t="s">
        <v>3841</v>
      </c>
      <c r="E551" s="13" t="s">
        <v>12479</v>
      </c>
      <c r="F551" s="13" t="s">
        <v>12480</v>
      </c>
      <c r="G551" s="13" t="s">
        <v>11098</v>
      </c>
      <c r="H551" s="13" t="s">
        <v>11099</v>
      </c>
      <c r="I551" s="13" t="s">
        <v>12481</v>
      </c>
      <c r="J551" s="13"/>
      <c r="K551" s="13" t="s">
        <v>3846</v>
      </c>
      <c r="L551" s="13" t="s">
        <v>3847</v>
      </c>
    </row>
    <row r="552" customFormat="false" ht="35.05" hidden="false" customHeight="false" outlineLevel="0" collapsed="false">
      <c r="A552" s="13" t="s">
        <v>3</v>
      </c>
      <c r="B552" s="13" t="s">
        <v>2150</v>
      </c>
      <c r="C552" s="13" t="n">
        <v>322</v>
      </c>
      <c r="D552" s="13" t="s">
        <v>3854</v>
      </c>
      <c r="E552" s="13" t="s">
        <v>12482</v>
      </c>
      <c r="F552" s="13" t="s">
        <v>12483</v>
      </c>
      <c r="G552" s="13" t="s">
        <v>11098</v>
      </c>
      <c r="H552" s="13" t="s">
        <v>11099</v>
      </c>
      <c r="I552" s="13" t="s">
        <v>12484</v>
      </c>
      <c r="J552" s="13"/>
      <c r="K552" s="13" t="s">
        <v>3858</v>
      </c>
      <c r="L552" s="13" t="s">
        <v>3859</v>
      </c>
    </row>
    <row r="553" customFormat="false" ht="68.65" hidden="false" customHeight="false" outlineLevel="0" collapsed="false">
      <c r="A553" s="13" t="s">
        <v>3</v>
      </c>
      <c r="B553" s="13" t="s">
        <v>2150</v>
      </c>
      <c r="C553" s="13" t="n">
        <v>322</v>
      </c>
      <c r="D553" s="13" t="s">
        <v>3863</v>
      </c>
      <c r="E553" s="13" t="s">
        <v>12485</v>
      </c>
      <c r="F553" s="13" t="s">
        <v>12486</v>
      </c>
      <c r="G553" s="13" t="s">
        <v>11098</v>
      </c>
      <c r="H553" s="13" t="s">
        <v>11099</v>
      </c>
      <c r="I553" s="13" t="s">
        <v>12487</v>
      </c>
      <c r="J553" s="13"/>
      <c r="K553" s="13" t="s">
        <v>3868</v>
      </c>
      <c r="L553" s="13" t="s">
        <v>3869</v>
      </c>
    </row>
    <row r="554" customFormat="false" ht="68.65" hidden="false" customHeight="false" outlineLevel="0" collapsed="false">
      <c r="A554" s="13" t="s">
        <v>3</v>
      </c>
      <c r="B554" s="13" t="s">
        <v>2150</v>
      </c>
      <c r="C554" s="13" t="n">
        <v>322</v>
      </c>
      <c r="D554" s="13" t="s">
        <v>3863</v>
      </c>
      <c r="E554" s="13" t="s">
        <v>12488</v>
      </c>
      <c r="F554" s="13" t="s">
        <v>12489</v>
      </c>
      <c r="G554" s="13" t="s">
        <v>11098</v>
      </c>
      <c r="H554" s="13" t="s">
        <v>11099</v>
      </c>
      <c r="I554" s="13" t="s">
        <v>12490</v>
      </c>
      <c r="J554" s="13"/>
      <c r="K554" s="13" t="s">
        <v>3868</v>
      </c>
      <c r="L554" s="13" t="s">
        <v>3869</v>
      </c>
    </row>
    <row r="555" customFormat="false" ht="46.25" hidden="false" customHeight="false" outlineLevel="0" collapsed="false">
      <c r="A555" s="13" t="s">
        <v>3</v>
      </c>
      <c r="B555" s="13" t="s">
        <v>2150</v>
      </c>
      <c r="C555" s="13" t="n">
        <v>322</v>
      </c>
      <c r="D555" s="13" t="s">
        <v>3883</v>
      </c>
      <c r="E555" s="13" t="s">
        <v>12491</v>
      </c>
      <c r="F555" s="13" t="s">
        <v>12492</v>
      </c>
      <c r="G555" s="13" t="s">
        <v>11098</v>
      </c>
      <c r="H555" s="13" t="s">
        <v>11099</v>
      </c>
      <c r="I555" s="13" t="s">
        <v>12493</v>
      </c>
      <c r="J555" s="13"/>
      <c r="K555" s="13" t="s">
        <v>3887</v>
      </c>
      <c r="L555" s="13" t="s">
        <v>3888</v>
      </c>
    </row>
    <row r="556" customFormat="false" ht="79.85" hidden="false" customHeight="false" outlineLevel="0" collapsed="false">
      <c r="A556" s="13" t="s">
        <v>3</v>
      </c>
      <c r="B556" s="13" t="s">
        <v>2150</v>
      </c>
      <c r="C556" s="13" t="n">
        <v>322</v>
      </c>
      <c r="D556" s="13" t="s">
        <v>3894</v>
      </c>
      <c r="E556" s="13" t="s">
        <v>12494</v>
      </c>
      <c r="F556" s="13" t="s">
        <v>12495</v>
      </c>
      <c r="G556" s="13" t="s">
        <v>11098</v>
      </c>
      <c r="H556" s="13" t="s">
        <v>11099</v>
      </c>
      <c r="I556" s="13" t="s">
        <v>12496</v>
      </c>
      <c r="J556" s="13"/>
      <c r="K556" s="13" t="s">
        <v>3898</v>
      </c>
      <c r="L556" s="13" t="s">
        <v>3899</v>
      </c>
    </row>
    <row r="557" customFormat="false" ht="46.25" hidden="false" customHeight="false" outlineLevel="0" collapsed="false">
      <c r="A557" s="13" t="s">
        <v>3</v>
      </c>
      <c r="B557" s="13" t="s">
        <v>2150</v>
      </c>
      <c r="C557" s="13" t="n">
        <v>322</v>
      </c>
      <c r="D557" s="13" t="s">
        <v>3913</v>
      </c>
      <c r="E557" s="13" t="s">
        <v>12497</v>
      </c>
      <c r="F557" s="13" t="s">
        <v>12498</v>
      </c>
      <c r="G557" s="13" t="s">
        <v>11098</v>
      </c>
      <c r="H557" s="13" t="s">
        <v>11099</v>
      </c>
      <c r="I557" s="13" t="s">
        <v>12499</v>
      </c>
      <c r="J557" s="13" t="s">
        <v>12500</v>
      </c>
      <c r="K557" s="13" t="s">
        <v>3916</v>
      </c>
      <c r="L557" s="13" t="s">
        <v>3917</v>
      </c>
    </row>
    <row r="558" customFormat="false" ht="91" hidden="false" customHeight="false" outlineLevel="0" collapsed="false">
      <c r="A558" s="13" t="s">
        <v>3</v>
      </c>
      <c r="B558" s="13" t="s">
        <v>2150</v>
      </c>
      <c r="C558" s="13" t="n">
        <v>322</v>
      </c>
      <c r="D558" s="13" t="s">
        <v>3923</v>
      </c>
      <c r="E558" s="13" t="s">
        <v>12501</v>
      </c>
      <c r="F558" s="13" t="s">
        <v>12502</v>
      </c>
      <c r="G558" s="13" t="s">
        <v>11098</v>
      </c>
      <c r="H558" s="13" t="s">
        <v>11099</v>
      </c>
      <c r="I558" s="13" t="s">
        <v>12503</v>
      </c>
      <c r="J558" s="13"/>
      <c r="K558" s="13" t="s">
        <v>3927</v>
      </c>
      <c r="L558" s="13" t="s">
        <v>3928</v>
      </c>
    </row>
    <row r="559" customFormat="false" ht="348.5" hidden="false" customHeight="false" outlineLevel="0" collapsed="false">
      <c r="A559" s="13" t="s">
        <v>3</v>
      </c>
      <c r="B559" s="13" t="s">
        <v>2150</v>
      </c>
      <c r="C559" s="13" t="n">
        <v>322</v>
      </c>
      <c r="D559" s="13" t="s">
        <v>3943</v>
      </c>
      <c r="E559" s="13" t="s">
        <v>12504</v>
      </c>
      <c r="F559" s="13" t="s">
        <v>12505</v>
      </c>
      <c r="G559" s="13" t="s">
        <v>11098</v>
      </c>
      <c r="H559" s="13" t="s">
        <v>11099</v>
      </c>
      <c r="I559" s="13" t="s">
        <v>12506</v>
      </c>
      <c r="J559" s="13"/>
      <c r="K559" s="13" t="s">
        <v>3948</v>
      </c>
      <c r="L559" s="13" t="s">
        <v>3949</v>
      </c>
    </row>
    <row r="560" customFormat="false" ht="348.5" hidden="false" customHeight="false" outlineLevel="0" collapsed="false">
      <c r="A560" s="13" t="s">
        <v>3</v>
      </c>
      <c r="B560" s="13" t="s">
        <v>2150</v>
      </c>
      <c r="C560" s="13" t="n">
        <v>322</v>
      </c>
      <c r="D560" s="13" t="s">
        <v>3943</v>
      </c>
      <c r="E560" s="13" t="s">
        <v>12507</v>
      </c>
      <c r="F560" s="13" t="s">
        <v>12508</v>
      </c>
      <c r="G560" s="13" t="s">
        <v>11098</v>
      </c>
      <c r="H560" s="13" t="s">
        <v>11099</v>
      </c>
      <c r="I560" s="13" t="s">
        <v>12509</v>
      </c>
      <c r="J560" s="13"/>
      <c r="K560" s="13" t="s">
        <v>3948</v>
      </c>
      <c r="L560" s="13" t="s">
        <v>3949</v>
      </c>
    </row>
    <row r="561" customFormat="false" ht="348.5" hidden="false" customHeight="false" outlineLevel="0" collapsed="false">
      <c r="A561" s="13" t="s">
        <v>3</v>
      </c>
      <c r="B561" s="13" t="s">
        <v>2150</v>
      </c>
      <c r="C561" s="13" t="n">
        <v>322</v>
      </c>
      <c r="D561" s="13" t="s">
        <v>3943</v>
      </c>
      <c r="E561" s="13" t="s">
        <v>12510</v>
      </c>
      <c r="F561" s="13" t="s">
        <v>12511</v>
      </c>
      <c r="G561" s="13" t="s">
        <v>11098</v>
      </c>
      <c r="H561" s="13" t="s">
        <v>11099</v>
      </c>
      <c r="I561" s="13" t="s">
        <v>12512</v>
      </c>
      <c r="J561" s="13"/>
      <c r="K561" s="13" t="s">
        <v>3948</v>
      </c>
      <c r="L561" s="13" t="s">
        <v>3949</v>
      </c>
    </row>
    <row r="562" customFormat="false" ht="35.05" hidden="false" customHeight="false" outlineLevel="0" collapsed="false">
      <c r="A562" s="13" t="s">
        <v>3</v>
      </c>
      <c r="B562" s="13" t="s">
        <v>2150</v>
      </c>
      <c r="C562" s="13" t="n">
        <v>361</v>
      </c>
      <c r="D562" s="13" t="s">
        <v>3976</v>
      </c>
      <c r="E562" s="13" t="s">
        <v>12513</v>
      </c>
      <c r="F562" s="13" t="s">
        <v>12514</v>
      </c>
      <c r="G562" s="13" t="s">
        <v>11098</v>
      </c>
      <c r="H562" s="13" t="s">
        <v>11099</v>
      </c>
      <c r="I562" s="13" t="s">
        <v>3977</v>
      </c>
      <c r="J562" s="13"/>
      <c r="K562" s="13" t="s">
        <v>3981</v>
      </c>
      <c r="L562" s="13" t="s">
        <v>3982</v>
      </c>
    </row>
    <row r="563" customFormat="false" ht="113.4" hidden="false" customHeight="false" outlineLevel="0" collapsed="false">
      <c r="A563" s="13" t="s">
        <v>3</v>
      </c>
      <c r="B563" s="13" t="s">
        <v>2150</v>
      </c>
      <c r="C563" s="13" t="n">
        <v>361</v>
      </c>
      <c r="D563" s="13" t="s">
        <v>3983</v>
      </c>
      <c r="E563" s="13" t="s">
        <v>12515</v>
      </c>
      <c r="F563" s="13" t="s">
        <v>12516</v>
      </c>
      <c r="G563" s="13" t="s">
        <v>11098</v>
      </c>
      <c r="H563" s="13" t="s">
        <v>11099</v>
      </c>
      <c r="I563" s="13" t="s">
        <v>3984</v>
      </c>
      <c r="J563" s="13"/>
      <c r="K563" s="13" t="s">
        <v>3987</v>
      </c>
      <c r="L563" s="13" t="s">
        <v>3988</v>
      </c>
    </row>
    <row r="564" customFormat="false" ht="113.4" hidden="false" customHeight="false" outlineLevel="0" collapsed="false">
      <c r="A564" s="13" t="s">
        <v>3</v>
      </c>
      <c r="B564" s="13" t="s">
        <v>2150</v>
      </c>
      <c r="C564" s="13" t="n">
        <v>361</v>
      </c>
      <c r="D564" s="13" t="s">
        <v>3983</v>
      </c>
      <c r="E564" s="13" t="s">
        <v>12517</v>
      </c>
      <c r="F564" s="13" t="s">
        <v>12518</v>
      </c>
      <c r="G564" s="13" t="s">
        <v>11098</v>
      </c>
      <c r="H564" s="13" t="s">
        <v>11099</v>
      </c>
      <c r="I564" s="13" t="s">
        <v>12519</v>
      </c>
      <c r="J564" s="13"/>
      <c r="K564" s="13" t="s">
        <v>3987</v>
      </c>
      <c r="L564" s="13" t="s">
        <v>3988</v>
      </c>
    </row>
    <row r="565" customFormat="false" ht="124.6" hidden="false" customHeight="false" outlineLevel="0" collapsed="false">
      <c r="A565" s="13" t="s">
        <v>3</v>
      </c>
      <c r="B565" s="13" t="s">
        <v>2150</v>
      </c>
      <c r="C565" s="13" t="n">
        <v>361</v>
      </c>
      <c r="D565" s="13" t="s">
        <v>3997</v>
      </c>
      <c r="E565" s="13" t="s">
        <v>12520</v>
      </c>
      <c r="F565" s="13" t="s">
        <v>12521</v>
      </c>
      <c r="G565" s="13" t="s">
        <v>11098</v>
      </c>
      <c r="H565" s="13" t="s">
        <v>11099</v>
      </c>
      <c r="I565" s="13" t="s">
        <v>12522</v>
      </c>
      <c r="J565" s="13" t="s">
        <v>12523</v>
      </c>
      <c r="K565" s="13" t="s">
        <v>3999</v>
      </c>
      <c r="L565" s="13" t="s">
        <v>4000</v>
      </c>
    </row>
    <row r="566" customFormat="false" ht="124.6" hidden="false" customHeight="false" outlineLevel="0" collapsed="false">
      <c r="A566" s="13" t="s">
        <v>3</v>
      </c>
      <c r="B566" s="13" t="s">
        <v>2150</v>
      </c>
      <c r="C566" s="13" t="n">
        <v>361</v>
      </c>
      <c r="D566" s="13" t="s">
        <v>3997</v>
      </c>
      <c r="E566" s="13" t="s">
        <v>12524</v>
      </c>
      <c r="F566" s="13" t="s">
        <v>12525</v>
      </c>
      <c r="G566" s="13" t="s">
        <v>11098</v>
      </c>
      <c r="H566" s="13" t="s">
        <v>11099</v>
      </c>
      <c r="I566" s="13" t="s">
        <v>12526</v>
      </c>
      <c r="J566" s="13"/>
      <c r="K566" s="13" t="s">
        <v>3999</v>
      </c>
      <c r="L566" s="13" t="s">
        <v>4000</v>
      </c>
    </row>
    <row r="567" customFormat="false" ht="124.6" hidden="false" customHeight="false" outlineLevel="0" collapsed="false">
      <c r="A567" s="13" t="s">
        <v>3</v>
      </c>
      <c r="B567" s="13" t="s">
        <v>2150</v>
      </c>
      <c r="C567" s="13" t="n">
        <v>361</v>
      </c>
      <c r="D567" s="13" t="s">
        <v>4011</v>
      </c>
      <c r="E567" s="13" t="s">
        <v>12527</v>
      </c>
      <c r="F567" s="13" t="s">
        <v>12528</v>
      </c>
      <c r="G567" s="13" t="s">
        <v>11098</v>
      </c>
      <c r="H567" s="13" t="s">
        <v>11099</v>
      </c>
      <c r="I567" s="13" t="s">
        <v>4012</v>
      </c>
      <c r="J567" s="13"/>
      <c r="K567" s="13" t="s">
        <v>4016</v>
      </c>
      <c r="L567" s="13" t="s">
        <v>4017</v>
      </c>
    </row>
    <row r="568" customFormat="false" ht="124.6" hidden="false" customHeight="false" outlineLevel="0" collapsed="false">
      <c r="A568" s="13" t="s">
        <v>3</v>
      </c>
      <c r="B568" s="13" t="s">
        <v>2150</v>
      </c>
      <c r="C568" s="13" t="n">
        <v>361</v>
      </c>
      <c r="D568" s="13" t="s">
        <v>4011</v>
      </c>
      <c r="E568" s="13" t="s">
        <v>12529</v>
      </c>
      <c r="F568" s="13" t="s">
        <v>12530</v>
      </c>
      <c r="G568" s="13" t="s">
        <v>11098</v>
      </c>
      <c r="H568" s="13" t="s">
        <v>11099</v>
      </c>
      <c r="I568" s="13" t="s">
        <v>12531</v>
      </c>
      <c r="J568" s="13"/>
      <c r="K568" s="13" t="s">
        <v>4016</v>
      </c>
      <c r="L568" s="13" t="s">
        <v>4017</v>
      </c>
    </row>
    <row r="569" customFormat="false" ht="124.6" hidden="false" customHeight="false" outlineLevel="0" collapsed="false">
      <c r="A569" s="13" t="s">
        <v>3</v>
      </c>
      <c r="B569" s="13" t="s">
        <v>2150</v>
      </c>
      <c r="C569" s="13" t="n">
        <v>361</v>
      </c>
      <c r="D569" s="13" t="s">
        <v>4011</v>
      </c>
      <c r="E569" s="13" t="s">
        <v>12532</v>
      </c>
      <c r="F569" s="13" t="s">
        <v>12533</v>
      </c>
      <c r="G569" s="13" t="s">
        <v>11098</v>
      </c>
      <c r="H569" s="13" t="s">
        <v>11099</v>
      </c>
      <c r="I569" s="13" t="s">
        <v>4026</v>
      </c>
      <c r="J569" s="13"/>
      <c r="K569" s="13" t="s">
        <v>4016</v>
      </c>
      <c r="L569" s="13" t="s">
        <v>4017</v>
      </c>
    </row>
    <row r="570" customFormat="false" ht="113.4" hidden="false" customHeight="false" outlineLevel="0" collapsed="false">
      <c r="A570" s="13" t="s">
        <v>3</v>
      </c>
      <c r="B570" s="13" t="s">
        <v>2150</v>
      </c>
      <c r="C570" s="13" t="n">
        <v>362</v>
      </c>
      <c r="D570" s="13" t="s">
        <v>4032</v>
      </c>
      <c r="E570" s="13" t="s">
        <v>12534</v>
      </c>
      <c r="F570" s="13" t="s">
        <v>12535</v>
      </c>
      <c r="G570" s="13" t="s">
        <v>11098</v>
      </c>
      <c r="H570" s="13" t="s">
        <v>11099</v>
      </c>
      <c r="I570" s="13" t="s">
        <v>12536</v>
      </c>
      <c r="J570" s="13"/>
      <c r="K570" s="13" t="s">
        <v>4036</v>
      </c>
      <c r="L570" s="13" t="s">
        <v>4037</v>
      </c>
    </row>
    <row r="571" customFormat="false" ht="57.45" hidden="false" customHeight="false" outlineLevel="0" collapsed="false">
      <c r="A571" s="13" t="s">
        <v>3</v>
      </c>
      <c r="B571" s="13" t="s">
        <v>2150</v>
      </c>
      <c r="C571" s="13" t="n">
        <v>362</v>
      </c>
      <c r="D571" s="13" t="s">
        <v>4047</v>
      </c>
      <c r="E571" s="13" t="s">
        <v>12537</v>
      </c>
      <c r="F571" s="13" t="s">
        <v>12538</v>
      </c>
      <c r="G571" s="13" t="s">
        <v>11098</v>
      </c>
      <c r="H571" s="13" t="s">
        <v>11099</v>
      </c>
      <c r="I571" s="13" t="s">
        <v>4048</v>
      </c>
      <c r="J571" s="13"/>
      <c r="K571" s="13" t="s">
        <v>4052</v>
      </c>
      <c r="L571" s="13" t="s">
        <v>4053</v>
      </c>
    </row>
    <row r="572" customFormat="false" ht="57.45" hidden="false" customHeight="false" outlineLevel="0" collapsed="false">
      <c r="A572" s="13" t="s">
        <v>3</v>
      </c>
      <c r="B572" s="13" t="s">
        <v>2150</v>
      </c>
      <c r="C572" s="13" t="n">
        <v>362</v>
      </c>
      <c r="D572" s="13" t="s">
        <v>4047</v>
      </c>
      <c r="E572" s="13" t="s">
        <v>12539</v>
      </c>
      <c r="F572" s="13" t="s">
        <v>12540</v>
      </c>
      <c r="G572" s="13" t="s">
        <v>11098</v>
      </c>
      <c r="H572" s="13" t="s">
        <v>11099</v>
      </c>
      <c r="I572" s="13" t="s">
        <v>12541</v>
      </c>
      <c r="J572" s="13"/>
      <c r="K572" s="13" t="s">
        <v>4052</v>
      </c>
      <c r="L572" s="13" t="s">
        <v>4053</v>
      </c>
    </row>
    <row r="573" customFormat="false" ht="57.45" hidden="false" customHeight="false" outlineLevel="0" collapsed="false">
      <c r="A573" s="13" t="s">
        <v>3</v>
      </c>
      <c r="B573" s="13" t="s">
        <v>2150</v>
      </c>
      <c r="C573" s="13" t="n">
        <v>362</v>
      </c>
      <c r="D573" s="13" t="s">
        <v>4047</v>
      </c>
      <c r="E573" s="13" t="s">
        <v>12542</v>
      </c>
      <c r="F573" s="13" t="s">
        <v>12543</v>
      </c>
      <c r="G573" s="13" t="s">
        <v>11098</v>
      </c>
      <c r="H573" s="13" t="s">
        <v>11099</v>
      </c>
      <c r="I573" s="13" t="s">
        <v>12544</v>
      </c>
      <c r="J573" s="13"/>
      <c r="K573" s="13" t="s">
        <v>4052</v>
      </c>
      <c r="L573" s="13" t="s">
        <v>4053</v>
      </c>
    </row>
    <row r="574" customFormat="false" ht="158.2" hidden="false" customHeight="false" outlineLevel="0" collapsed="false">
      <c r="A574" s="13" t="s">
        <v>3</v>
      </c>
      <c r="B574" s="13" t="s">
        <v>2150</v>
      </c>
      <c r="C574" s="13" t="n">
        <v>362</v>
      </c>
      <c r="D574" s="13" t="s">
        <v>4068</v>
      </c>
      <c r="E574" s="13" t="s">
        <v>12545</v>
      </c>
      <c r="F574" s="13" t="s">
        <v>12546</v>
      </c>
      <c r="G574" s="13" t="s">
        <v>11098</v>
      </c>
      <c r="H574" s="13" t="s">
        <v>11099</v>
      </c>
      <c r="I574" s="13" t="s">
        <v>4069</v>
      </c>
      <c r="J574" s="13"/>
      <c r="K574" s="13" t="s">
        <v>4073</v>
      </c>
      <c r="L574" s="13" t="s">
        <v>4074</v>
      </c>
    </row>
    <row r="575" customFormat="false" ht="158.2" hidden="false" customHeight="false" outlineLevel="0" collapsed="false">
      <c r="A575" s="13" t="s">
        <v>3</v>
      </c>
      <c r="B575" s="13" t="s">
        <v>2150</v>
      </c>
      <c r="C575" s="13" t="n">
        <v>362</v>
      </c>
      <c r="D575" s="13" t="s">
        <v>4068</v>
      </c>
      <c r="E575" s="13" t="s">
        <v>12547</v>
      </c>
      <c r="F575" s="13" t="s">
        <v>12548</v>
      </c>
      <c r="G575" s="13" t="s">
        <v>11098</v>
      </c>
      <c r="H575" s="13" t="s">
        <v>11099</v>
      </c>
      <c r="I575" s="13" t="s">
        <v>12549</v>
      </c>
      <c r="J575" s="13"/>
      <c r="K575" s="13" t="s">
        <v>4073</v>
      </c>
      <c r="L575" s="13" t="s">
        <v>4074</v>
      </c>
    </row>
    <row r="576" customFormat="false" ht="158.2" hidden="false" customHeight="false" outlineLevel="0" collapsed="false">
      <c r="A576" s="13" t="s">
        <v>3</v>
      </c>
      <c r="B576" s="13" t="s">
        <v>2150</v>
      </c>
      <c r="C576" s="13" t="n">
        <v>362</v>
      </c>
      <c r="D576" s="13" t="s">
        <v>4068</v>
      </c>
      <c r="E576" s="13" t="s">
        <v>12550</v>
      </c>
      <c r="F576" s="13" t="s">
        <v>12551</v>
      </c>
      <c r="G576" s="13" t="s">
        <v>11098</v>
      </c>
      <c r="H576" s="13" t="s">
        <v>11099</v>
      </c>
      <c r="I576" s="13" t="s">
        <v>12552</v>
      </c>
      <c r="J576" s="13"/>
      <c r="K576" s="13" t="s">
        <v>4073</v>
      </c>
      <c r="L576" s="13" t="s">
        <v>4074</v>
      </c>
    </row>
    <row r="577" customFormat="false" ht="158.2" hidden="false" customHeight="false" outlineLevel="0" collapsed="false">
      <c r="A577" s="13" t="s">
        <v>3</v>
      </c>
      <c r="B577" s="13" t="s">
        <v>2150</v>
      </c>
      <c r="C577" s="13" t="n">
        <v>362</v>
      </c>
      <c r="D577" s="13" t="s">
        <v>4089</v>
      </c>
      <c r="E577" s="13" t="s">
        <v>12553</v>
      </c>
      <c r="F577" s="13" t="s">
        <v>12554</v>
      </c>
      <c r="G577" s="13" t="s">
        <v>11098</v>
      </c>
      <c r="H577" s="13" t="s">
        <v>11099</v>
      </c>
      <c r="I577" s="13" t="s">
        <v>12555</v>
      </c>
      <c r="J577" s="13"/>
      <c r="K577" s="13" t="s">
        <v>4092</v>
      </c>
      <c r="L577" s="13" t="s">
        <v>4093</v>
      </c>
    </row>
    <row r="578" customFormat="false" ht="158.2" hidden="false" customHeight="false" outlineLevel="0" collapsed="false">
      <c r="A578" s="13" t="s">
        <v>3</v>
      </c>
      <c r="B578" s="13" t="s">
        <v>2150</v>
      </c>
      <c r="C578" s="13" t="n">
        <v>362</v>
      </c>
      <c r="D578" s="13" t="s">
        <v>4089</v>
      </c>
      <c r="E578" s="13" t="s">
        <v>12556</v>
      </c>
      <c r="F578" s="13" t="s">
        <v>12557</v>
      </c>
      <c r="G578" s="13" t="s">
        <v>11098</v>
      </c>
      <c r="H578" s="13" t="s">
        <v>11099</v>
      </c>
      <c r="I578" s="13" t="s">
        <v>12558</v>
      </c>
      <c r="J578" s="13"/>
      <c r="K578" s="13" t="s">
        <v>4092</v>
      </c>
      <c r="L578" s="13" t="s">
        <v>4093</v>
      </c>
    </row>
    <row r="579" customFormat="false" ht="158.2" hidden="false" customHeight="false" outlineLevel="0" collapsed="false">
      <c r="A579" s="13" t="s">
        <v>3</v>
      </c>
      <c r="B579" s="13" t="s">
        <v>2150</v>
      </c>
      <c r="C579" s="13" t="n">
        <v>362</v>
      </c>
      <c r="D579" s="13" t="s">
        <v>4089</v>
      </c>
      <c r="E579" s="13" t="s">
        <v>12559</v>
      </c>
      <c r="F579" s="13" t="s">
        <v>12560</v>
      </c>
      <c r="G579" s="13" t="s">
        <v>11098</v>
      </c>
      <c r="H579" s="13" t="s">
        <v>11099</v>
      </c>
      <c r="I579" s="13" t="s">
        <v>12561</v>
      </c>
      <c r="J579" s="13"/>
      <c r="K579" s="13" t="s">
        <v>4092</v>
      </c>
      <c r="L579" s="13" t="s">
        <v>4093</v>
      </c>
    </row>
    <row r="580" customFormat="false" ht="113.4" hidden="false" customHeight="false" outlineLevel="0" collapsed="false">
      <c r="A580" s="13" t="s">
        <v>3</v>
      </c>
      <c r="B580" s="13" t="s">
        <v>4108</v>
      </c>
      <c r="C580" s="13" t="n">
        <v>23</v>
      </c>
      <c r="D580" s="13" t="s">
        <v>4109</v>
      </c>
      <c r="E580" s="13" t="s">
        <v>12562</v>
      </c>
      <c r="F580" s="13" t="s">
        <v>12563</v>
      </c>
      <c r="G580" s="13" t="s">
        <v>11098</v>
      </c>
      <c r="H580" s="13" t="s">
        <v>11099</v>
      </c>
      <c r="I580" s="13" t="s">
        <v>4110</v>
      </c>
      <c r="J580" s="13"/>
      <c r="K580" s="13" t="s">
        <v>4114</v>
      </c>
      <c r="L580" s="13" t="s">
        <v>4115</v>
      </c>
    </row>
    <row r="581" customFormat="false" ht="113.4" hidden="false" customHeight="false" outlineLevel="0" collapsed="false">
      <c r="A581" s="13" t="s">
        <v>3</v>
      </c>
      <c r="B581" s="13" t="s">
        <v>4108</v>
      </c>
      <c r="C581" s="13" t="n">
        <v>23</v>
      </c>
      <c r="D581" s="13" t="s">
        <v>4109</v>
      </c>
      <c r="E581" s="13" t="s">
        <v>12564</v>
      </c>
      <c r="F581" s="13" t="s">
        <v>12565</v>
      </c>
      <c r="G581" s="13" t="s">
        <v>11098</v>
      </c>
      <c r="H581" s="13" t="s">
        <v>11099</v>
      </c>
      <c r="I581" s="13" t="s">
        <v>12566</v>
      </c>
      <c r="J581" s="13"/>
      <c r="K581" s="13" t="s">
        <v>4114</v>
      </c>
      <c r="L581" s="13" t="s">
        <v>4115</v>
      </c>
    </row>
    <row r="582" customFormat="false" ht="23.85" hidden="false" customHeight="false" outlineLevel="0" collapsed="false">
      <c r="A582" s="13" t="s">
        <v>3</v>
      </c>
      <c r="B582" s="13" t="s">
        <v>4108</v>
      </c>
      <c r="C582" s="13" t="n">
        <v>23</v>
      </c>
      <c r="D582" s="13" t="s">
        <v>4121</v>
      </c>
      <c r="E582" s="13" t="s">
        <v>12567</v>
      </c>
      <c r="F582" s="13" t="s">
        <v>12568</v>
      </c>
      <c r="G582" s="13" t="s">
        <v>11098</v>
      </c>
      <c r="H582" s="13" t="s">
        <v>11099</v>
      </c>
      <c r="I582" s="13" t="s">
        <v>4122</v>
      </c>
      <c r="J582" s="13"/>
      <c r="K582" s="13" t="s">
        <v>4124</v>
      </c>
      <c r="L582" s="13" t="s">
        <v>4125</v>
      </c>
    </row>
    <row r="583" customFormat="false" ht="46.25" hidden="false" customHeight="false" outlineLevel="0" collapsed="false">
      <c r="A583" s="13" t="s">
        <v>3</v>
      </c>
      <c r="B583" s="13" t="s">
        <v>4108</v>
      </c>
      <c r="C583" s="13" t="n">
        <v>23</v>
      </c>
      <c r="D583" s="13" t="s">
        <v>4126</v>
      </c>
      <c r="E583" s="13" t="s">
        <v>12569</v>
      </c>
      <c r="F583" s="13" t="s">
        <v>12570</v>
      </c>
      <c r="G583" s="13" t="s">
        <v>11315</v>
      </c>
      <c r="H583" s="13" t="s">
        <v>11099</v>
      </c>
      <c r="I583" s="13" t="s">
        <v>12571</v>
      </c>
      <c r="J583" s="13" t="s">
        <v>12572</v>
      </c>
      <c r="K583" s="13" t="s">
        <v>4132</v>
      </c>
      <c r="L583" s="13" t="s">
        <v>4133</v>
      </c>
    </row>
    <row r="584" customFormat="false" ht="102.2" hidden="false" customHeight="false" outlineLevel="0" collapsed="false">
      <c r="A584" s="13" t="s">
        <v>3</v>
      </c>
      <c r="B584" s="13" t="s">
        <v>4108</v>
      </c>
      <c r="C584" s="13" t="n">
        <v>23</v>
      </c>
      <c r="D584" s="13" t="s">
        <v>4136</v>
      </c>
      <c r="E584" s="13" t="s">
        <v>12573</v>
      </c>
      <c r="F584" s="13" t="s">
        <v>12574</v>
      </c>
      <c r="G584" s="13" t="s">
        <v>11098</v>
      </c>
      <c r="H584" s="13" t="s">
        <v>11099</v>
      </c>
      <c r="I584" s="13" t="s">
        <v>4137</v>
      </c>
      <c r="J584" s="13"/>
      <c r="K584" s="13" t="s">
        <v>4140</v>
      </c>
      <c r="L584" s="13" t="s">
        <v>4141</v>
      </c>
    </row>
    <row r="585" customFormat="false" ht="102.2" hidden="false" customHeight="false" outlineLevel="0" collapsed="false">
      <c r="A585" s="13" t="s">
        <v>3</v>
      </c>
      <c r="B585" s="13" t="s">
        <v>4108</v>
      </c>
      <c r="C585" s="13" t="n">
        <v>23</v>
      </c>
      <c r="D585" s="13" t="s">
        <v>4136</v>
      </c>
      <c r="E585" s="13" t="s">
        <v>12575</v>
      </c>
      <c r="F585" s="13" t="s">
        <v>12576</v>
      </c>
      <c r="G585" s="13" t="s">
        <v>11098</v>
      </c>
      <c r="H585" s="13" t="s">
        <v>11099</v>
      </c>
      <c r="I585" s="13" t="s">
        <v>12577</v>
      </c>
      <c r="J585" s="13"/>
      <c r="K585" s="13" t="s">
        <v>4140</v>
      </c>
      <c r="L585" s="13" t="s">
        <v>4141</v>
      </c>
    </row>
    <row r="586" customFormat="false" ht="102.2" hidden="false" customHeight="false" outlineLevel="0" collapsed="false">
      <c r="A586" s="13" t="s">
        <v>3</v>
      </c>
      <c r="B586" s="13" t="s">
        <v>4108</v>
      </c>
      <c r="C586" s="13" t="n">
        <v>23</v>
      </c>
      <c r="D586" s="13" t="s">
        <v>4136</v>
      </c>
      <c r="E586" s="13" t="s">
        <v>12578</v>
      </c>
      <c r="F586" s="13" t="s">
        <v>12579</v>
      </c>
      <c r="G586" s="13" t="s">
        <v>11098</v>
      </c>
      <c r="H586" s="13" t="s">
        <v>11099</v>
      </c>
      <c r="I586" s="13" t="s">
        <v>12580</v>
      </c>
      <c r="J586" s="13"/>
      <c r="K586" s="13" t="s">
        <v>4140</v>
      </c>
      <c r="L586" s="13" t="s">
        <v>4141</v>
      </c>
    </row>
    <row r="587" customFormat="false" ht="23.85" hidden="false" customHeight="false" outlineLevel="0" collapsed="false">
      <c r="A587" s="13" t="s">
        <v>3</v>
      </c>
      <c r="B587" s="13" t="s">
        <v>4108</v>
      </c>
      <c r="C587" s="13" t="n">
        <v>23</v>
      </c>
      <c r="D587" s="13" t="s">
        <v>4150</v>
      </c>
      <c r="E587" s="13" t="s">
        <v>12581</v>
      </c>
      <c r="F587" s="13" t="s">
        <v>12582</v>
      </c>
      <c r="G587" s="13" t="s">
        <v>11098</v>
      </c>
      <c r="H587" s="13" t="s">
        <v>11099</v>
      </c>
      <c r="I587" s="13" t="s">
        <v>4151</v>
      </c>
      <c r="J587" s="13"/>
      <c r="K587" s="13" t="s">
        <v>4154</v>
      </c>
      <c r="L587" s="13" t="s">
        <v>4155</v>
      </c>
    </row>
    <row r="588" customFormat="false" ht="35.05" hidden="false" customHeight="false" outlineLevel="0" collapsed="false">
      <c r="A588" s="13" t="s">
        <v>3</v>
      </c>
      <c r="B588" s="13" t="s">
        <v>4108</v>
      </c>
      <c r="C588" s="13" t="n">
        <v>23</v>
      </c>
      <c r="D588" s="13" t="s">
        <v>4156</v>
      </c>
      <c r="E588" s="13" t="s">
        <v>12583</v>
      </c>
      <c r="F588" s="13" t="s">
        <v>12584</v>
      </c>
      <c r="G588" s="13" t="s">
        <v>11098</v>
      </c>
      <c r="H588" s="13" t="s">
        <v>11099</v>
      </c>
      <c r="I588" s="13" t="s">
        <v>12585</v>
      </c>
      <c r="J588" s="13"/>
      <c r="K588" s="13" t="s">
        <v>4159</v>
      </c>
      <c r="L588" s="13" t="s">
        <v>4160</v>
      </c>
    </row>
    <row r="589" customFormat="false" ht="46.25" hidden="false" customHeight="false" outlineLevel="0" collapsed="false">
      <c r="A589" s="13" t="s">
        <v>3</v>
      </c>
      <c r="B589" s="13" t="s">
        <v>4108</v>
      </c>
      <c r="C589" s="13" t="n">
        <v>23</v>
      </c>
      <c r="D589" s="13" t="s">
        <v>4166</v>
      </c>
      <c r="E589" s="13" t="s">
        <v>12586</v>
      </c>
      <c r="F589" s="13" t="s">
        <v>12587</v>
      </c>
      <c r="G589" s="13" t="s">
        <v>11098</v>
      </c>
      <c r="H589" s="13" t="s">
        <v>11099</v>
      </c>
      <c r="I589" s="13" t="s">
        <v>4167</v>
      </c>
      <c r="J589" s="13"/>
      <c r="K589" s="13" t="s">
        <v>4171</v>
      </c>
      <c r="L589" s="13" t="s">
        <v>4172</v>
      </c>
    </row>
    <row r="590" customFormat="false" ht="46.25" hidden="false" customHeight="false" outlineLevel="0" collapsed="false">
      <c r="A590" s="13" t="s">
        <v>3</v>
      </c>
      <c r="B590" s="13" t="s">
        <v>4108</v>
      </c>
      <c r="C590" s="13" t="n">
        <v>23</v>
      </c>
      <c r="D590" s="13" t="s">
        <v>4166</v>
      </c>
      <c r="E590" s="13" t="s">
        <v>12588</v>
      </c>
      <c r="F590" s="13" t="s">
        <v>12589</v>
      </c>
      <c r="G590" s="13" t="s">
        <v>11098</v>
      </c>
      <c r="H590" s="13" t="s">
        <v>11099</v>
      </c>
      <c r="I590" s="13" t="s">
        <v>4173</v>
      </c>
      <c r="J590" s="13"/>
      <c r="K590" s="13" t="s">
        <v>4171</v>
      </c>
      <c r="L590" s="13" t="s">
        <v>4172</v>
      </c>
    </row>
    <row r="591" customFormat="false" ht="57.45" hidden="false" customHeight="false" outlineLevel="0" collapsed="false">
      <c r="A591" s="13" t="s">
        <v>3</v>
      </c>
      <c r="B591" s="13" t="s">
        <v>4108</v>
      </c>
      <c r="C591" s="13" t="n">
        <v>77</v>
      </c>
      <c r="D591" s="13" t="s">
        <v>4175</v>
      </c>
      <c r="E591" s="13" t="s">
        <v>12590</v>
      </c>
      <c r="F591" s="13" t="s">
        <v>12591</v>
      </c>
      <c r="G591" s="13" t="s">
        <v>11098</v>
      </c>
      <c r="H591" s="13" t="s">
        <v>11099</v>
      </c>
      <c r="I591" s="13" t="s">
        <v>4176</v>
      </c>
      <c r="J591" s="13"/>
      <c r="K591" s="13" t="s">
        <v>4180</v>
      </c>
      <c r="L591" s="13" t="s">
        <v>4181</v>
      </c>
    </row>
    <row r="592" customFormat="false" ht="57.45" hidden="false" customHeight="false" outlineLevel="0" collapsed="false">
      <c r="A592" s="13" t="s">
        <v>3</v>
      </c>
      <c r="B592" s="13" t="s">
        <v>4108</v>
      </c>
      <c r="C592" s="13" t="n">
        <v>77</v>
      </c>
      <c r="D592" s="13" t="s">
        <v>4175</v>
      </c>
      <c r="E592" s="13" t="s">
        <v>12592</v>
      </c>
      <c r="F592" s="13" t="s">
        <v>12593</v>
      </c>
      <c r="G592" s="13" t="s">
        <v>11098</v>
      </c>
      <c r="H592" s="13" t="s">
        <v>11099</v>
      </c>
      <c r="I592" s="13" t="s">
        <v>4182</v>
      </c>
      <c r="J592" s="13"/>
      <c r="K592" s="13" t="s">
        <v>4180</v>
      </c>
      <c r="L592" s="13" t="s">
        <v>4181</v>
      </c>
    </row>
    <row r="593" customFormat="false" ht="68.65" hidden="false" customHeight="false" outlineLevel="0" collapsed="false">
      <c r="A593" s="13" t="s">
        <v>3</v>
      </c>
      <c r="B593" s="13" t="s">
        <v>4108</v>
      </c>
      <c r="C593" s="13" t="n">
        <v>77</v>
      </c>
      <c r="D593" s="13" t="s">
        <v>4190</v>
      </c>
      <c r="E593" s="13" t="s">
        <v>12594</v>
      </c>
      <c r="F593" s="13" t="s">
        <v>12595</v>
      </c>
      <c r="G593" s="13" t="s">
        <v>11098</v>
      </c>
      <c r="H593" s="13" t="s">
        <v>11099</v>
      </c>
      <c r="I593" s="13" t="s">
        <v>12596</v>
      </c>
      <c r="J593" s="13"/>
      <c r="K593" s="13" t="s">
        <v>4194</v>
      </c>
      <c r="L593" s="13" t="s">
        <v>4195</v>
      </c>
    </row>
    <row r="594" customFormat="false" ht="68.65" hidden="false" customHeight="false" outlineLevel="0" collapsed="false">
      <c r="A594" s="13" t="s">
        <v>3</v>
      </c>
      <c r="B594" s="13" t="s">
        <v>4108</v>
      </c>
      <c r="C594" s="13" t="n">
        <v>77</v>
      </c>
      <c r="D594" s="13" t="s">
        <v>4199</v>
      </c>
      <c r="E594" s="13" t="s">
        <v>12597</v>
      </c>
      <c r="F594" s="13" t="s">
        <v>12598</v>
      </c>
      <c r="G594" s="13" t="s">
        <v>11098</v>
      </c>
      <c r="H594" s="13" t="s">
        <v>11099</v>
      </c>
      <c r="I594" s="13" t="s">
        <v>4200</v>
      </c>
      <c r="J594" s="13" t="s">
        <v>12599</v>
      </c>
      <c r="K594" s="13" t="s">
        <v>4204</v>
      </c>
      <c r="L594" s="13" t="s">
        <v>4205</v>
      </c>
    </row>
    <row r="595" customFormat="false" ht="124.6" hidden="false" customHeight="false" outlineLevel="0" collapsed="false">
      <c r="A595" s="13" t="s">
        <v>3</v>
      </c>
      <c r="B595" s="13" t="s">
        <v>4108</v>
      </c>
      <c r="C595" s="13" t="n">
        <v>77</v>
      </c>
      <c r="D595" s="13" t="s">
        <v>4206</v>
      </c>
      <c r="E595" s="13" t="s">
        <v>12600</v>
      </c>
      <c r="F595" s="13" t="s">
        <v>12601</v>
      </c>
      <c r="G595" s="13" t="s">
        <v>11098</v>
      </c>
      <c r="H595" s="13" t="s">
        <v>11099</v>
      </c>
      <c r="I595" s="13" t="s">
        <v>4207</v>
      </c>
      <c r="J595" s="13"/>
      <c r="K595" s="13" t="s">
        <v>4211</v>
      </c>
      <c r="L595" s="13" t="s">
        <v>4212</v>
      </c>
    </row>
    <row r="596" customFormat="false" ht="124.6" hidden="false" customHeight="false" outlineLevel="0" collapsed="false">
      <c r="A596" s="13" t="s">
        <v>3</v>
      </c>
      <c r="B596" s="13" t="s">
        <v>4108</v>
      </c>
      <c r="C596" s="13" t="n">
        <v>77</v>
      </c>
      <c r="D596" s="13" t="s">
        <v>4206</v>
      </c>
      <c r="E596" s="13" t="s">
        <v>12602</v>
      </c>
      <c r="F596" s="13" t="s">
        <v>12603</v>
      </c>
      <c r="G596" s="13" t="s">
        <v>11098</v>
      </c>
      <c r="H596" s="13" t="s">
        <v>11099</v>
      </c>
      <c r="I596" s="13" t="s">
        <v>4213</v>
      </c>
      <c r="J596" s="13"/>
      <c r="K596" s="13" t="s">
        <v>4211</v>
      </c>
      <c r="L596" s="13" t="s">
        <v>4212</v>
      </c>
    </row>
    <row r="597" customFormat="false" ht="124.6" hidden="false" customHeight="false" outlineLevel="0" collapsed="false">
      <c r="A597" s="13" t="s">
        <v>3</v>
      </c>
      <c r="B597" s="13" t="s">
        <v>4108</v>
      </c>
      <c r="C597" s="13" t="n">
        <v>77</v>
      </c>
      <c r="D597" s="13" t="s">
        <v>4206</v>
      </c>
      <c r="E597" s="13" t="s">
        <v>12604</v>
      </c>
      <c r="F597" s="13" t="s">
        <v>12605</v>
      </c>
      <c r="G597" s="13" t="s">
        <v>11098</v>
      </c>
      <c r="H597" s="13" t="s">
        <v>11099</v>
      </c>
      <c r="I597" s="13" t="s">
        <v>4216</v>
      </c>
      <c r="J597" s="13"/>
      <c r="K597" s="13" t="s">
        <v>4211</v>
      </c>
      <c r="L597" s="13" t="s">
        <v>4212</v>
      </c>
    </row>
    <row r="598" customFormat="false" ht="68.65" hidden="false" customHeight="false" outlineLevel="0" collapsed="false">
      <c r="A598" s="13" t="s">
        <v>3</v>
      </c>
      <c r="B598" s="13" t="s">
        <v>4108</v>
      </c>
      <c r="C598" s="13" t="n">
        <v>77</v>
      </c>
      <c r="D598" s="13" t="s">
        <v>4218</v>
      </c>
      <c r="E598" s="13" t="s">
        <v>12606</v>
      </c>
      <c r="F598" s="13" t="s">
        <v>12607</v>
      </c>
      <c r="G598" s="13" t="s">
        <v>11098</v>
      </c>
      <c r="H598" s="13" t="s">
        <v>11099</v>
      </c>
      <c r="I598" s="13" t="s">
        <v>4219</v>
      </c>
      <c r="J598" s="13"/>
      <c r="K598" s="13" t="s">
        <v>4223</v>
      </c>
      <c r="L598" s="13" t="s">
        <v>4224</v>
      </c>
    </row>
    <row r="599" customFormat="false" ht="68.65" hidden="false" customHeight="false" outlineLevel="0" collapsed="false">
      <c r="A599" s="13" t="s">
        <v>3</v>
      </c>
      <c r="B599" s="13" t="s">
        <v>4108</v>
      </c>
      <c r="C599" s="13" t="n">
        <v>77</v>
      </c>
      <c r="D599" s="13" t="s">
        <v>4218</v>
      </c>
      <c r="E599" s="13" t="s">
        <v>12608</v>
      </c>
      <c r="F599" s="13" t="s">
        <v>12609</v>
      </c>
      <c r="G599" s="13" t="s">
        <v>11098</v>
      </c>
      <c r="H599" s="13" t="s">
        <v>11099</v>
      </c>
      <c r="I599" s="13" t="s">
        <v>4225</v>
      </c>
      <c r="J599" s="13"/>
      <c r="K599" s="13" t="s">
        <v>4223</v>
      </c>
      <c r="L599" s="13" t="s">
        <v>4224</v>
      </c>
    </row>
    <row r="600" customFormat="false" ht="68.65" hidden="false" customHeight="false" outlineLevel="0" collapsed="false">
      <c r="A600" s="13" t="s">
        <v>3</v>
      </c>
      <c r="B600" s="13" t="s">
        <v>4108</v>
      </c>
      <c r="C600" s="13" t="n">
        <v>77</v>
      </c>
      <c r="D600" s="13" t="s">
        <v>4218</v>
      </c>
      <c r="E600" s="13" t="s">
        <v>12610</v>
      </c>
      <c r="F600" s="13" t="s">
        <v>12611</v>
      </c>
      <c r="G600" s="13" t="s">
        <v>11098</v>
      </c>
      <c r="H600" s="13" t="s">
        <v>11099</v>
      </c>
      <c r="I600" s="13" t="s">
        <v>4229</v>
      </c>
      <c r="J600" s="13"/>
      <c r="K600" s="13" t="s">
        <v>4223</v>
      </c>
      <c r="L600" s="13" t="s">
        <v>4224</v>
      </c>
    </row>
    <row r="601" customFormat="false" ht="35.05" hidden="false" customHeight="false" outlineLevel="0" collapsed="false">
      <c r="A601" s="13" t="s">
        <v>3</v>
      </c>
      <c r="B601" s="13" t="s">
        <v>4108</v>
      </c>
      <c r="C601" s="13" t="n">
        <v>103</v>
      </c>
      <c r="D601" s="13" t="s">
        <v>4230</v>
      </c>
      <c r="E601" s="13" t="s">
        <v>12612</v>
      </c>
      <c r="F601" s="13" t="s">
        <v>12613</v>
      </c>
      <c r="G601" s="13" t="s">
        <v>11098</v>
      </c>
      <c r="H601" s="13" t="s">
        <v>11099</v>
      </c>
      <c r="I601" s="13" t="s">
        <v>4231</v>
      </c>
      <c r="J601" s="13"/>
      <c r="K601" s="13" t="s">
        <v>4235</v>
      </c>
      <c r="L601" s="13" t="s">
        <v>4236</v>
      </c>
    </row>
    <row r="602" customFormat="false" ht="35.05" hidden="false" customHeight="false" outlineLevel="0" collapsed="false">
      <c r="A602" s="13" t="s">
        <v>3</v>
      </c>
      <c r="B602" s="13" t="s">
        <v>4108</v>
      </c>
      <c r="C602" s="13" t="n">
        <v>103</v>
      </c>
      <c r="D602" s="13" t="s">
        <v>4237</v>
      </c>
      <c r="E602" s="13" t="s">
        <v>12614</v>
      </c>
      <c r="F602" s="13" t="s">
        <v>12615</v>
      </c>
      <c r="G602" s="13" t="s">
        <v>11098</v>
      </c>
      <c r="H602" s="13" t="s">
        <v>11099</v>
      </c>
      <c r="I602" s="13" t="s">
        <v>4238</v>
      </c>
      <c r="J602" s="13"/>
      <c r="K602" s="13" t="s">
        <v>4244</v>
      </c>
      <c r="L602" s="13" t="s">
        <v>4245</v>
      </c>
    </row>
    <row r="603" customFormat="false" ht="35.05" hidden="false" customHeight="false" outlineLevel="0" collapsed="false">
      <c r="A603" s="13" t="s">
        <v>3</v>
      </c>
      <c r="B603" s="13" t="s">
        <v>4108</v>
      </c>
      <c r="C603" s="13" t="n">
        <v>103</v>
      </c>
      <c r="D603" s="13" t="s">
        <v>4237</v>
      </c>
      <c r="E603" s="13" t="s">
        <v>12616</v>
      </c>
      <c r="F603" s="13" t="s">
        <v>12617</v>
      </c>
      <c r="G603" s="13" t="s">
        <v>11098</v>
      </c>
      <c r="H603" s="13" t="s">
        <v>11099</v>
      </c>
      <c r="I603" s="13" t="s">
        <v>4246</v>
      </c>
      <c r="J603" s="13"/>
      <c r="K603" s="13" t="s">
        <v>4244</v>
      </c>
      <c r="L603" s="13" t="s">
        <v>4245</v>
      </c>
    </row>
    <row r="604" customFormat="false" ht="23.85" hidden="false" customHeight="false" outlineLevel="0" collapsed="false">
      <c r="A604" s="13" t="s">
        <v>3</v>
      </c>
      <c r="B604" s="13" t="s">
        <v>4108</v>
      </c>
      <c r="C604" s="13" t="n">
        <v>103</v>
      </c>
      <c r="D604" s="13" t="s">
        <v>4250</v>
      </c>
      <c r="E604" s="13" t="s">
        <v>12618</v>
      </c>
      <c r="F604" s="13" t="s">
        <v>12619</v>
      </c>
      <c r="G604" s="13" t="s">
        <v>11098</v>
      </c>
      <c r="H604" s="13" t="s">
        <v>11099</v>
      </c>
      <c r="I604" s="13" t="s">
        <v>4251</v>
      </c>
      <c r="J604" s="13"/>
      <c r="K604" s="13" t="s">
        <v>4255</v>
      </c>
      <c r="L604" s="13" t="s">
        <v>4256</v>
      </c>
    </row>
    <row r="605" customFormat="false" ht="46.25" hidden="false" customHeight="false" outlineLevel="0" collapsed="false">
      <c r="A605" s="13" t="s">
        <v>3</v>
      </c>
      <c r="B605" s="13" t="s">
        <v>4108</v>
      </c>
      <c r="C605" s="13" t="n">
        <v>103</v>
      </c>
      <c r="D605" s="13" t="s">
        <v>4257</v>
      </c>
      <c r="E605" s="13" t="s">
        <v>12620</v>
      </c>
      <c r="F605" s="13" t="s">
        <v>12621</v>
      </c>
      <c r="G605" s="13" t="s">
        <v>11098</v>
      </c>
      <c r="H605" s="13" t="s">
        <v>11099</v>
      </c>
      <c r="I605" s="13" t="s">
        <v>12622</v>
      </c>
      <c r="J605" s="13"/>
      <c r="K605" s="13" t="s">
        <v>4261</v>
      </c>
      <c r="L605" s="13" t="s">
        <v>4262</v>
      </c>
    </row>
    <row r="606" customFormat="false" ht="35.05" hidden="false" customHeight="false" outlineLevel="0" collapsed="false">
      <c r="A606" s="13" t="s">
        <v>3</v>
      </c>
      <c r="B606" s="13" t="s">
        <v>4108</v>
      </c>
      <c r="C606" s="13" t="n">
        <v>103</v>
      </c>
      <c r="D606" s="13" t="s">
        <v>4270</v>
      </c>
      <c r="E606" s="13" t="s">
        <v>12623</v>
      </c>
      <c r="F606" s="13" t="s">
        <v>12624</v>
      </c>
      <c r="G606" s="13" t="s">
        <v>11098</v>
      </c>
      <c r="H606" s="13" t="s">
        <v>11099</v>
      </c>
      <c r="I606" s="13" t="s">
        <v>12625</v>
      </c>
      <c r="J606" s="13"/>
      <c r="K606" s="13" t="s">
        <v>4275</v>
      </c>
      <c r="L606" s="13" t="s">
        <v>4276</v>
      </c>
    </row>
    <row r="607" customFormat="false" ht="46.25" hidden="false" customHeight="false" outlineLevel="0" collapsed="false">
      <c r="A607" s="13" t="s">
        <v>3</v>
      </c>
      <c r="B607" s="13" t="s">
        <v>4108</v>
      </c>
      <c r="C607" s="13" t="n">
        <v>103</v>
      </c>
      <c r="D607" s="13" t="s">
        <v>4279</v>
      </c>
      <c r="E607" s="13" t="s">
        <v>12626</v>
      </c>
      <c r="F607" s="13" t="s">
        <v>12627</v>
      </c>
      <c r="G607" s="13" t="s">
        <v>11098</v>
      </c>
      <c r="H607" s="13" t="s">
        <v>11099</v>
      </c>
      <c r="I607" s="13" t="s">
        <v>4280</v>
      </c>
      <c r="J607" s="13"/>
      <c r="K607" s="13" t="s">
        <v>4284</v>
      </c>
      <c r="L607" s="13" t="s">
        <v>4285</v>
      </c>
    </row>
    <row r="608" customFormat="false" ht="35.05" hidden="false" customHeight="false" outlineLevel="0" collapsed="false">
      <c r="A608" s="13" t="s">
        <v>3</v>
      </c>
      <c r="B608" s="13" t="s">
        <v>4108</v>
      </c>
      <c r="C608" s="13" t="n">
        <v>103</v>
      </c>
      <c r="D608" s="13" t="s">
        <v>4286</v>
      </c>
      <c r="E608" s="13" t="s">
        <v>12628</v>
      </c>
      <c r="F608" s="13" t="s">
        <v>12629</v>
      </c>
      <c r="G608" s="13" t="s">
        <v>11098</v>
      </c>
      <c r="H608" s="13" t="s">
        <v>11099</v>
      </c>
      <c r="I608" s="13" t="s">
        <v>4287</v>
      </c>
      <c r="J608" s="13"/>
      <c r="K608" s="13" t="s">
        <v>4290</v>
      </c>
      <c r="L608" s="13" t="s">
        <v>4291</v>
      </c>
    </row>
    <row r="609" customFormat="false" ht="57.45" hidden="false" customHeight="false" outlineLevel="0" collapsed="false">
      <c r="A609" s="13" t="s">
        <v>3</v>
      </c>
      <c r="B609" s="13" t="s">
        <v>4108</v>
      </c>
      <c r="C609" s="13" t="n">
        <v>103</v>
      </c>
      <c r="D609" s="13" t="s">
        <v>4292</v>
      </c>
      <c r="E609" s="13" t="s">
        <v>12630</v>
      </c>
      <c r="F609" s="13" t="s">
        <v>12631</v>
      </c>
      <c r="G609" s="13" t="s">
        <v>11098</v>
      </c>
      <c r="H609" s="13" t="s">
        <v>11099</v>
      </c>
      <c r="I609" s="13" t="s">
        <v>12632</v>
      </c>
      <c r="J609" s="13"/>
      <c r="K609" s="13" t="s">
        <v>4295</v>
      </c>
      <c r="L609" s="13" t="s">
        <v>4296</v>
      </c>
    </row>
    <row r="610" customFormat="false" ht="79.85" hidden="false" customHeight="false" outlineLevel="0" collapsed="false">
      <c r="A610" s="13" t="s">
        <v>3</v>
      </c>
      <c r="B610" s="13" t="s">
        <v>4108</v>
      </c>
      <c r="C610" s="13" t="n">
        <v>109</v>
      </c>
      <c r="D610" s="13" t="s">
        <v>4302</v>
      </c>
      <c r="E610" s="13" t="s">
        <v>12633</v>
      </c>
      <c r="F610" s="13" t="s">
        <v>12634</v>
      </c>
      <c r="G610" s="13" t="s">
        <v>11098</v>
      </c>
      <c r="H610" s="13" t="s">
        <v>11099</v>
      </c>
      <c r="I610" s="13" t="s">
        <v>12635</v>
      </c>
      <c r="J610" s="13"/>
      <c r="K610" s="13" t="s">
        <v>4305</v>
      </c>
      <c r="L610" s="13" t="s">
        <v>4306</v>
      </c>
    </row>
    <row r="611" customFormat="false" ht="35.05" hidden="false" customHeight="false" outlineLevel="0" collapsed="false">
      <c r="A611" s="13" t="s">
        <v>3</v>
      </c>
      <c r="B611" s="13" t="s">
        <v>4108</v>
      </c>
      <c r="C611" s="13" t="n">
        <v>109</v>
      </c>
      <c r="D611" s="13" t="s">
        <v>4313</v>
      </c>
      <c r="E611" s="13" t="s">
        <v>12636</v>
      </c>
      <c r="F611" s="13" t="s">
        <v>12637</v>
      </c>
      <c r="G611" s="13" t="s">
        <v>11098</v>
      </c>
      <c r="H611" s="13" t="s">
        <v>11099</v>
      </c>
      <c r="I611" s="13" t="s">
        <v>12638</v>
      </c>
      <c r="J611" s="13"/>
      <c r="K611" s="13" t="s">
        <v>4317</v>
      </c>
      <c r="L611" s="13" t="s">
        <v>4318</v>
      </c>
    </row>
    <row r="612" customFormat="false" ht="57.45" hidden="false" customHeight="false" outlineLevel="0" collapsed="false">
      <c r="A612" s="13" t="s">
        <v>3</v>
      </c>
      <c r="B612" s="13" t="s">
        <v>4108</v>
      </c>
      <c r="C612" s="13" t="n">
        <v>109</v>
      </c>
      <c r="D612" s="13" t="s">
        <v>4322</v>
      </c>
      <c r="E612" s="13" t="s">
        <v>12639</v>
      </c>
      <c r="F612" s="13" t="s">
        <v>12640</v>
      </c>
      <c r="G612" s="13" t="s">
        <v>11098</v>
      </c>
      <c r="H612" s="13" t="s">
        <v>11099</v>
      </c>
      <c r="I612" s="13" t="s">
        <v>4323</v>
      </c>
      <c r="J612" s="13"/>
      <c r="K612" s="13" t="s">
        <v>4325</v>
      </c>
      <c r="L612" s="13" t="s">
        <v>4326</v>
      </c>
    </row>
    <row r="613" customFormat="false" ht="102.2" hidden="false" customHeight="false" outlineLevel="0" collapsed="false">
      <c r="A613" s="13" t="s">
        <v>3</v>
      </c>
      <c r="B613" s="13" t="s">
        <v>4108</v>
      </c>
      <c r="C613" s="13" t="n">
        <v>109</v>
      </c>
      <c r="D613" s="13" t="s">
        <v>4327</v>
      </c>
      <c r="E613" s="13" t="s">
        <v>12641</v>
      </c>
      <c r="F613" s="13" t="s">
        <v>12642</v>
      </c>
      <c r="G613" s="13" t="s">
        <v>11098</v>
      </c>
      <c r="H613" s="13" t="s">
        <v>11099</v>
      </c>
      <c r="I613" s="13" t="s">
        <v>12643</v>
      </c>
      <c r="J613" s="13"/>
      <c r="K613" s="13" t="s">
        <v>4329</v>
      </c>
      <c r="L613" s="13" t="s">
        <v>4330</v>
      </c>
    </row>
    <row r="614" customFormat="false" ht="102.2" hidden="false" customHeight="false" outlineLevel="0" collapsed="false">
      <c r="A614" s="13" t="s">
        <v>3</v>
      </c>
      <c r="B614" s="13" t="s">
        <v>4108</v>
      </c>
      <c r="C614" s="13" t="n">
        <v>109</v>
      </c>
      <c r="D614" s="13" t="s">
        <v>4327</v>
      </c>
      <c r="E614" s="13" t="s">
        <v>12644</v>
      </c>
      <c r="F614" s="13" t="s">
        <v>12645</v>
      </c>
      <c r="G614" s="13" t="s">
        <v>11098</v>
      </c>
      <c r="H614" s="13" t="s">
        <v>11099</v>
      </c>
      <c r="I614" s="13" t="s">
        <v>12646</v>
      </c>
      <c r="J614" s="13"/>
      <c r="K614" s="13" t="s">
        <v>4329</v>
      </c>
      <c r="L614" s="13" t="s">
        <v>4330</v>
      </c>
    </row>
    <row r="615" customFormat="false" ht="617.15" hidden="false" customHeight="false" outlineLevel="0" collapsed="false">
      <c r="A615" s="13" t="s">
        <v>3</v>
      </c>
      <c r="B615" s="13" t="s">
        <v>4108</v>
      </c>
      <c r="C615" s="13" t="n">
        <v>109</v>
      </c>
      <c r="D615" s="13" t="s">
        <v>4339</v>
      </c>
      <c r="E615" s="13" t="s">
        <v>12647</v>
      </c>
      <c r="F615" s="13" t="s">
        <v>12648</v>
      </c>
      <c r="G615" s="13" t="s">
        <v>11098</v>
      </c>
      <c r="H615" s="13" t="s">
        <v>11099</v>
      </c>
      <c r="I615" s="13" t="s">
        <v>12649</v>
      </c>
      <c r="J615" s="13" t="s">
        <v>12650</v>
      </c>
      <c r="K615" s="13" t="s">
        <v>4343</v>
      </c>
      <c r="L615" s="13" t="s">
        <v>4344</v>
      </c>
    </row>
    <row r="616" customFormat="false" ht="35.05" hidden="false" customHeight="false" outlineLevel="0" collapsed="false">
      <c r="A616" s="13" t="s">
        <v>3</v>
      </c>
      <c r="B616" s="13" t="s">
        <v>4108</v>
      </c>
      <c r="C616" s="13" t="n">
        <v>160</v>
      </c>
      <c r="D616" s="13" t="s">
        <v>4475</v>
      </c>
      <c r="E616" s="13" t="s">
        <v>12651</v>
      </c>
      <c r="F616" s="13" t="s">
        <v>12652</v>
      </c>
      <c r="G616" s="13" t="s">
        <v>11098</v>
      </c>
      <c r="H616" s="13" t="s">
        <v>11099</v>
      </c>
      <c r="I616" s="13" t="s">
        <v>12653</v>
      </c>
      <c r="J616" s="13"/>
      <c r="K616" s="13" t="s">
        <v>4478</v>
      </c>
      <c r="L616" s="13" t="s">
        <v>4479</v>
      </c>
    </row>
    <row r="617" customFormat="false" ht="494" hidden="false" customHeight="false" outlineLevel="0" collapsed="false">
      <c r="A617" s="13" t="s">
        <v>3</v>
      </c>
      <c r="B617" s="13" t="s">
        <v>4108</v>
      </c>
      <c r="C617" s="13" t="n">
        <v>160</v>
      </c>
      <c r="D617" s="13" t="s">
        <v>4484</v>
      </c>
      <c r="E617" s="13" t="s">
        <v>12654</v>
      </c>
      <c r="F617" s="13" t="s">
        <v>12655</v>
      </c>
      <c r="G617" s="13" t="s">
        <v>11098</v>
      </c>
      <c r="H617" s="13" t="s">
        <v>11099</v>
      </c>
      <c r="I617" s="13" t="s">
        <v>12656</v>
      </c>
      <c r="J617" s="13" t="s">
        <v>12657</v>
      </c>
      <c r="K617" s="13" t="s">
        <v>4488</v>
      </c>
      <c r="L617" s="13" t="s">
        <v>4489</v>
      </c>
    </row>
    <row r="618" customFormat="false" ht="46.25" hidden="false" customHeight="false" outlineLevel="0" collapsed="false">
      <c r="A618" s="13" t="s">
        <v>3</v>
      </c>
      <c r="B618" s="13" t="s">
        <v>4108</v>
      </c>
      <c r="C618" s="13" t="n">
        <v>209</v>
      </c>
      <c r="D618" s="13" t="s">
        <v>4498</v>
      </c>
      <c r="E618" s="13" t="s">
        <v>12658</v>
      </c>
      <c r="F618" s="13" t="s">
        <v>12659</v>
      </c>
      <c r="G618" s="13" t="s">
        <v>11098</v>
      </c>
      <c r="H618" s="13" t="s">
        <v>11099</v>
      </c>
      <c r="I618" s="13" t="s">
        <v>12660</v>
      </c>
      <c r="J618" s="13"/>
      <c r="K618" s="13" t="s">
        <v>4503</v>
      </c>
      <c r="L618" s="13" t="s">
        <v>4504</v>
      </c>
    </row>
    <row r="619" customFormat="false" ht="91" hidden="false" customHeight="false" outlineLevel="0" collapsed="false">
      <c r="A619" s="13" t="s">
        <v>3</v>
      </c>
      <c r="B619" s="13" t="s">
        <v>4108</v>
      </c>
      <c r="C619" s="13" t="n">
        <v>209</v>
      </c>
      <c r="D619" s="13" t="s">
        <v>4510</v>
      </c>
      <c r="E619" s="13" t="s">
        <v>12661</v>
      </c>
      <c r="F619" s="13" t="s">
        <v>12662</v>
      </c>
      <c r="G619" s="13" t="s">
        <v>11098</v>
      </c>
      <c r="H619" s="13" t="s">
        <v>11099</v>
      </c>
      <c r="I619" s="13" t="s">
        <v>12663</v>
      </c>
      <c r="J619" s="13"/>
      <c r="K619" s="13" t="s">
        <v>4515</v>
      </c>
      <c r="L619" s="13" t="s">
        <v>4516</v>
      </c>
    </row>
    <row r="620" customFormat="false" ht="23.85" hidden="false" customHeight="false" outlineLevel="0" collapsed="false">
      <c r="A620" s="13" t="s">
        <v>3</v>
      </c>
      <c r="B620" s="13" t="s">
        <v>4108</v>
      </c>
      <c r="C620" s="13" t="n">
        <v>209</v>
      </c>
      <c r="D620" s="13" t="s">
        <v>4518</v>
      </c>
      <c r="E620" s="13" t="s">
        <v>12664</v>
      </c>
      <c r="F620" s="13" t="s">
        <v>12665</v>
      </c>
      <c r="G620" s="13" t="s">
        <v>11098</v>
      </c>
      <c r="H620" s="13" t="s">
        <v>11099</v>
      </c>
      <c r="I620" s="13" t="s">
        <v>4519</v>
      </c>
      <c r="J620" s="13"/>
      <c r="K620" s="13" t="s">
        <v>4523</v>
      </c>
      <c r="L620" s="13" t="s">
        <v>4524</v>
      </c>
    </row>
    <row r="621" customFormat="false" ht="23.85" hidden="false" customHeight="false" outlineLevel="0" collapsed="false">
      <c r="A621" s="13" t="s">
        <v>3</v>
      </c>
      <c r="B621" s="13" t="s">
        <v>4108</v>
      </c>
      <c r="C621" s="13" t="n">
        <v>209</v>
      </c>
      <c r="D621" s="13" t="s">
        <v>4525</v>
      </c>
      <c r="E621" s="13" t="s">
        <v>12666</v>
      </c>
      <c r="F621" s="13" t="s">
        <v>12667</v>
      </c>
      <c r="G621" s="13" t="s">
        <v>11098</v>
      </c>
      <c r="H621" s="13" t="s">
        <v>11099</v>
      </c>
      <c r="I621" s="13" t="s">
        <v>4526</v>
      </c>
      <c r="J621" s="13"/>
      <c r="K621" s="13" t="s">
        <v>4530</v>
      </c>
      <c r="L621" s="13" t="s">
        <v>4531</v>
      </c>
    </row>
    <row r="622" customFormat="false" ht="23.85" hidden="false" customHeight="false" outlineLevel="0" collapsed="false">
      <c r="A622" s="13" t="s">
        <v>3</v>
      </c>
      <c r="B622" s="13" t="s">
        <v>4108</v>
      </c>
      <c r="C622" s="13" t="n">
        <v>209</v>
      </c>
      <c r="D622" s="13" t="s">
        <v>4532</v>
      </c>
      <c r="E622" s="13" t="s">
        <v>12668</v>
      </c>
      <c r="F622" s="13" t="s">
        <v>12669</v>
      </c>
      <c r="G622" s="13" t="s">
        <v>11098</v>
      </c>
      <c r="H622" s="13" t="s">
        <v>11099</v>
      </c>
      <c r="I622" s="13" t="s">
        <v>12670</v>
      </c>
      <c r="J622" s="13"/>
      <c r="K622" s="13" t="s">
        <v>4536</v>
      </c>
      <c r="L622" s="13" t="s">
        <v>4537</v>
      </c>
    </row>
    <row r="623" customFormat="false" ht="15" hidden="false" customHeight="false" outlineLevel="0" collapsed="false">
      <c r="A623" s="13" t="s">
        <v>3</v>
      </c>
      <c r="B623" s="13" t="s">
        <v>4108</v>
      </c>
      <c r="C623" s="13" t="n">
        <v>209</v>
      </c>
      <c r="D623" s="13" t="s">
        <v>4539</v>
      </c>
      <c r="E623" s="13" t="s">
        <v>12671</v>
      </c>
      <c r="F623" s="13" t="s">
        <v>12672</v>
      </c>
      <c r="G623" s="13" t="s">
        <v>11098</v>
      </c>
      <c r="H623" s="13" t="s">
        <v>11099</v>
      </c>
      <c r="I623" s="13" t="s">
        <v>4540</v>
      </c>
      <c r="J623" s="13"/>
      <c r="K623" s="13" t="s">
        <v>4544</v>
      </c>
      <c r="L623" s="13" t="s">
        <v>4545</v>
      </c>
    </row>
    <row r="624" customFormat="false" ht="23.85" hidden="false" customHeight="false" outlineLevel="0" collapsed="false">
      <c r="A624" s="13" t="s">
        <v>3</v>
      </c>
      <c r="B624" s="13" t="s">
        <v>4108</v>
      </c>
      <c r="C624" s="13" t="n">
        <v>209</v>
      </c>
      <c r="D624" s="13" t="s">
        <v>4546</v>
      </c>
      <c r="E624" s="13" t="s">
        <v>12673</v>
      </c>
      <c r="F624" s="13" t="s">
        <v>12674</v>
      </c>
      <c r="G624" s="13" t="s">
        <v>11098</v>
      </c>
      <c r="H624" s="13" t="s">
        <v>11099</v>
      </c>
      <c r="I624" s="13" t="s">
        <v>12675</v>
      </c>
      <c r="J624" s="13"/>
      <c r="K624" s="13" t="s">
        <v>4550</v>
      </c>
      <c r="L624" s="13" t="s">
        <v>4551</v>
      </c>
    </row>
    <row r="625" customFormat="false" ht="23.85" hidden="false" customHeight="false" outlineLevel="0" collapsed="false">
      <c r="A625" s="13" t="s">
        <v>3</v>
      </c>
      <c r="B625" s="13" t="s">
        <v>4108</v>
      </c>
      <c r="C625" s="13" t="n">
        <v>209</v>
      </c>
      <c r="D625" s="13" t="s">
        <v>4559</v>
      </c>
      <c r="E625" s="13" t="s">
        <v>12676</v>
      </c>
      <c r="F625" s="13" t="s">
        <v>12677</v>
      </c>
      <c r="G625" s="13" t="s">
        <v>11098</v>
      </c>
      <c r="H625" s="13" t="s">
        <v>11099</v>
      </c>
      <c r="I625" s="13" t="s">
        <v>4560</v>
      </c>
      <c r="J625" s="13"/>
      <c r="K625" s="13" t="s">
        <v>4563</v>
      </c>
      <c r="L625" s="13" t="s">
        <v>4564</v>
      </c>
    </row>
    <row r="626" customFormat="false" ht="57.45" hidden="false" customHeight="false" outlineLevel="0" collapsed="false">
      <c r="A626" s="13" t="s">
        <v>3</v>
      </c>
      <c r="B626" s="13" t="s">
        <v>4108</v>
      </c>
      <c r="C626" s="13" t="n">
        <v>209</v>
      </c>
      <c r="D626" s="13" t="s">
        <v>4565</v>
      </c>
      <c r="E626" s="13" t="s">
        <v>12678</v>
      </c>
      <c r="F626" s="13" t="s">
        <v>12679</v>
      </c>
      <c r="G626" s="13" t="s">
        <v>11098</v>
      </c>
      <c r="H626" s="13" t="s">
        <v>11099</v>
      </c>
      <c r="I626" s="13" t="s">
        <v>12680</v>
      </c>
      <c r="J626" s="13"/>
      <c r="K626" s="13" t="s">
        <v>4570</v>
      </c>
      <c r="L626" s="13" t="s">
        <v>4571</v>
      </c>
    </row>
    <row r="627" customFormat="false" ht="57.45" hidden="false" customHeight="false" outlineLevel="0" collapsed="false">
      <c r="A627" s="13" t="s">
        <v>3</v>
      </c>
      <c r="B627" s="13" t="s">
        <v>4108</v>
      </c>
      <c r="C627" s="13" t="n">
        <v>209</v>
      </c>
      <c r="D627" s="13" t="s">
        <v>4575</v>
      </c>
      <c r="E627" s="13" t="s">
        <v>12681</v>
      </c>
      <c r="F627" s="13" t="s">
        <v>12682</v>
      </c>
      <c r="G627" s="13" t="s">
        <v>11098</v>
      </c>
      <c r="H627" s="13" t="s">
        <v>11099</v>
      </c>
      <c r="I627" s="13" t="s">
        <v>12683</v>
      </c>
      <c r="J627" s="13"/>
      <c r="K627" s="13" t="s">
        <v>4579</v>
      </c>
      <c r="L627" s="13" t="s">
        <v>4580</v>
      </c>
    </row>
    <row r="628" customFormat="false" ht="57.45" hidden="false" customHeight="false" outlineLevel="0" collapsed="false">
      <c r="A628" s="13" t="s">
        <v>3</v>
      </c>
      <c r="B628" s="13" t="s">
        <v>4108</v>
      </c>
      <c r="C628" s="13" t="n">
        <v>209</v>
      </c>
      <c r="D628" s="13" t="s">
        <v>4583</v>
      </c>
      <c r="E628" s="13" t="s">
        <v>12684</v>
      </c>
      <c r="F628" s="13" t="s">
        <v>12685</v>
      </c>
      <c r="G628" s="13" t="s">
        <v>11098</v>
      </c>
      <c r="H628" s="13" t="s">
        <v>11099</v>
      </c>
      <c r="I628" s="13" t="s">
        <v>12686</v>
      </c>
      <c r="J628" s="13"/>
      <c r="K628" s="13" t="s">
        <v>4587</v>
      </c>
      <c r="L628" s="13" t="s">
        <v>4588</v>
      </c>
    </row>
    <row r="629" customFormat="false" ht="113.4" hidden="false" customHeight="false" outlineLevel="0" collapsed="false">
      <c r="A629" s="13" t="s">
        <v>3</v>
      </c>
      <c r="B629" s="13" t="s">
        <v>4108</v>
      </c>
      <c r="C629" s="13" t="n">
        <v>227</v>
      </c>
      <c r="D629" s="13" t="s">
        <v>4591</v>
      </c>
      <c r="E629" s="13" t="s">
        <v>12687</v>
      </c>
      <c r="F629" s="13" t="s">
        <v>12688</v>
      </c>
      <c r="G629" s="13" t="s">
        <v>11098</v>
      </c>
      <c r="H629" s="13" t="s">
        <v>11099</v>
      </c>
      <c r="I629" s="13" t="s">
        <v>12689</v>
      </c>
      <c r="J629" s="13"/>
      <c r="K629" s="13" t="s">
        <v>4594</v>
      </c>
      <c r="L629" s="13" t="s">
        <v>4595</v>
      </c>
    </row>
    <row r="630" customFormat="false" ht="113.4" hidden="false" customHeight="false" outlineLevel="0" collapsed="false">
      <c r="A630" s="13" t="s">
        <v>3</v>
      </c>
      <c r="B630" s="13" t="s">
        <v>4108</v>
      </c>
      <c r="C630" s="13" t="n">
        <v>227</v>
      </c>
      <c r="D630" s="13" t="s">
        <v>4591</v>
      </c>
      <c r="E630" s="13" t="s">
        <v>12690</v>
      </c>
      <c r="F630" s="13" t="s">
        <v>12691</v>
      </c>
      <c r="G630" s="13" t="s">
        <v>11098</v>
      </c>
      <c r="H630" s="13" t="s">
        <v>11099</v>
      </c>
      <c r="I630" s="13" t="s">
        <v>12692</v>
      </c>
      <c r="J630" s="13" t="s">
        <v>12693</v>
      </c>
      <c r="K630" s="13" t="s">
        <v>4594</v>
      </c>
      <c r="L630" s="13" t="s">
        <v>4595</v>
      </c>
    </row>
    <row r="631" customFormat="false" ht="46.25" hidden="false" customHeight="false" outlineLevel="0" collapsed="false">
      <c r="A631" s="13" t="s">
        <v>3</v>
      </c>
      <c r="B631" s="13" t="s">
        <v>4108</v>
      </c>
      <c r="C631" s="13" t="n">
        <v>227</v>
      </c>
      <c r="D631" s="13" t="s">
        <v>4605</v>
      </c>
      <c r="E631" s="13" t="s">
        <v>12694</v>
      </c>
      <c r="F631" s="13" t="s">
        <v>12695</v>
      </c>
      <c r="G631" s="13" t="s">
        <v>11098</v>
      </c>
      <c r="H631" s="13" t="s">
        <v>11099</v>
      </c>
      <c r="I631" s="13" t="s">
        <v>12696</v>
      </c>
      <c r="J631" s="13"/>
      <c r="K631" s="13" t="s">
        <v>4611</v>
      </c>
      <c r="L631" s="13" t="s">
        <v>4612</v>
      </c>
    </row>
    <row r="632" customFormat="false" ht="23.85" hidden="false" customHeight="false" outlineLevel="0" collapsed="false">
      <c r="A632" s="13" t="s">
        <v>3</v>
      </c>
      <c r="B632" s="13" t="s">
        <v>4108</v>
      </c>
      <c r="C632" s="13" t="n">
        <v>227</v>
      </c>
      <c r="D632" s="13" t="s">
        <v>4616</v>
      </c>
      <c r="E632" s="13" t="s">
        <v>12697</v>
      </c>
      <c r="F632" s="13" t="s">
        <v>12698</v>
      </c>
      <c r="G632" s="13" t="s">
        <v>11098</v>
      </c>
      <c r="H632" s="13" t="s">
        <v>11099</v>
      </c>
      <c r="I632" s="13" t="s">
        <v>4617</v>
      </c>
      <c r="J632" s="13"/>
      <c r="K632" s="13" t="s">
        <v>4620</v>
      </c>
      <c r="L632" s="13" t="s">
        <v>4621</v>
      </c>
    </row>
    <row r="633" customFormat="false" ht="35.05" hidden="false" customHeight="false" outlineLevel="0" collapsed="false">
      <c r="A633" s="13" t="s">
        <v>3</v>
      </c>
      <c r="B633" s="13" t="s">
        <v>4108</v>
      </c>
      <c r="C633" s="13" t="n">
        <v>227</v>
      </c>
      <c r="D633" s="13" t="s">
        <v>4622</v>
      </c>
      <c r="E633" s="13" t="s">
        <v>12699</v>
      </c>
      <c r="F633" s="13" t="s">
        <v>12700</v>
      </c>
      <c r="G633" s="13" t="s">
        <v>11098</v>
      </c>
      <c r="H633" s="13" t="s">
        <v>11099</v>
      </c>
      <c r="I633" s="13" t="s">
        <v>12701</v>
      </c>
      <c r="J633" s="13"/>
      <c r="K633" s="13" t="s">
        <v>4626</v>
      </c>
      <c r="L633" s="13" t="s">
        <v>4627</v>
      </c>
    </row>
    <row r="634" customFormat="false" ht="35.05" hidden="false" customHeight="false" outlineLevel="0" collapsed="false">
      <c r="A634" s="13" t="s">
        <v>3</v>
      </c>
      <c r="B634" s="13" t="s">
        <v>4108</v>
      </c>
      <c r="C634" s="13" t="n">
        <v>227</v>
      </c>
      <c r="D634" s="13" t="s">
        <v>4631</v>
      </c>
      <c r="E634" s="13" t="s">
        <v>12702</v>
      </c>
      <c r="F634" s="13" t="s">
        <v>12703</v>
      </c>
      <c r="G634" s="13" t="s">
        <v>11098</v>
      </c>
      <c r="H634" s="13" t="s">
        <v>11099</v>
      </c>
      <c r="I634" s="13" t="s">
        <v>12704</v>
      </c>
      <c r="J634" s="13"/>
      <c r="K634" s="13" t="s">
        <v>4634</v>
      </c>
      <c r="L634" s="13" t="s">
        <v>4635</v>
      </c>
    </row>
    <row r="635" customFormat="false" ht="68.65" hidden="false" customHeight="false" outlineLevel="0" collapsed="false">
      <c r="A635" s="13" t="s">
        <v>3</v>
      </c>
      <c r="B635" s="13" t="s">
        <v>4108</v>
      </c>
      <c r="C635" s="13" t="n">
        <v>227</v>
      </c>
      <c r="D635" s="13" t="s">
        <v>4639</v>
      </c>
      <c r="E635" s="13" t="s">
        <v>12705</v>
      </c>
      <c r="F635" s="13" t="s">
        <v>12706</v>
      </c>
      <c r="G635" s="13" t="s">
        <v>11098</v>
      </c>
      <c r="H635" s="13" t="s">
        <v>11099</v>
      </c>
      <c r="I635" s="13" t="s">
        <v>12707</v>
      </c>
      <c r="J635" s="13"/>
      <c r="K635" s="13" t="s">
        <v>4643</v>
      </c>
      <c r="L635" s="13" t="s">
        <v>4644</v>
      </c>
    </row>
    <row r="636" customFormat="false" ht="35.05" hidden="false" customHeight="false" outlineLevel="0" collapsed="false">
      <c r="A636" s="13" t="s">
        <v>3</v>
      </c>
      <c r="B636" s="13" t="s">
        <v>4108</v>
      </c>
      <c r="C636" s="13" t="n">
        <v>227</v>
      </c>
      <c r="D636" s="13" t="s">
        <v>4652</v>
      </c>
      <c r="E636" s="13" t="s">
        <v>12708</v>
      </c>
      <c r="F636" s="13" t="s">
        <v>12709</v>
      </c>
      <c r="G636" s="13" t="s">
        <v>11098</v>
      </c>
      <c r="H636" s="13" t="s">
        <v>11099</v>
      </c>
      <c r="I636" s="13" t="s">
        <v>12710</v>
      </c>
      <c r="J636" s="13"/>
      <c r="K636" s="13" t="s">
        <v>4656</v>
      </c>
      <c r="L636" s="13" t="s">
        <v>4657</v>
      </c>
    </row>
    <row r="637" customFormat="false" ht="46.25" hidden="false" customHeight="false" outlineLevel="0" collapsed="false">
      <c r="A637" s="13" t="s">
        <v>3</v>
      </c>
      <c r="B637" s="13" t="s">
        <v>4108</v>
      </c>
      <c r="C637" s="13" t="n">
        <v>227</v>
      </c>
      <c r="D637" s="13" t="s">
        <v>4659</v>
      </c>
      <c r="E637" s="13" t="s">
        <v>12711</v>
      </c>
      <c r="F637" s="13" t="s">
        <v>12712</v>
      </c>
      <c r="G637" s="13" t="s">
        <v>11098</v>
      </c>
      <c r="H637" s="13" t="s">
        <v>11099</v>
      </c>
      <c r="I637" s="13" t="s">
        <v>12713</v>
      </c>
      <c r="J637" s="13"/>
      <c r="K637" s="13" t="s">
        <v>4663</v>
      </c>
      <c r="L637" s="13" t="s">
        <v>4664</v>
      </c>
    </row>
    <row r="638" customFormat="false" ht="35.05" hidden="false" customHeight="false" outlineLevel="0" collapsed="false">
      <c r="A638" s="13" t="s">
        <v>3</v>
      </c>
      <c r="B638" s="13" t="s">
        <v>4108</v>
      </c>
      <c r="C638" s="13" t="n">
        <v>227</v>
      </c>
      <c r="D638" s="13" t="s">
        <v>4671</v>
      </c>
      <c r="E638" s="13" t="s">
        <v>12714</v>
      </c>
      <c r="F638" s="13" t="s">
        <v>12715</v>
      </c>
      <c r="G638" s="13" t="s">
        <v>11098</v>
      </c>
      <c r="H638" s="13" t="s">
        <v>11099</v>
      </c>
      <c r="I638" s="13" t="s">
        <v>12716</v>
      </c>
      <c r="J638" s="13"/>
      <c r="K638" s="13" t="s">
        <v>4675</v>
      </c>
      <c r="L638" s="13" t="s">
        <v>4676</v>
      </c>
    </row>
    <row r="639" customFormat="false" ht="57.45" hidden="false" customHeight="false" outlineLevel="0" collapsed="false">
      <c r="A639" s="13" t="s">
        <v>3</v>
      </c>
      <c r="B639" s="13" t="s">
        <v>4108</v>
      </c>
      <c r="C639" s="13" t="n">
        <v>227</v>
      </c>
      <c r="D639" s="13" t="s">
        <v>4679</v>
      </c>
      <c r="E639" s="13" t="s">
        <v>12717</v>
      </c>
      <c r="F639" s="13" t="s">
        <v>12718</v>
      </c>
      <c r="G639" s="13" t="s">
        <v>11098</v>
      </c>
      <c r="H639" s="13" t="s">
        <v>11099</v>
      </c>
      <c r="I639" s="13" t="s">
        <v>12719</v>
      </c>
      <c r="J639" s="13"/>
      <c r="K639" s="13" t="s">
        <v>4683</v>
      </c>
      <c r="L639" s="13" t="s">
        <v>4684</v>
      </c>
    </row>
    <row r="640" customFormat="false" ht="68.65" hidden="false" customHeight="false" outlineLevel="0" collapsed="false">
      <c r="A640" s="13" t="s">
        <v>3</v>
      </c>
      <c r="B640" s="13" t="s">
        <v>4108</v>
      </c>
      <c r="C640" s="13" t="n">
        <v>247</v>
      </c>
      <c r="D640" s="13" t="s">
        <v>4694</v>
      </c>
      <c r="E640" s="13" t="s">
        <v>12720</v>
      </c>
      <c r="F640" s="13" t="s">
        <v>12721</v>
      </c>
      <c r="G640" s="13" t="s">
        <v>11098</v>
      </c>
      <c r="H640" s="13" t="s">
        <v>11099</v>
      </c>
      <c r="I640" s="13" t="s">
        <v>12722</v>
      </c>
      <c r="J640" s="13"/>
      <c r="K640" s="13" t="s">
        <v>4698</v>
      </c>
      <c r="L640" s="13" t="s">
        <v>4699</v>
      </c>
    </row>
    <row r="641" customFormat="false" ht="35.05" hidden="false" customHeight="false" outlineLevel="0" collapsed="false">
      <c r="A641" s="13" t="s">
        <v>3</v>
      </c>
      <c r="B641" s="13" t="s">
        <v>4108</v>
      </c>
      <c r="C641" s="13" t="n">
        <v>247</v>
      </c>
      <c r="D641" s="13" t="s">
        <v>4704</v>
      </c>
      <c r="E641" s="13" t="s">
        <v>12723</v>
      </c>
      <c r="F641" s="13" t="s">
        <v>12724</v>
      </c>
      <c r="G641" s="13" t="s">
        <v>11098</v>
      </c>
      <c r="H641" s="13" t="s">
        <v>11099</v>
      </c>
      <c r="I641" s="13" t="s">
        <v>4705</v>
      </c>
      <c r="J641" s="13"/>
      <c r="K641" s="13" t="s">
        <v>4708</v>
      </c>
      <c r="L641" s="13" t="s">
        <v>4709</v>
      </c>
    </row>
    <row r="642" customFormat="false" ht="68.65" hidden="false" customHeight="false" outlineLevel="0" collapsed="false">
      <c r="A642" s="13" t="s">
        <v>3</v>
      </c>
      <c r="B642" s="13" t="s">
        <v>4108</v>
      </c>
      <c r="C642" s="13" t="n">
        <v>247</v>
      </c>
      <c r="D642" s="13" t="s">
        <v>4710</v>
      </c>
      <c r="E642" s="13" t="s">
        <v>12725</v>
      </c>
      <c r="F642" s="13" t="s">
        <v>12726</v>
      </c>
      <c r="G642" s="13" t="s">
        <v>11098</v>
      </c>
      <c r="H642" s="13" t="s">
        <v>11099</v>
      </c>
      <c r="I642" s="13" t="s">
        <v>12727</v>
      </c>
      <c r="J642" s="13"/>
      <c r="K642" s="13" t="s">
        <v>4714</v>
      </c>
      <c r="L642" s="13" t="s">
        <v>4715</v>
      </c>
    </row>
    <row r="643" customFormat="false" ht="57.45" hidden="false" customHeight="false" outlineLevel="0" collapsed="false">
      <c r="A643" s="13" t="s">
        <v>3</v>
      </c>
      <c r="B643" s="13" t="s">
        <v>4108</v>
      </c>
      <c r="C643" s="13" t="n">
        <v>247</v>
      </c>
      <c r="D643" s="13" t="s">
        <v>4718</v>
      </c>
      <c r="E643" s="13" t="s">
        <v>12728</v>
      </c>
      <c r="F643" s="13" t="s">
        <v>12729</v>
      </c>
      <c r="G643" s="13" t="s">
        <v>11098</v>
      </c>
      <c r="H643" s="13" t="s">
        <v>11099</v>
      </c>
      <c r="I643" s="13" t="s">
        <v>4719</v>
      </c>
      <c r="J643" s="13"/>
      <c r="K643" s="13" t="s">
        <v>4725</v>
      </c>
      <c r="L643" s="13" t="s">
        <v>4726</v>
      </c>
    </row>
    <row r="644" customFormat="false" ht="35.05" hidden="false" customHeight="false" outlineLevel="0" collapsed="false">
      <c r="A644" s="13" t="s">
        <v>3</v>
      </c>
      <c r="B644" s="13" t="s">
        <v>4108</v>
      </c>
      <c r="C644" s="13" t="n">
        <v>247</v>
      </c>
      <c r="D644" s="13" t="s">
        <v>4727</v>
      </c>
      <c r="E644" s="13" t="s">
        <v>12730</v>
      </c>
      <c r="F644" s="13" t="s">
        <v>12731</v>
      </c>
      <c r="G644" s="13" t="s">
        <v>11098</v>
      </c>
      <c r="H644" s="13" t="s">
        <v>11099</v>
      </c>
      <c r="I644" s="13" t="s">
        <v>12732</v>
      </c>
      <c r="J644" s="13"/>
      <c r="K644" s="13" t="s">
        <v>4732</v>
      </c>
      <c r="L644" s="13" t="s">
        <v>4733</v>
      </c>
    </row>
    <row r="645" customFormat="false" ht="15" hidden="false" customHeight="false" outlineLevel="0" collapsed="false">
      <c r="A645" s="13" t="s">
        <v>3</v>
      </c>
      <c r="B645" s="13" t="s">
        <v>4108</v>
      </c>
      <c r="C645" s="13" t="n">
        <v>247</v>
      </c>
      <c r="D645" s="13" t="s">
        <v>4736</v>
      </c>
      <c r="E645" s="13" t="s">
        <v>12733</v>
      </c>
      <c r="F645" s="13" t="s">
        <v>12734</v>
      </c>
      <c r="G645" s="13" t="s">
        <v>11098</v>
      </c>
      <c r="H645" s="13" t="s">
        <v>11099</v>
      </c>
      <c r="I645" s="13" t="s">
        <v>4737</v>
      </c>
      <c r="J645" s="13"/>
      <c r="K645" s="13" t="s">
        <v>4741</v>
      </c>
      <c r="L645" s="13" t="s">
        <v>4742</v>
      </c>
    </row>
    <row r="646" customFormat="false" ht="35.05" hidden="false" customHeight="false" outlineLevel="0" collapsed="false">
      <c r="A646" s="13" t="s">
        <v>3</v>
      </c>
      <c r="B646" s="13" t="s">
        <v>4108</v>
      </c>
      <c r="C646" s="13" t="n">
        <v>247</v>
      </c>
      <c r="D646" s="13" t="s">
        <v>4743</v>
      </c>
      <c r="E646" s="13" t="s">
        <v>12735</v>
      </c>
      <c r="F646" s="13" t="s">
        <v>12736</v>
      </c>
      <c r="G646" s="13" t="s">
        <v>11098</v>
      </c>
      <c r="H646" s="13" t="s">
        <v>11099</v>
      </c>
      <c r="I646" s="13" t="s">
        <v>12737</v>
      </c>
      <c r="J646" s="13"/>
      <c r="K646" s="13" t="s">
        <v>4747</v>
      </c>
      <c r="L646" s="13" t="s">
        <v>4748</v>
      </c>
    </row>
    <row r="647" customFormat="false" ht="57.45" hidden="false" customHeight="false" outlineLevel="0" collapsed="false">
      <c r="A647" s="13" t="s">
        <v>3</v>
      </c>
      <c r="B647" s="13" t="s">
        <v>4108</v>
      </c>
      <c r="C647" s="13" t="n">
        <v>247</v>
      </c>
      <c r="D647" s="13" t="s">
        <v>4752</v>
      </c>
      <c r="E647" s="13" t="s">
        <v>12738</v>
      </c>
      <c r="F647" s="13" t="s">
        <v>12739</v>
      </c>
      <c r="G647" s="13" t="s">
        <v>11098</v>
      </c>
      <c r="H647" s="13" t="s">
        <v>11099</v>
      </c>
      <c r="I647" s="13" t="s">
        <v>12740</v>
      </c>
      <c r="J647" s="13"/>
      <c r="K647" s="13" t="s">
        <v>4757</v>
      </c>
      <c r="L647" s="13" t="s">
        <v>4758</v>
      </c>
    </row>
    <row r="648" customFormat="false" ht="35.05" hidden="false" customHeight="false" outlineLevel="0" collapsed="false">
      <c r="A648" s="13" t="s">
        <v>3</v>
      </c>
      <c r="B648" s="13" t="s">
        <v>4108</v>
      </c>
      <c r="C648" s="13" t="n">
        <v>247</v>
      </c>
      <c r="D648" s="13" t="s">
        <v>4762</v>
      </c>
      <c r="E648" s="13" t="s">
        <v>12741</v>
      </c>
      <c r="F648" s="13" t="s">
        <v>12742</v>
      </c>
      <c r="G648" s="13" t="s">
        <v>11315</v>
      </c>
      <c r="H648" s="13" t="s">
        <v>11099</v>
      </c>
      <c r="I648" s="13" t="s">
        <v>12743</v>
      </c>
      <c r="J648" s="13" t="s">
        <v>12744</v>
      </c>
      <c r="K648" s="13" t="s">
        <v>4765</v>
      </c>
      <c r="L648" s="13" t="s">
        <v>4766</v>
      </c>
    </row>
    <row r="649" customFormat="false" ht="23.85" hidden="false" customHeight="false" outlineLevel="0" collapsed="false">
      <c r="A649" s="13" t="s">
        <v>3</v>
      </c>
      <c r="B649" s="13" t="s">
        <v>4108</v>
      </c>
      <c r="C649" s="13" t="n">
        <v>247</v>
      </c>
      <c r="D649" s="13" t="s">
        <v>4762</v>
      </c>
      <c r="E649" s="13" t="s">
        <v>12745</v>
      </c>
      <c r="F649" s="13" t="s">
        <v>12746</v>
      </c>
      <c r="G649" s="13" t="s">
        <v>11098</v>
      </c>
      <c r="H649" s="13" t="s">
        <v>11099</v>
      </c>
      <c r="I649" s="13" t="s">
        <v>4767</v>
      </c>
      <c r="J649" s="13"/>
      <c r="K649" s="13" t="s">
        <v>4765</v>
      </c>
      <c r="L649" s="13" t="s">
        <v>4766</v>
      </c>
    </row>
    <row r="650" customFormat="false" ht="57.45" hidden="false" customHeight="false" outlineLevel="0" collapsed="false">
      <c r="A650" s="13" t="s">
        <v>3</v>
      </c>
      <c r="B650" s="13" t="s">
        <v>4108</v>
      </c>
      <c r="C650" s="13" t="n">
        <v>296</v>
      </c>
      <c r="D650" s="13" t="s">
        <v>4770</v>
      </c>
      <c r="E650" s="13" t="s">
        <v>12747</v>
      </c>
      <c r="F650" s="13" t="s">
        <v>12748</v>
      </c>
      <c r="G650" s="13" t="s">
        <v>11098</v>
      </c>
      <c r="H650" s="13" t="s">
        <v>11099</v>
      </c>
      <c r="I650" s="13" t="s">
        <v>12749</v>
      </c>
      <c r="J650" s="13"/>
      <c r="K650" s="13" t="s">
        <v>4773</v>
      </c>
      <c r="L650" s="13" t="s">
        <v>4774</v>
      </c>
    </row>
    <row r="651" customFormat="false" ht="46.25" hidden="false" customHeight="false" outlineLevel="0" collapsed="false">
      <c r="A651" s="13" t="s">
        <v>3</v>
      </c>
      <c r="B651" s="13" t="s">
        <v>4108</v>
      </c>
      <c r="C651" s="13" t="n">
        <v>296</v>
      </c>
      <c r="D651" s="13" t="s">
        <v>4786</v>
      </c>
      <c r="E651" s="13" t="s">
        <v>12750</v>
      </c>
      <c r="F651" s="13" t="s">
        <v>12751</v>
      </c>
      <c r="G651" s="13" t="s">
        <v>11098</v>
      </c>
      <c r="H651" s="13" t="s">
        <v>11099</v>
      </c>
      <c r="I651" s="13" t="s">
        <v>12752</v>
      </c>
      <c r="J651" s="13"/>
      <c r="K651" s="13" t="s">
        <v>4789</v>
      </c>
      <c r="L651" s="13" t="s">
        <v>4790</v>
      </c>
    </row>
    <row r="652" customFormat="false" ht="46.25" hidden="false" customHeight="false" outlineLevel="0" collapsed="false">
      <c r="A652" s="13" t="s">
        <v>3</v>
      </c>
      <c r="B652" s="13" t="s">
        <v>4108</v>
      </c>
      <c r="C652" s="13" t="n">
        <v>296</v>
      </c>
      <c r="D652" s="13" t="s">
        <v>4796</v>
      </c>
      <c r="E652" s="13" t="s">
        <v>12753</v>
      </c>
      <c r="F652" s="13" t="s">
        <v>12754</v>
      </c>
      <c r="G652" s="13" t="s">
        <v>11098</v>
      </c>
      <c r="H652" s="13" t="s">
        <v>11099</v>
      </c>
      <c r="I652" s="13" t="s">
        <v>12755</v>
      </c>
      <c r="J652" s="13"/>
      <c r="K652" s="13" t="s">
        <v>4799</v>
      </c>
      <c r="L652" s="13" t="s">
        <v>4800</v>
      </c>
    </row>
    <row r="653" customFormat="false" ht="46.25" hidden="false" customHeight="false" outlineLevel="0" collapsed="false">
      <c r="A653" s="13" t="s">
        <v>3</v>
      </c>
      <c r="B653" s="13" t="s">
        <v>4108</v>
      </c>
      <c r="C653" s="13" t="n">
        <v>296</v>
      </c>
      <c r="D653" s="13" t="s">
        <v>4810</v>
      </c>
      <c r="E653" s="13" t="s">
        <v>12756</v>
      </c>
      <c r="F653" s="13" t="s">
        <v>12757</v>
      </c>
      <c r="G653" s="13" t="s">
        <v>11098</v>
      </c>
      <c r="H653" s="13" t="s">
        <v>11099</v>
      </c>
      <c r="I653" s="13" t="s">
        <v>12758</v>
      </c>
      <c r="J653" s="13"/>
      <c r="K653" s="13" t="s">
        <v>4813</v>
      </c>
      <c r="L653" s="13" t="s">
        <v>4814</v>
      </c>
    </row>
    <row r="654" customFormat="false" ht="46.25" hidden="false" customHeight="false" outlineLevel="0" collapsed="false">
      <c r="A654" s="13" t="s">
        <v>3</v>
      </c>
      <c r="B654" s="13" t="s">
        <v>4108</v>
      </c>
      <c r="C654" s="13" t="n">
        <v>296</v>
      </c>
      <c r="D654" s="13" t="s">
        <v>4823</v>
      </c>
      <c r="E654" s="13" t="s">
        <v>12759</v>
      </c>
      <c r="F654" s="13" t="s">
        <v>12760</v>
      </c>
      <c r="G654" s="13" t="s">
        <v>11098</v>
      </c>
      <c r="H654" s="13" t="s">
        <v>11099</v>
      </c>
      <c r="I654" s="13" t="s">
        <v>12761</v>
      </c>
      <c r="J654" s="13"/>
      <c r="K654" s="13" t="s">
        <v>4828</v>
      </c>
      <c r="L654" s="13" t="s">
        <v>4829</v>
      </c>
    </row>
    <row r="655" customFormat="false" ht="57.45" hidden="false" customHeight="false" outlineLevel="0" collapsed="false">
      <c r="A655" s="13" t="s">
        <v>3</v>
      </c>
      <c r="B655" s="13" t="s">
        <v>4108</v>
      </c>
      <c r="C655" s="13" t="n">
        <v>296</v>
      </c>
      <c r="D655" s="13" t="s">
        <v>4833</v>
      </c>
      <c r="E655" s="13" t="s">
        <v>12762</v>
      </c>
      <c r="F655" s="13" t="s">
        <v>12763</v>
      </c>
      <c r="G655" s="13" t="s">
        <v>11098</v>
      </c>
      <c r="H655" s="13" t="s">
        <v>11099</v>
      </c>
      <c r="I655" s="13" t="s">
        <v>12764</v>
      </c>
      <c r="J655" s="13"/>
      <c r="K655" s="13" t="s">
        <v>4836</v>
      </c>
      <c r="L655" s="13" t="s">
        <v>4837</v>
      </c>
    </row>
    <row r="656" customFormat="false" ht="23.85" hidden="false" customHeight="false" outlineLevel="0" collapsed="false">
      <c r="A656" s="13" t="s">
        <v>3</v>
      </c>
      <c r="B656" s="13" t="s">
        <v>4108</v>
      </c>
      <c r="C656" s="13" t="n">
        <v>296</v>
      </c>
      <c r="D656" s="13" t="s">
        <v>4842</v>
      </c>
      <c r="E656" s="13" t="s">
        <v>12765</v>
      </c>
      <c r="F656" s="13" t="s">
        <v>12766</v>
      </c>
      <c r="G656" s="13" t="s">
        <v>11098</v>
      </c>
      <c r="H656" s="13" t="s">
        <v>11099</v>
      </c>
      <c r="I656" s="13" t="s">
        <v>12767</v>
      </c>
      <c r="J656" s="13"/>
      <c r="K656" s="13" t="s">
        <v>4847</v>
      </c>
      <c r="L656" s="13" t="s">
        <v>4848</v>
      </c>
    </row>
    <row r="657" customFormat="false" ht="23.85" hidden="false" customHeight="false" outlineLevel="0" collapsed="false">
      <c r="A657" s="13" t="s">
        <v>3</v>
      </c>
      <c r="B657" s="13" t="s">
        <v>4108</v>
      </c>
      <c r="C657" s="13" t="n">
        <v>296</v>
      </c>
      <c r="D657" s="13" t="s">
        <v>4852</v>
      </c>
      <c r="E657" s="13" t="s">
        <v>12768</v>
      </c>
      <c r="F657" s="13" t="s">
        <v>12769</v>
      </c>
      <c r="G657" s="13" t="s">
        <v>11098</v>
      </c>
      <c r="H657" s="13" t="s">
        <v>11099</v>
      </c>
      <c r="I657" s="13" t="s">
        <v>12770</v>
      </c>
      <c r="J657" s="13"/>
      <c r="K657" s="13" t="s">
        <v>4856</v>
      </c>
      <c r="L657" s="13" t="s">
        <v>4857</v>
      </c>
    </row>
    <row r="658" customFormat="false" ht="15" hidden="false" customHeight="false" outlineLevel="0" collapsed="false">
      <c r="A658" s="13" t="s">
        <v>3</v>
      </c>
      <c r="B658" s="13" t="s">
        <v>4108</v>
      </c>
      <c r="C658" s="13" t="n">
        <v>296</v>
      </c>
      <c r="D658" s="13" t="s">
        <v>4860</v>
      </c>
      <c r="E658" s="13" t="s">
        <v>12771</v>
      </c>
      <c r="F658" s="13" t="s">
        <v>12772</v>
      </c>
      <c r="G658" s="13" t="s">
        <v>11098</v>
      </c>
      <c r="H658" s="13" t="s">
        <v>11099</v>
      </c>
      <c r="I658" s="13" t="s">
        <v>4861</v>
      </c>
      <c r="J658" s="13"/>
      <c r="K658" s="13" t="s">
        <v>4865</v>
      </c>
      <c r="L658" s="13" t="s">
        <v>4866</v>
      </c>
    </row>
    <row r="659" customFormat="false" ht="23.85" hidden="false" customHeight="false" outlineLevel="0" collapsed="false">
      <c r="A659" s="13" t="s">
        <v>3</v>
      </c>
      <c r="B659" s="13" t="s">
        <v>4108</v>
      </c>
      <c r="C659" s="13" t="n">
        <v>296</v>
      </c>
      <c r="D659" s="13" t="s">
        <v>4867</v>
      </c>
      <c r="E659" s="13" t="s">
        <v>12773</v>
      </c>
      <c r="F659" s="13" t="s">
        <v>12774</v>
      </c>
      <c r="G659" s="13" t="s">
        <v>11098</v>
      </c>
      <c r="H659" s="13" t="s">
        <v>11099</v>
      </c>
      <c r="I659" s="13" t="s">
        <v>4868</v>
      </c>
      <c r="J659" s="13"/>
      <c r="K659" s="13" t="s">
        <v>4871</v>
      </c>
      <c r="L659" s="13" t="s">
        <v>4872</v>
      </c>
    </row>
    <row r="660" customFormat="false" ht="15" hidden="false" customHeight="false" outlineLevel="0" collapsed="false">
      <c r="A660" s="13" t="s">
        <v>3</v>
      </c>
      <c r="B660" s="13" t="s">
        <v>4108</v>
      </c>
      <c r="C660" s="13" t="n">
        <v>296</v>
      </c>
      <c r="D660" s="13" t="s">
        <v>4873</v>
      </c>
      <c r="E660" s="13" t="s">
        <v>12775</v>
      </c>
      <c r="F660" s="13" t="s">
        <v>12776</v>
      </c>
      <c r="G660" s="13" t="s">
        <v>11098</v>
      </c>
      <c r="H660" s="13" t="s">
        <v>11099</v>
      </c>
      <c r="I660" s="13" t="s">
        <v>4874</v>
      </c>
      <c r="J660" s="13"/>
      <c r="K660" s="13" t="s">
        <v>4878</v>
      </c>
      <c r="L660" s="13" t="s">
        <v>4879</v>
      </c>
    </row>
    <row r="661" customFormat="false" ht="102.2" hidden="false" customHeight="false" outlineLevel="0" collapsed="false">
      <c r="A661" s="13" t="s">
        <v>3</v>
      </c>
      <c r="B661" s="13" t="s">
        <v>4108</v>
      </c>
      <c r="C661" s="13" t="n">
        <v>296</v>
      </c>
      <c r="D661" s="13" t="s">
        <v>4880</v>
      </c>
      <c r="E661" s="13" t="s">
        <v>12777</v>
      </c>
      <c r="F661" s="13" t="s">
        <v>12778</v>
      </c>
      <c r="G661" s="13" t="s">
        <v>11098</v>
      </c>
      <c r="H661" s="13" t="s">
        <v>11099</v>
      </c>
      <c r="I661" s="13" t="s">
        <v>12779</v>
      </c>
      <c r="J661" s="13"/>
      <c r="K661" s="13" t="s">
        <v>4887</v>
      </c>
      <c r="L661" s="13" t="s">
        <v>4888</v>
      </c>
    </row>
    <row r="662" customFormat="false" ht="102.2" hidden="false" customHeight="false" outlineLevel="0" collapsed="false">
      <c r="A662" s="13" t="s">
        <v>3</v>
      </c>
      <c r="B662" s="13" t="s">
        <v>4108</v>
      </c>
      <c r="C662" s="13" t="n">
        <v>296</v>
      </c>
      <c r="D662" s="13" t="s">
        <v>4880</v>
      </c>
      <c r="E662" s="13" t="s">
        <v>12780</v>
      </c>
      <c r="F662" s="13" t="s">
        <v>12781</v>
      </c>
      <c r="G662" s="13" t="s">
        <v>11315</v>
      </c>
      <c r="H662" s="13" t="s">
        <v>11099</v>
      </c>
      <c r="I662" s="13" t="s">
        <v>12782</v>
      </c>
      <c r="J662" s="13" t="s">
        <v>12783</v>
      </c>
      <c r="K662" s="13" t="s">
        <v>4887</v>
      </c>
      <c r="L662" s="13" t="s">
        <v>4888</v>
      </c>
    </row>
    <row r="663" customFormat="false" ht="46.25" hidden="false" customHeight="false" outlineLevel="0" collapsed="false">
      <c r="A663" s="13" t="s">
        <v>3</v>
      </c>
      <c r="B663" s="13" t="s">
        <v>4108</v>
      </c>
      <c r="C663" s="13" t="n">
        <v>296</v>
      </c>
      <c r="D663" s="13" t="s">
        <v>4908</v>
      </c>
      <c r="E663" s="13" t="s">
        <v>12784</v>
      </c>
      <c r="F663" s="13" t="s">
        <v>12785</v>
      </c>
      <c r="G663" s="13" t="s">
        <v>11098</v>
      </c>
      <c r="H663" s="13" t="s">
        <v>11099</v>
      </c>
      <c r="I663" s="13" t="s">
        <v>12786</v>
      </c>
      <c r="J663" s="13"/>
      <c r="K663" s="13" t="s">
        <v>4913</v>
      </c>
      <c r="L663" s="13" t="s">
        <v>4914</v>
      </c>
    </row>
    <row r="664" customFormat="false" ht="15" hidden="false" customHeight="false" outlineLevel="0" collapsed="false">
      <c r="A664" s="13" t="s">
        <v>3</v>
      </c>
      <c r="B664" s="13" t="s">
        <v>4108</v>
      </c>
      <c r="C664" s="13" t="n">
        <v>296</v>
      </c>
      <c r="D664" s="13" t="s">
        <v>4922</v>
      </c>
      <c r="E664" s="13" t="s">
        <v>12787</v>
      </c>
      <c r="F664" s="13" t="s">
        <v>12788</v>
      </c>
      <c r="G664" s="13" t="s">
        <v>11098</v>
      </c>
      <c r="H664" s="13" t="s">
        <v>11099</v>
      </c>
      <c r="I664" s="13" t="s">
        <v>4923</v>
      </c>
      <c r="J664" s="13"/>
      <c r="K664" s="13" t="s">
        <v>4927</v>
      </c>
      <c r="L664" s="13" t="s">
        <v>4928</v>
      </c>
    </row>
    <row r="665" customFormat="false" ht="68.65" hidden="false" customHeight="false" outlineLevel="0" collapsed="false">
      <c r="A665" s="13" t="s">
        <v>3</v>
      </c>
      <c r="B665" s="13" t="s">
        <v>4108</v>
      </c>
      <c r="C665" s="13" t="n">
        <v>296</v>
      </c>
      <c r="D665" s="13" t="s">
        <v>4929</v>
      </c>
      <c r="E665" s="13" t="s">
        <v>12789</v>
      </c>
      <c r="F665" s="13" t="s">
        <v>12790</v>
      </c>
      <c r="G665" s="13" t="s">
        <v>11098</v>
      </c>
      <c r="H665" s="13" t="s">
        <v>11099</v>
      </c>
      <c r="I665" s="13" t="s">
        <v>12791</v>
      </c>
      <c r="J665" s="13"/>
      <c r="K665" s="13" t="s">
        <v>4933</v>
      </c>
      <c r="L665" s="13" t="s">
        <v>4934</v>
      </c>
    </row>
    <row r="666" customFormat="false" ht="46.25" hidden="false" customHeight="false" outlineLevel="0" collapsed="false">
      <c r="A666" s="13" t="s">
        <v>3</v>
      </c>
      <c r="B666" s="13" t="s">
        <v>4108</v>
      </c>
      <c r="C666" s="13" t="n">
        <v>296</v>
      </c>
      <c r="D666" s="13" t="s">
        <v>4943</v>
      </c>
      <c r="E666" s="13" t="s">
        <v>12792</v>
      </c>
      <c r="F666" s="13" t="s">
        <v>12793</v>
      </c>
      <c r="G666" s="13" t="s">
        <v>11098</v>
      </c>
      <c r="H666" s="13" t="s">
        <v>11099</v>
      </c>
      <c r="I666" s="13" t="s">
        <v>12794</v>
      </c>
      <c r="J666" s="13"/>
      <c r="K666" s="13" t="s">
        <v>4948</v>
      </c>
      <c r="L666" s="13" t="s">
        <v>4949</v>
      </c>
    </row>
    <row r="667" customFormat="false" ht="57.45" hidden="false" customHeight="false" outlineLevel="0" collapsed="false">
      <c r="A667" s="13" t="s">
        <v>3</v>
      </c>
      <c r="B667" s="13" t="s">
        <v>4108</v>
      </c>
      <c r="C667" s="13" t="n">
        <v>302</v>
      </c>
      <c r="D667" s="13" t="s">
        <v>4953</v>
      </c>
      <c r="E667" s="13" t="s">
        <v>12795</v>
      </c>
      <c r="F667" s="13" t="s">
        <v>12796</v>
      </c>
      <c r="G667" s="13" t="s">
        <v>11315</v>
      </c>
      <c r="H667" s="13" t="s">
        <v>11099</v>
      </c>
      <c r="I667" s="13" t="s">
        <v>12797</v>
      </c>
      <c r="J667" s="13" t="s">
        <v>12798</v>
      </c>
      <c r="K667" s="13" t="s">
        <v>4958</v>
      </c>
      <c r="L667" s="13" t="s">
        <v>4959</v>
      </c>
    </row>
    <row r="668" customFormat="false" ht="180.55" hidden="false" customHeight="false" outlineLevel="0" collapsed="false">
      <c r="A668" s="13" t="s">
        <v>3</v>
      </c>
      <c r="B668" s="13" t="s">
        <v>4108</v>
      </c>
      <c r="C668" s="13" t="n">
        <v>302</v>
      </c>
      <c r="D668" s="13" t="s">
        <v>4975</v>
      </c>
      <c r="E668" s="13" t="s">
        <v>12799</v>
      </c>
      <c r="F668" s="13" t="s">
        <v>12800</v>
      </c>
      <c r="G668" s="13" t="s">
        <v>11098</v>
      </c>
      <c r="H668" s="13" t="s">
        <v>11099</v>
      </c>
      <c r="I668" s="13" t="s">
        <v>12801</v>
      </c>
      <c r="J668" s="13"/>
      <c r="K668" s="13" t="s">
        <v>4979</v>
      </c>
      <c r="L668" s="13" t="s">
        <v>4980</v>
      </c>
    </row>
    <row r="669" customFormat="false" ht="180.55" hidden="false" customHeight="false" outlineLevel="0" collapsed="false">
      <c r="A669" s="13" t="s">
        <v>3</v>
      </c>
      <c r="B669" s="13" t="s">
        <v>4108</v>
      </c>
      <c r="C669" s="13" t="n">
        <v>302</v>
      </c>
      <c r="D669" s="13" t="s">
        <v>4975</v>
      </c>
      <c r="E669" s="13" t="s">
        <v>12802</v>
      </c>
      <c r="F669" s="13" t="s">
        <v>12803</v>
      </c>
      <c r="G669" s="13" t="s">
        <v>11098</v>
      </c>
      <c r="H669" s="13" t="s">
        <v>11099</v>
      </c>
      <c r="I669" s="13" t="s">
        <v>12804</v>
      </c>
      <c r="J669" s="13"/>
      <c r="K669" s="13" t="s">
        <v>4979</v>
      </c>
      <c r="L669" s="13" t="s">
        <v>4980</v>
      </c>
    </row>
    <row r="670" customFormat="false" ht="135.8" hidden="false" customHeight="false" outlineLevel="0" collapsed="false">
      <c r="A670" s="13" t="s">
        <v>3</v>
      </c>
      <c r="B670" s="13" t="s">
        <v>4108</v>
      </c>
      <c r="C670" s="13" t="n">
        <v>302</v>
      </c>
      <c r="D670" s="13" t="s">
        <v>4995</v>
      </c>
      <c r="E670" s="13" t="s">
        <v>12805</v>
      </c>
      <c r="F670" s="13" t="s">
        <v>12806</v>
      </c>
      <c r="G670" s="13" t="s">
        <v>11098</v>
      </c>
      <c r="H670" s="13" t="s">
        <v>11099</v>
      </c>
      <c r="I670" s="13" t="s">
        <v>12807</v>
      </c>
      <c r="J670" s="13"/>
      <c r="K670" s="13" t="s">
        <v>4998</v>
      </c>
      <c r="L670" s="13" t="s">
        <v>4999</v>
      </c>
    </row>
    <row r="671" customFormat="false" ht="135.8" hidden="false" customHeight="false" outlineLevel="0" collapsed="false">
      <c r="A671" s="13" t="s">
        <v>3</v>
      </c>
      <c r="B671" s="13" t="s">
        <v>4108</v>
      </c>
      <c r="C671" s="13" t="n">
        <v>302</v>
      </c>
      <c r="D671" s="13" t="s">
        <v>4995</v>
      </c>
      <c r="E671" s="13" t="s">
        <v>12808</v>
      </c>
      <c r="F671" s="13" t="s">
        <v>12809</v>
      </c>
      <c r="G671" s="13" t="s">
        <v>11098</v>
      </c>
      <c r="H671" s="13" t="s">
        <v>11099</v>
      </c>
      <c r="I671" s="13" t="s">
        <v>12810</v>
      </c>
      <c r="J671" s="13"/>
      <c r="K671" s="13" t="s">
        <v>4998</v>
      </c>
      <c r="L671" s="13" t="s">
        <v>4999</v>
      </c>
    </row>
    <row r="672" customFormat="false" ht="124.6" hidden="false" customHeight="false" outlineLevel="0" collapsed="false">
      <c r="A672" s="13" t="s">
        <v>3</v>
      </c>
      <c r="B672" s="13" t="s">
        <v>4108</v>
      </c>
      <c r="C672" s="13" t="n">
        <v>302</v>
      </c>
      <c r="D672" s="13" t="s">
        <v>5012</v>
      </c>
      <c r="E672" s="13" t="s">
        <v>12811</v>
      </c>
      <c r="F672" s="13" t="s">
        <v>12812</v>
      </c>
      <c r="G672" s="13" t="s">
        <v>11098</v>
      </c>
      <c r="H672" s="13" t="s">
        <v>11099</v>
      </c>
      <c r="I672" s="13" t="s">
        <v>12813</v>
      </c>
      <c r="J672" s="13"/>
      <c r="K672" s="13" t="s">
        <v>5015</v>
      </c>
      <c r="L672" s="13" t="s">
        <v>5016</v>
      </c>
    </row>
    <row r="673" customFormat="false" ht="124.6" hidden="false" customHeight="false" outlineLevel="0" collapsed="false">
      <c r="A673" s="13" t="s">
        <v>3</v>
      </c>
      <c r="B673" s="13" t="s">
        <v>4108</v>
      </c>
      <c r="C673" s="13" t="n">
        <v>302</v>
      </c>
      <c r="D673" s="13" t="s">
        <v>5012</v>
      </c>
      <c r="E673" s="13" t="s">
        <v>12814</v>
      </c>
      <c r="F673" s="13" t="s">
        <v>12815</v>
      </c>
      <c r="G673" s="13" t="s">
        <v>11098</v>
      </c>
      <c r="H673" s="13" t="s">
        <v>11099</v>
      </c>
      <c r="I673" s="13" t="s">
        <v>12816</v>
      </c>
      <c r="J673" s="13"/>
      <c r="K673" s="13" t="s">
        <v>5015</v>
      </c>
      <c r="L673" s="13" t="s">
        <v>5016</v>
      </c>
    </row>
    <row r="674" customFormat="false" ht="57.45" hidden="false" customHeight="false" outlineLevel="0" collapsed="false">
      <c r="A674" s="13" t="s">
        <v>3</v>
      </c>
      <c r="B674" s="13" t="s">
        <v>4108</v>
      </c>
      <c r="C674" s="13" t="n">
        <v>306</v>
      </c>
      <c r="D674" s="13" t="s">
        <v>5027</v>
      </c>
      <c r="E674" s="13" t="s">
        <v>12817</v>
      </c>
      <c r="F674" s="13" t="s">
        <v>12818</v>
      </c>
      <c r="G674" s="13" t="s">
        <v>11098</v>
      </c>
      <c r="H674" s="13" t="s">
        <v>11099</v>
      </c>
      <c r="I674" s="13" t="s">
        <v>12819</v>
      </c>
      <c r="J674" s="13"/>
      <c r="K674" s="13" t="s">
        <v>5032</v>
      </c>
      <c r="L674" s="13" t="s">
        <v>5033</v>
      </c>
    </row>
    <row r="675" customFormat="false" ht="46.25" hidden="false" customHeight="false" outlineLevel="0" collapsed="false">
      <c r="A675" s="13" t="s">
        <v>3</v>
      </c>
      <c r="B675" s="13" t="s">
        <v>4108</v>
      </c>
      <c r="C675" s="13" t="n">
        <v>306</v>
      </c>
      <c r="D675" s="13" t="s">
        <v>5037</v>
      </c>
      <c r="E675" s="13" t="s">
        <v>12820</v>
      </c>
      <c r="F675" s="13" t="s">
        <v>12821</v>
      </c>
      <c r="G675" s="13" t="s">
        <v>11098</v>
      </c>
      <c r="H675" s="13" t="s">
        <v>11099</v>
      </c>
      <c r="I675" s="13" t="s">
        <v>5038</v>
      </c>
      <c r="J675" s="13"/>
      <c r="K675" s="13" t="s">
        <v>5042</v>
      </c>
      <c r="L675" s="13" t="s">
        <v>5043</v>
      </c>
    </row>
    <row r="676" customFormat="false" ht="57.45" hidden="false" customHeight="false" outlineLevel="0" collapsed="false">
      <c r="A676" s="13" t="s">
        <v>3</v>
      </c>
      <c r="B676" s="13" t="s">
        <v>4108</v>
      </c>
      <c r="C676" s="13" t="n">
        <v>306</v>
      </c>
      <c r="D676" s="13" t="s">
        <v>12822</v>
      </c>
      <c r="E676" s="13" t="s">
        <v>12823</v>
      </c>
      <c r="F676" s="13" t="s">
        <v>12824</v>
      </c>
      <c r="G676" s="13" t="s">
        <v>11128</v>
      </c>
      <c r="H676" s="13" t="s">
        <v>11099</v>
      </c>
      <c r="I676" s="13"/>
      <c r="J676" s="13"/>
      <c r="K676" s="13" t="s">
        <v>12825</v>
      </c>
      <c r="L676" s="13" t="s">
        <v>12826</v>
      </c>
    </row>
    <row r="677" customFormat="false" ht="79.85" hidden="false" customHeight="false" outlineLevel="0" collapsed="false">
      <c r="A677" s="13" t="s">
        <v>3</v>
      </c>
      <c r="B677" s="13" t="s">
        <v>4108</v>
      </c>
      <c r="C677" s="13" t="n">
        <v>306</v>
      </c>
      <c r="D677" s="13" t="s">
        <v>5044</v>
      </c>
      <c r="E677" s="13" t="s">
        <v>12827</v>
      </c>
      <c r="F677" s="13" t="s">
        <v>12828</v>
      </c>
      <c r="G677" s="13" t="s">
        <v>11098</v>
      </c>
      <c r="H677" s="13" t="s">
        <v>11099</v>
      </c>
      <c r="I677" s="13" t="s">
        <v>5045</v>
      </c>
      <c r="J677" s="13"/>
      <c r="K677" s="13" t="s">
        <v>5048</v>
      </c>
      <c r="L677" s="13" t="s">
        <v>5049</v>
      </c>
    </row>
    <row r="678" customFormat="false" ht="79.85" hidden="false" customHeight="false" outlineLevel="0" collapsed="false">
      <c r="A678" s="13" t="s">
        <v>3</v>
      </c>
      <c r="B678" s="13" t="s">
        <v>4108</v>
      </c>
      <c r="C678" s="13" t="n">
        <v>306</v>
      </c>
      <c r="D678" s="13" t="s">
        <v>5044</v>
      </c>
      <c r="E678" s="13" t="s">
        <v>12829</v>
      </c>
      <c r="F678" s="13" t="s">
        <v>12830</v>
      </c>
      <c r="G678" s="13" t="s">
        <v>11098</v>
      </c>
      <c r="H678" s="13" t="s">
        <v>11099</v>
      </c>
      <c r="I678" s="13" t="s">
        <v>5050</v>
      </c>
      <c r="J678" s="13"/>
      <c r="K678" s="13" t="s">
        <v>5048</v>
      </c>
      <c r="L678" s="13" t="s">
        <v>5049</v>
      </c>
    </row>
    <row r="679" customFormat="false" ht="46.25" hidden="false" customHeight="false" outlineLevel="0" collapsed="false">
      <c r="A679" s="13" t="s">
        <v>3</v>
      </c>
      <c r="B679" s="13" t="s">
        <v>4108</v>
      </c>
      <c r="C679" s="13" t="n">
        <v>306</v>
      </c>
      <c r="D679" s="13" t="s">
        <v>5053</v>
      </c>
      <c r="E679" s="13" t="s">
        <v>12831</v>
      </c>
      <c r="F679" s="13" t="s">
        <v>12832</v>
      </c>
      <c r="G679" s="13" t="s">
        <v>11098</v>
      </c>
      <c r="H679" s="13" t="s">
        <v>11099</v>
      </c>
      <c r="I679" s="13" t="s">
        <v>5054</v>
      </c>
      <c r="J679" s="13"/>
      <c r="K679" s="13" t="s">
        <v>5057</v>
      </c>
      <c r="L679" s="13" t="s">
        <v>5058</v>
      </c>
    </row>
    <row r="680" customFormat="false" ht="46.25" hidden="false" customHeight="false" outlineLevel="0" collapsed="false">
      <c r="A680" s="13" t="s">
        <v>3</v>
      </c>
      <c r="B680" s="13" t="s">
        <v>4108</v>
      </c>
      <c r="C680" s="13" t="n">
        <v>306</v>
      </c>
      <c r="D680" s="13" t="s">
        <v>5053</v>
      </c>
      <c r="E680" s="13" t="s">
        <v>12833</v>
      </c>
      <c r="F680" s="13" t="s">
        <v>12834</v>
      </c>
      <c r="G680" s="13" t="s">
        <v>11098</v>
      </c>
      <c r="H680" s="13" t="s">
        <v>11099</v>
      </c>
      <c r="I680" s="13" t="s">
        <v>5059</v>
      </c>
      <c r="J680" s="13"/>
      <c r="K680" s="13" t="s">
        <v>5057</v>
      </c>
      <c r="L680" s="13" t="s">
        <v>5058</v>
      </c>
    </row>
    <row r="681" customFormat="false" ht="169.4" hidden="false" customHeight="false" outlineLevel="0" collapsed="false">
      <c r="A681" s="13" t="s">
        <v>3</v>
      </c>
      <c r="B681" s="13" t="s">
        <v>4108</v>
      </c>
      <c r="C681" s="13" t="n">
        <v>306</v>
      </c>
      <c r="D681" s="13" t="s">
        <v>5062</v>
      </c>
      <c r="E681" s="13" t="s">
        <v>12835</v>
      </c>
      <c r="F681" s="13" t="s">
        <v>12836</v>
      </c>
      <c r="G681" s="13" t="s">
        <v>11098</v>
      </c>
      <c r="H681" s="13" t="s">
        <v>11099</v>
      </c>
      <c r="I681" s="13" t="s">
        <v>5063</v>
      </c>
      <c r="J681" s="13"/>
      <c r="K681" s="13" t="s">
        <v>5065</v>
      </c>
      <c r="L681" s="13" t="s">
        <v>5066</v>
      </c>
    </row>
    <row r="682" customFormat="false" ht="169.4" hidden="false" customHeight="false" outlineLevel="0" collapsed="false">
      <c r="A682" s="13" t="s">
        <v>3</v>
      </c>
      <c r="B682" s="13" t="s">
        <v>4108</v>
      </c>
      <c r="C682" s="13" t="n">
        <v>306</v>
      </c>
      <c r="D682" s="13" t="s">
        <v>5062</v>
      </c>
      <c r="E682" s="13" t="s">
        <v>12837</v>
      </c>
      <c r="F682" s="13" t="s">
        <v>12838</v>
      </c>
      <c r="G682" s="13" t="s">
        <v>11128</v>
      </c>
      <c r="H682" s="13" t="s">
        <v>11099</v>
      </c>
      <c r="I682" s="13"/>
      <c r="J682" s="13" t="s">
        <v>12839</v>
      </c>
      <c r="K682" s="13" t="s">
        <v>5065</v>
      </c>
      <c r="L682" s="13" t="s">
        <v>5066</v>
      </c>
    </row>
    <row r="683" customFormat="false" ht="169.4" hidden="false" customHeight="false" outlineLevel="0" collapsed="false">
      <c r="A683" s="13" t="s">
        <v>3</v>
      </c>
      <c r="B683" s="13" t="s">
        <v>4108</v>
      </c>
      <c r="C683" s="13" t="n">
        <v>306</v>
      </c>
      <c r="D683" s="13" t="s">
        <v>5062</v>
      </c>
      <c r="E683" s="13" t="s">
        <v>12840</v>
      </c>
      <c r="F683" s="13" t="s">
        <v>12841</v>
      </c>
      <c r="G683" s="13" t="s">
        <v>11128</v>
      </c>
      <c r="H683" s="13" t="s">
        <v>11099</v>
      </c>
      <c r="I683" s="13"/>
      <c r="J683" s="13" t="s">
        <v>12842</v>
      </c>
      <c r="K683" s="13" t="s">
        <v>5065</v>
      </c>
      <c r="L683" s="13" t="s">
        <v>5066</v>
      </c>
    </row>
    <row r="684" customFormat="false" ht="169.4" hidden="false" customHeight="false" outlineLevel="0" collapsed="false">
      <c r="A684" s="13" t="s">
        <v>3</v>
      </c>
      <c r="B684" s="13" t="s">
        <v>4108</v>
      </c>
      <c r="C684" s="13" t="n">
        <v>306</v>
      </c>
      <c r="D684" s="13" t="s">
        <v>5062</v>
      </c>
      <c r="E684" s="13" t="s">
        <v>12843</v>
      </c>
      <c r="F684" s="13" t="s">
        <v>12844</v>
      </c>
      <c r="G684" s="13" t="s">
        <v>11098</v>
      </c>
      <c r="H684" s="13" t="s">
        <v>11099</v>
      </c>
      <c r="I684" s="13" t="s">
        <v>12845</v>
      </c>
      <c r="J684" s="13"/>
      <c r="K684" s="13" t="s">
        <v>5065</v>
      </c>
      <c r="L684" s="13" t="s">
        <v>5066</v>
      </c>
    </row>
    <row r="685" customFormat="false" ht="35.05" hidden="false" customHeight="false" outlineLevel="0" collapsed="false">
      <c r="A685" s="13" t="s">
        <v>3</v>
      </c>
      <c r="B685" s="13" t="s">
        <v>4108</v>
      </c>
      <c r="C685" s="13" t="n">
        <v>306</v>
      </c>
      <c r="D685" s="13" t="s">
        <v>5076</v>
      </c>
      <c r="E685" s="13" t="s">
        <v>12846</v>
      </c>
      <c r="F685" s="13" t="s">
        <v>12847</v>
      </c>
      <c r="G685" s="13" t="s">
        <v>11098</v>
      </c>
      <c r="H685" s="13" t="s">
        <v>11099</v>
      </c>
      <c r="I685" s="13" t="s">
        <v>12848</v>
      </c>
      <c r="J685" s="13"/>
      <c r="K685" s="13" t="s">
        <v>5080</v>
      </c>
      <c r="L685" s="13" t="s">
        <v>5081</v>
      </c>
    </row>
    <row r="686" customFormat="false" ht="46.25" hidden="false" customHeight="false" outlineLevel="0" collapsed="false">
      <c r="A686" s="13" t="s">
        <v>3</v>
      </c>
      <c r="B686" s="13" t="s">
        <v>4108</v>
      </c>
      <c r="C686" s="13" t="n">
        <v>306</v>
      </c>
      <c r="D686" s="13" t="s">
        <v>5084</v>
      </c>
      <c r="E686" s="13" t="s">
        <v>12849</v>
      </c>
      <c r="F686" s="13" t="s">
        <v>12850</v>
      </c>
      <c r="G686" s="13" t="s">
        <v>11098</v>
      </c>
      <c r="H686" s="13" t="s">
        <v>11099</v>
      </c>
      <c r="I686" s="13" t="s">
        <v>12851</v>
      </c>
      <c r="J686" s="13"/>
      <c r="K686" s="13" t="s">
        <v>5088</v>
      </c>
      <c r="L686" s="13" t="s">
        <v>5089</v>
      </c>
    </row>
    <row r="687" customFormat="false" ht="23.85" hidden="false" customHeight="false" outlineLevel="0" collapsed="false">
      <c r="A687" s="13" t="s">
        <v>3</v>
      </c>
      <c r="B687" s="13" t="s">
        <v>4108</v>
      </c>
      <c r="C687" s="13" t="n">
        <v>337</v>
      </c>
      <c r="D687" s="13" t="s">
        <v>5092</v>
      </c>
      <c r="E687" s="13" t="s">
        <v>12852</v>
      </c>
      <c r="F687" s="13" t="s">
        <v>12853</v>
      </c>
      <c r="G687" s="13" t="s">
        <v>11098</v>
      </c>
      <c r="H687" s="13" t="s">
        <v>11099</v>
      </c>
      <c r="I687" s="13" t="s">
        <v>12854</v>
      </c>
      <c r="J687" s="13"/>
      <c r="K687" s="13" t="s">
        <v>5097</v>
      </c>
      <c r="L687" s="13" t="s">
        <v>5098</v>
      </c>
    </row>
    <row r="688" customFormat="false" ht="35.05" hidden="false" customHeight="false" outlineLevel="0" collapsed="false">
      <c r="A688" s="13" t="s">
        <v>3</v>
      </c>
      <c r="B688" s="13" t="s">
        <v>4108</v>
      </c>
      <c r="C688" s="13" t="n">
        <v>337</v>
      </c>
      <c r="D688" s="13" t="s">
        <v>5102</v>
      </c>
      <c r="E688" s="13" t="s">
        <v>12855</v>
      </c>
      <c r="F688" s="13" t="s">
        <v>12856</v>
      </c>
      <c r="G688" s="13" t="s">
        <v>11098</v>
      </c>
      <c r="H688" s="13" t="s">
        <v>11099</v>
      </c>
      <c r="I688" s="13" t="s">
        <v>12857</v>
      </c>
      <c r="J688" s="13" t="s">
        <v>12858</v>
      </c>
      <c r="K688" s="13" t="s">
        <v>5106</v>
      </c>
      <c r="L688" s="13" t="s">
        <v>5107</v>
      </c>
    </row>
    <row r="689" customFormat="false" ht="68.65" hidden="false" customHeight="false" outlineLevel="0" collapsed="false">
      <c r="A689" s="13" t="s">
        <v>3</v>
      </c>
      <c r="B689" s="13" t="s">
        <v>4108</v>
      </c>
      <c r="C689" s="13" t="n">
        <v>337</v>
      </c>
      <c r="D689" s="13" t="s">
        <v>5111</v>
      </c>
      <c r="E689" s="13" t="s">
        <v>12859</v>
      </c>
      <c r="F689" s="13" t="s">
        <v>12860</v>
      </c>
      <c r="G689" s="13" t="s">
        <v>11098</v>
      </c>
      <c r="H689" s="13" t="s">
        <v>11099</v>
      </c>
      <c r="I689" s="13" t="s">
        <v>12861</v>
      </c>
      <c r="J689" s="13"/>
      <c r="K689" s="13" t="s">
        <v>5116</v>
      </c>
      <c r="L689" s="13" t="s">
        <v>5117</v>
      </c>
    </row>
    <row r="690" customFormat="false" ht="46.25" hidden="false" customHeight="false" outlineLevel="0" collapsed="false">
      <c r="A690" s="13" t="s">
        <v>3</v>
      </c>
      <c r="B690" s="13" t="s">
        <v>4108</v>
      </c>
      <c r="C690" s="13" t="n">
        <v>401</v>
      </c>
      <c r="D690" s="13" t="s">
        <v>5129</v>
      </c>
      <c r="E690" s="13" t="s">
        <v>12862</v>
      </c>
      <c r="F690" s="13" t="s">
        <v>12863</v>
      </c>
      <c r="G690" s="13" t="s">
        <v>11098</v>
      </c>
      <c r="H690" s="13" t="s">
        <v>11099</v>
      </c>
      <c r="I690" s="13" t="s">
        <v>12864</v>
      </c>
      <c r="J690" s="13"/>
      <c r="K690" s="13" t="s">
        <v>5134</v>
      </c>
      <c r="L690" s="13" t="s">
        <v>5135</v>
      </c>
    </row>
    <row r="691" customFormat="false" ht="46.25" hidden="false" customHeight="false" outlineLevel="0" collapsed="false">
      <c r="A691" s="13" t="s">
        <v>3</v>
      </c>
      <c r="B691" s="13" t="s">
        <v>4108</v>
      </c>
      <c r="C691" s="13" t="n">
        <v>401</v>
      </c>
      <c r="D691" s="13" t="s">
        <v>5140</v>
      </c>
      <c r="E691" s="13" t="s">
        <v>12865</v>
      </c>
      <c r="F691" s="13" t="s">
        <v>12866</v>
      </c>
      <c r="G691" s="13" t="s">
        <v>11098</v>
      </c>
      <c r="H691" s="13" t="s">
        <v>11099</v>
      </c>
      <c r="I691" s="13" t="s">
        <v>12867</v>
      </c>
      <c r="J691" s="13"/>
      <c r="K691" s="13" t="s">
        <v>5145</v>
      </c>
      <c r="L691" s="13" t="s">
        <v>5146</v>
      </c>
    </row>
    <row r="692" customFormat="false" ht="57.45" hidden="false" customHeight="false" outlineLevel="0" collapsed="false">
      <c r="A692" s="13" t="s">
        <v>3</v>
      </c>
      <c r="B692" s="13" t="s">
        <v>4108</v>
      </c>
      <c r="C692" s="13" t="n">
        <v>401</v>
      </c>
      <c r="D692" s="13" t="s">
        <v>5150</v>
      </c>
      <c r="E692" s="13" t="s">
        <v>12868</v>
      </c>
      <c r="F692" s="13" t="s">
        <v>12869</v>
      </c>
      <c r="G692" s="13" t="s">
        <v>11098</v>
      </c>
      <c r="H692" s="13" t="s">
        <v>11099</v>
      </c>
      <c r="I692" s="13" t="s">
        <v>12870</v>
      </c>
      <c r="J692" s="13"/>
      <c r="K692" s="13" t="s">
        <v>5154</v>
      </c>
      <c r="L692" s="13" t="s">
        <v>5155</v>
      </c>
    </row>
    <row r="693" customFormat="false" ht="23.85" hidden="false" customHeight="false" outlineLevel="0" collapsed="false">
      <c r="A693" s="13" t="s">
        <v>3</v>
      </c>
      <c r="B693" s="13" t="s">
        <v>4108</v>
      </c>
      <c r="C693" s="13" t="n">
        <v>401</v>
      </c>
      <c r="D693" s="13" t="s">
        <v>5159</v>
      </c>
      <c r="E693" s="13" t="s">
        <v>12871</v>
      </c>
      <c r="F693" s="13" t="s">
        <v>12872</v>
      </c>
      <c r="G693" s="13" t="s">
        <v>11098</v>
      </c>
      <c r="H693" s="13" t="s">
        <v>11099</v>
      </c>
      <c r="I693" s="13" t="s">
        <v>12873</v>
      </c>
      <c r="J693" s="13"/>
      <c r="K693" s="13" t="s">
        <v>5164</v>
      </c>
      <c r="L693" s="13" t="s">
        <v>5165</v>
      </c>
    </row>
    <row r="694" customFormat="false" ht="46.25" hidden="false" customHeight="false" outlineLevel="0" collapsed="false">
      <c r="A694" s="13" t="s">
        <v>3</v>
      </c>
      <c r="B694" s="13" t="s">
        <v>4108</v>
      </c>
      <c r="C694" s="13" t="n">
        <v>401</v>
      </c>
      <c r="D694" s="13" t="s">
        <v>5170</v>
      </c>
      <c r="E694" s="13" t="s">
        <v>12874</v>
      </c>
      <c r="F694" s="13" t="s">
        <v>12875</v>
      </c>
      <c r="G694" s="13" t="s">
        <v>11098</v>
      </c>
      <c r="H694" s="13" t="s">
        <v>11099</v>
      </c>
      <c r="I694" s="13" t="s">
        <v>12876</v>
      </c>
      <c r="J694" s="13"/>
      <c r="K694" s="13" t="s">
        <v>5174</v>
      </c>
      <c r="L694" s="13" t="s">
        <v>5175</v>
      </c>
    </row>
    <row r="695" customFormat="false" ht="23.85" hidden="false" customHeight="false" outlineLevel="0" collapsed="false">
      <c r="A695" s="13" t="s">
        <v>3</v>
      </c>
      <c r="B695" s="13" t="s">
        <v>4108</v>
      </c>
      <c r="C695" s="13" t="n">
        <v>401</v>
      </c>
      <c r="D695" s="13" t="s">
        <v>5180</v>
      </c>
      <c r="E695" s="13" t="s">
        <v>12877</v>
      </c>
      <c r="F695" s="13" t="s">
        <v>12878</v>
      </c>
      <c r="G695" s="13" t="s">
        <v>11098</v>
      </c>
      <c r="H695" s="13" t="s">
        <v>11099</v>
      </c>
      <c r="I695" s="13" t="s">
        <v>12879</v>
      </c>
      <c r="J695" s="13"/>
      <c r="K695" s="13" t="s">
        <v>5183</v>
      </c>
      <c r="L695" s="13" t="s">
        <v>5184</v>
      </c>
    </row>
    <row r="696" customFormat="false" ht="23.85" hidden="false" customHeight="false" outlineLevel="0" collapsed="false">
      <c r="A696" s="13" t="s">
        <v>3</v>
      </c>
      <c r="B696" s="13" t="s">
        <v>4108</v>
      </c>
      <c r="C696" s="13" t="n">
        <v>401</v>
      </c>
      <c r="D696" s="13" t="s">
        <v>5188</v>
      </c>
      <c r="E696" s="13" t="s">
        <v>12880</v>
      </c>
      <c r="F696" s="13" t="s">
        <v>12881</v>
      </c>
      <c r="G696" s="13" t="s">
        <v>11098</v>
      </c>
      <c r="H696" s="13" t="s">
        <v>11099</v>
      </c>
      <c r="I696" s="13" t="s">
        <v>5189</v>
      </c>
      <c r="J696" s="13"/>
      <c r="K696" s="13" t="s">
        <v>5192</v>
      </c>
      <c r="L696" s="13" t="s">
        <v>5193</v>
      </c>
    </row>
    <row r="697" customFormat="false" ht="23.85" hidden="false" customHeight="false" outlineLevel="0" collapsed="false">
      <c r="A697" s="13" t="s">
        <v>3</v>
      </c>
      <c r="B697" s="13" t="s">
        <v>4108</v>
      </c>
      <c r="C697" s="13" t="n">
        <v>401</v>
      </c>
      <c r="D697" s="13" t="s">
        <v>5194</v>
      </c>
      <c r="E697" s="13" t="s">
        <v>12882</v>
      </c>
      <c r="F697" s="13" t="s">
        <v>12883</v>
      </c>
      <c r="G697" s="13" t="s">
        <v>11098</v>
      </c>
      <c r="H697" s="13" t="s">
        <v>11099</v>
      </c>
      <c r="I697" s="13" t="s">
        <v>12884</v>
      </c>
      <c r="J697" s="13"/>
      <c r="K697" s="13" t="s">
        <v>5198</v>
      </c>
      <c r="L697" s="13" t="s">
        <v>5199</v>
      </c>
    </row>
    <row r="698" customFormat="false" ht="35.05" hidden="false" customHeight="false" outlineLevel="0" collapsed="false">
      <c r="A698" s="13" t="s">
        <v>3</v>
      </c>
      <c r="B698" s="13" t="s">
        <v>4108</v>
      </c>
      <c r="C698" s="13" t="n">
        <v>401</v>
      </c>
      <c r="D698" s="13" t="s">
        <v>5205</v>
      </c>
      <c r="E698" s="13" t="s">
        <v>12885</v>
      </c>
      <c r="F698" s="13" t="s">
        <v>12886</v>
      </c>
      <c r="G698" s="13" t="s">
        <v>11098</v>
      </c>
      <c r="H698" s="13" t="s">
        <v>11099</v>
      </c>
      <c r="I698" s="13" t="s">
        <v>5206</v>
      </c>
      <c r="J698" s="13"/>
      <c r="K698" s="13" t="s">
        <v>5210</v>
      </c>
      <c r="L698" s="13" t="s">
        <v>5211</v>
      </c>
    </row>
    <row r="699" customFormat="false" ht="15" hidden="false" customHeight="false" outlineLevel="0" collapsed="false">
      <c r="A699" s="13" t="s">
        <v>3</v>
      </c>
      <c r="B699" s="13" t="s">
        <v>4108</v>
      </c>
      <c r="C699" s="13" t="n">
        <v>401</v>
      </c>
      <c r="D699" s="13" t="s">
        <v>5212</v>
      </c>
      <c r="E699" s="13" t="s">
        <v>12887</v>
      </c>
      <c r="F699" s="13" t="s">
        <v>12888</v>
      </c>
      <c r="G699" s="13" t="s">
        <v>11098</v>
      </c>
      <c r="H699" s="13" t="s">
        <v>11099</v>
      </c>
      <c r="I699" s="13" t="s">
        <v>5213</v>
      </c>
      <c r="J699" s="13"/>
      <c r="K699" s="13" t="s">
        <v>5215</v>
      </c>
      <c r="L699" s="13" t="s">
        <v>5216</v>
      </c>
    </row>
    <row r="700" customFormat="false" ht="35.05" hidden="false" customHeight="false" outlineLevel="0" collapsed="false">
      <c r="A700" s="13" t="s">
        <v>3</v>
      </c>
      <c r="B700" s="13" t="s">
        <v>4108</v>
      </c>
      <c r="C700" s="13" t="n">
        <v>401</v>
      </c>
      <c r="D700" s="13" t="s">
        <v>5217</v>
      </c>
      <c r="E700" s="13" t="s">
        <v>12889</v>
      </c>
      <c r="F700" s="13" t="s">
        <v>12890</v>
      </c>
      <c r="G700" s="13" t="s">
        <v>11137</v>
      </c>
      <c r="H700" s="13" t="s">
        <v>11099</v>
      </c>
      <c r="I700" s="13" t="s">
        <v>5218</v>
      </c>
      <c r="J700" s="13" t="s">
        <v>12891</v>
      </c>
      <c r="K700" s="13" t="s">
        <v>5223</v>
      </c>
      <c r="L700" s="13" t="s">
        <v>5224</v>
      </c>
    </row>
    <row r="701" customFormat="false" ht="23.85" hidden="false" customHeight="false" outlineLevel="0" collapsed="false">
      <c r="A701" s="13" t="s">
        <v>3</v>
      </c>
      <c r="B701" s="13" t="s">
        <v>4108</v>
      </c>
      <c r="C701" s="13" t="n">
        <v>401</v>
      </c>
      <c r="D701" s="13" t="s">
        <v>5225</v>
      </c>
      <c r="E701" s="13" t="s">
        <v>12892</v>
      </c>
      <c r="F701" s="13" t="s">
        <v>12893</v>
      </c>
      <c r="G701" s="13" t="s">
        <v>11098</v>
      </c>
      <c r="H701" s="13" t="s">
        <v>11099</v>
      </c>
      <c r="I701" s="13" t="s">
        <v>5226</v>
      </c>
      <c r="J701" s="13"/>
      <c r="K701" s="13" t="s">
        <v>5229</v>
      </c>
      <c r="L701" s="13" t="s">
        <v>5230</v>
      </c>
    </row>
    <row r="702" customFormat="false" ht="23.85" hidden="false" customHeight="false" outlineLevel="0" collapsed="false">
      <c r="A702" s="13" t="s">
        <v>3</v>
      </c>
      <c r="B702" s="13" t="s">
        <v>4108</v>
      </c>
      <c r="C702" s="13" t="n">
        <v>401</v>
      </c>
      <c r="D702" s="13" t="s">
        <v>5231</v>
      </c>
      <c r="E702" s="13" t="s">
        <v>12894</v>
      </c>
      <c r="F702" s="13" t="s">
        <v>12895</v>
      </c>
      <c r="G702" s="13" t="s">
        <v>11098</v>
      </c>
      <c r="H702" s="13" t="s">
        <v>11099</v>
      </c>
      <c r="I702" s="13" t="s">
        <v>5232</v>
      </c>
      <c r="J702" s="13"/>
      <c r="K702" s="13" t="s">
        <v>5234</v>
      </c>
      <c r="L702" s="13" t="s">
        <v>5235</v>
      </c>
    </row>
    <row r="703" customFormat="false" ht="15" hidden="false" customHeight="false" outlineLevel="0" collapsed="false">
      <c r="A703" s="13" t="s">
        <v>3</v>
      </c>
      <c r="B703" s="13" t="s">
        <v>4108</v>
      </c>
      <c r="C703" s="13" t="n">
        <v>401</v>
      </c>
      <c r="D703" s="13" t="s">
        <v>5236</v>
      </c>
      <c r="E703" s="13" t="s">
        <v>12896</v>
      </c>
      <c r="F703" s="13" t="s">
        <v>12897</v>
      </c>
      <c r="G703" s="13" t="s">
        <v>11098</v>
      </c>
      <c r="H703" s="13" t="s">
        <v>11099</v>
      </c>
      <c r="I703" s="13" t="s">
        <v>5237</v>
      </c>
      <c r="J703" s="13"/>
      <c r="K703" s="13" t="s">
        <v>5239</v>
      </c>
      <c r="L703" s="13" t="s">
        <v>5240</v>
      </c>
    </row>
    <row r="704" customFormat="false" ht="23.85" hidden="false" customHeight="false" outlineLevel="0" collapsed="false">
      <c r="A704" s="13" t="s">
        <v>3</v>
      </c>
      <c r="B704" s="13" t="s">
        <v>4108</v>
      </c>
      <c r="C704" s="13" t="n">
        <v>401</v>
      </c>
      <c r="D704" s="13" t="s">
        <v>5241</v>
      </c>
      <c r="E704" s="13" t="s">
        <v>12898</v>
      </c>
      <c r="F704" s="13" t="s">
        <v>12899</v>
      </c>
      <c r="G704" s="13" t="s">
        <v>11098</v>
      </c>
      <c r="H704" s="13" t="s">
        <v>11099</v>
      </c>
      <c r="I704" s="13" t="s">
        <v>5242</v>
      </c>
      <c r="J704" s="13"/>
      <c r="K704" s="13" t="s">
        <v>5245</v>
      </c>
      <c r="L704" s="13" t="s">
        <v>5246</v>
      </c>
    </row>
    <row r="705" customFormat="false" ht="68.65" hidden="false" customHeight="false" outlineLevel="0" collapsed="false">
      <c r="A705" s="13" t="s">
        <v>3</v>
      </c>
      <c r="B705" s="13" t="s">
        <v>4108</v>
      </c>
      <c r="C705" s="13" t="n">
        <v>401</v>
      </c>
      <c r="D705" s="13" t="s">
        <v>5247</v>
      </c>
      <c r="E705" s="13" t="s">
        <v>12900</v>
      </c>
      <c r="F705" s="13" t="s">
        <v>12901</v>
      </c>
      <c r="G705" s="13" t="s">
        <v>11098</v>
      </c>
      <c r="H705" s="13" t="s">
        <v>11099</v>
      </c>
      <c r="I705" s="13" t="s">
        <v>12902</v>
      </c>
      <c r="J705" s="13"/>
      <c r="K705" s="13" t="s">
        <v>5251</v>
      </c>
      <c r="L705" s="13" t="s">
        <v>5252</v>
      </c>
    </row>
    <row r="706" customFormat="false" ht="35.05" hidden="false" customHeight="false" outlineLevel="0" collapsed="false">
      <c r="A706" s="13" t="s">
        <v>3</v>
      </c>
      <c r="B706" s="13" t="s">
        <v>4108</v>
      </c>
      <c r="C706" s="13" t="n">
        <v>401</v>
      </c>
      <c r="D706" s="13" t="s">
        <v>5261</v>
      </c>
      <c r="E706" s="13" t="s">
        <v>12903</v>
      </c>
      <c r="F706" s="13" t="s">
        <v>12904</v>
      </c>
      <c r="G706" s="13" t="s">
        <v>11098</v>
      </c>
      <c r="H706" s="13" t="s">
        <v>11099</v>
      </c>
      <c r="I706" s="13" t="s">
        <v>12905</v>
      </c>
      <c r="J706" s="13"/>
      <c r="K706" s="13" t="s">
        <v>5264</v>
      </c>
      <c r="L706" s="13" t="s">
        <v>5265</v>
      </c>
    </row>
    <row r="707" customFormat="false" ht="46.25" hidden="false" customHeight="false" outlineLevel="0" collapsed="false">
      <c r="A707" s="13" t="s">
        <v>3</v>
      </c>
      <c r="B707" s="13" t="s">
        <v>4108</v>
      </c>
      <c r="C707" s="13" t="n">
        <v>401</v>
      </c>
      <c r="D707" s="13" t="s">
        <v>5269</v>
      </c>
      <c r="E707" s="13" t="s">
        <v>12906</v>
      </c>
      <c r="F707" s="13" t="s">
        <v>12907</v>
      </c>
      <c r="G707" s="13" t="s">
        <v>11098</v>
      </c>
      <c r="H707" s="13" t="s">
        <v>11099</v>
      </c>
      <c r="I707" s="13" t="s">
        <v>12908</v>
      </c>
      <c r="J707" s="13"/>
      <c r="K707" s="13" t="s">
        <v>5273</v>
      </c>
      <c r="L707" s="13" t="s">
        <v>5274</v>
      </c>
    </row>
    <row r="708" customFormat="false" ht="35.05" hidden="false" customHeight="false" outlineLevel="0" collapsed="false">
      <c r="A708" s="13" t="s">
        <v>3</v>
      </c>
      <c r="B708" s="13" t="s">
        <v>4108</v>
      </c>
      <c r="C708" s="13" t="n">
        <v>437</v>
      </c>
      <c r="D708" s="13" t="s">
        <v>5278</v>
      </c>
      <c r="E708" s="13" t="s">
        <v>12909</v>
      </c>
      <c r="F708" s="13" t="s">
        <v>12910</v>
      </c>
      <c r="G708" s="13" t="s">
        <v>11098</v>
      </c>
      <c r="H708" s="13" t="s">
        <v>11099</v>
      </c>
      <c r="I708" s="13" t="s">
        <v>12911</v>
      </c>
      <c r="J708" s="13"/>
      <c r="K708" s="13" t="s">
        <v>5283</v>
      </c>
      <c r="L708" s="13" t="s">
        <v>5284</v>
      </c>
    </row>
    <row r="709" customFormat="false" ht="79.85" hidden="false" customHeight="false" outlineLevel="0" collapsed="false">
      <c r="A709" s="13" t="s">
        <v>3</v>
      </c>
      <c r="B709" s="13" t="s">
        <v>4108</v>
      </c>
      <c r="C709" s="13" t="n">
        <v>437</v>
      </c>
      <c r="D709" s="13" t="s">
        <v>5288</v>
      </c>
      <c r="E709" s="13" t="s">
        <v>12912</v>
      </c>
      <c r="F709" s="13" t="s">
        <v>12913</v>
      </c>
      <c r="G709" s="13" t="s">
        <v>11098</v>
      </c>
      <c r="H709" s="13" t="s">
        <v>11099</v>
      </c>
      <c r="I709" s="13" t="s">
        <v>12914</v>
      </c>
      <c r="J709" s="13"/>
      <c r="K709" s="13" t="s">
        <v>5291</v>
      </c>
      <c r="L709" s="13" t="s">
        <v>5292</v>
      </c>
    </row>
    <row r="710" customFormat="false" ht="23.85" hidden="false" customHeight="false" outlineLevel="0" collapsed="false">
      <c r="A710" s="13" t="s">
        <v>3</v>
      </c>
      <c r="B710" s="13" t="s">
        <v>4108</v>
      </c>
      <c r="C710" s="13" t="n">
        <v>437</v>
      </c>
      <c r="D710" s="13" t="s">
        <v>5297</v>
      </c>
      <c r="E710" s="13" t="s">
        <v>12915</v>
      </c>
      <c r="F710" s="13" t="s">
        <v>12916</v>
      </c>
      <c r="G710" s="13" t="s">
        <v>11098</v>
      </c>
      <c r="H710" s="13" t="s">
        <v>11099</v>
      </c>
      <c r="I710" s="13" t="s">
        <v>5298</v>
      </c>
      <c r="J710" s="13"/>
      <c r="K710" s="13" t="s">
        <v>5301</v>
      </c>
      <c r="L710" s="13" t="s">
        <v>5302</v>
      </c>
    </row>
    <row r="711" customFormat="false" ht="79.85" hidden="false" customHeight="false" outlineLevel="0" collapsed="false">
      <c r="A711" s="13" t="s">
        <v>3</v>
      </c>
      <c r="B711" s="13" t="s">
        <v>4108</v>
      </c>
      <c r="C711" s="13" t="n">
        <v>437</v>
      </c>
      <c r="D711" s="13" t="s">
        <v>5303</v>
      </c>
      <c r="E711" s="13" t="s">
        <v>12917</v>
      </c>
      <c r="F711" s="13" t="s">
        <v>12918</v>
      </c>
      <c r="G711" s="13" t="s">
        <v>11098</v>
      </c>
      <c r="H711" s="13" t="s">
        <v>11099</v>
      </c>
      <c r="I711" s="13" t="s">
        <v>12919</v>
      </c>
      <c r="J711" s="13" t="s">
        <v>12920</v>
      </c>
      <c r="K711" s="13" t="s">
        <v>5307</v>
      </c>
      <c r="L711" s="13" t="s">
        <v>5308</v>
      </c>
    </row>
    <row r="712" customFormat="false" ht="79.85" hidden="false" customHeight="false" outlineLevel="0" collapsed="false">
      <c r="A712" s="13" t="s">
        <v>3</v>
      </c>
      <c r="B712" s="13" t="s">
        <v>4108</v>
      </c>
      <c r="C712" s="13" t="n">
        <v>437</v>
      </c>
      <c r="D712" s="13" t="s">
        <v>5303</v>
      </c>
      <c r="E712" s="13" t="s">
        <v>12921</v>
      </c>
      <c r="F712" s="13" t="s">
        <v>12922</v>
      </c>
      <c r="G712" s="13" t="s">
        <v>11098</v>
      </c>
      <c r="H712" s="13" t="s">
        <v>11099</v>
      </c>
      <c r="I712" s="13" t="s">
        <v>5311</v>
      </c>
      <c r="J712" s="13"/>
      <c r="K712" s="13" t="s">
        <v>5307</v>
      </c>
      <c r="L712" s="13" t="s">
        <v>5308</v>
      </c>
    </row>
    <row r="713" customFormat="false" ht="79.85" hidden="false" customHeight="false" outlineLevel="0" collapsed="false">
      <c r="A713" s="13" t="s">
        <v>3</v>
      </c>
      <c r="B713" s="13" t="s">
        <v>4108</v>
      </c>
      <c r="C713" s="13" t="n">
        <v>437</v>
      </c>
      <c r="D713" s="13" t="s">
        <v>5313</v>
      </c>
      <c r="E713" s="13" t="s">
        <v>12923</v>
      </c>
      <c r="F713" s="13" t="s">
        <v>12924</v>
      </c>
      <c r="G713" s="13" t="s">
        <v>11098</v>
      </c>
      <c r="H713" s="13" t="s">
        <v>11099</v>
      </c>
      <c r="I713" s="13" t="s">
        <v>12925</v>
      </c>
      <c r="J713" s="13"/>
      <c r="K713" s="13" t="s">
        <v>5317</v>
      </c>
      <c r="L713" s="13" t="s">
        <v>5318</v>
      </c>
    </row>
    <row r="714" customFormat="false" ht="102.2" hidden="false" customHeight="false" outlineLevel="0" collapsed="false">
      <c r="A714" s="13" t="s">
        <v>3</v>
      </c>
      <c r="B714" s="13" t="s">
        <v>4108</v>
      </c>
      <c r="C714" s="13" t="n">
        <v>437</v>
      </c>
      <c r="D714" s="13" t="s">
        <v>5327</v>
      </c>
      <c r="E714" s="13" t="s">
        <v>12926</v>
      </c>
      <c r="F714" s="13" t="s">
        <v>12927</v>
      </c>
      <c r="G714" s="13" t="s">
        <v>11098</v>
      </c>
      <c r="H714" s="13" t="s">
        <v>11099</v>
      </c>
      <c r="I714" s="13" t="s">
        <v>12928</v>
      </c>
      <c r="J714" s="13"/>
      <c r="K714" s="13" t="s">
        <v>5331</v>
      </c>
      <c r="L714" s="13" t="s">
        <v>5332</v>
      </c>
    </row>
    <row r="715" customFormat="false" ht="46.25" hidden="false" customHeight="false" outlineLevel="0" collapsed="false">
      <c r="A715" s="13" t="s">
        <v>3</v>
      </c>
      <c r="B715" s="13" t="s">
        <v>4108</v>
      </c>
      <c r="C715" s="13" t="n">
        <v>437</v>
      </c>
      <c r="D715" s="13" t="s">
        <v>5341</v>
      </c>
      <c r="E715" s="13" t="s">
        <v>12929</v>
      </c>
      <c r="F715" s="13" t="s">
        <v>12930</v>
      </c>
      <c r="G715" s="13" t="s">
        <v>11098</v>
      </c>
      <c r="H715" s="13" t="s">
        <v>11099</v>
      </c>
      <c r="I715" s="13" t="s">
        <v>12931</v>
      </c>
      <c r="J715" s="13"/>
      <c r="K715" s="13" t="s">
        <v>5345</v>
      </c>
      <c r="L715" s="13" t="s">
        <v>5346</v>
      </c>
    </row>
    <row r="716" customFormat="false" ht="35.05" hidden="false" customHeight="false" outlineLevel="0" collapsed="false">
      <c r="A716" s="13" t="s">
        <v>3</v>
      </c>
      <c r="B716" s="13" t="s">
        <v>4108</v>
      </c>
      <c r="C716" s="13" t="n">
        <v>437</v>
      </c>
      <c r="D716" s="13" t="s">
        <v>5350</v>
      </c>
      <c r="E716" s="13" t="s">
        <v>12932</v>
      </c>
      <c r="F716" s="13" t="s">
        <v>12933</v>
      </c>
      <c r="G716" s="13" t="s">
        <v>11098</v>
      </c>
      <c r="H716" s="13" t="s">
        <v>11099</v>
      </c>
      <c r="I716" s="13" t="s">
        <v>5351</v>
      </c>
      <c r="J716" s="13"/>
      <c r="K716" s="13" t="s">
        <v>5353</v>
      </c>
      <c r="L716" s="13" t="s">
        <v>5354</v>
      </c>
    </row>
    <row r="717" customFormat="false" ht="23.85" hidden="false" customHeight="false" outlineLevel="0" collapsed="false">
      <c r="A717" s="13" t="s">
        <v>3</v>
      </c>
      <c r="B717" s="13" t="s">
        <v>4108</v>
      </c>
      <c r="C717" s="13" t="n">
        <v>437</v>
      </c>
      <c r="D717" s="13" t="s">
        <v>5355</v>
      </c>
      <c r="E717" s="13" t="s">
        <v>12934</v>
      </c>
      <c r="F717" s="13" t="s">
        <v>12935</v>
      </c>
      <c r="G717" s="13" t="s">
        <v>11098</v>
      </c>
      <c r="H717" s="13" t="s">
        <v>11099</v>
      </c>
      <c r="I717" s="13" t="s">
        <v>5356</v>
      </c>
      <c r="J717" s="13"/>
      <c r="K717" s="13" t="s">
        <v>5359</v>
      </c>
      <c r="L717" s="13" t="s">
        <v>5360</v>
      </c>
    </row>
    <row r="718" customFormat="false" ht="46.25" hidden="false" customHeight="false" outlineLevel="0" collapsed="false">
      <c r="A718" s="13" t="s">
        <v>3</v>
      </c>
      <c r="B718" s="13" t="s">
        <v>4108</v>
      </c>
      <c r="C718" s="13" t="n">
        <v>437</v>
      </c>
      <c r="D718" s="13" t="s">
        <v>5361</v>
      </c>
      <c r="E718" s="13" t="s">
        <v>12936</v>
      </c>
      <c r="F718" s="13" t="s">
        <v>12937</v>
      </c>
      <c r="G718" s="13" t="s">
        <v>11098</v>
      </c>
      <c r="H718" s="13" t="s">
        <v>11099</v>
      </c>
      <c r="I718" s="13" t="s">
        <v>12938</v>
      </c>
      <c r="J718" s="13"/>
      <c r="K718" s="13" t="s">
        <v>5363</v>
      </c>
      <c r="L718" s="13" t="s">
        <v>5364</v>
      </c>
    </row>
    <row r="719" customFormat="false" ht="35.05" hidden="false" customHeight="false" outlineLevel="0" collapsed="false">
      <c r="A719" s="13" t="s">
        <v>3</v>
      </c>
      <c r="B719" s="13" t="s">
        <v>4108</v>
      </c>
      <c r="C719" s="13" t="n">
        <v>437</v>
      </c>
      <c r="D719" s="13" t="s">
        <v>5372</v>
      </c>
      <c r="E719" s="13" t="s">
        <v>12939</v>
      </c>
      <c r="F719" s="13" t="s">
        <v>12940</v>
      </c>
      <c r="G719" s="13" t="s">
        <v>11098</v>
      </c>
      <c r="H719" s="13" t="s">
        <v>11099</v>
      </c>
      <c r="I719" s="13" t="s">
        <v>12941</v>
      </c>
      <c r="J719" s="13"/>
      <c r="K719" s="13" t="s">
        <v>5375</v>
      </c>
      <c r="L719" s="13" t="s">
        <v>5376</v>
      </c>
    </row>
    <row r="720" customFormat="false" ht="23.85" hidden="false" customHeight="false" outlineLevel="0" collapsed="false">
      <c r="A720" s="13" t="s">
        <v>3</v>
      </c>
      <c r="B720" s="13" t="s">
        <v>4108</v>
      </c>
      <c r="C720" s="13" t="n">
        <v>440</v>
      </c>
      <c r="D720" s="13" t="s">
        <v>5379</v>
      </c>
      <c r="E720" s="13" t="s">
        <v>12942</v>
      </c>
      <c r="F720" s="13" t="s">
        <v>12943</v>
      </c>
      <c r="G720" s="13" t="s">
        <v>11098</v>
      </c>
      <c r="H720" s="13" t="s">
        <v>11099</v>
      </c>
      <c r="I720" s="13" t="s">
        <v>12944</v>
      </c>
      <c r="J720" s="13"/>
      <c r="K720" s="13" t="s">
        <v>5384</v>
      </c>
      <c r="L720" s="13" t="s">
        <v>5385</v>
      </c>
    </row>
    <row r="721" customFormat="false" ht="46.25" hidden="false" customHeight="false" outlineLevel="0" collapsed="false">
      <c r="A721" s="13" t="s">
        <v>3</v>
      </c>
      <c r="B721" s="13" t="s">
        <v>4108</v>
      </c>
      <c r="C721" s="13" t="n">
        <v>440</v>
      </c>
      <c r="D721" s="13" t="s">
        <v>5390</v>
      </c>
      <c r="E721" s="13" t="s">
        <v>12945</v>
      </c>
      <c r="F721" s="13" t="s">
        <v>12946</v>
      </c>
      <c r="G721" s="13" t="s">
        <v>11098</v>
      </c>
      <c r="H721" s="13" t="s">
        <v>11099</v>
      </c>
      <c r="I721" s="13" t="s">
        <v>12947</v>
      </c>
      <c r="J721" s="13"/>
      <c r="K721" s="13" t="s">
        <v>5395</v>
      </c>
      <c r="L721" s="13" t="s">
        <v>5396</v>
      </c>
    </row>
    <row r="722" customFormat="false" ht="23.85" hidden="false" customHeight="false" outlineLevel="0" collapsed="false">
      <c r="A722" s="13" t="s">
        <v>3</v>
      </c>
      <c r="B722" s="13" t="s">
        <v>4108</v>
      </c>
      <c r="C722" s="13" t="n">
        <v>440</v>
      </c>
      <c r="D722" s="13" t="s">
        <v>5403</v>
      </c>
      <c r="E722" s="13" t="s">
        <v>12948</v>
      </c>
      <c r="F722" s="13" t="s">
        <v>12949</v>
      </c>
      <c r="G722" s="13" t="s">
        <v>11098</v>
      </c>
      <c r="H722" s="13" t="s">
        <v>11099</v>
      </c>
      <c r="I722" s="13" t="s">
        <v>12950</v>
      </c>
      <c r="J722" s="13"/>
      <c r="K722" s="13" t="s">
        <v>5408</v>
      </c>
      <c r="L722" s="13" t="s">
        <v>5409</v>
      </c>
    </row>
    <row r="723" customFormat="false" ht="35.05" hidden="false" customHeight="false" outlineLevel="0" collapsed="false">
      <c r="A723" s="13" t="s">
        <v>3</v>
      </c>
      <c r="B723" s="13" t="s">
        <v>4108</v>
      </c>
      <c r="C723" s="13" t="n">
        <v>440</v>
      </c>
      <c r="D723" s="13" t="s">
        <v>5413</v>
      </c>
      <c r="E723" s="13" t="s">
        <v>12951</v>
      </c>
      <c r="F723" s="13" t="s">
        <v>12952</v>
      </c>
      <c r="G723" s="13" t="s">
        <v>11098</v>
      </c>
      <c r="H723" s="13" t="s">
        <v>11099</v>
      </c>
      <c r="I723" s="13" t="s">
        <v>12953</v>
      </c>
      <c r="J723" s="13"/>
      <c r="K723" s="13" t="s">
        <v>5417</v>
      </c>
      <c r="L723" s="13" t="s">
        <v>5418</v>
      </c>
    </row>
    <row r="724" customFormat="false" ht="46.25" hidden="false" customHeight="false" outlineLevel="0" collapsed="false">
      <c r="A724" s="13" t="s">
        <v>3</v>
      </c>
      <c r="B724" s="13" t="s">
        <v>4108</v>
      </c>
      <c r="C724" s="13" t="n">
        <v>440</v>
      </c>
      <c r="D724" s="13" t="s">
        <v>5422</v>
      </c>
      <c r="E724" s="13" t="s">
        <v>12954</v>
      </c>
      <c r="F724" s="13" t="s">
        <v>12955</v>
      </c>
      <c r="G724" s="13" t="s">
        <v>11098</v>
      </c>
      <c r="H724" s="13" t="s">
        <v>11099</v>
      </c>
      <c r="I724" s="13" t="s">
        <v>12956</v>
      </c>
      <c r="J724" s="13"/>
      <c r="K724" s="13" t="s">
        <v>5426</v>
      </c>
      <c r="L724" s="13" t="s">
        <v>5427</v>
      </c>
    </row>
    <row r="725" customFormat="false" ht="23.85" hidden="false" customHeight="false" outlineLevel="0" collapsed="false">
      <c r="A725" s="13" t="s">
        <v>3</v>
      </c>
      <c r="B725" s="13" t="s">
        <v>4108</v>
      </c>
      <c r="C725" s="13" t="n">
        <v>440</v>
      </c>
      <c r="D725" s="13" t="s">
        <v>5438</v>
      </c>
      <c r="E725" s="13" t="s">
        <v>12957</v>
      </c>
      <c r="F725" s="13" t="s">
        <v>12958</v>
      </c>
      <c r="G725" s="13" t="s">
        <v>11098</v>
      </c>
      <c r="H725" s="13" t="s">
        <v>11099</v>
      </c>
      <c r="I725" s="13" t="s">
        <v>12959</v>
      </c>
      <c r="J725" s="13"/>
      <c r="K725" s="13" t="s">
        <v>5442</v>
      </c>
      <c r="L725" s="13" t="s">
        <v>5443</v>
      </c>
    </row>
    <row r="726" customFormat="false" ht="102.2" hidden="false" customHeight="false" outlineLevel="0" collapsed="false">
      <c r="A726" s="13" t="s">
        <v>3</v>
      </c>
      <c r="B726" s="13" t="s">
        <v>4108</v>
      </c>
      <c r="C726" s="13" t="n">
        <v>440</v>
      </c>
      <c r="D726" s="13" t="s">
        <v>5447</v>
      </c>
      <c r="E726" s="13" t="s">
        <v>12960</v>
      </c>
      <c r="F726" s="13" t="s">
        <v>12961</v>
      </c>
      <c r="G726" s="13" t="s">
        <v>11098</v>
      </c>
      <c r="H726" s="13" t="s">
        <v>11099</v>
      </c>
      <c r="I726" s="13" t="s">
        <v>12962</v>
      </c>
      <c r="J726" s="13"/>
      <c r="K726" s="13" t="s">
        <v>5451</v>
      </c>
      <c r="L726" s="13" t="s">
        <v>5452</v>
      </c>
    </row>
    <row r="727" customFormat="false" ht="23.85" hidden="false" customHeight="false" outlineLevel="0" collapsed="false">
      <c r="A727" s="13" t="s">
        <v>3</v>
      </c>
      <c r="B727" s="13" t="s">
        <v>4108</v>
      </c>
      <c r="C727" s="13" t="n">
        <v>440</v>
      </c>
      <c r="D727" s="13" t="s">
        <v>5460</v>
      </c>
      <c r="E727" s="13" t="s">
        <v>12963</v>
      </c>
      <c r="F727" s="13" t="s">
        <v>12964</v>
      </c>
      <c r="G727" s="13" t="s">
        <v>11098</v>
      </c>
      <c r="H727" s="13" t="s">
        <v>11099</v>
      </c>
      <c r="I727" s="13" t="s">
        <v>5461</v>
      </c>
      <c r="J727" s="13"/>
      <c r="K727" s="13" t="s">
        <v>5464</v>
      </c>
      <c r="L727" s="13" t="s">
        <v>5465</v>
      </c>
    </row>
    <row r="728" customFormat="false" ht="35.05" hidden="false" customHeight="false" outlineLevel="0" collapsed="false">
      <c r="A728" s="13" t="s">
        <v>3</v>
      </c>
      <c r="B728" s="13" t="s">
        <v>4108</v>
      </c>
      <c r="C728" s="13" t="n">
        <v>440</v>
      </c>
      <c r="D728" s="13" t="s">
        <v>5466</v>
      </c>
      <c r="E728" s="13" t="s">
        <v>12965</v>
      </c>
      <c r="F728" s="13" t="s">
        <v>12966</v>
      </c>
      <c r="G728" s="13" t="s">
        <v>11098</v>
      </c>
      <c r="H728" s="13" t="s">
        <v>11099</v>
      </c>
      <c r="I728" s="13" t="s">
        <v>5467</v>
      </c>
      <c r="J728" s="13"/>
      <c r="K728" s="13" t="s">
        <v>5471</v>
      </c>
      <c r="L728" s="13" t="s">
        <v>5472</v>
      </c>
    </row>
    <row r="729" customFormat="false" ht="23.85" hidden="false" customHeight="false" outlineLevel="0" collapsed="false">
      <c r="A729" s="13" t="s">
        <v>3</v>
      </c>
      <c r="B729" s="13" t="s">
        <v>4108</v>
      </c>
      <c r="C729" s="13" t="n">
        <v>440</v>
      </c>
      <c r="D729" s="13" t="s">
        <v>5473</v>
      </c>
      <c r="E729" s="13" t="s">
        <v>12967</v>
      </c>
      <c r="F729" s="13" t="s">
        <v>12968</v>
      </c>
      <c r="G729" s="13" t="s">
        <v>11098</v>
      </c>
      <c r="H729" s="13" t="s">
        <v>11099</v>
      </c>
      <c r="I729" s="13" t="s">
        <v>12969</v>
      </c>
      <c r="J729" s="13"/>
      <c r="K729" s="13" t="s">
        <v>5476</v>
      </c>
      <c r="L729" s="13" t="s">
        <v>5477</v>
      </c>
    </row>
    <row r="730" customFormat="false" ht="46.25" hidden="false" customHeight="false" outlineLevel="0" collapsed="false">
      <c r="A730" s="13" t="s">
        <v>3</v>
      </c>
      <c r="B730" s="13" t="s">
        <v>4108</v>
      </c>
      <c r="C730" s="13" t="n">
        <v>440</v>
      </c>
      <c r="D730" s="13" t="s">
        <v>5481</v>
      </c>
      <c r="E730" s="13" t="s">
        <v>12970</v>
      </c>
      <c r="F730" s="13" t="s">
        <v>12971</v>
      </c>
      <c r="G730" s="13" t="s">
        <v>11098</v>
      </c>
      <c r="H730" s="13" t="s">
        <v>11099</v>
      </c>
      <c r="I730" s="13" t="s">
        <v>12972</v>
      </c>
      <c r="J730" s="13"/>
      <c r="K730" s="13" t="s">
        <v>5486</v>
      </c>
      <c r="L730" s="13" t="s">
        <v>5487</v>
      </c>
    </row>
    <row r="731" customFormat="false" ht="23.85" hidden="false" customHeight="false" outlineLevel="0" collapsed="false">
      <c r="A731" s="13" t="s">
        <v>3</v>
      </c>
      <c r="B731" s="13" t="s">
        <v>4108</v>
      </c>
      <c r="C731" s="13" t="n">
        <v>440</v>
      </c>
      <c r="D731" s="13" t="s">
        <v>5490</v>
      </c>
      <c r="E731" s="13" t="s">
        <v>12973</v>
      </c>
      <c r="F731" s="13" t="s">
        <v>12974</v>
      </c>
      <c r="G731" s="13" t="s">
        <v>11098</v>
      </c>
      <c r="H731" s="13" t="s">
        <v>11099</v>
      </c>
      <c r="I731" s="13" t="s">
        <v>12975</v>
      </c>
      <c r="J731" s="13"/>
      <c r="K731" s="13" t="s">
        <v>5493</v>
      </c>
      <c r="L731" s="13" t="s">
        <v>5494</v>
      </c>
    </row>
    <row r="732" customFormat="false" ht="35.05" hidden="false" customHeight="false" outlineLevel="0" collapsed="false">
      <c r="A732" s="13" t="s">
        <v>3</v>
      </c>
      <c r="B732" s="13" t="s">
        <v>4108</v>
      </c>
      <c r="C732" s="13" t="n">
        <v>440</v>
      </c>
      <c r="D732" s="13" t="s">
        <v>5498</v>
      </c>
      <c r="E732" s="13" t="s">
        <v>12976</v>
      </c>
      <c r="F732" s="13" t="s">
        <v>12977</v>
      </c>
      <c r="G732" s="13" t="s">
        <v>11098</v>
      </c>
      <c r="H732" s="13" t="s">
        <v>11099</v>
      </c>
      <c r="I732" s="13" t="s">
        <v>12978</v>
      </c>
      <c r="J732" s="13"/>
      <c r="K732" s="13" t="s">
        <v>5502</v>
      </c>
      <c r="L732" s="13" t="s">
        <v>5503</v>
      </c>
    </row>
    <row r="733" customFormat="false" ht="225.35" hidden="false" customHeight="false" outlineLevel="0" collapsed="false">
      <c r="A733" s="13" t="s">
        <v>3</v>
      </c>
      <c r="B733" s="13" t="s">
        <v>4108</v>
      </c>
      <c r="C733" s="13" t="n">
        <v>440</v>
      </c>
      <c r="D733" s="13" t="s">
        <v>5507</v>
      </c>
      <c r="E733" s="13" t="s">
        <v>12979</v>
      </c>
      <c r="F733" s="13" t="s">
        <v>12980</v>
      </c>
      <c r="G733" s="13" t="s">
        <v>11098</v>
      </c>
      <c r="H733" s="13" t="s">
        <v>11099</v>
      </c>
      <c r="I733" s="13" t="s">
        <v>5508</v>
      </c>
      <c r="J733" s="13"/>
      <c r="K733" s="13" t="s">
        <v>5511</v>
      </c>
      <c r="L733" s="13" t="s">
        <v>5512</v>
      </c>
    </row>
    <row r="734" customFormat="false" ht="225.35" hidden="false" customHeight="false" outlineLevel="0" collapsed="false">
      <c r="A734" s="13" t="s">
        <v>3</v>
      </c>
      <c r="B734" s="13" t="s">
        <v>4108</v>
      </c>
      <c r="C734" s="13" t="n">
        <v>440</v>
      </c>
      <c r="D734" s="13" t="s">
        <v>5507</v>
      </c>
      <c r="E734" s="13" t="s">
        <v>12981</v>
      </c>
      <c r="F734" s="13" t="s">
        <v>12982</v>
      </c>
      <c r="G734" s="13" t="s">
        <v>11098</v>
      </c>
      <c r="H734" s="13" t="s">
        <v>11099</v>
      </c>
      <c r="I734" s="13" t="s">
        <v>5513</v>
      </c>
      <c r="J734" s="13"/>
      <c r="K734" s="13" t="s">
        <v>5511</v>
      </c>
      <c r="L734" s="13" t="s">
        <v>5512</v>
      </c>
    </row>
    <row r="735" customFormat="false" ht="225.35" hidden="false" customHeight="false" outlineLevel="0" collapsed="false">
      <c r="A735" s="13" t="s">
        <v>3</v>
      </c>
      <c r="B735" s="13" t="s">
        <v>4108</v>
      </c>
      <c r="C735" s="13" t="n">
        <v>440</v>
      </c>
      <c r="D735" s="13" t="s">
        <v>5507</v>
      </c>
      <c r="E735" s="13" t="s">
        <v>12983</v>
      </c>
      <c r="F735" s="13" t="s">
        <v>12984</v>
      </c>
      <c r="G735" s="13" t="s">
        <v>11128</v>
      </c>
      <c r="H735" s="13" t="s">
        <v>11099</v>
      </c>
      <c r="I735" s="13"/>
      <c r="J735" s="13" t="s">
        <v>12985</v>
      </c>
      <c r="K735" s="13" t="s">
        <v>5511</v>
      </c>
      <c r="L735" s="13" t="s">
        <v>5512</v>
      </c>
    </row>
    <row r="736" customFormat="false" ht="225.35" hidden="false" customHeight="false" outlineLevel="0" collapsed="false">
      <c r="A736" s="13" t="s">
        <v>3</v>
      </c>
      <c r="B736" s="13" t="s">
        <v>4108</v>
      </c>
      <c r="C736" s="13" t="n">
        <v>440</v>
      </c>
      <c r="D736" s="13" t="s">
        <v>5507</v>
      </c>
      <c r="E736" s="13" t="s">
        <v>12986</v>
      </c>
      <c r="F736" s="13" t="s">
        <v>12987</v>
      </c>
      <c r="G736" s="13" t="s">
        <v>11098</v>
      </c>
      <c r="H736" s="13" t="s">
        <v>11099</v>
      </c>
      <c r="I736" s="13" t="s">
        <v>5516</v>
      </c>
      <c r="J736" s="13"/>
      <c r="K736" s="13" t="s">
        <v>5511</v>
      </c>
      <c r="L736" s="13" t="s">
        <v>5512</v>
      </c>
    </row>
    <row r="737" customFormat="false" ht="225.35" hidden="false" customHeight="false" outlineLevel="0" collapsed="false">
      <c r="A737" s="13" t="s">
        <v>3</v>
      </c>
      <c r="B737" s="13" t="s">
        <v>4108</v>
      </c>
      <c r="C737" s="13" t="n">
        <v>440</v>
      </c>
      <c r="D737" s="13" t="s">
        <v>5507</v>
      </c>
      <c r="E737" s="13" t="s">
        <v>12988</v>
      </c>
      <c r="F737" s="13" t="s">
        <v>12989</v>
      </c>
      <c r="G737" s="13" t="s">
        <v>11098</v>
      </c>
      <c r="H737" s="13" t="s">
        <v>11099</v>
      </c>
      <c r="I737" s="13" t="s">
        <v>12990</v>
      </c>
      <c r="J737" s="13"/>
      <c r="K737" s="13" t="s">
        <v>5511</v>
      </c>
      <c r="L737" s="13" t="s">
        <v>5512</v>
      </c>
    </row>
    <row r="738" customFormat="false" ht="225.35" hidden="false" customHeight="false" outlineLevel="0" collapsed="false">
      <c r="A738" s="13" t="s">
        <v>3</v>
      </c>
      <c r="B738" s="13" t="s">
        <v>4108</v>
      </c>
      <c r="C738" s="13" t="n">
        <v>440</v>
      </c>
      <c r="D738" s="13" t="s">
        <v>5507</v>
      </c>
      <c r="E738" s="13" t="s">
        <v>12991</v>
      </c>
      <c r="F738" s="13" t="s">
        <v>12992</v>
      </c>
      <c r="G738" s="13" t="s">
        <v>11098</v>
      </c>
      <c r="H738" s="13" t="s">
        <v>11099</v>
      </c>
      <c r="I738" s="13" t="s">
        <v>5527</v>
      </c>
      <c r="J738" s="13"/>
      <c r="K738" s="13" t="s">
        <v>5511</v>
      </c>
      <c r="L738" s="13" t="s">
        <v>5512</v>
      </c>
    </row>
    <row r="739" customFormat="false" ht="57.45" hidden="false" customHeight="false" outlineLevel="0" collapsed="false">
      <c r="A739" s="13" t="s">
        <v>3</v>
      </c>
      <c r="B739" s="13" t="s">
        <v>4108</v>
      </c>
      <c r="C739" s="13" t="n">
        <v>445</v>
      </c>
      <c r="D739" s="13" t="s">
        <v>5530</v>
      </c>
      <c r="E739" s="13" t="s">
        <v>12993</v>
      </c>
      <c r="F739" s="13" t="s">
        <v>12994</v>
      </c>
      <c r="G739" s="13" t="s">
        <v>11098</v>
      </c>
      <c r="H739" s="13" t="s">
        <v>11099</v>
      </c>
      <c r="I739" s="13" t="s">
        <v>12995</v>
      </c>
      <c r="J739" s="13"/>
      <c r="K739" s="13" t="s">
        <v>5535</v>
      </c>
      <c r="L739" s="13" t="s">
        <v>5536</v>
      </c>
    </row>
    <row r="740" customFormat="false" ht="68.65" hidden="false" customHeight="false" outlineLevel="0" collapsed="false">
      <c r="A740" s="13" t="s">
        <v>3</v>
      </c>
      <c r="B740" s="13" t="s">
        <v>4108</v>
      </c>
      <c r="C740" s="13" t="n">
        <v>445</v>
      </c>
      <c r="D740" s="13" t="s">
        <v>5540</v>
      </c>
      <c r="E740" s="13" t="s">
        <v>12996</v>
      </c>
      <c r="F740" s="13" t="s">
        <v>12997</v>
      </c>
      <c r="G740" s="13" t="s">
        <v>11098</v>
      </c>
      <c r="H740" s="13" t="s">
        <v>11099</v>
      </c>
      <c r="I740" s="13" t="s">
        <v>12998</v>
      </c>
      <c r="J740" s="13"/>
      <c r="K740" s="13" t="s">
        <v>5543</v>
      </c>
      <c r="L740" s="13" t="s">
        <v>5544</v>
      </c>
    </row>
    <row r="741" customFormat="false" ht="68.65" hidden="false" customHeight="false" outlineLevel="0" collapsed="false">
      <c r="A741" s="13" t="s">
        <v>3</v>
      </c>
      <c r="B741" s="13" t="s">
        <v>4108</v>
      </c>
      <c r="C741" s="13" t="n">
        <v>445</v>
      </c>
      <c r="D741" s="13" t="s">
        <v>5549</v>
      </c>
      <c r="E741" s="13" t="s">
        <v>12999</v>
      </c>
      <c r="F741" s="13" t="s">
        <v>13000</v>
      </c>
      <c r="G741" s="13" t="s">
        <v>11098</v>
      </c>
      <c r="H741" s="13" t="s">
        <v>11099</v>
      </c>
      <c r="I741" s="13" t="s">
        <v>13001</v>
      </c>
      <c r="J741" s="13"/>
      <c r="K741" s="13" t="s">
        <v>5552</v>
      </c>
      <c r="L741" s="13" t="s">
        <v>5553</v>
      </c>
    </row>
    <row r="742" customFormat="false" ht="23.85" hidden="false" customHeight="false" outlineLevel="0" collapsed="false">
      <c r="A742" s="13" t="s">
        <v>3</v>
      </c>
      <c r="B742" s="13" t="s">
        <v>4108</v>
      </c>
      <c r="C742" s="13" t="n">
        <v>445</v>
      </c>
      <c r="D742" s="13" t="s">
        <v>5555</v>
      </c>
      <c r="E742" s="13" t="s">
        <v>13002</v>
      </c>
      <c r="F742" s="13" t="s">
        <v>13003</v>
      </c>
      <c r="G742" s="13" t="s">
        <v>11098</v>
      </c>
      <c r="H742" s="13" t="s">
        <v>11099</v>
      </c>
      <c r="I742" s="13" t="s">
        <v>5556</v>
      </c>
      <c r="J742" s="13"/>
      <c r="K742" s="13" t="s">
        <v>5560</v>
      </c>
      <c r="L742" s="13" t="s">
        <v>5561</v>
      </c>
    </row>
    <row r="743" customFormat="false" ht="23.85" hidden="false" customHeight="false" outlineLevel="0" collapsed="false">
      <c r="A743" s="13" t="s">
        <v>3</v>
      </c>
      <c r="B743" s="13" t="s">
        <v>4108</v>
      </c>
      <c r="C743" s="13" t="n">
        <v>445</v>
      </c>
      <c r="D743" s="13" t="s">
        <v>5562</v>
      </c>
      <c r="E743" s="13" t="s">
        <v>13004</v>
      </c>
      <c r="F743" s="13" t="s">
        <v>13005</v>
      </c>
      <c r="G743" s="13" t="s">
        <v>11098</v>
      </c>
      <c r="H743" s="13" t="s">
        <v>11099</v>
      </c>
      <c r="I743" s="13" t="s">
        <v>13006</v>
      </c>
      <c r="J743" s="13"/>
      <c r="K743" s="13" t="s">
        <v>5566</v>
      </c>
      <c r="L743" s="13" t="s">
        <v>5567</v>
      </c>
    </row>
    <row r="744" customFormat="false" ht="147" hidden="false" customHeight="false" outlineLevel="0" collapsed="false">
      <c r="A744" s="13" t="s">
        <v>3</v>
      </c>
      <c r="B744" s="13" t="s">
        <v>4108</v>
      </c>
      <c r="C744" s="13" t="n">
        <v>445</v>
      </c>
      <c r="D744" s="13" t="s">
        <v>5570</v>
      </c>
      <c r="E744" s="13" t="s">
        <v>13007</v>
      </c>
      <c r="F744" s="13" t="s">
        <v>13008</v>
      </c>
      <c r="G744" s="13" t="s">
        <v>11315</v>
      </c>
      <c r="H744" s="13" t="s">
        <v>11099</v>
      </c>
      <c r="I744" s="13" t="s">
        <v>13009</v>
      </c>
      <c r="J744" s="13" t="s">
        <v>13010</v>
      </c>
      <c r="K744" s="13" t="s">
        <v>5573</v>
      </c>
      <c r="L744" s="13" t="s">
        <v>5574</v>
      </c>
    </row>
    <row r="745" customFormat="false" ht="79.85" hidden="false" customHeight="false" outlineLevel="0" collapsed="false">
      <c r="A745" s="13" t="s">
        <v>3</v>
      </c>
      <c r="B745" s="13" t="s">
        <v>4108</v>
      </c>
      <c r="C745" s="13" t="n">
        <v>476</v>
      </c>
      <c r="D745" s="13" t="s">
        <v>5603</v>
      </c>
      <c r="E745" s="13" t="s">
        <v>13011</v>
      </c>
      <c r="F745" s="13" t="s">
        <v>13012</v>
      </c>
      <c r="G745" s="13" t="s">
        <v>11098</v>
      </c>
      <c r="H745" s="13" t="s">
        <v>11099</v>
      </c>
      <c r="I745" s="13" t="s">
        <v>13013</v>
      </c>
      <c r="J745" s="13"/>
      <c r="K745" s="13" t="s">
        <v>5607</v>
      </c>
      <c r="L745" s="13" t="s">
        <v>5608</v>
      </c>
    </row>
    <row r="746" customFormat="false" ht="79.85" hidden="false" customHeight="false" outlineLevel="0" collapsed="false">
      <c r="A746" s="13" t="s">
        <v>3</v>
      </c>
      <c r="B746" s="13" t="s">
        <v>4108</v>
      </c>
      <c r="C746" s="13" t="n">
        <v>476</v>
      </c>
      <c r="D746" s="13" t="s">
        <v>5603</v>
      </c>
      <c r="E746" s="13" t="s">
        <v>13014</v>
      </c>
      <c r="F746" s="13" t="s">
        <v>13015</v>
      </c>
      <c r="G746" s="13" t="s">
        <v>11098</v>
      </c>
      <c r="H746" s="13" t="s">
        <v>11099</v>
      </c>
      <c r="I746" s="13" t="s">
        <v>5609</v>
      </c>
      <c r="J746" s="13"/>
      <c r="K746" s="13" t="s">
        <v>5607</v>
      </c>
      <c r="L746" s="13" t="s">
        <v>5608</v>
      </c>
    </row>
    <row r="747" customFormat="false" ht="79.85" hidden="false" customHeight="false" outlineLevel="0" collapsed="false">
      <c r="A747" s="13" t="s">
        <v>3</v>
      </c>
      <c r="B747" s="13" t="s">
        <v>4108</v>
      </c>
      <c r="C747" s="13" t="n">
        <v>476</v>
      </c>
      <c r="D747" s="13" t="s">
        <v>5603</v>
      </c>
      <c r="E747" s="13" t="s">
        <v>13016</v>
      </c>
      <c r="F747" s="13" t="s">
        <v>13017</v>
      </c>
      <c r="G747" s="13" t="s">
        <v>11098</v>
      </c>
      <c r="H747" s="13" t="s">
        <v>11099</v>
      </c>
      <c r="I747" s="13" t="s">
        <v>5615</v>
      </c>
      <c r="J747" s="13" t="s">
        <v>13018</v>
      </c>
      <c r="K747" s="13" t="s">
        <v>5607</v>
      </c>
      <c r="L747" s="13" t="s">
        <v>5608</v>
      </c>
    </row>
    <row r="748" customFormat="false" ht="46.25" hidden="false" customHeight="false" outlineLevel="0" collapsed="false">
      <c r="A748" s="13" t="s">
        <v>3</v>
      </c>
      <c r="B748" s="13" t="s">
        <v>4108</v>
      </c>
      <c r="C748" s="13" t="n">
        <v>476</v>
      </c>
      <c r="D748" s="13" t="s">
        <v>5614</v>
      </c>
      <c r="E748" s="13" t="s">
        <v>13019</v>
      </c>
      <c r="F748" s="13" t="s">
        <v>13020</v>
      </c>
      <c r="G748" s="13" t="s">
        <v>11098</v>
      </c>
      <c r="H748" s="13" t="s">
        <v>11099</v>
      </c>
      <c r="I748" s="13" t="s">
        <v>5615</v>
      </c>
      <c r="J748" s="13"/>
      <c r="K748" s="13" t="s">
        <v>5619</v>
      </c>
      <c r="L748" s="13" t="s">
        <v>5620</v>
      </c>
    </row>
    <row r="749" customFormat="false" ht="35.05" hidden="false" customHeight="false" outlineLevel="0" collapsed="false">
      <c r="A749" s="13" t="s">
        <v>3</v>
      </c>
      <c r="B749" s="13" t="s">
        <v>4108</v>
      </c>
      <c r="C749" s="13" t="n">
        <v>476</v>
      </c>
      <c r="D749" s="13" t="s">
        <v>5621</v>
      </c>
      <c r="E749" s="13" t="s">
        <v>13021</v>
      </c>
      <c r="F749" s="13" t="s">
        <v>13022</v>
      </c>
      <c r="G749" s="13" t="s">
        <v>11098</v>
      </c>
      <c r="H749" s="13" t="s">
        <v>11099</v>
      </c>
      <c r="I749" s="13" t="s">
        <v>13023</v>
      </c>
      <c r="J749" s="13"/>
      <c r="K749" s="13" t="s">
        <v>5625</v>
      </c>
      <c r="L749" s="13" t="s">
        <v>5626</v>
      </c>
    </row>
    <row r="750" customFormat="false" ht="57.45" hidden="false" customHeight="false" outlineLevel="0" collapsed="false">
      <c r="A750" s="13" t="s">
        <v>3</v>
      </c>
      <c r="B750" s="13" t="s">
        <v>4108</v>
      </c>
      <c r="C750" s="13" t="n">
        <v>476</v>
      </c>
      <c r="D750" s="13" t="s">
        <v>5629</v>
      </c>
      <c r="E750" s="13" t="s">
        <v>13024</v>
      </c>
      <c r="F750" s="13" t="s">
        <v>13025</v>
      </c>
      <c r="G750" s="13" t="s">
        <v>11315</v>
      </c>
      <c r="H750" s="13" t="s">
        <v>11099</v>
      </c>
      <c r="I750" s="13" t="s">
        <v>13026</v>
      </c>
      <c r="J750" s="13" t="s">
        <v>13027</v>
      </c>
      <c r="K750" s="13" t="s">
        <v>5632</v>
      </c>
      <c r="L750" s="13" t="s">
        <v>5633</v>
      </c>
    </row>
    <row r="751" customFormat="false" ht="91" hidden="false" customHeight="false" outlineLevel="0" collapsed="false">
      <c r="A751" s="13" t="s">
        <v>3</v>
      </c>
      <c r="B751" s="13" t="s">
        <v>4108</v>
      </c>
      <c r="C751" s="13" t="n">
        <v>476</v>
      </c>
      <c r="D751" s="13" t="s">
        <v>5636</v>
      </c>
      <c r="E751" s="13" t="s">
        <v>13028</v>
      </c>
      <c r="F751" s="13" t="s">
        <v>13029</v>
      </c>
      <c r="G751" s="13" t="s">
        <v>11315</v>
      </c>
      <c r="H751" s="13" t="s">
        <v>11099</v>
      </c>
      <c r="I751" s="13" t="s">
        <v>13030</v>
      </c>
      <c r="J751" s="13" t="s">
        <v>13031</v>
      </c>
      <c r="K751" s="13" t="s">
        <v>5639</v>
      </c>
      <c r="L751" s="13" t="s">
        <v>5640</v>
      </c>
    </row>
    <row r="752" customFormat="false" ht="147" hidden="false" customHeight="false" outlineLevel="0" collapsed="false">
      <c r="A752" s="13" t="s">
        <v>3</v>
      </c>
      <c r="B752" s="13" t="s">
        <v>4108</v>
      </c>
      <c r="C752" s="13" t="n">
        <v>476</v>
      </c>
      <c r="D752" s="13" t="s">
        <v>5646</v>
      </c>
      <c r="E752" s="13" t="s">
        <v>13032</v>
      </c>
      <c r="F752" s="13" t="s">
        <v>13033</v>
      </c>
      <c r="G752" s="13" t="s">
        <v>11315</v>
      </c>
      <c r="H752" s="13" t="s">
        <v>11099</v>
      </c>
      <c r="I752" s="13" t="s">
        <v>13034</v>
      </c>
      <c r="J752" s="13" t="s">
        <v>13035</v>
      </c>
      <c r="K752" s="13" t="s">
        <v>5649</v>
      </c>
      <c r="L752" s="13" t="s">
        <v>5650</v>
      </c>
    </row>
    <row r="753" customFormat="false" ht="68.65" hidden="false" customHeight="false" outlineLevel="0" collapsed="false">
      <c r="A753" s="13" t="s">
        <v>3</v>
      </c>
      <c r="B753" s="13" t="s">
        <v>4108</v>
      </c>
      <c r="C753" s="13" t="n">
        <v>476</v>
      </c>
      <c r="D753" s="13" t="s">
        <v>5657</v>
      </c>
      <c r="E753" s="13" t="s">
        <v>13036</v>
      </c>
      <c r="F753" s="13" t="s">
        <v>13037</v>
      </c>
      <c r="G753" s="13" t="s">
        <v>11315</v>
      </c>
      <c r="H753" s="13" t="s">
        <v>11099</v>
      </c>
      <c r="I753" s="13" t="s">
        <v>13038</v>
      </c>
      <c r="J753" s="13" t="s">
        <v>13039</v>
      </c>
      <c r="K753" s="13" t="s">
        <v>5660</v>
      </c>
      <c r="L753" s="13" t="s">
        <v>5661</v>
      </c>
    </row>
    <row r="754" customFormat="false" ht="113.4" hidden="false" customHeight="false" outlineLevel="0" collapsed="false">
      <c r="A754" s="13" t="s">
        <v>3</v>
      </c>
      <c r="B754" s="13" t="s">
        <v>4108</v>
      </c>
      <c r="C754" s="13" t="n">
        <v>483</v>
      </c>
      <c r="D754" s="13" t="s">
        <v>5664</v>
      </c>
      <c r="E754" s="13" t="s">
        <v>13040</v>
      </c>
      <c r="F754" s="13" t="s">
        <v>13041</v>
      </c>
      <c r="G754" s="13" t="s">
        <v>11098</v>
      </c>
      <c r="H754" s="13" t="s">
        <v>11099</v>
      </c>
      <c r="I754" s="13" t="s">
        <v>13042</v>
      </c>
      <c r="J754" s="13"/>
      <c r="K754" s="13" t="s">
        <v>5668</v>
      </c>
      <c r="L754" s="13" t="s">
        <v>5669</v>
      </c>
    </row>
    <row r="755" customFormat="false" ht="236.55" hidden="false" customHeight="false" outlineLevel="0" collapsed="false">
      <c r="A755" s="13" t="s">
        <v>3</v>
      </c>
      <c r="B755" s="13" t="s">
        <v>4108</v>
      </c>
      <c r="C755" s="13" t="n">
        <v>483</v>
      </c>
      <c r="D755" s="13" t="s">
        <v>5676</v>
      </c>
      <c r="E755" s="13" t="s">
        <v>13043</v>
      </c>
      <c r="F755" s="13" t="s">
        <v>13044</v>
      </c>
      <c r="G755" s="13" t="s">
        <v>11098</v>
      </c>
      <c r="H755" s="13" t="s">
        <v>11099</v>
      </c>
      <c r="I755" s="13" t="s">
        <v>13045</v>
      </c>
      <c r="J755" s="13"/>
      <c r="K755" s="13" t="s">
        <v>5680</v>
      </c>
      <c r="L755" s="13" t="s">
        <v>5681</v>
      </c>
    </row>
    <row r="756" customFormat="false" ht="236.55" hidden="false" customHeight="false" outlineLevel="0" collapsed="false">
      <c r="A756" s="13" t="s">
        <v>3</v>
      </c>
      <c r="B756" s="13" t="s">
        <v>4108</v>
      </c>
      <c r="C756" s="13" t="n">
        <v>483</v>
      </c>
      <c r="D756" s="13" t="s">
        <v>5676</v>
      </c>
      <c r="E756" s="13" t="s">
        <v>13046</v>
      </c>
      <c r="F756" s="13" t="s">
        <v>13047</v>
      </c>
      <c r="G756" s="13" t="s">
        <v>11098</v>
      </c>
      <c r="H756" s="13" t="s">
        <v>11099</v>
      </c>
      <c r="I756" s="13" t="s">
        <v>5685</v>
      </c>
      <c r="J756" s="13"/>
      <c r="K756" s="13" t="s">
        <v>5680</v>
      </c>
      <c r="L756" s="13" t="s">
        <v>5681</v>
      </c>
    </row>
    <row r="757" customFormat="false" ht="57.45" hidden="false" customHeight="false" outlineLevel="0" collapsed="false">
      <c r="A757" s="13" t="s">
        <v>3</v>
      </c>
      <c r="B757" s="13" t="s">
        <v>4108</v>
      </c>
      <c r="C757" s="13" t="n">
        <v>483</v>
      </c>
      <c r="D757" s="13" t="s">
        <v>5692</v>
      </c>
      <c r="E757" s="13" t="s">
        <v>13048</v>
      </c>
      <c r="F757" s="13" t="s">
        <v>13049</v>
      </c>
      <c r="G757" s="13" t="s">
        <v>11098</v>
      </c>
      <c r="H757" s="13" t="s">
        <v>11099</v>
      </c>
      <c r="I757" s="13" t="s">
        <v>13050</v>
      </c>
      <c r="J757" s="13"/>
      <c r="K757" s="13" t="s">
        <v>5696</v>
      </c>
      <c r="L757" s="13" t="s">
        <v>5697</v>
      </c>
    </row>
    <row r="758" customFormat="false" ht="79.85" hidden="false" customHeight="false" outlineLevel="0" collapsed="false">
      <c r="A758" s="13" t="s">
        <v>3</v>
      </c>
      <c r="B758" s="13" t="s">
        <v>4108</v>
      </c>
      <c r="C758" s="13" t="n">
        <v>483</v>
      </c>
      <c r="D758" s="13" t="s">
        <v>5701</v>
      </c>
      <c r="E758" s="13" t="s">
        <v>13051</v>
      </c>
      <c r="F758" s="13" t="s">
        <v>13052</v>
      </c>
      <c r="G758" s="13" t="s">
        <v>11098</v>
      </c>
      <c r="H758" s="13" t="s">
        <v>11099</v>
      </c>
      <c r="I758" s="13" t="s">
        <v>13053</v>
      </c>
      <c r="J758" s="13"/>
      <c r="K758" s="13" t="s">
        <v>5706</v>
      </c>
      <c r="L758" s="13" t="s">
        <v>5707</v>
      </c>
    </row>
    <row r="759" customFormat="false" ht="169.4" hidden="false" customHeight="false" outlineLevel="0" collapsed="false">
      <c r="A759" s="13" t="s">
        <v>4</v>
      </c>
      <c r="B759" s="13" t="s">
        <v>68</v>
      </c>
      <c r="C759" s="13" t="n">
        <v>68</v>
      </c>
      <c r="D759" s="13" t="s">
        <v>5714</v>
      </c>
      <c r="E759" s="13" t="s">
        <v>13054</v>
      </c>
      <c r="F759" s="13" t="s">
        <v>13055</v>
      </c>
      <c r="G759" s="13" t="s">
        <v>11098</v>
      </c>
      <c r="H759" s="13" t="s">
        <v>11099</v>
      </c>
      <c r="I759" s="13" t="s">
        <v>5715</v>
      </c>
      <c r="J759" s="13"/>
      <c r="K759" s="13" t="s">
        <v>5717</v>
      </c>
      <c r="L759" s="13" t="s">
        <v>5718</v>
      </c>
    </row>
    <row r="760" customFormat="false" ht="169.4" hidden="false" customHeight="false" outlineLevel="0" collapsed="false">
      <c r="A760" s="13" t="s">
        <v>4</v>
      </c>
      <c r="B760" s="13" t="s">
        <v>68</v>
      </c>
      <c r="C760" s="13" t="n">
        <v>68</v>
      </c>
      <c r="D760" s="13" t="s">
        <v>5714</v>
      </c>
      <c r="E760" s="13" t="s">
        <v>13056</v>
      </c>
      <c r="F760" s="13" t="s">
        <v>13057</v>
      </c>
      <c r="G760" s="13" t="s">
        <v>11315</v>
      </c>
      <c r="H760" s="13" t="s">
        <v>11099</v>
      </c>
      <c r="I760" s="13" t="s">
        <v>13058</v>
      </c>
      <c r="J760" s="13" t="s">
        <v>13059</v>
      </c>
      <c r="K760" s="13" t="s">
        <v>5717</v>
      </c>
      <c r="L760" s="13" t="s">
        <v>5718</v>
      </c>
    </row>
    <row r="761" customFormat="false" ht="169.4" hidden="false" customHeight="false" outlineLevel="0" collapsed="false">
      <c r="A761" s="13" t="s">
        <v>4</v>
      </c>
      <c r="B761" s="13" t="s">
        <v>68</v>
      </c>
      <c r="C761" s="13" t="n">
        <v>68</v>
      </c>
      <c r="D761" s="13" t="s">
        <v>5714</v>
      </c>
      <c r="E761" s="13" t="s">
        <v>13060</v>
      </c>
      <c r="F761" s="13" t="s">
        <v>13061</v>
      </c>
      <c r="G761" s="13" t="s">
        <v>11098</v>
      </c>
      <c r="H761" s="13" t="s">
        <v>11099</v>
      </c>
      <c r="I761" s="13" t="s">
        <v>5727</v>
      </c>
      <c r="J761" s="13"/>
      <c r="K761" s="13" t="s">
        <v>5717</v>
      </c>
      <c r="L761" s="13" t="s">
        <v>5718</v>
      </c>
    </row>
    <row r="762" customFormat="false" ht="337.3" hidden="false" customHeight="false" outlineLevel="0" collapsed="false">
      <c r="A762" s="13" t="s">
        <v>4</v>
      </c>
      <c r="B762" s="13" t="s">
        <v>68</v>
      </c>
      <c r="C762" s="13" t="n">
        <v>68</v>
      </c>
      <c r="D762" s="13" t="s">
        <v>5731</v>
      </c>
      <c r="E762" s="13" t="s">
        <v>13062</v>
      </c>
      <c r="F762" s="13" t="s">
        <v>13063</v>
      </c>
      <c r="G762" s="13" t="s">
        <v>11098</v>
      </c>
      <c r="H762" s="13" t="s">
        <v>11099</v>
      </c>
      <c r="I762" s="13" t="s">
        <v>13064</v>
      </c>
      <c r="J762" s="13"/>
      <c r="K762" s="13" t="s">
        <v>5735</v>
      </c>
      <c r="L762" s="13" t="s">
        <v>5736</v>
      </c>
    </row>
    <row r="763" customFormat="false" ht="337.3" hidden="false" customHeight="false" outlineLevel="0" collapsed="false">
      <c r="A763" s="13" t="s">
        <v>4</v>
      </c>
      <c r="B763" s="13" t="s">
        <v>68</v>
      </c>
      <c r="C763" s="13" t="n">
        <v>68</v>
      </c>
      <c r="D763" s="13" t="s">
        <v>5731</v>
      </c>
      <c r="E763" s="13" t="s">
        <v>13065</v>
      </c>
      <c r="F763" s="13" t="s">
        <v>13066</v>
      </c>
      <c r="G763" s="13" t="s">
        <v>11098</v>
      </c>
      <c r="H763" s="13" t="s">
        <v>11099</v>
      </c>
      <c r="I763" s="13" t="s">
        <v>5742</v>
      </c>
      <c r="J763" s="13"/>
      <c r="K763" s="13" t="s">
        <v>5735</v>
      </c>
      <c r="L763" s="13" t="s">
        <v>5736</v>
      </c>
    </row>
    <row r="764" customFormat="false" ht="337.3" hidden="false" customHeight="false" outlineLevel="0" collapsed="false">
      <c r="A764" s="13" t="s">
        <v>4</v>
      </c>
      <c r="B764" s="13" t="s">
        <v>68</v>
      </c>
      <c r="C764" s="13" t="n">
        <v>68</v>
      </c>
      <c r="D764" s="13" t="s">
        <v>5731</v>
      </c>
      <c r="E764" s="13" t="s">
        <v>13067</v>
      </c>
      <c r="F764" s="13" t="s">
        <v>13068</v>
      </c>
      <c r="G764" s="13" t="s">
        <v>11098</v>
      </c>
      <c r="H764" s="13" t="s">
        <v>11099</v>
      </c>
      <c r="I764" s="13" t="s">
        <v>13069</v>
      </c>
      <c r="J764" s="13"/>
      <c r="K764" s="13" t="s">
        <v>5735</v>
      </c>
      <c r="L764" s="13" t="s">
        <v>5736</v>
      </c>
    </row>
    <row r="765" customFormat="false" ht="337.3" hidden="false" customHeight="false" outlineLevel="0" collapsed="false">
      <c r="A765" s="13" t="s">
        <v>4</v>
      </c>
      <c r="B765" s="13" t="s">
        <v>68</v>
      </c>
      <c r="C765" s="13" t="n">
        <v>68</v>
      </c>
      <c r="D765" s="13" t="s">
        <v>5731</v>
      </c>
      <c r="E765" s="13" t="s">
        <v>13070</v>
      </c>
      <c r="F765" s="13" t="s">
        <v>13071</v>
      </c>
      <c r="G765" s="13" t="s">
        <v>11098</v>
      </c>
      <c r="H765" s="13" t="s">
        <v>11099</v>
      </c>
      <c r="I765" s="13" t="s">
        <v>5752</v>
      </c>
      <c r="J765" s="13"/>
      <c r="K765" s="13" t="s">
        <v>5735</v>
      </c>
      <c r="L765" s="13" t="s">
        <v>5736</v>
      </c>
    </row>
    <row r="766" customFormat="false" ht="46.25" hidden="false" customHeight="false" outlineLevel="0" collapsed="false">
      <c r="A766" s="13" t="s">
        <v>4</v>
      </c>
      <c r="B766" s="13" t="s">
        <v>68</v>
      </c>
      <c r="C766" s="13" t="n">
        <v>90</v>
      </c>
      <c r="D766" s="13" t="s">
        <v>5754</v>
      </c>
      <c r="E766" s="13" t="s">
        <v>13072</v>
      </c>
      <c r="F766" s="13" t="s">
        <v>13073</v>
      </c>
      <c r="G766" s="13" t="s">
        <v>11098</v>
      </c>
      <c r="H766" s="13" t="s">
        <v>11099</v>
      </c>
      <c r="I766" s="13" t="s">
        <v>5755</v>
      </c>
      <c r="J766" s="13"/>
      <c r="K766" s="13" t="s">
        <v>5758</v>
      </c>
      <c r="L766" s="13" t="s">
        <v>5759</v>
      </c>
    </row>
    <row r="767" customFormat="false" ht="46.25" hidden="false" customHeight="false" outlineLevel="0" collapsed="false">
      <c r="A767" s="13" t="s">
        <v>4</v>
      </c>
      <c r="B767" s="13" t="s">
        <v>68</v>
      </c>
      <c r="C767" s="13" t="n">
        <v>90</v>
      </c>
      <c r="D767" s="13" t="s">
        <v>5754</v>
      </c>
      <c r="E767" s="13" t="s">
        <v>13074</v>
      </c>
      <c r="F767" s="13" t="s">
        <v>13075</v>
      </c>
      <c r="G767" s="13" t="s">
        <v>11098</v>
      </c>
      <c r="H767" s="13" t="s">
        <v>11099</v>
      </c>
      <c r="I767" s="13" t="s">
        <v>5760</v>
      </c>
      <c r="J767" s="13"/>
      <c r="K767" s="13" t="s">
        <v>5758</v>
      </c>
      <c r="L767" s="13" t="s">
        <v>5759</v>
      </c>
    </row>
    <row r="768" customFormat="false" ht="68.65" hidden="false" customHeight="false" outlineLevel="0" collapsed="false">
      <c r="A768" s="13" t="s">
        <v>4</v>
      </c>
      <c r="B768" s="13" t="s">
        <v>68</v>
      </c>
      <c r="C768" s="13" t="n">
        <v>90</v>
      </c>
      <c r="D768" s="13" t="s">
        <v>5763</v>
      </c>
      <c r="E768" s="13" t="s">
        <v>13076</v>
      </c>
      <c r="F768" s="13" t="s">
        <v>13077</v>
      </c>
      <c r="G768" s="13" t="s">
        <v>11098</v>
      </c>
      <c r="H768" s="13" t="s">
        <v>11099</v>
      </c>
      <c r="I768" s="13" t="s">
        <v>13078</v>
      </c>
      <c r="J768" s="13"/>
      <c r="K768" s="13" t="s">
        <v>5767</v>
      </c>
      <c r="L768" s="13" t="s">
        <v>5768</v>
      </c>
    </row>
    <row r="769" customFormat="false" ht="68.65" hidden="false" customHeight="false" outlineLevel="0" collapsed="false">
      <c r="A769" s="13" t="s">
        <v>4</v>
      </c>
      <c r="B769" s="13" t="s">
        <v>68</v>
      </c>
      <c r="C769" s="13" t="n">
        <v>90</v>
      </c>
      <c r="D769" s="13" t="s">
        <v>5763</v>
      </c>
      <c r="E769" s="13" t="s">
        <v>13079</v>
      </c>
      <c r="F769" s="13" t="s">
        <v>13080</v>
      </c>
      <c r="G769" s="13" t="s">
        <v>11098</v>
      </c>
      <c r="H769" s="13" t="s">
        <v>11099</v>
      </c>
      <c r="I769" s="13" t="s">
        <v>5769</v>
      </c>
      <c r="J769" s="13"/>
      <c r="K769" s="13" t="s">
        <v>5767</v>
      </c>
      <c r="L769" s="13" t="s">
        <v>5768</v>
      </c>
    </row>
    <row r="770" customFormat="false" ht="35.05" hidden="false" customHeight="false" outlineLevel="0" collapsed="false">
      <c r="A770" s="13" t="s">
        <v>4</v>
      </c>
      <c r="B770" s="13" t="s">
        <v>68</v>
      </c>
      <c r="C770" s="13" t="n">
        <v>90</v>
      </c>
      <c r="D770" s="13" t="s">
        <v>5773</v>
      </c>
      <c r="E770" s="13" t="s">
        <v>13081</v>
      </c>
      <c r="F770" s="13" t="s">
        <v>13082</v>
      </c>
      <c r="G770" s="13" t="s">
        <v>11098</v>
      </c>
      <c r="H770" s="13" t="s">
        <v>11099</v>
      </c>
      <c r="I770" s="13" t="s">
        <v>5774</v>
      </c>
      <c r="J770" s="13"/>
      <c r="K770" s="13" t="s">
        <v>5778</v>
      </c>
      <c r="L770" s="13" t="s">
        <v>5779</v>
      </c>
    </row>
    <row r="771" customFormat="false" ht="57.45" hidden="false" customHeight="false" outlineLevel="0" collapsed="false">
      <c r="A771" s="13" t="s">
        <v>4</v>
      </c>
      <c r="B771" s="13" t="s">
        <v>68</v>
      </c>
      <c r="C771" s="13" t="n">
        <v>90</v>
      </c>
      <c r="D771" s="13" t="s">
        <v>5780</v>
      </c>
      <c r="E771" s="13" t="s">
        <v>13083</v>
      </c>
      <c r="F771" s="13" t="s">
        <v>13084</v>
      </c>
      <c r="G771" s="13" t="s">
        <v>11098</v>
      </c>
      <c r="H771" s="13" t="s">
        <v>11099</v>
      </c>
      <c r="I771" s="13" t="s">
        <v>5781</v>
      </c>
      <c r="J771" s="13"/>
      <c r="K771" s="13" t="s">
        <v>5783</v>
      </c>
      <c r="L771" s="13" t="s">
        <v>5784</v>
      </c>
    </row>
    <row r="772" customFormat="false" ht="46.25" hidden="false" customHeight="false" outlineLevel="0" collapsed="false">
      <c r="A772" s="13" t="s">
        <v>4</v>
      </c>
      <c r="B772" s="13" t="s">
        <v>68</v>
      </c>
      <c r="C772" s="13" t="n">
        <v>90</v>
      </c>
      <c r="D772" s="13" t="s">
        <v>5785</v>
      </c>
      <c r="E772" s="13" t="s">
        <v>13085</v>
      </c>
      <c r="F772" s="13" t="s">
        <v>13086</v>
      </c>
      <c r="G772" s="13" t="s">
        <v>11098</v>
      </c>
      <c r="H772" s="13" t="s">
        <v>11099</v>
      </c>
      <c r="I772" s="13" t="s">
        <v>5786</v>
      </c>
      <c r="J772" s="13"/>
      <c r="K772" s="13" t="s">
        <v>5788</v>
      </c>
      <c r="L772" s="13" t="s">
        <v>5789</v>
      </c>
    </row>
    <row r="773" customFormat="false" ht="23.85" hidden="false" customHeight="false" outlineLevel="0" collapsed="false">
      <c r="A773" s="13" t="s">
        <v>4</v>
      </c>
      <c r="B773" s="13" t="s">
        <v>68</v>
      </c>
      <c r="C773" s="13" t="n">
        <v>90</v>
      </c>
      <c r="D773" s="13" t="s">
        <v>5790</v>
      </c>
      <c r="E773" s="13" t="s">
        <v>13087</v>
      </c>
      <c r="F773" s="13" t="s">
        <v>13088</v>
      </c>
      <c r="G773" s="13" t="s">
        <v>11098</v>
      </c>
      <c r="H773" s="13" t="s">
        <v>11099</v>
      </c>
      <c r="I773" s="13" t="s">
        <v>5791</v>
      </c>
      <c r="J773" s="13"/>
      <c r="K773" s="13" t="s">
        <v>5793</v>
      </c>
      <c r="L773" s="13" t="s">
        <v>5794</v>
      </c>
    </row>
    <row r="774" customFormat="false" ht="23.85" hidden="false" customHeight="false" outlineLevel="0" collapsed="false">
      <c r="A774" s="13" t="s">
        <v>4</v>
      </c>
      <c r="B774" s="13" t="s">
        <v>68</v>
      </c>
      <c r="C774" s="13" t="n">
        <v>90</v>
      </c>
      <c r="D774" s="13" t="s">
        <v>5795</v>
      </c>
      <c r="E774" s="13" t="s">
        <v>13089</v>
      </c>
      <c r="F774" s="13" t="s">
        <v>13090</v>
      </c>
      <c r="G774" s="13" t="s">
        <v>11098</v>
      </c>
      <c r="H774" s="13" t="s">
        <v>11099</v>
      </c>
      <c r="I774" s="13" t="s">
        <v>5796</v>
      </c>
      <c r="J774" s="13"/>
      <c r="K774" s="13" t="s">
        <v>5799</v>
      </c>
      <c r="L774" s="13" t="s">
        <v>5800</v>
      </c>
    </row>
    <row r="775" customFormat="false" ht="35.05" hidden="false" customHeight="false" outlineLevel="0" collapsed="false">
      <c r="A775" s="13" t="s">
        <v>4</v>
      </c>
      <c r="B775" s="13" t="s">
        <v>68</v>
      </c>
      <c r="C775" s="13" t="n">
        <v>90</v>
      </c>
      <c r="D775" s="13" t="s">
        <v>5801</v>
      </c>
      <c r="E775" s="13" t="s">
        <v>13091</v>
      </c>
      <c r="F775" s="13" t="s">
        <v>13092</v>
      </c>
      <c r="G775" s="13" t="s">
        <v>11098</v>
      </c>
      <c r="H775" s="13" t="s">
        <v>11099</v>
      </c>
      <c r="I775" s="13" t="s">
        <v>5802</v>
      </c>
      <c r="J775" s="13"/>
      <c r="K775" s="13" t="s">
        <v>5804</v>
      </c>
      <c r="L775" s="13" t="s">
        <v>5805</v>
      </c>
    </row>
    <row r="776" customFormat="false" ht="35.05" hidden="false" customHeight="false" outlineLevel="0" collapsed="false">
      <c r="A776" s="13" t="s">
        <v>4</v>
      </c>
      <c r="B776" s="13" t="s">
        <v>68</v>
      </c>
      <c r="C776" s="13" t="n">
        <v>90</v>
      </c>
      <c r="D776" s="13" t="s">
        <v>5801</v>
      </c>
      <c r="E776" s="13" t="s">
        <v>13093</v>
      </c>
      <c r="F776" s="13" t="s">
        <v>13094</v>
      </c>
      <c r="G776" s="13" t="s">
        <v>11098</v>
      </c>
      <c r="H776" s="13" t="s">
        <v>11099</v>
      </c>
      <c r="I776" s="13" t="s">
        <v>5806</v>
      </c>
      <c r="J776" s="13"/>
      <c r="K776" s="13" t="s">
        <v>5804</v>
      </c>
      <c r="L776" s="13" t="s">
        <v>5805</v>
      </c>
    </row>
    <row r="777" customFormat="false" ht="57.45" hidden="false" customHeight="false" outlineLevel="0" collapsed="false">
      <c r="A777" s="13" t="s">
        <v>4</v>
      </c>
      <c r="B777" s="13" t="s">
        <v>68</v>
      </c>
      <c r="C777" s="13" t="n">
        <v>90</v>
      </c>
      <c r="D777" s="13" t="s">
        <v>5810</v>
      </c>
      <c r="E777" s="13" t="s">
        <v>13095</v>
      </c>
      <c r="F777" s="13" t="s">
        <v>13096</v>
      </c>
      <c r="G777" s="13" t="s">
        <v>11128</v>
      </c>
      <c r="H777" s="13" t="s">
        <v>11099</v>
      </c>
      <c r="I777" s="13"/>
      <c r="J777" s="13"/>
      <c r="K777" s="13" t="s">
        <v>5814</v>
      </c>
      <c r="L777" s="13" t="s">
        <v>5815</v>
      </c>
    </row>
    <row r="778" customFormat="false" ht="57.45" hidden="false" customHeight="false" outlineLevel="0" collapsed="false">
      <c r="A778" s="13" t="s">
        <v>4</v>
      </c>
      <c r="B778" s="13" t="s">
        <v>68</v>
      </c>
      <c r="C778" s="13" t="n">
        <v>90</v>
      </c>
      <c r="D778" s="13" t="s">
        <v>5810</v>
      </c>
      <c r="E778" s="13" t="s">
        <v>13097</v>
      </c>
      <c r="F778" s="13" t="s">
        <v>13098</v>
      </c>
      <c r="G778" s="13" t="s">
        <v>11098</v>
      </c>
      <c r="H778" s="13" t="s">
        <v>11099</v>
      </c>
      <c r="I778" s="13" t="s">
        <v>13099</v>
      </c>
      <c r="J778" s="13"/>
      <c r="K778" s="13" t="s">
        <v>5814</v>
      </c>
      <c r="L778" s="13" t="s">
        <v>5815</v>
      </c>
    </row>
    <row r="779" customFormat="false" ht="46.25" hidden="false" customHeight="false" outlineLevel="0" collapsed="false">
      <c r="A779" s="13" t="s">
        <v>4</v>
      </c>
      <c r="B779" s="13" t="s">
        <v>68</v>
      </c>
      <c r="C779" s="13" t="n">
        <v>90</v>
      </c>
      <c r="D779" s="13" t="s">
        <v>5820</v>
      </c>
      <c r="E779" s="13" t="s">
        <v>13100</v>
      </c>
      <c r="F779" s="13" t="s">
        <v>13101</v>
      </c>
      <c r="G779" s="13" t="s">
        <v>11098</v>
      </c>
      <c r="H779" s="13" t="s">
        <v>11099</v>
      </c>
      <c r="I779" s="13" t="s">
        <v>5821</v>
      </c>
      <c r="J779" s="13"/>
      <c r="K779" s="13" t="s">
        <v>5824</v>
      </c>
      <c r="L779" s="13" t="s">
        <v>5825</v>
      </c>
    </row>
    <row r="780" customFormat="false" ht="15" hidden="false" customHeight="false" outlineLevel="0" collapsed="false">
      <c r="A780" s="13" t="s">
        <v>4</v>
      </c>
      <c r="B780" s="13" t="s">
        <v>68</v>
      </c>
      <c r="C780" s="13" t="n">
        <v>90</v>
      </c>
      <c r="D780" s="13" t="s">
        <v>5826</v>
      </c>
      <c r="E780" s="13" t="s">
        <v>13102</v>
      </c>
      <c r="F780" s="13" t="s">
        <v>13103</v>
      </c>
      <c r="G780" s="13" t="s">
        <v>11098</v>
      </c>
      <c r="H780" s="13" t="s">
        <v>11099</v>
      </c>
      <c r="I780" s="13" t="s">
        <v>5827</v>
      </c>
      <c r="J780" s="13"/>
      <c r="K780" s="13" t="s">
        <v>5829</v>
      </c>
      <c r="L780" s="13" t="s">
        <v>5830</v>
      </c>
    </row>
    <row r="781" customFormat="false" ht="15" hidden="false" customHeight="false" outlineLevel="0" collapsed="false">
      <c r="A781" s="13" t="s">
        <v>4</v>
      </c>
      <c r="B781" s="13" t="s">
        <v>68</v>
      </c>
      <c r="C781" s="13" t="n">
        <v>90</v>
      </c>
      <c r="D781" s="13" t="s">
        <v>5831</v>
      </c>
      <c r="E781" s="13" t="s">
        <v>13104</v>
      </c>
      <c r="F781" s="13" t="s">
        <v>13105</v>
      </c>
      <c r="G781" s="13" t="s">
        <v>11098</v>
      </c>
      <c r="H781" s="13" t="s">
        <v>11099</v>
      </c>
      <c r="I781" s="13" t="s">
        <v>5832</v>
      </c>
      <c r="J781" s="13"/>
      <c r="K781" s="13" t="s">
        <v>5834</v>
      </c>
      <c r="L781" s="13" t="s">
        <v>5835</v>
      </c>
    </row>
    <row r="782" customFormat="false" ht="15" hidden="false" customHeight="false" outlineLevel="0" collapsed="false">
      <c r="A782" s="13" t="s">
        <v>4</v>
      </c>
      <c r="B782" s="13" t="s">
        <v>68</v>
      </c>
      <c r="C782" s="13" t="n">
        <v>90</v>
      </c>
      <c r="D782" s="13" t="s">
        <v>5836</v>
      </c>
      <c r="E782" s="13" t="s">
        <v>13106</v>
      </c>
      <c r="F782" s="13" t="s">
        <v>13107</v>
      </c>
      <c r="G782" s="13" t="s">
        <v>11098</v>
      </c>
      <c r="H782" s="13" t="s">
        <v>11099</v>
      </c>
      <c r="I782" s="13" t="s">
        <v>5837</v>
      </c>
      <c r="J782" s="13"/>
      <c r="K782" s="13" t="s">
        <v>5839</v>
      </c>
      <c r="L782" s="13" t="s">
        <v>5840</v>
      </c>
    </row>
    <row r="783" customFormat="false" ht="23.85" hidden="false" customHeight="false" outlineLevel="0" collapsed="false">
      <c r="A783" s="13" t="s">
        <v>4</v>
      </c>
      <c r="B783" s="13" t="s">
        <v>68</v>
      </c>
      <c r="C783" s="13" t="n">
        <v>90</v>
      </c>
      <c r="D783" s="13" t="s">
        <v>5841</v>
      </c>
      <c r="E783" s="13" t="s">
        <v>13108</v>
      </c>
      <c r="F783" s="13" t="s">
        <v>13109</v>
      </c>
      <c r="G783" s="13" t="s">
        <v>11098</v>
      </c>
      <c r="H783" s="13" t="s">
        <v>11099</v>
      </c>
      <c r="I783" s="13" t="s">
        <v>13110</v>
      </c>
      <c r="J783" s="13"/>
      <c r="K783" s="13" t="s">
        <v>5844</v>
      </c>
      <c r="L783" s="13" t="s">
        <v>5845</v>
      </c>
    </row>
    <row r="784" customFormat="false" ht="35.05" hidden="false" customHeight="false" outlineLevel="0" collapsed="false">
      <c r="A784" s="13" t="s">
        <v>4</v>
      </c>
      <c r="B784" s="13" t="s">
        <v>68</v>
      </c>
      <c r="C784" s="13" t="n">
        <v>90</v>
      </c>
      <c r="D784" s="13" t="s">
        <v>5848</v>
      </c>
      <c r="E784" s="13" t="s">
        <v>13111</v>
      </c>
      <c r="F784" s="13" t="s">
        <v>13112</v>
      </c>
      <c r="G784" s="13" t="s">
        <v>11098</v>
      </c>
      <c r="H784" s="13" t="s">
        <v>11099</v>
      </c>
      <c r="I784" s="13" t="s">
        <v>5849</v>
      </c>
      <c r="J784" s="13"/>
      <c r="K784" s="13" t="s">
        <v>5852</v>
      </c>
      <c r="L784" s="13" t="s">
        <v>5853</v>
      </c>
    </row>
    <row r="785" customFormat="false" ht="35.05" hidden="false" customHeight="false" outlineLevel="0" collapsed="false">
      <c r="A785" s="13" t="s">
        <v>4</v>
      </c>
      <c r="B785" s="13" t="s">
        <v>68</v>
      </c>
      <c r="C785" s="13" t="n">
        <v>90</v>
      </c>
      <c r="D785" s="13" t="s">
        <v>5854</v>
      </c>
      <c r="E785" s="13" t="s">
        <v>13113</v>
      </c>
      <c r="F785" s="13" t="s">
        <v>13114</v>
      </c>
      <c r="G785" s="13" t="s">
        <v>11137</v>
      </c>
      <c r="H785" s="13" t="s">
        <v>11099</v>
      </c>
      <c r="I785" s="13" t="s">
        <v>5855</v>
      </c>
      <c r="J785" s="13" t="s">
        <v>13115</v>
      </c>
      <c r="K785" s="13" t="s">
        <v>5861</v>
      </c>
      <c r="L785" s="13" t="s">
        <v>5862</v>
      </c>
    </row>
    <row r="786" customFormat="false" ht="35.05" hidden="false" customHeight="false" outlineLevel="0" collapsed="false">
      <c r="A786" s="13" t="s">
        <v>4</v>
      </c>
      <c r="B786" s="13" t="s">
        <v>68</v>
      </c>
      <c r="C786" s="13" t="n">
        <v>104</v>
      </c>
      <c r="D786" s="13" t="s">
        <v>5863</v>
      </c>
      <c r="E786" s="13" t="s">
        <v>13116</v>
      </c>
      <c r="F786" s="13" t="s">
        <v>13117</v>
      </c>
      <c r="G786" s="13" t="s">
        <v>11098</v>
      </c>
      <c r="H786" s="13" t="s">
        <v>11099</v>
      </c>
      <c r="I786" s="13" t="s">
        <v>5864</v>
      </c>
      <c r="J786" s="13"/>
      <c r="K786" s="13" t="s">
        <v>5868</v>
      </c>
      <c r="L786" s="13" t="s">
        <v>5869</v>
      </c>
    </row>
    <row r="787" customFormat="false" ht="35.05" hidden="false" customHeight="false" outlineLevel="0" collapsed="false">
      <c r="A787" s="13" t="s">
        <v>4</v>
      </c>
      <c r="B787" s="13" t="s">
        <v>68</v>
      </c>
      <c r="C787" s="13" t="n">
        <v>104</v>
      </c>
      <c r="D787" s="13" t="s">
        <v>5863</v>
      </c>
      <c r="E787" s="13" t="s">
        <v>13118</v>
      </c>
      <c r="F787" s="13" t="s">
        <v>13119</v>
      </c>
      <c r="G787" s="13" t="s">
        <v>11137</v>
      </c>
      <c r="H787" s="13" t="s">
        <v>11099</v>
      </c>
      <c r="I787" s="13" t="s">
        <v>5870</v>
      </c>
      <c r="J787" s="13"/>
      <c r="K787" s="13" t="s">
        <v>5868</v>
      </c>
      <c r="L787" s="13" t="s">
        <v>5869</v>
      </c>
    </row>
    <row r="788" customFormat="false" ht="35.05" hidden="false" customHeight="false" outlineLevel="0" collapsed="false">
      <c r="A788" s="13" t="s">
        <v>4</v>
      </c>
      <c r="B788" s="13" t="s">
        <v>68</v>
      </c>
      <c r="C788" s="13" t="n">
        <v>104</v>
      </c>
      <c r="D788" s="13" t="s">
        <v>5876</v>
      </c>
      <c r="E788" s="13" t="s">
        <v>13120</v>
      </c>
      <c r="F788" s="13" t="s">
        <v>13121</v>
      </c>
      <c r="G788" s="13" t="s">
        <v>11098</v>
      </c>
      <c r="H788" s="13" t="s">
        <v>11099</v>
      </c>
      <c r="I788" s="13" t="s">
        <v>13122</v>
      </c>
      <c r="J788" s="13"/>
      <c r="K788" s="13" t="s">
        <v>5880</v>
      </c>
      <c r="L788" s="13" t="s">
        <v>5881</v>
      </c>
    </row>
    <row r="789" customFormat="false" ht="23.85" hidden="false" customHeight="false" outlineLevel="0" collapsed="false">
      <c r="A789" s="13" t="s">
        <v>4</v>
      </c>
      <c r="B789" s="13" t="s">
        <v>68</v>
      </c>
      <c r="C789" s="13" t="n">
        <v>104</v>
      </c>
      <c r="D789" s="13" t="s">
        <v>5888</v>
      </c>
      <c r="E789" s="13" t="s">
        <v>13123</v>
      </c>
      <c r="F789" s="13" t="s">
        <v>13124</v>
      </c>
      <c r="G789" s="13" t="s">
        <v>11098</v>
      </c>
      <c r="H789" s="13" t="s">
        <v>11099</v>
      </c>
      <c r="I789" s="13" t="s">
        <v>13125</v>
      </c>
      <c r="J789" s="13"/>
      <c r="K789" s="13" t="s">
        <v>5893</v>
      </c>
      <c r="L789" s="13" t="s">
        <v>5894</v>
      </c>
    </row>
    <row r="790" customFormat="false" ht="46.25" hidden="false" customHeight="false" outlineLevel="0" collapsed="false">
      <c r="A790" s="13" t="s">
        <v>4</v>
      </c>
      <c r="B790" s="13" t="s">
        <v>68</v>
      </c>
      <c r="C790" s="13" t="n">
        <v>104</v>
      </c>
      <c r="D790" s="13" t="s">
        <v>5899</v>
      </c>
      <c r="E790" s="13" t="s">
        <v>13126</v>
      </c>
      <c r="F790" s="13" t="s">
        <v>13127</v>
      </c>
      <c r="G790" s="13" t="s">
        <v>11098</v>
      </c>
      <c r="H790" s="13" t="s">
        <v>11099</v>
      </c>
      <c r="I790" s="13" t="s">
        <v>13128</v>
      </c>
      <c r="J790" s="13"/>
      <c r="K790" s="13" t="s">
        <v>5903</v>
      </c>
      <c r="L790" s="13" t="s">
        <v>5904</v>
      </c>
    </row>
    <row r="791" customFormat="false" ht="57.45" hidden="false" customHeight="false" outlineLevel="0" collapsed="false">
      <c r="A791" s="13" t="s">
        <v>4</v>
      </c>
      <c r="B791" s="13" t="s">
        <v>68</v>
      </c>
      <c r="C791" s="13" t="n">
        <v>104</v>
      </c>
      <c r="D791" s="13" t="s">
        <v>5908</v>
      </c>
      <c r="E791" s="13" t="s">
        <v>13129</v>
      </c>
      <c r="F791" s="13" t="s">
        <v>13130</v>
      </c>
      <c r="G791" s="13" t="s">
        <v>11137</v>
      </c>
      <c r="H791" s="13" t="s">
        <v>11099</v>
      </c>
      <c r="I791" s="13" t="s">
        <v>5909</v>
      </c>
      <c r="J791" s="13"/>
      <c r="K791" s="13" t="s">
        <v>5914</v>
      </c>
      <c r="L791" s="13" t="s">
        <v>5915</v>
      </c>
    </row>
    <row r="792" customFormat="false" ht="57.45" hidden="false" customHeight="false" outlineLevel="0" collapsed="false">
      <c r="A792" s="13" t="s">
        <v>4</v>
      </c>
      <c r="B792" s="13" t="s">
        <v>68</v>
      </c>
      <c r="C792" s="13" t="n">
        <v>104</v>
      </c>
      <c r="D792" s="13" t="s">
        <v>5908</v>
      </c>
      <c r="E792" s="13" t="s">
        <v>13131</v>
      </c>
      <c r="F792" s="13" t="s">
        <v>13132</v>
      </c>
      <c r="G792" s="13" t="s">
        <v>11098</v>
      </c>
      <c r="H792" s="13" t="s">
        <v>11099</v>
      </c>
      <c r="I792" s="13" t="s">
        <v>5916</v>
      </c>
      <c r="J792" s="13"/>
      <c r="K792" s="13" t="s">
        <v>5914</v>
      </c>
      <c r="L792" s="13" t="s">
        <v>5915</v>
      </c>
    </row>
    <row r="793" customFormat="false" ht="15" hidden="false" customHeight="false" outlineLevel="0" collapsed="false">
      <c r="A793" s="13" t="s">
        <v>4</v>
      </c>
      <c r="B793" s="13" t="s">
        <v>68</v>
      </c>
      <c r="C793" s="13" t="n">
        <v>104</v>
      </c>
      <c r="D793" s="13" t="s">
        <v>5920</v>
      </c>
      <c r="E793" s="13" t="s">
        <v>13133</v>
      </c>
      <c r="F793" s="13" t="s">
        <v>13134</v>
      </c>
      <c r="G793" s="13" t="s">
        <v>11098</v>
      </c>
      <c r="H793" s="13" t="s">
        <v>11099</v>
      </c>
      <c r="I793" s="13" t="s">
        <v>5921</v>
      </c>
      <c r="J793" s="13"/>
      <c r="K793" s="13" t="s">
        <v>5924</v>
      </c>
      <c r="L793" s="13" t="s">
        <v>5925</v>
      </c>
    </row>
    <row r="794" customFormat="false" ht="23.85" hidden="false" customHeight="false" outlineLevel="0" collapsed="false">
      <c r="A794" s="13" t="s">
        <v>4</v>
      </c>
      <c r="B794" s="13" t="s">
        <v>68</v>
      </c>
      <c r="C794" s="13" t="n">
        <v>104</v>
      </c>
      <c r="D794" s="13" t="s">
        <v>5926</v>
      </c>
      <c r="E794" s="13" t="s">
        <v>13135</v>
      </c>
      <c r="F794" s="13" t="s">
        <v>13136</v>
      </c>
      <c r="G794" s="13" t="s">
        <v>11098</v>
      </c>
      <c r="H794" s="13" t="s">
        <v>11099</v>
      </c>
      <c r="I794" s="13" t="s">
        <v>5927</v>
      </c>
      <c r="J794" s="13"/>
      <c r="K794" s="13" t="s">
        <v>5929</v>
      </c>
      <c r="L794" s="13" t="s">
        <v>5930</v>
      </c>
    </row>
    <row r="795" customFormat="false" ht="35.05" hidden="false" customHeight="false" outlineLevel="0" collapsed="false">
      <c r="A795" s="13" t="s">
        <v>4</v>
      </c>
      <c r="B795" s="13" t="s">
        <v>68</v>
      </c>
      <c r="C795" s="13" t="n">
        <v>104</v>
      </c>
      <c r="D795" s="13" t="s">
        <v>5931</v>
      </c>
      <c r="E795" s="13" t="s">
        <v>13137</v>
      </c>
      <c r="F795" s="13" t="s">
        <v>13138</v>
      </c>
      <c r="G795" s="13" t="s">
        <v>11098</v>
      </c>
      <c r="H795" s="13" t="s">
        <v>11099</v>
      </c>
      <c r="I795" s="13" t="s">
        <v>13139</v>
      </c>
      <c r="J795" s="13"/>
      <c r="K795" s="13" t="s">
        <v>5935</v>
      </c>
      <c r="L795" s="13" t="s">
        <v>5936</v>
      </c>
    </row>
    <row r="796" customFormat="false" ht="35.05" hidden="false" customHeight="false" outlineLevel="0" collapsed="false">
      <c r="A796" s="13" t="s">
        <v>4</v>
      </c>
      <c r="B796" s="13" t="s">
        <v>68</v>
      </c>
      <c r="C796" s="13" t="n">
        <v>104</v>
      </c>
      <c r="D796" s="13" t="s">
        <v>5931</v>
      </c>
      <c r="E796" s="13" t="s">
        <v>13140</v>
      </c>
      <c r="F796" s="13" t="s">
        <v>13141</v>
      </c>
      <c r="G796" s="13" t="s">
        <v>11137</v>
      </c>
      <c r="H796" s="13" t="s">
        <v>11099</v>
      </c>
      <c r="I796" s="13" t="s">
        <v>5940</v>
      </c>
      <c r="J796" s="13"/>
      <c r="K796" s="13" t="s">
        <v>5935</v>
      </c>
      <c r="L796" s="13" t="s">
        <v>5936</v>
      </c>
    </row>
    <row r="797" customFormat="false" ht="46.25" hidden="false" customHeight="false" outlineLevel="0" collapsed="false">
      <c r="A797" s="13" t="s">
        <v>4</v>
      </c>
      <c r="B797" s="13" t="s">
        <v>68</v>
      </c>
      <c r="C797" s="13" t="n">
        <v>104</v>
      </c>
      <c r="D797" s="13" t="s">
        <v>5942</v>
      </c>
      <c r="E797" s="13" t="s">
        <v>13142</v>
      </c>
      <c r="F797" s="13" t="s">
        <v>13143</v>
      </c>
      <c r="G797" s="13" t="s">
        <v>11137</v>
      </c>
      <c r="H797" s="13" t="s">
        <v>11099</v>
      </c>
      <c r="I797" s="13" t="s">
        <v>13144</v>
      </c>
      <c r="J797" s="13"/>
      <c r="K797" s="13" t="s">
        <v>5945</v>
      </c>
      <c r="L797" s="13" t="s">
        <v>5946</v>
      </c>
    </row>
    <row r="798" customFormat="false" ht="46.25" hidden="false" customHeight="false" outlineLevel="0" collapsed="false">
      <c r="A798" s="13" t="s">
        <v>4</v>
      </c>
      <c r="B798" s="13" t="s">
        <v>68</v>
      </c>
      <c r="C798" s="13" t="n">
        <v>104</v>
      </c>
      <c r="D798" s="13" t="s">
        <v>5952</v>
      </c>
      <c r="E798" s="13" t="s">
        <v>13145</v>
      </c>
      <c r="F798" s="13" t="s">
        <v>13146</v>
      </c>
      <c r="G798" s="13" t="s">
        <v>11098</v>
      </c>
      <c r="H798" s="13" t="s">
        <v>11099</v>
      </c>
      <c r="I798" s="13" t="s">
        <v>5957</v>
      </c>
      <c r="J798" s="13"/>
      <c r="K798" s="13" t="s">
        <v>5955</v>
      </c>
      <c r="L798" s="13" t="s">
        <v>5956</v>
      </c>
    </row>
    <row r="799" customFormat="false" ht="35.05" hidden="false" customHeight="false" outlineLevel="0" collapsed="false">
      <c r="A799" s="13" t="s">
        <v>4</v>
      </c>
      <c r="B799" s="13" t="s">
        <v>68</v>
      </c>
      <c r="C799" s="13" t="n">
        <v>104</v>
      </c>
      <c r="D799" s="13" t="s">
        <v>5959</v>
      </c>
      <c r="E799" s="13" t="s">
        <v>13147</v>
      </c>
      <c r="F799" s="13" t="s">
        <v>13148</v>
      </c>
      <c r="G799" s="13" t="s">
        <v>11098</v>
      </c>
      <c r="H799" s="13" t="s">
        <v>11099</v>
      </c>
      <c r="I799" s="13" t="s">
        <v>5960</v>
      </c>
      <c r="J799" s="13"/>
      <c r="K799" s="13" t="s">
        <v>5963</v>
      </c>
      <c r="L799" s="13" t="s">
        <v>5964</v>
      </c>
    </row>
    <row r="800" customFormat="false" ht="35.05" hidden="false" customHeight="false" outlineLevel="0" collapsed="false">
      <c r="A800" s="13" t="s">
        <v>4</v>
      </c>
      <c r="B800" s="13" t="s">
        <v>68</v>
      </c>
      <c r="C800" s="13" t="n">
        <v>104</v>
      </c>
      <c r="D800" s="13" t="s">
        <v>5959</v>
      </c>
      <c r="E800" s="13" t="s">
        <v>13149</v>
      </c>
      <c r="F800" s="13" t="s">
        <v>13150</v>
      </c>
      <c r="G800" s="13" t="s">
        <v>11098</v>
      </c>
      <c r="H800" s="13" t="s">
        <v>11099</v>
      </c>
      <c r="I800" s="13" t="s">
        <v>5965</v>
      </c>
      <c r="J800" s="13"/>
      <c r="K800" s="13" t="s">
        <v>5963</v>
      </c>
      <c r="L800" s="13" t="s">
        <v>5964</v>
      </c>
    </row>
    <row r="801" customFormat="false" ht="191.75" hidden="false" customHeight="false" outlineLevel="0" collapsed="false">
      <c r="A801" s="13" t="s">
        <v>4</v>
      </c>
      <c r="B801" s="13" t="s">
        <v>68</v>
      </c>
      <c r="C801" s="13" t="n">
        <v>104</v>
      </c>
      <c r="D801" s="13" t="s">
        <v>5968</v>
      </c>
      <c r="E801" s="13" t="s">
        <v>13151</v>
      </c>
      <c r="F801" s="13" t="s">
        <v>13152</v>
      </c>
      <c r="G801" s="13" t="s">
        <v>11098</v>
      </c>
      <c r="H801" s="13" t="s">
        <v>11099</v>
      </c>
      <c r="I801" s="13" t="s">
        <v>5969</v>
      </c>
      <c r="J801" s="13"/>
      <c r="K801" s="13" t="s">
        <v>5972</v>
      </c>
      <c r="L801" s="13" t="s">
        <v>5973</v>
      </c>
    </row>
    <row r="802" customFormat="false" ht="191.75" hidden="false" customHeight="false" outlineLevel="0" collapsed="false">
      <c r="A802" s="13" t="s">
        <v>4</v>
      </c>
      <c r="B802" s="13" t="s">
        <v>68</v>
      </c>
      <c r="C802" s="13" t="n">
        <v>104</v>
      </c>
      <c r="D802" s="13" t="s">
        <v>5968</v>
      </c>
      <c r="E802" s="13" t="s">
        <v>13153</v>
      </c>
      <c r="F802" s="13" t="s">
        <v>13154</v>
      </c>
      <c r="G802" s="13" t="s">
        <v>11098</v>
      </c>
      <c r="H802" s="13" t="s">
        <v>11099</v>
      </c>
      <c r="I802" s="13" t="s">
        <v>13155</v>
      </c>
      <c r="J802" s="13"/>
      <c r="K802" s="13" t="s">
        <v>5972</v>
      </c>
      <c r="L802" s="13" t="s">
        <v>5973</v>
      </c>
    </row>
    <row r="803" customFormat="false" ht="79.85" hidden="false" customHeight="false" outlineLevel="0" collapsed="false">
      <c r="A803" s="13" t="s">
        <v>4</v>
      </c>
      <c r="B803" s="13" t="s">
        <v>68</v>
      </c>
      <c r="C803" s="13" t="n">
        <v>117</v>
      </c>
      <c r="D803" s="13" t="s">
        <v>5983</v>
      </c>
      <c r="E803" s="13" t="s">
        <v>13156</v>
      </c>
      <c r="F803" s="13" t="s">
        <v>13157</v>
      </c>
      <c r="G803" s="13" t="s">
        <v>11098</v>
      </c>
      <c r="H803" s="13" t="s">
        <v>11099</v>
      </c>
      <c r="I803" s="13" t="s">
        <v>13158</v>
      </c>
      <c r="J803" s="13"/>
      <c r="K803" s="13" t="s">
        <v>5987</v>
      </c>
      <c r="L803" s="13" t="s">
        <v>5988</v>
      </c>
    </row>
    <row r="804" customFormat="false" ht="79.85" hidden="false" customHeight="false" outlineLevel="0" collapsed="false">
      <c r="A804" s="13" t="s">
        <v>4</v>
      </c>
      <c r="B804" s="13" t="s">
        <v>68</v>
      </c>
      <c r="C804" s="13" t="n">
        <v>117</v>
      </c>
      <c r="D804" s="13" t="s">
        <v>5983</v>
      </c>
      <c r="E804" s="13" t="s">
        <v>13159</v>
      </c>
      <c r="F804" s="13" t="s">
        <v>13160</v>
      </c>
      <c r="G804" s="13" t="s">
        <v>11098</v>
      </c>
      <c r="H804" s="13" t="s">
        <v>11099</v>
      </c>
      <c r="I804" s="13" t="s">
        <v>5995</v>
      </c>
      <c r="J804" s="13"/>
      <c r="K804" s="13" t="s">
        <v>5987</v>
      </c>
      <c r="L804" s="13" t="s">
        <v>5988</v>
      </c>
    </row>
    <row r="805" customFormat="false" ht="79.85" hidden="false" customHeight="false" outlineLevel="0" collapsed="false">
      <c r="A805" s="13" t="s">
        <v>4</v>
      </c>
      <c r="B805" s="13" t="s">
        <v>68</v>
      </c>
      <c r="C805" s="13" t="n">
        <v>117</v>
      </c>
      <c r="D805" s="13" t="s">
        <v>5998</v>
      </c>
      <c r="E805" s="13" t="s">
        <v>13161</v>
      </c>
      <c r="F805" s="13" t="s">
        <v>13162</v>
      </c>
      <c r="G805" s="13" t="s">
        <v>11098</v>
      </c>
      <c r="H805" s="13" t="s">
        <v>11099</v>
      </c>
      <c r="I805" s="13" t="s">
        <v>13163</v>
      </c>
      <c r="J805" s="13"/>
      <c r="K805" s="13" t="s">
        <v>6002</v>
      </c>
      <c r="L805" s="13" t="s">
        <v>6003</v>
      </c>
    </row>
    <row r="806" customFormat="false" ht="79.85" hidden="false" customHeight="false" outlineLevel="0" collapsed="false">
      <c r="A806" s="13" t="s">
        <v>4</v>
      </c>
      <c r="B806" s="13" t="s">
        <v>68</v>
      </c>
      <c r="C806" s="13" t="n">
        <v>117</v>
      </c>
      <c r="D806" s="13" t="s">
        <v>5998</v>
      </c>
      <c r="E806" s="13" t="s">
        <v>13164</v>
      </c>
      <c r="F806" s="13" t="s">
        <v>13165</v>
      </c>
      <c r="G806" s="13" t="s">
        <v>11098</v>
      </c>
      <c r="H806" s="13" t="s">
        <v>11099</v>
      </c>
      <c r="I806" s="13" t="s">
        <v>6009</v>
      </c>
      <c r="J806" s="13"/>
      <c r="K806" s="13" t="s">
        <v>6002</v>
      </c>
      <c r="L806" s="13" t="s">
        <v>6003</v>
      </c>
    </row>
    <row r="807" customFormat="false" ht="79.85" hidden="false" customHeight="false" outlineLevel="0" collapsed="false">
      <c r="A807" s="13" t="s">
        <v>4</v>
      </c>
      <c r="B807" s="13" t="s">
        <v>68</v>
      </c>
      <c r="C807" s="13" t="n">
        <v>117</v>
      </c>
      <c r="D807" s="13" t="s">
        <v>5998</v>
      </c>
      <c r="E807" s="13" t="s">
        <v>13166</v>
      </c>
      <c r="F807" s="13" t="s">
        <v>13167</v>
      </c>
      <c r="G807" s="13" t="s">
        <v>11098</v>
      </c>
      <c r="H807" s="13" t="s">
        <v>11099</v>
      </c>
      <c r="I807" s="13" t="s">
        <v>6011</v>
      </c>
      <c r="J807" s="13"/>
      <c r="K807" s="13" t="s">
        <v>6002</v>
      </c>
      <c r="L807" s="13" t="s">
        <v>6003</v>
      </c>
    </row>
    <row r="808" customFormat="false" ht="46.25" hidden="false" customHeight="false" outlineLevel="0" collapsed="false">
      <c r="A808" s="13" t="s">
        <v>4</v>
      </c>
      <c r="B808" s="13" t="s">
        <v>68</v>
      </c>
      <c r="C808" s="13" t="n">
        <v>117</v>
      </c>
      <c r="D808" s="13" t="s">
        <v>6014</v>
      </c>
      <c r="E808" s="13" t="s">
        <v>13168</v>
      </c>
      <c r="F808" s="13" t="s">
        <v>13169</v>
      </c>
      <c r="G808" s="13" t="s">
        <v>11098</v>
      </c>
      <c r="H808" s="13" t="s">
        <v>11099</v>
      </c>
      <c r="I808" s="13" t="s">
        <v>13170</v>
      </c>
      <c r="J808" s="13"/>
      <c r="K808" s="13" t="s">
        <v>6018</v>
      </c>
      <c r="L808" s="13" t="s">
        <v>6019</v>
      </c>
    </row>
    <row r="809" customFormat="false" ht="158.2" hidden="false" customHeight="false" outlineLevel="0" collapsed="false">
      <c r="A809" s="13" t="s">
        <v>4</v>
      </c>
      <c r="B809" s="13" t="s">
        <v>68</v>
      </c>
      <c r="C809" s="13" t="n">
        <v>117</v>
      </c>
      <c r="D809" s="13" t="s">
        <v>6023</v>
      </c>
      <c r="E809" s="13" t="s">
        <v>13171</v>
      </c>
      <c r="F809" s="13" t="s">
        <v>13172</v>
      </c>
      <c r="G809" s="13" t="s">
        <v>11098</v>
      </c>
      <c r="H809" s="13" t="s">
        <v>11099</v>
      </c>
      <c r="I809" s="13" t="s">
        <v>6024</v>
      </c>
      <c r="J809" s="13"/>
      <c r="K809" s="13" t="s">
        <v>6027</v>
      </c>
      <c r="L809" s="13" t="s">
        <v>6028</v>
      </c>
    </row>
    <row r="810" customFormat="false" ht="158.2" hidden="false" customHeight="false" outlineLevel="0" collapsed="false">
      <c r="A810" s="13" t="s">
        <v>4</v>
      </c>
      <c r="B810" s="13" t="s">
        <v>68</v>
      </c>
      <c r="C810" s="13" t="n">
        <v>117</v>
      </c>
      <c r="D810" s="13" t="s">
        <v>6023</v>
      </c>
      <c r="E810" s="13" t="s">
        <v>13173</v>
      </c>
      <c r="F810" s="13" t="s">
        <v>13174</v>
      </c>
      <c r="G810" s="13" t="s">
        <v>11098</v>
      </c>
      <c r="H810" s="13" t="s">
        <v>11099</v>
      </c>
      <c r="I810" s="13" t="s">
        <v>6029</v>
      </c>
      <c r="J810" s="13"/>
      <c r="K810" s="13" t="s">
        <v>6027</v>
      </c>
      <c r="L810" s="13" t="s">
        <v>6028</v>
      </c>
    </row>
    <row r="811" customFormat="false" ht="158.2" hidden="false" customHeight="false" outlineLevel="0" collapsed="false">
      <c r="A811" s="13" t="s">
        <v>4</v>
      </c>
      <c r="B811" s="13" t="s">
        <v>68</v>
      </c>
      <c r="C811" s="13" t="n">
        <v>117</v>
      </c>
      <c r="D811" s="13" t="s">
        <v>6023</v>
      </c>
      <c r="E811" s="13" t="s">
        <v>13175</v>
      </c>
      <c r="F811" s="13" t="s">
        <v>13176</v>
      </c>
      <c r="G811" s="13" t="s">
        <v>11098</v>
      </c>
      <c r="H811" s="13" t="s">
        <v>11099</v>
      </c>
      <c r="I811" s="13" t="s">
        <v>13177</v>
      </c>
      <c r="J811" s="13"/>
      <c r="K811" s="13" t="s">
        <v>6027</v>
      </c>
      <c r="L811" s="13" t="s">
        <v>6028</v>
      </c>
    </row>
    <row r="812" customFormat="false" ht="158.2" hidden="false" customHeight="false" outlineLevel="0" collapsed="false">
      <c r="A812" s="13" t="s">
        <v>4</v>
      </c>
      <c r="B812" s="13" t="s">
        <v>68</v>
      </c>
      <c r="C812" s="13" t="n">
        <v>117</v>
      </c>
      <c r="D812" s="13" t="s">
        <v>6023</v>
      </c>
      <c r="E812" s="13" t="s">
        <v>13178</v>
      </c>
      <c r="F812" s="13" t="s">
        <v>13179</v>
      </c>
      <c r="G812" s="13" t="s">
        <v>11098</v>
      </c>
      <c r="H812" s="13" t="s">
        <v>11099</v>
      </c>
      <c r="I812" s="13" t="s">
        <v>13180</v>
      </c>
      <c r="J812" s="13"/>
      <c r="K812" s="13" t="s">
        <v>6027</v>
      </c>
      <c r="L812" s="13" t="s">
        <v>6028</v>
      </c>
    </row>
    <row r="813" customFormat="false" ht="158.2" hidden="false" customHeight="false" outlineLevel="0" collapsed="false">
      <c r="A813" s="13" t="s">
        <v>4</v>
      </c>
      <c r="B813" s="13" t="s">
        <v>68</v>
      </c>
      <c r="C813" s="13" t="n">
        <v>117</v>
      </c>
      <c r="D813" s="13" t="s">
        <v>6023</v>
      </c>
      <c r="E813" s="13" t="s">
        <v>13181</v>
      </c>
      <c r="F813" s="13" t="s">
        <v>13182</v>
      </c>
      <c r="G813" s="13" t="s">
        <v>11098</v>
      </c>
      <c r="H813" s="13" t="s">
        <v>11099</v>
      </c>
      <c r="I813" s="13" t="s">
        <v>6040</v>
      </c>
      <c r="J813" s="13"/>
      <c r="K813" s="13" t="s">
        <v>6027</v>
      </c>
      <c r="L813" s="13" t="s">
        <v>6028</v>
      </c>
    </row>
    <row r="814" customFormat="false" ht="281.3" hidden="false" customHeight="false" outlineLevel="0" collapsed="false">
      <c r="A814" s="13" t="s">
        <v>4</v>
      </c>
      <c r="B814" s="13" t="s">
        <v>68</v>
      </c>
      <c r="C814" s="13" t="n">
        <v>117</v>
      </c>
      <c r="D814" s="13" t="s">
        <v>6044</v>
      </c>
      <c r="E814" s="13" t="s">
        <v>13183</v>
      </c>
      <c r="F814" s="13" t="s">
        <v>13184</v>
      </c>
      <c r="G814" s="13" t="s">
        <v>11098</v>
      </c>
      <c r="H814" s="13" t="s">
        <v>11099</v>
      </c>
      <c r="I814" s="13" t="s">
        <v>6045</v>
      </c>
      <c r="J814" s="13"/>
      <c r="K814" s="13" t="s">
        <v>6048</v>
      </c>
      <c r="L814" s="13" t="s">
        <v>6049</v>
      </c>
    </row>
    <row r="815" customFormat="false" ht="281.3" hidden="false" customHeight="false" outlineLevel="0" collapsed="false">
      <c r="A815" s="13" t="s">
        <v>4</v>
      </c>
      <c r="B815" s="13" t="s">
        <v>68</v>
      </c>
      <c r="C815" s="13" t="n">
        <v>117</v>
      </c>
      <c r="D815" s="13" t="s">
        <v>6044</v>
      </c>
      <c r="E815" s="13" t="s">
        <v>13185</v>
      </c>
      <c r="F815" s="13" t="s">
        <v>13186</v>
      </c>
      <c r="G815" s="13" t="s">
        <v>11098</v>
      </c>
      <c r="H815" s="13" t="s">
        <v>11099</v>
      </c>
      <c r="I815" s="13" t="s">
        <v>6050</v>
      </c>
      <c r="J815" s="13"/>
      <c r="K815" s="13" t="s">
        <v>6048</v>
      </c>
      <c r="L815" s="13" t="s">
        <v>6049</v>
      </c>
    </row>
    <row r="816" customFormat="false" ht="281.3" hidden="false" customHeight="false" outlineLevel="0" collapsed="false">
      <c r="A816" s="13" t="s">
        <v>4</v>
      </c>
      <c r="B816" s="13" t="s">
        <v>68</v>
      </c>
      <c r="C816" s="13" t="n">
        <v>117</v>
      </c>
      <c r="D816" s="13" t="s">
        <v>6044</v>
      </c>
      <c r="E816" s="13" t="s">
        <v>13187</v>
      </c>
      <c r="F816" s="13" t="s">
        <v>13188</v>
      </c>
      <c r="G816" s="13" t="s">
        <v>11098</v>
      </c>
      <c r="H816" s="13" t="s">
        <v>11099</v>
      </c>
      <c r="I816" s="13" t="s">
        <v>13189</v>
      </c>
      <c r="J816" s="13"/>
      <c r="K816" s="13" t="s">
        <v>6048</v>
      </c>
      <c r="L816" s="13" t="s">
        <v>6049</v>
      </c>
    </row>
    <row r="817" customFormat="false" ht="281.3" hidden="false" customHeight="false" outlineLevel="0" collapsed="false">
      <c r="A817" s="13" t="s">
        <v>4</v>
      </c>
      <c r="B817" s="13" t="s">
        <v>68</v>
      </c>
      <c r="C817" s="13" t="n">
        <v>117</v>
      </c>
      <c r="D817" s="13" t="s">
        <v>6044</v>
      </c>
      <c r="E817" s="13" t="s">
        <v>13190</v>
      </c>
      <c r="F817" s="13" t="s">
        <v>13191</v>
      </c>
      <c r="G817" s="13" t="s">
        <v>11098</v>
      </c>
      <c r="H817" s="13" t="s">
        <v>11099</v>
      </c>
      <c r="I817" s="13" t="s">
        <v>13192</v>
      </c>
      <c r="J817" s="13"/>
      <c r="K817" s="13" t="s">
        <v>6048</v>
      </c>
      <c r="L817" s="13" t="s">
        <v>6049</v>
      </c>
    </row>
    <row r="818" customFormat="false" ht="281.3" hidden="false" customHeight="false" outlineLevel="0" collapsed="false">
      <c r="A818" s="13" t="s">
        <v>4</v>
      </c>
      <c r="B818" s="13" t="s">
        <v>68</v>
      </c>
      <c r="C818" s="13" t="n">
        <v>117</v>
      </c>
      <c r="D818" s="13" t="s">
        <v>6044</v>
      </c>
      <c r="E818" s="13" t="s">
        <v>13193</v>
      </c>
      <c r="F818" s="13" t="s">
        <v>13194</v>
      </c>
      <c r="G818" s="13" t="s">
        <v>11098</v>
      </c>
      <c r="H818" s="13" t="s">
        <v>11099</v>
      </c>
      <c r="I818" s="13" t="s">
        <v>13195</v>
      </c>
      <c r="J818" s="13"/>
      <c r="K818" s="13" t="s">
        <v>6048</v>
      </c>
      <c r="L818" s="13" t="s">
        <v>6049</v>
      </c>
    </row>
    <row r="819" customFormat="false" ht="91" hidden="false" customHeight="false" outlineLevel="0" collapsed="false">
      <c r="A819" s="13" t="s">
        <v>4</v>
      </c>
      <c r="B819" s="13" t="s">
        <v>68</v>
      </c>
      <c r="C819" s="13" t="n">
        <v>143</v>
      </c>
      <c r="D819" s="13" t="s">
        <v>6063</v>
      </c>
      <c r="E819" s="13" t="s">
        <v>13196</v>
      </c>
      <c r="F819" s="13" t="s">
        <v>13197</v>
      </c>
      <c r="G819" s="13" t="s">
        <v>11098</v>
      </c>
      <c r="H819" s="13" t="s">
        <v>11099</v>
      </c>
      <c r="I819" s="13" t="s">
        <v>13198</v>
      </c>
      <c r="J819" s="13"/>
      <c r="K819" s="13" t="s">
        <v>6067</v>
      </c>
      <c r="L819" s="13" t="s">
        <v>6068</v>
      </c>
    </row>
    <row r="820" customFormat="false" ht="91" hidden="false" customHeight="false" outlineLevel="0" collapsed="false">
      <c r="A820" s="13" t="s">
        <v>4</v>
      </c>
      <c r="B820" s="13" t="s">
        <v>68</v>
      </c>
      <c r="C820" s="13" t="n">
        <v>143</v>
      </c>
      <c r="D820" s="13" t="s">
        <v>6079</v>
      </c>
      <c r="E820" s="13" t="s">
        <v>13199</v>
      </c>
      <c r="F820" s="13" t="s">
        <v>13200</v>
      </c>
      <c r="G820" s="13" t="s">
        <v>11098</v>
      </c>
      <c r="H820" s="13" t="s">
        <v>11099</v>
      </c>
      <c r="I820" s="13" t="s">
        <v>13201</v>
      </c>
      <c r="J820" s="13"/>
      <c r="K820" s="13" t="s">
        <v>6083</v>
      </c>
      <c r="L820" s="13" t="s">
        <v>6084</v>
      </c>
    </row>
    <row r="821" customFormat="false" ht="91" hidden="false" customHeight="false" outlineLevel="0" collapsed="false">
      <c r="A821" s="13" t="s">
        <v>4</v>
      </c>
      <c r="B821" s="13" t="s">
        <v>68</v>
      </c>
      <c r="C821" s="13" t="n">
        <v>143</v>
      </c>
      <c r="D821" s="13" t="s">
        <v>6079</v>
      </c>
      <c r="E821" s="13" t="s">
        <v>13202</v>
      </c>
      <c r="F821" s="13" t="s">
        <v>13203</v>
      </c>
      <c r="G821" s="13" t="s">
        <v>11098</v>
      </c>
      <c r="H821" s="13" t="s">
        <v>11099</v>
      </c>
      <c r="I821" s="13" t="s">
        <v>6086</v>
      </c>
      <c r="J821" s="13"/>
      <c r="K821" s="13" t="s">
        <v>6083</v>
      </c>
      <c r="L821" s="13" t="s">
        <v>6084</v>
      </c>
    </row>
    <row r="822" customFormat="false" ht="35.05" hidden="false" customHeight="false" outlineLevel="0" collapsed="false">
      <c r="A822" s="13" t="s">
        <v>4</v>
      </c>
      <c r="B822" s="13" t="s">
        <v>68</v>
      </c>
      <c r="C822" s="13" t="n">
        <v>143</v>
      </c>
      <c r="D822" s="13" t="s">
        <v>6090</v>
      </c>
      <c r="E822" s="13" t="s">
        <v>13204</v>
      </c>
      <c r="F822" s="13" t="s">
        <v>13205</v>
      </c>
      <c r="G822" s="13" t="s">
        <v>11098</v>
      </c>
      <c r="H822" s="13" t="s">
        <v>11099</v>
      </c>
      <c r="I822" s="13" t="s">
        <v>13206</v>
      </c>
      <c r="J822" s="13"/>
      <c r="K822" s="13" t="s">
        <v>6094</v>
      </c>
      <c r="L822" s="13" t="s">
        <v>6095</v>
      </c>
    </row>
    <row r="823" customFormat="false" ht="147" hidden="false" customHeight="false" outlineLevel="0" collapsed="false">
      <c r="A823" s="13" t="s">
        <v>4</v>
      </c>
      <c r="B823" s="13" t="s">
        <v>68</v>
      </c>
      <c r="C823" s="13" t="n">
        <v>143</v>
      </c>
      <c r="D823" s="13" t="s">
        <v>6098</v>
      </c>
      <c r="E823" s="13" t="s">
        <v>13207</v>
      </c>
      <c r="F823" s="13" t="s">
        <v>13208</v>
      </c>
      <c r="G823" s="13" t="s">
        <v>11098</v>
      </c>
      <c r="H823" s="13" t="s">
        <v>11099</v>
      </c>
      <c r="I823" s="13" t="s">
        <v>13209</v>
      </c>
      <c r="J823" s="13"/>
      <c r="K823" s="13" t="s">
        <v>6102</v>
      </c>
      <c r="L823" s="13" t="s">
        <v>6103</v>
      </c>
    </row>
    <row r="824" customFormat="false" ht="147" hidden="false" customHeight="false" outlineLevel="0" collapsed="false">
      <c r="A824" s="13" t="s">
        <v>4</v>
      </c>
      <c r="B824" s="13" t="s">
        <v>68</v>
      </c>
      <c r="C824" s="13" t="n">
        <v>143</v>
      </c>
      <c r="D824" s="13" t="s">
        <v>6098</v>
      </c>
      <c r="E824" s="13" t="s">
        <v>13210</v>
      </c>
      <c r="F824" s="13" t="s">
        <v>13211</v>
      </c>
      <c r="G824" s="13" t="s">
        <v>11098</v>
      </c>
      <c r="H824" s="13" t="s">
        <v>11099</v>
      </c>
      <c r="I824" s="13" t="s">
        <v>6104</v>
      </c>
      <c r="J824" s="13"/>
      <c r="K824" s="13" t="s">
        <v>6102</v>
      </c>
      <c r="L824" s="13" t="s">
        <v>6103</v>
      </c>
    </row>
    <row r="825" customFormat="false" ht="147" hidden="false" customHeight="false" outlineLevel="0" collapsed="false">
      <c r="A825" s="13" t="s">
        <v>4</v>
      </c>
      <c r="B825" s="13" t="s">
        <v>68</v>
      </c>
      <c r="C825" s="13" t="n">
        <v>143</v>
      </c>
      <c r="D825" s="13" t="s">
        <v>6098</v>
      </c>
      <c r="E825" s="13" t="s">
        <v>13212</v>
      </c>
      <c r="F825" s="13" t="s">
        <v>13213</v>
      </c>
      <c r="G825" s="13" t="s">
        <v>11098</v>
      </c>
      <c r="H825" s="13" t="s">
        <v>11099</v>
      </c>
      <c r="I825" s="13" t="s">
        <v>6109</v>
      </c>
      <c r="J825" s="13"/>
      <c r="K825" s="13" t="s">
        <v>6102</v>
      </c>
      <c r="L825" s="13" t="s">
        <v>6103</v>
      </c>
    </row>
    <row r="826" customFormat="false" ht="147" hidden="false" customHeight="false" outlineLevel="0" collapsed="false">
      <c r="A826" s="13" t="s">
        <v>4</v>
      </c>
      <c r="B826" s="13" t="s">
        <v>68</v>
      </c>
      <c r="C826" s="13" t="n">
        <v>143</v>
      </c>
      <c r="D826" s="13" t="s">
        <v>6111</v>
      </c>
      <c r="E826" s="13" t="s">
        <v>13214</v>
      </c>
      <c r="F826" s="13" t="s">
        <v>13215</v>
      </c>
      <c r="G826" s="13" t="s">
        <v>11098</v>
      </c>
      <c r="H826" s="13" t="s">
        <v>11099</v>
      </c>
      <c r="I826" s="13" t="s">
        <v>6112</v>
      </c>
      <c r="J826" s="13"/>
      <c r="K826" s="13" t="s">
        <v>6116</v>
      </c>
      <c r="L826" s="13" t="s">
        <v>6117</v>
      </c>
    </row>
    <row r="827" customFormat="false" ht="147" hidden="false" customHeight="false" outlineLevel="0" collapsed="false">
      <c r="A827" s="13" t="s">
        <v>4</v>
      </c>
      <c r="B827" s="13" t="s">
        <v>68</v>
      </c>
      <c r="C827" s="13" t="n">
        <v>143</v>
      </c>
      <c r="D827" s="13" t="s">
        <v>6111</v>
      </c>
      <c r="E827" s="13" t="s">
        <v>13216</v>
      </c>
      <c r="F827" s="13" t="s">
        <v>13217</v>
      </c>
      <c r="G827" s="13" t="s">
        <v>11098</v>
      </c>
      <c r="H827" s="13" t="s">
        <v>11099</v>
      </c>
      <c r="I827" s="13" t="s">
        <v>13218</v>
      </c>
      <c r="J827" s="13"/>
      <c r="K827" s="13" t="s">
        <v>6116</v>
      </c>
      <c r="L827" s="13" t="s">
        <v>6117</v>
      </c>
    </row>
    <row r="828" customFormat="false" ht="147" hidden="false" customHeight="false" outlineLevel="0" collapsed="false">
      <c r="A828" s="13" t="s">
        <v>4</v>
      </c>
      <c r="B828" s="13" t="s">
        <v>68</v>
      </c>
      <c r="C828" s="13" t="n">
        <v>143</v>
      </c>
      <c r="D828" s="13" t="s">
        <v>6111</v>
      </c>
      <c r="E828" s="13" t="s">
        <v>13219</v>
      </c>
      <c r="F828" s="13" t="s">
        <v>13220</v>
      </c>
      <c r="G828" s="13" t="s">
        <v>11098</v>
      </c>
      <c r="H828" s="13" t="s">
        <v>11099</v>
      </c>
      <c r="I828" s="13" t="s">
        <v>6125</v>
      </c>
      <c r="J828" s="13"/>
      <c r="K828" s="13" t="s">
        <v>6116</v>
      </c>
      <c r="L828" s="13" t="s">
        <v>6117</v>
      </c>
    </row>
    <row r="829" customFormat="false" ht="147" hidden="false" customHeight="false" outlineLevel="0" collapsed="false">
      <c r="A829" s="13" t="s">
        <v>4</v>
      </c>
      <c r="B829" s="13" t="s">
        <v>68</v>
      </c>
      <c r="C829" s="13" t="n">
        <v>143</v>
      </c>
      <c r="D829" s="13" t="s">
        <v>6111</v>
      </c>
      <c r="E829" s="13" t="s">
        <v>13221</v>
      </c>
      <c r="F829" s="13" t="s">
        <v>13222</v>
      </c>
      <c r="G829" s="13" t="s">
        <v>11098</v>
      </c>
      <c r="H829" s="13" t="s">
        <v>11099</v>
      </c>
      <c r="I829" s="13" t="s">
        <v>13223</v>
      </c>
      <c r="J829" s="13"/>
      <c r="K829" s="13" t="s">
        <v>6116</v>
      </c>
      <c r="L829" s="13" t="s">
        <v>6117</v>
      </c>
    </row>
    <row r="830" customFormat="false" ht="46.25" hidden="false" customHeight="false" outlineLevel="0" collapsed="false">
      <c r="A830" s="13" t="s">
        <v>4</v>
      </c>
      <c r="B830" s="13" t="s">
        <v>68</v>
      </c>
      <c r="C830" s="13" t="n">
        <v>150</v>
      </c>
      <c r="D830" s="13" t="s">
        <v>6131</v>
      </c>
      <c r="E830" s="13" t="s">
        <v>13224</v>
      </c>
      <c r="F830" s="13" t="s">
        <v>13225</v>
      </c>
      <c r="G830" s="13" t="s">
        <v>11098</v>
      </c>
      <c r="H830" s="13" t="s">
        <v>11099</v>
      </c>
      <c r="I830" s="13" t="s">
        <v>13226</v>
      </c>
      <c r="J830" s="13"/>
      <c r="K830" s="13" t="s">
        <v>6135</v>
      </c>
      <c r="L830" s="13" t="s">
        <v>6136</v>
      </c>
    </row>
    <row r="831" customFormat="false" ht="23.85" hidden="false" customHeight="false" outlineLevel="0" collapsed="false">
      <c r="A831" s="13" t="s">
        <v>4</v>
      </c>
      <c r="B831" s="13" t="s">
        <v>68</v>
      </c>
      <c r="C831" s="13" t="n">
        <v>150</v>
      </c>
      <c r="D831" s="13" t="s">
        <v>6139</v>
      </c>
      <c r="E831" s="13" t="s">
        <v>13227</v>
      </c>
      <c r="F831" s="13" t="s">
        <v>13228</v>
      </c>
      <c r="G831" s="13" t="s">
        <v>11098</v>
      </c>
      <c r="H831" s="13" t="s">
        <v>11099</v>
      </c>
      <c r="I831" s="13" t="s">
        <v>6140</v>
      </c>
      <c r="J831" s="13"/>
      <c r="K831" s="13" t="s">
        <v>6142</v>
      </c>
      <c r="L831" s="13" t="s">
        <v>6143</v>
      </c>
    </row>
    <row r="832" customFormat="false" ht="35.05" hidden="false" customHeight="false" outlineLevel="0" collapsed="false">
      <c r="A832" s="13" t="s">
        <v>4</v>
      </c>
      <c r="B832" s="13" t="s">
        <v>68</v>
      </c>
      <c r="C832" s="13" t="n">
        <v>150</v>
      </c>
      <c r="D832" s="13" t="s">
        <v>6144</v>
      </c>
      <c r="E832" s="13" t="s">
        <v>13229</v>
      </c>
      <c r="F832" s="13" t="s">
        <v>13230</v>
      </c>
      <c r="G832" s="13" t="s">
        <v>11098</v>
      </c>
      <c r="H832" s="13" t="s">
        <v>11099</v>
      </c>
      <c r="I832" s="13" t="s">
        <v>13231</v>
      </c>
      <c r="J832" s="13"/>
      <c r="K832" s="13" t="s">
        <v>6148</v>
      </c>
      <c r="L832" s="13" t="s">
        <v>6149</v>
      </c>
    </row>
    <row r="833" customFormat="false" ht="23.85" hidden="false" customHeight="false" outlineLevel="0" collapsed="false">
      <c r="A833" s="13" t="s">
        <v>4</v>
      </c>
      <c r="B833" s="13" t="s">
        <v>68</v>
      </c>
      <c r="C833" s="13" t="n">
        <v>150</v>
      </c>
      <c r="D833" s="13" t="s">
        <v>6153</v>
      </c>
      <c r="E833" s="13" t="s">
        <v>13232</v>
      </c>
      <c r="F833" s="13" t="s">
        <v>13233</v>
      </c>
      <c r="G833" s="13" t="s">
        <v>11098</v>
      </c>
      <c r="H833" s="13" t="s">
        <v>11099</v>
      </c>
      <c r="I833" s="13" t="s">
        <v>13234</v>
      </c>
      <c r="J833" s="13"/>
      <c r="K833" s="13" t="s">
        <v>6156</v>
      </c>
      <c r="L833" s="13" t="s">
        <v>6157</v>
      </c>
    </row>
    <row r="834" customFormat="false" ht="23.85" hidden="false" customHeight="false" outlineLevel="0" collapsed="false">
      <c r="A834" s="13" t="s">
        <v>4</v>
      </c>
      <c r="B834" s="13" t="s">
        <v>68</v>
      </c>
      <c r="C834" s="13" t="n">
        <v>150</v>
      </c>
      <c r="D834" s="13" t="s">
        <v>6162</v>
      </c>
      <c r="E834" s="13" t="s">
        <v>13235</v>
      </c>
      <c r="F834" s="13" t="s">
        <v>13236</v>
      </c>
      <c r="G834" s="13" t="s">
        <v>11098</v>
      </c>
      <c r="H834" s="13" t="s">
        <v>11099</v>
      </c>
      <c r="I834" s="13" t="s">
        <v>6163</v>
      </c>
      <c r="J834" s="13"/>
      <c r="K834" s="13" t="s">
        <v>6165</v>
      </c>
      <c r="L834" s="13" t="s">
        <v>6166</v>
      </c>
    </row>
    <row r="835" customFormat="false" ht="35.05" hidden="false" customHeight="false" outlineLevel="0" collapsed="false">
      <c r="A835" s="13" t="s">
        <v>4</v>
      </c>
      <c r="B835" s="13" t="s">
        <v>68</v>
      </c>
      <c r="C835" s="13" t="n">
        <v>150</v>
      </c>
      <c r="D835" s="13" t="s">
        <v>6167</v>
      </c>
      <c r="E835" s="13" t="s">
        <v>13237</v>
      </c>
      <c r="F835" s="13" t="s">
        <v>13238</v>
      </c>
      <c r="G835" s="13" t="s">
        <v>11098</v>
      </c>
      <c r="H835" s="13" t="s">
        <v>11099</v>
      </c>
      <c r="I835" s="13" t="s">
        <v>6175</v>
      </c>
      <c r="J835" s="13" t="s">
        <v>13239</v>
      </c>
      <c r="K835" s="13" t="s">
        <v>6173</v>
      </c>
      <c r="L835" s="13" t="s">
        <v>6174</v>
      </c>
    </row>
    <row r="836" customFormat="false" ht="23.85" hidden="false" customHeight="false" outlineLevel="0" collapsed="false">
      <c r="A836" s="13" t="s">
        <v>4</v>
      </c>
      <c r="B836" s="13" t="s">
        <v>68</v>
      </c>
      <c r="C836" s="13" t="n">
        <v>150</v>
      </c>
      <c r="D836" s="13" t="s">
        <v>6178</v>
      </c>
      <c r="E836" s="13" t="s">
        <v>13240</v>
      </c>
      <c r="F836" s="13" t="s">
        <v>13241</v>
      </c>
      <c r="G836" s="13" t="s">
        <v>11098</v>
      </c>
      <c r="H836" s="13" t="s">
        <v>11099</v>
      </c>
      <c r="I836" s="13" t="s">
        <v>13242</v>
      </c>
      <c r="J836" s="13"/>
      <c r="K836" s="13" t="s">
        <v>6182</v>
      </c>
      <c r="L836" s="13" t="s">
        <v>6183</v>
      </c>
    </row>
    <row r="837" customFormat="false" ht="15" hidden="false" customHeight="false" outlineLevel="0" collapsed="false">
      <c r="A837" s="13" t="s">
        <v>4</v>
      </c>
      <c r="B837" s="13" t="s">
        <v>68</v>
      </c>
      <c r="C837" s="13" t="n">
        <v>150</v>
      </c>
      <c r="D837" s="13" t="s">
        <v>6186</v>
      </c>
      <c r="E837" s="13" t="s">
        <v>13243</v>
      </c>
      <c r="F837" s="13" t="s">
        <v>13244</v>
      </c>
      <c r="G837" s="13" t="s">
        <v>11098</v>
      </c>
      <c r="H837" s="13" t="s">
        <v>11099</v>
      </c>
      <c r="I837" s="13" t="s">
        <v>6187</v>
      </c>
      <c r="J837" s="13"/>
      <c r="K837" s="13" t="s">
        <v>6189</v>
      </c>
      <c r="L837" s="13" t="s">
        <v>6190</v>
      </c>
    </row>
    <row r="838" customFormat="false" ht="15" hidden="false" customHeight="false" outlineLevel="0" collapsed="false">
      <c r="A838" s="13" t="s">
        <v>4</v>
      </c>
      <c r="B838" s="13" t="s">
        <v>68</v>
      </c>
      <c r="C838" s="13" t="n">
        <v>150</v>
      </c>
      <c r="D838" s="13" t="s">
        <v>6191</v>
      </c>
      <c r="E838" s="13" t="s">
        <v>13245</v>
      </c>
      <c r="F838" s="13" t="s">
        <v>13246</v>
      </c>
      <c r="G838" s="13" t="s">
        <v>11098</v>
      </c>
      <c r="H838" s="13" t="s">
        <v>11099</v>
      </c>
      <c r="I838" s="13" t="s">
        <v>6192</v>
      </c>
      <c r="J838" s="13"/>
      <c r="K838" s="13" t="s">
        <v>6195</v>
      </c>
      <c r="L838" s="13" t="s">
        <v>6196</v>
      </c>
    </row>
    <row r="839" customFormat="false" ht="68.65" hidden="false" customHeight="false" outlineLevel="0" collapsed="false">
      <c r="A839" s="13" t="s">
        <v>4</v>
      </c>
      <c r="B839" s="13" t="s">
        <v>68</v>
      </c>
      <c r="C839" s="13" t="n">
        <v>150</v>
      </c>
      <c r="D839" s="13" t="s">
        <v>6197</v>
      </c>
      <c r="E839" s="13" t="s">
        <v>13247</v>
      </c>
      <c r="F839" s="13" t="s">
        <v>13248</v>
      </c>
      <c r="G839" s="13" t="s">
        <v>11137</v>
      </c>
      <c r="H839" s="13" t="s">
        <v>11099</v>
      </c>
      <c r="I839" s="13" t="s">
        <v>6198</v>
      </c>
      <c r="J839" s="13" t="s">
        <v>13249</v>
      </c>
      <c r="K839" s="13" t="s">
        <v>6203</v>
      </c>
      <c r="L839" s="13" t="s">
        <v>6204</v>
      </c>
    </row>
    <row r="840" customFormat="false" ht="68.65" hidden="false" customHeight="false" outlineLevel="0" collapsed="false">
      <c r="A840" s="13" t="s">
        <v>4</v>
      </c>
      <c r="B840" s="13" t="s">
        <v>68</v>
      </c>
      <c r="C840" s="13" t="n">
        <v>150</v>
      </c>
      <c r="D840" s="13" t="s">
        <v>6197</v>
      </c>
      <c r="E840" s="13" t="s">
        <v>13250</v>
      </c>
      <c r="F840" s="13" t="s">
        <v>13251</v>
      </c>
      <c r="G840" s="13" t="s">
        <v>11098</v>
      </c>
      <c r="H840" s="13" t="s">
        <v>11099</v>
      </c>
      <c r="I840" s="13" t="s">
        <v>6205</v>
      </c>
      <c r="J840" s="13"/>
      <c r="K840" s="13" t="s">
        <v>6203</v>
      </c>
      <c r="L840" s="13" t="s">
        <v>6204</v>
      </c>
    </row>
    <row r="841" customFormat="false" ht="23.85" hidden="false" customHeight="false" outlineLevel="0" collapsed="false">
      <c r="A841" s="13" t="s">
        <v>4</v>
      </c>
      <c r="B841" s="13" t="s">
        <v>68</v>
      </c>
      <c r="C841" s="13" t="n">
        <v>150</v>
      </c>
      <c r="D841" s="13" t="s">
        <v>6209</v>
      </c>
      <c r="E841" s="13" t="s">
        <v>13252</v>
      </c>
      <c r="F841" s="13" t="s">
        <v>13253</v>
      </c>
      <c r="G841" s="13" t="s">
        <v>11098</v>
      </c>
      <c r="H841" s="13" t="s">
        <v>11099</v>
      </c>
      <c r="I841" s="13" t="s">
        <v>6210</v>
      </c>
      <c r="J841" s="13"/>
      <c r="K841" s="13" t="s">
        <v>6214</v>
      </c>
      <c r="L841" s="13" t="s">
        <v>6215</v>
      </c>
    </row>
    <row r="842" customFormat="false" ht="57.45" hidden="false" customHeight="false" outlineLevel="0" collapsed="false">
      <c r="A842" s="13" t="s">
        <v>4</v>
      </c>
      <c r="B842" s="13" t="s">
        <v>68</v>
      </c>
      <c r="C842" s="13" t="n">
        <v>150</v>
      </c>
      <c r="D842" s="13" t="s">
        <v>6216</v>
      </c>
      <c r="E842" s="13" t="s">
        <v>13254</v>
      </c>
      <c r="F842" s="13" t="s">
        <v>13255</v>
      </c>
      <c r="G842" s="13" t="s">
        <v>11098</v>
      </c>
      <c r="H842" s="13" t="s">
        <v>11099</v>
      </c>
      <c r="I842" s="13" t="s">
        <v>6217</v>
      </c>
      <c r="J842" s="13"/>
      <c r="K842" s="13" t="s">
        <v>6220</v>
      </c>
      <c r="L842" s="13" t="s">
        <v>6221</v>
      </c>
    </row>
    <row r="843" customFormat="false" ht="57.45" hidden="false" customHeight="false" outlineLevel="0" collapsed="false">
      <c r="A843" s="13" t="s">
        <v>4</v>
      </c>
      <c r="B843" s="13" t="s">
        <v>68</v>
      </c>
      <c r="C843" s="13" t="n">
        <v>150</v>
      </c>
      <c r="D843" s="13" t="s">
        <v>6216</v>
      </c>
      <c r="E843" s="13" t="s">
        <v>13256</v>
      </c>
      <c r="F843" s="13" t="s">
        <v>13257</v>
      </c>
      <c r="G843" s="13" t="s">
        <v>11098</v>
      </c>
      <c r="H843" s="13" t="s">
        <v>11099</v>
      </c>
      <c r="I843" s="13" t="s">
        <v>6222</v>
      </c>
      <c r="J843" s="13"/>
      <c r="K843" s="13" t="s">
        <v>6220</v>
      </c>
      <c r="L843" s="13" t="s">
        <v>6221</v>
      </c>
    </row>
    <row r="844" customFormat="false" ht="15" hidden="false" customHeight="false" outlineLevel="0" collapsed="false">
      <c r="A844" s="13" t="s">
        <v>4</v>
      </c>
      <c r="B844" s="13" t="s">
        <v>68</v>
      </c>
      <c r="C844" s="13" t="n">
        <v>150</v>
      </c>
      <c r="D844" s="13" t="s">
        <v>6225</v>
      </c>
      <c r="E844" s="13" t="s">
        <v>13258</v>
      </c>
      <c r="F844" s="13" t="s">
        <v>13259</v>
      </c>
      <c r="G844" s="13" t="s">
        <v>11098</v>
      </c>
      <c r="H844" s="13" t="s">
        <v>11099</v>
      </c>
      <c r="I844" s="13" t="s">
        <v>6226</v>
      </c>
      <c r="J844" s="13"/>
      <c r="K844" s="13" t="s">
        <v>6228</v>
      </c>
      <c r="L844" s="13" t="s">
        <v>6229</v>
      </c>
    </row>
    <row r="845" customFormat="false" ht="23.85" hidden="false" customHeight="false" outlineLevel="0" collapsed="false">
      <c r="A845" s="13" t="s">
        <v>4</v>
      </c>
      <c r="B845" s="13" t="s">
        <v>68</v>
      </c>
      <c r="C845" s="13" t="n">
        <v>150</v>
      </c>
      <c r="D845" s="13" t="s">
        <v>6230</v>
      </c>
      <c r="E845" s="13" t="s">
        <v>13260</v>
      </c>
      <c r="F845" s="13" t="s">
        <v>13261</v>
      </c>
      <c r="G845" s="13" t="s">
        <v>11098</v>
      </c>
      <c r="H845" s="13" t="s">
        <v>11099</v>
      </c>
      <c r="I845" s="13" t="s">
        <v>6231</v>
      </c>
      <c r="J845" s="13"/>
      <c r="K845" s="13" t="s">
        <v>6235</v>
      </c>
      <c r="L845" s="13" t="s">
        <v>6236</v>
      </c>
    </row>
    <row r="846" customFormat="false" ht="247.75" hidden="false" customHeight="false" outlineLevel="0" collapsed="false">
      <c r="A846" s="13" t="s">
        <v>4</v>
      </c>
      <c r="B846" s="13" t="s">
        <v>68</v>
      </c>
      <c r="C846" s="13" t="n">
        <v>150</v>
      </c>
      <c r="D846" s="13" t="s">
        <v>6237</v>
      </c>
      <c r="E846" s="13" t="s">
        <v>13262</v>
      </c>
      <c r="F846" s="13" t="s">
        <v>13263</v>
      </c>
      <c r="G846" s="13" t="s">
        <v>11098</v>
      </c>
      <c r="H846" s="13" t="s">
        <v>11099</v>
      </c>
      <c r="I846" s="13" t="s">
        <v>13264</v>
      </c>
      <c r="J846" s="13"/>
      <c r="K846" s="13" t="s">
        <v>6241</v>
      </c>
      <c r="L846" s="13" t="s">
        <v>6242</v>
      </c>
    </row>
    <row r="847" customFormat="false" ht="247.75" hidden="false" customHeight="false" outlineLevel="0" collapsed="false">
      <c r="A847" s="13" t="s">
        <v>4</v>
      </c>
      <c r="B847" s="13" t="s">
        <v>68</v>
      </c>
      <c r="C847" s="13" t="n">
        <v>150</v>
      </c>
      <c r="D847" s="13" t="s">
        <v>6237</v>
      </c>
      <c r="E847" s="13" t="s">
        <v>13265</v>
      </c>
      <c r="F847" s="13" t="s">
        <v>13266</v>
      </c>
      <c r="G847" s="13" t="s">
        <v>11098</v>
      </c>
      <c r="H847" s="13" t="s">
        <v>11099</v>
      </c>
      <c r="I847" s="13" t="s">
        <v>6246</v>
      </c>
      <c r="J847" s="13"/>
      <c r="K847" s="13" t="s">
        <v>6241</v>
      </c>
      <c r="L847" s="13" t="s">
        <v>6242</v>
      </c>
    </row>
    <row r="848" customFormat="false" ht="35.05" hidden="false" customHeight="false" outlineLevel="0" collapsed="false">
      <c r="A848" s="13" t="s">
        <v>4</v>
      </c>
      <c r="B848" s="13" t="s">
        <v>68</v>
      </c>
      <c r="C848" s="13" t="n">
        <v>155</v>
      </c>
      <c r="D848" s="13" t="s">
        <v>6249</v>
      </c>
      <c r="E848" s="13" t="s">
        <v>13267</v>
      </c>
      <c r="F848" s="13" t="s">
        <v>13268</v>
      </c>
      <c r="G848" s="13" t="s">
        <v>11098</v>
      </c>
      <c r="H848" s="13" t="s">
        <v>11099</v>
      </c>
      <c r="I848" s="13" t="s">
        <v>6250</v>
      </c>
      <c r="J848" s="13"/>
      <c r="K848" s="13" t="s">
        <v>6252</v>
      </c>
      <c r="L848" s="13" t="s">
        <v>6253</v>
      </c>
    </row>
    <row r="849" customFormat="false" ht="15" hidden="false" customHeight="false" outlineLevel="0" collapsed="false">
      <c r="A849" s="13" t="s">
        <v>4</v>
      </c>
      <c r="B849" s="13" t="s">
        <v>68</v>
      </c>
      <c r="C849" s="13" t="n">
        <v>155</v>
      </c>
      <c r="D849" s="13" t="s">
        <v>6254</v>
      </c>
      <c r="E849" s="13" t="s">
        <v>13269</v>
      </c>
      <c r="F849" s="13" t="s">
        <v>13270</v>
      </c>
      <c r="G849" s="13" t="s">
        <v>11098</v>
      </c>
      <c r="H849" s="13" t="s">
        <v>11099</v>
      </c>
      <c r="I849" s="13" t="s">
        <v>6255</v>
      </c>
      <c r="J849" s="13"/>
      <c r="K849" s="13" t="s">
        <v>6259</v>
      </c>
      <c r="L849" s="13" t="s">
        <v>6260</v>
      </c>
    </row>
    <row r="850" customFormat="false" ht="68.65" hidden="false" customHeight="false" outlineLevel="0" collapsed="false">
      <c r="A850" s="13" t="s">
        <v>4</v>
      </c>
      <c r="B850" s="13" t="s">
        <v>68</v>
      </c>
      <c r="C850" s="13" t="n">
        <v>155</v>
      </c>
      <c r="D850" s="13" t="s">
        <v>6261</v>
      </c>
      <c r="E850" s="13" t="s">
        <v>13271</v>
      </c>
      <c r="F850" s="13" t="s">
        <v>13272</v>
      </c>
      <c r="G850" s="13" t="s">
        <v>11128</v>
      </c>
      <c r="H850" s="13" t="s">
        <v>11099</v>
      </c>
      <c r="I850" s="13"/>
      <c r="J850" s="13"/>
      <c r="K850" s="13" t="s">
        <v>6264</v>
      </c>
      <c r="L850" s="13" t="s">
        <v>6265</v>
      </c>
    </row>
    <row r="851" customFormat="false" ht="68.65" hidden="false" customHeight="false" outlineLevel="0" collapsed="false">
      <c r="A851" s="13" t="s">
        <v>4</v>
      </c>
      <c r="B851" s="13" t="s">
        <v>68</v>
      </c>
      <c r="C851" s="13" t="n">
        <v>155</v>
      </c>
      <c r="D851" s="13" t="s">
        <v>6261</v>
      </c>
      <c r="E851" s="13" t="s">
        <v>13273</v>
      </c>
      <c r="F851" s="13" t="s">
        <v>13274</v>
      </c>
      <c r="G851" s="13" t="s">
        <v>11098</v>
      </c>
      <c r="H851" s="13" t="s">
        <v>11099</v>
      </c>
      <c r="I851" s="13" t="s">
        <v>6262</v>
      </c>
      <c r="J851" s="13"/>
      <c r="K851" s="13" t="s">
        <v>6264</v>
      </c>
      <c r="L851" s="13" t="s">
        <v>6265</v>
      </c>
    </row>
    <row r="852" customFormat="false" ht="35.05" hidden="false" customHeight="false" outlineLevel="0" collapsed="false">
      <c r="A852" s="13" t="s">
        <v>4</v>
      </c>
      <c r="B852" s="13" t="s">
        <v>68</v>
      </c>
      <c r="C852" s="13" t="n">
        <v>155</v>
      </c>
      <c r="D852" s="13" t="s">
        <v>6266</v>
      </c>
      <c r="E852" s="13" t="s">
        <v>13275</v>
      </c>
      <c r="F852" s="13" t="s">
        <v>13276</v>
      </c>
      <c r="G852" s="13" t="s">
        <v>11098</v>
      </c>
      <c r="H852" s="13" t="s">
        <v>11099</v>
      </c>
      <c r="I852" s="13" t="s">
        <v>6267</v>
      </c>
      <c r="J852" s="13"/>
      <c r="K852" s="13" t="s">
        <v>6271</v>
      </c>
      <c r="L852" s="13" t="s">
        <v>6272</v>
      </c>
    </row>
    <row r="853" customFormat="false" ht="57.45" hidden="false" customHeight="false" outlineLevel="0" collapsed="false">
      <c r="A853" s="13" t="s">
        <v>4</v>
      </c>
      <c r="B853" s="13" t="s">
        <v>68</v>
      </c>
      <c r="C853" s="13" t="n">
        <v>155</v>
      </c>
      <c r="D853" s="13" t="s">
        <v>6273</v>
      </c>
      <c r="E853" s="13" t="s">
        <v>13277</v>
      </c>
      <c r="F853" s="13" t="s">
        <v>13278</v>
      </c>
      <c r="G853" s="13" t="s">
        <v>11098</v>
      </c>
      <c r="H853" s="13" t="s">
        <v>11099</v>
      </c>
      <c r="I853" s="13" t="s">
        <v>13279</v>
      </c>
      <c r="J853" s="13"/>
      <c r="K853" s="13" t="s">
        <v>6277</v>
      </c>
      <c r="L853" s="13" t="s">
        <v>6278</v>
      </c>
    </row>
    <row r="854" customFormat="false" ht="57.45" hidden="false" customHeight="false" outlineLevel="0" collapsed="false">
      <c r="A854" s="13" t="s">
        <v>4</v>
      </c>
      <c r="B854" s="13" t="s">
        <v>68</v>
      </c>
      <c r="C854" s="13" t="n">
        <v>155</v>
      </c>
      <c r="D854" s="13" t="s">
        <v>6273</v>
      </c>
      <c r="E854" s="13" t="s">
        <v>13280</v>
      </c>
      <c r="F854" s="13" t="s">
        <v>13281</v>
      </c>
      <c r="G854" s="13" t="s">
        <v>11098</v>
      </c>
      <c r="H854" s="13" t="s">
        <v>11099</v>
      </c>
      <c r="I854" s="13" t="s">
        <v>6282</v>
      </c>
      <c r="J854" s="13"/>
      <c r="K854" s="13" t="s">
        <v>6277</v>
      </c>
      <c r="L854" s="13" t="s">
        <v>6278</v>
      </c>
    </row>
    <row r="855" customFormat="false" ht="46.25" hidden="false" customHeight="false" outlineLevel="0" collapsed="false">
      <c r="A855" s="13" t="s">
        <v>4</v>
      </c>
      <c r="B855" s="13" t="s">
        <v>68</v>
      </c>
      <c r="C855" s="13" t="n">
        <v>155</v>
      </c>
      <c r="D855" s="13" t="s">
        <v>6285</v>
      </c>
      <c r="E855" s="13" t="s">
        <v>13282</v>
      </c>
      <c r="F855" s="13" t="s">
        <v>13283</v>
      </c>
      <c r="G855" s="13" t="s">
        <v>11098</v>
      </c>
      <c r="H855" s="13" t="s">
        <v>11099</v>
      </c>
      <c r="I855" s="13" t="s">
        <v>6286</v>
      </c>
      <c r="J855" s="13"/>
      <c r="K855" s="13" t="s">
        <v>6288</v>
      </c>
      <c r="L855" s="13" t="s">
        <v>6289</v>
      </c>
    </row>
    <row r="856" customFormat="false" ht="46.25" hidden="false" customHeight="false" outlineLevel="0" collapsed="false">
      <c r="A856" s="13" t="s">
        <v>4</v>
      </c>
      <c r="B856" s="13" t="s">
        <v>68</v>
      </c>
      <c r="C856" s="13" t="n">
        <v>155</v>
      </c>
      <c r="D856" s="13" t="s">
        <v>6285</v>
      </c>
      <c r="E856" s="13" t="s">
        <v>13284</v>
      </c>
      <c r="F856" s="13" t="s">
        <v>13285</v>
      </c>
      <c r="G856" s="13" t="s">
        <v>11098</v>
      </c>
      <c r="H856" s="13" t="s">
        <v>11099</v>
      </c>
      <c r="I856" s="13" t="s">
        <v>6290</v>
      </c>
      <c r="J856" s="13"/>
      <c r="K856" s="13" t="s">
        <v>6288</v>
      </c>
      <c r="L856" s="13" t="s">
        <v>6289</v>
      </c>
    </row>
    <row r="857" customFormat="false" ht="102.2" hidden="false" customHeight="false" outlineLevel="0" collapsed="false">
      <c r="A857" s="13" t="s">
        <v>4</v>
      </c>
      <c r="B857" s="13" t="s">
        <v>68</v>
      </c>
      <c r="C857" s="13" t="n">
        <v>155</v>
      </c>
      <c r="D857" s="13" t="s">
        <v>6293</v>
      </c>
      <c r="E857" s="13" t="s">
        <v>13286</v>
      </c>
      <c r="F857" s="13" t="s">
        <v>13287</v>
      </c>
      <c r="G857" s="13" t="s">
        <v>11098</v>
      </c>
      <c r="H857" s="13" t="s">
        <v>11099</v>
      </c>
      <c r="I857" s="13" t="s">
        <v>13288</v>
      </c>
      <c r="J857" s="13"/>
      <c r="K857" s="13" t="s">
        <v>6297</v>
      </c>
      <c r="L857" s="13" t="s">
        <v>6298</v>
      </c>
    </row>
    <row r="858" customFormat="false" ht="102.2" hidden="false" customHeight="false" outlineLevel="0" collapsed="false">
      <c r="A858" s="13" t="s">
        <v>4</v>
      </c>
      <c r="B858" s="13" t="s">
        <v>68</v>
      </c>
      <c r="C858" s="13" t="n">
        <v>155</v>
      </c>
      <c r="D858" s="13" t="s">
        <v>6293</v>
      </c>
      <c r="E858" s="13" t="s">
        <v>13289</v>
      </c>
      <c r="F858" s="13" t="s">
        <v>13290</v>
      </c>
      <c r="G858" s="13" t="s">
        <v>11098</v>
      </c>
      <c r="H858" s="13" t="s">
        <v>11099</v>
      </c>
      <c r="I858" s="13" t="s">
        <v>6302</v>
      </c>
      <c r="J858" s="13"/>
      <c r="K858" s="13" t="s">
        <v>6297</v>
      </c>
      <c r="L858" s="13" t="s">
        <v>6298</v>
      </c>
    </row>
    <row r="859" customFormat="false" ht="35.05" hidden="false" customHeight="false" outlineLevel="0" collapsed="false">
      <c r="A859" s="13" t="s">
        <v>4</v>
      </c>
      <c r="B859" s="13" t="s">
        <v>68</v>
      </c>
      <c r="C859" s="13" t="n">
        <v>157</v>
      </c>
      <c r="D859" s="13" t="s">
        <v>6305</v>
      </c>
      <c r="E859" s="13" t="s">
        <v>13291</v>
      </c>
      <c r="F859" s="13" t="s">
        <v>13292</v>
      </c>
      <c r="G859" s="13" t="s">
        <v>11098</v>
      </c>
      <c r="H859" s="13" t="s">
        <v>11099</v>
      </c>
      <c r="I859" s="13" t="s">
        <v>13293</v>
      </c>
      <c r="J859" s="13"/>
      <c r="K859" s="13" t="s">
        <v>6310</v>
      </c>
      <c r="L859" s="13" t="s">
        <v>6311</v>
      </c>
    </row>
    <row r="860" customFormat="false" ht="23.85" hidden="false" customHeight="false" outlineLevel="0" collapsed="false">
      <c r="A860" s="13" t="s">
        <v>4</v>
      </c>
      <c r="B860" s="13" t="s">
        <v>68</v>
      </c>
      <c r="C860" s="13" t="n">
        <v>157</v>
      </c>
      <c r="D860" s="13" t="s">
        <v>6315</v>
      </c>
      <c r="E860" s="13" t="s">
        <v>13294</v>
      </c>
      <c r="F860" s="13" t="s">
        <v>13295</v>
      </c>
      <c r="G860" s="13" t="s">
        <v>11098</v>
      </c>
      <c r="H860" s="13" t="s">
        <v>11099</v>
      </c>
      <c r="I860" s="13" t="s">
        <v>6316</v>
      </c>
      <c r="J860" s="13"/>
      <c r="K860" s="13" t="s">
        <v>6320</v>
      </c>
      <c r="L860" s="13" t="s">
        <v>6321</v>
      </c>
    </row>
    <row r="861" customFormat="false" ht="46.25" hidden="false" customHeight="false" outlineLevel="0" collapsed="false">
      <c r="A861" s="13" t="s">
        <v>4</v>
      </c>
      <c r="B861" s="13" t="s">
        <v>68</v>
      </c>
      <c r="C861" s="13" t="n">
        <v>157</v>
      </c>
      <c r="D861" s="13" t="s">
        <v>6322</v>
      </c>
      <c r="E861" s="13" t="s">
        <v>13296</v>
      </c>
      <c r="F861" s="13" t="s">
        <v>13297</v>
      </c>
      <c r="G861" s="13" t="s">
        <v>11098</v>
      </c>
      <c r="H861" s="13" t="s">
        <v>11099</v>
      </c>
      <c r="I861" s="13" t="s">
        <v>6323</v>
      </c>
      <c r="J861" s="13"/>
      <c r="K861" s="13" t="s">
        <v>6325</v>
      </c>
      <c r="L861" s="13" t="s">
        <v>6326</v>
      </c>
    </row>
    <row r="862" customFormat="false" ht="46.25" hidden="false" customHeight="false" outlineLevel="0" collapsed="false">
      <c r="A862" s="13" t="s">
        <v>4</v>
      </c>
      <c r="B862" s="13" t="s">
        <v>68</v>
      </c>
      <c r="C862" s="13" t="n">
        <v>157</v>
      </c>
      <c r="D862" s="13" t="s">
        <v>6327</v>
      </c>
      <c r="E862" s="13" t="s">
        <v>13298</v>
      </c>
      <c r="F862" s="13" t="s">
        <v>13299</v>
      </c>
      <c r="G862" s="13" t="s">
        <v>11098</v>
      </c>
      <c r="H862" s="13" t="s">
        <v>11099</v>
      </c>
      <c r="I862" s="13" t="s">
        <v>6328</v>
      </c>
      <c r="J862" s="13"/>
      <c r="K862" s="13" t="s">
        <v>6331</v>
      </c>
      <c r="L862" s="13" t="s">
        <v>6332</v>
      </c>
    </row>
    <row r="863" customFormat="false" ht="46.25" hidden="false" customHeight="false" outlineLevel="0" collapsed="false">
      <c r="A863" s="13" t="s">
        <v>4</v>
      </c>
      <c r="B863" s="13" t="s">
        <v>68</v>
      </c>
      <c r="C863" s="13" t="n">
        <v>157</v>
      </c>
      <c r="D863" s="13" t="s">
        <v>6327</v>
      </c>
      <c r="E863" s="13" t="s">
        <v>13300</v>
      </c>
      <c r="F863" s="13" t="s">
        <v>13301</v>
      </c>
      <c r="G863" s="13" t="s">
        <v>11098</v>
      </c>
      <c r="H863" s="13" t="s">
        <v>11099</v>
      </c>
      <c r="I863" s="13" t="s">
        <v>6333</v>
      </c>
      <c r="J863" s="13"/>
      <c r="K863" s="13" t="s">
        <v>6331</v>
      </c>
      <c r="L863" s="13" t="s">
        <v>6332</v>
      </c>
    </row>
    <row r="864" customFormat="false" ht="57.45" hidden="false" customHeight="false" outlineLevel="0" collapsed="false">
      <c r="A864" s="13" t="s">
        <v>4</v>
      </c>
      <c r="B864" s="13" t="s">
        <v>68</v>
      </c>
      <c r="C864" s="13" t="n">
        <v>157</v>
      </c>
      <c r="D864" s="13" t="s">
        <v>6337</v>
      </c>
      <c r="E864" s="13" t="s">
        <v>13302</v>
      </c>
      <c r="F864" s="13" t="s">
        <v>13303</v>
      </c>
      <c r="G864" s="13" t="s">
        <v>11098</v>
      </c>
      <c r="H864" s="13" t="s">
        <v>11099</v>
      </c>
      <c r="I864" s="13" t="s">
        <v>6338</v>
      </c>
      <c r="J864" s="13"/>
      <c r="K864" s="13" t="s">
        <v>6342</v>
      </c>
      <c r="L864" s="13" t="s">
        <v>6343</v>
      </c>
    </row>
    <row r="865" customFormat="false" ht="35.05" hidden="false" customHeight="false" outlineLevel="0" collapsed="false">
      <c r="A865" s="13" t="s">
        <v>4</v>
      </c>
      <c r="B865" s="13" t="s">
        <v>68</v>
      </c>
      <c r="C865" s="13" t="n">
        <v>157</v>
      </c>
      <c r="D865" s="13" t="s">
        <v>6344</v>
      </c>
      <c r="E865" s="13" t="s">
        <v>13304</v>
      </c>
      <c r="F865" s="13" t="s">
        <v>13305</v>
      </c>
      <c r="G865" s="13" t="s">
        <v>11098</v>
      </c>
      <c r="H865" s="13" t="s">
        <v>11099</v>
      </c>
      <c r="I865" s="13" t="s">
        <v>6345</v>
      </c>
      <c r="J865" s="13"/>
      <c r="K865" s="13" t="s">
        <v>6348</v>
      </c>
      <c r="L865" s="13" t="s">
        <v>6349</v>
      </c>
    </row>
    <row r="866" customFormat="false" ht="23.85" hidden="false" customHeight="false" outlineLevel="0" collapsed="false">
      <c r="A866" s="13" t="s">
        <v>4</v>
      </c>
      <c r="B866" s="13" t="s">
        <v>68</v>
      </c>
      <c r="C866" s="13" t="n">
        <v>157</v>
      </c>
      <c r="D866" s="13" t="s">
        <v>6350</v>
      </c>
      <c r="E866" s="13" t="s">
        <v>13306</v>
      </c>
      <c r="F866" s="13" t="s">
        <v>13307</v>
      </c>
      <c r="G866" s="13" t="s">
        <v>11098</v>
      </c>
      <c r="H866" s="13" t="s">
        <v>11099</v>
      </c>
      <c r="I866" s="13" t="s">
        <v>6351</v>
      </c>
      <c r="J866" s="13"/>
      <c r="K866" s="13" t="s">
        <v>6352</v>
      </c>
      <c r="L866" s="13" t="s">
        <v>6353</v>
      </c>
    </row>
    <row r="867" customFormat="false" ht="23.85" hidden="false" customHeight="false" outlineLevel="0" collapsed="false">
      <c r="A867" s="13" t="s">
        <v>4</v>
      </c>
      <c r="B867" s="13" t="s">
        <v>68</v>
      </c>
      <c r="C867" s="13" t="n">
        <v>157</v>
      </c>
      <c r="D867" s="13" t="s">
        <v>6354</v>
      </c>
      <c r="E867" s="13" t="s">
        <v>13308</v>
      </c>
      <c r="F867" s="13" t="s">
        <v>13309</v>
      </c>
      <c r="G867" s="13" t="s">
        <v>11098</v>
      </c>
      <c r="H867" s="13" t="s">
        <v>11099</v>
      </c>
      <c r="I867" s="13" t="s">
        <v>6355</v>
      </c>
      <c r="J867" s="13"/>
      <c r="K867" s="13" t="s">
        <v>6356</v>
      </c>
      <c r="L867" s="13" t="s">
        <v>6357</v>
      </c>
    </row>
    <row r="868" customFormat="false" ht="23.85" hidden="false" customHeight="false" outlineLevel="0" collapsed="false">
      <c r="A868" s="13" t="s">
        <v>4</v>
      </c>
      <c r="B868" s="13" t="s">
        <v>68</v>
      </c>
      <c r="C868" s="13" t="n">
        <v>157</v>
      </c>
      <c r="D868" s="13" t="s">
        <v>6358</v>
      </c>
      <c r="E868" s="13" t="s">
        <v>13310</v>
      </c>
      <c r="F868" s="13" t="s">
        <v>13311</v>
      </c>
      <c r="G868" s="13" t="s">
        <v>11098</v>
      </c>
      <c r="H868" s="13" t="s">
        <v>11099</v>
      </c>
      <c r="I868" s="13" t="s">
        <v>6359</v>
      </c>
      <c r="J868" s="13"/>
      <c r="K868" s="13" t="s">
        <v>6362</v>
      </c>
      <c r="L868" s="13" t="s">
        <v>6363</v>
      </c>
    </row>
    <row r="869" customFormat="false" ht="23.85" hidden="false" customHeight="false" outlineLevel="0" collapsed="false">
      <c r="A869" s="13" t="s">
        <v>4</v>
      </c>
      <c r="B869" s="13" t="s">
        <v>68</v>
      </c>
      <c r="C869" s="13" t="n">
        <v>157</v>
      </c>
      <c r="D869" s="13" t="s">
        <v>6364</v>
      </c>
      <c r="E869" s="13" t="s">
        <v>13312</v>
      </c>
      <c r="F869" s="13" t="s">
        <v>13313</v>
      </c>
      <c r="G869" s="13" t="s">
        <v>11098</v>
      </c>
      <c r="H869" s="13" t="s">
        <v>11099</v>
      </c>
      <c r="I869" s="13" t="s">
        <v>6365</v>
      </c>
      <c r="J869" s="13"/>
      <c r="K869" s="13" t="s">
        <v>6367</v>
      </c>
      <c r="L869" s="13" t="s">
        <v>6368</v>
      </c>
    </row>
    <row r="870" customFormat="false" ht="247.75" hidden="false" customHeight="false" outlineLevel="0" collapsed="false">
      <c r="A870" s="13" t="s">
        <v>4</v>
      </c>
      <c r="B870" s="13" t="s">
        <v>68</v>
      </c>
      <c r="C870" s="13" t="n">
        <v>157</v>
      </c>
      <c r="D870" s="13" t="s">
        <v>6369</v>
      </c>
      <c r="E870" s="13" t="s">
        <v>13314</v>
      </c>
      <c r="F870" s="13" t="s">
        <v>13315</v>
      </c>
      <c r="G870" s="13" t="s">
        <v>11128</v>
      </c>
      <c r="H870" s="13" t="s">
        <v>11099</v>
      </c>
      <c r="I870" s="13"/>
      <c r="J870" s="13"/>
      <c r="K870" s="13" t="s">
        <v>6373</v>
      </c>
      <c r="L870" s="13" t="s">
        <v>6374</v>
      </c>
    </row>
    <row r="871" customFormat="false" ht="247.75" hidden="false" customHeight="false" outlineLevel="0" collapsed="false">
      <c r="A871" s="13" t="s">
        <v>4</v>
      </c>
      <c r="B871" s="13" t="s">
        <v>68</v>
      </c>
      <c r="C871" s="13" t="n">
        <v>157</v>
      </c>
      <c r="D871" s="13" t="s">
        <v>6369</v>
      </c>
      <c r="E871" s="13" t="s">
        <v>13316</v>
      </c>
      <c r="F871" s="13" t="s">
        <v>13317</v>
      </c>
      <c r="G871" s="13" t="s">
        <v>11098</v>
      </c>
      <c r="H871" s="13" t="s">
        <v>11099</v>
      </c>
      <c r="I871" s="13" t="s">
        <v>6370</v>
      </c>
      <c r="J871" s="13"/>
      <c r="K871" s="13" t="s">
        <v>6373</v>
      </c>
      <c r="L871" s="13" t="s">
        <v>6374</v>
      </c>
    </row>
    <row r="872" customFormat="false" ht="247.75" hidden="false" customHeight="false" outlineLevel="0" collapsed="false">
      <c r="A872" s="13" t="s">
        <v>4</v>
      </c>
      <c r="B872" s="13" t="s">
        <v>68</v>
      </c>
      <c r="C872" s="13" t="n">
        <v>157</v>
      </c>
      <c r="D872" s="13" t="s">
        <v>6369</v>
      </c>
      <c r="E872" s="13" t="s">
        <v>13318</v>
      </c>
      <c r="F872" s="13" t="s">
        <v>13319</v>
      </c>
      <c r="G872" s="13" t="s">
        <v>11098</v>
      </c>
      <c r="H872" s="13" t="s">
        <v>11099</v>
      </c>
      <c r="I872" s="13" t="s">
        <v>6375</v>
      </c>
      <c r="J872" s="13"/>
      <c r="K872" s="13" t="s">
        <v>6373</v>
      </c>
      <c r="L872" s="13" t="s">
        <v>6374</v>
      </c>
    </row>
    <row r="873" customFormat="false" ht="247.75" hidden="false" customHeight="false" outlineLevel="0" collapsed="false">
      <c r="A873" s="13" t="s">
        <v>4</v>
      </c>
      <c r="B873" s="13" t="s">
        <v>68</v>
      </c>
      <c r="C873" s="13" t="n">
        <v>157</v>
      </c>
      <c r="D873" s="13" t="s">
        <v>6369</v>
      </c>
      <c r="E873" s="13" t="s">
        <v>13320</v>
      </c>
      <c r="F873" s="13" t="s">
        <v>13321</v>
      </c>
      <c r="G873" s="13" t="s">
        <v>11098</v>
      </c>
      <c r="H873" s="13" t="s">
        <v>11099</v>
      </c>
      <c r="I873" s="13" t="s">
        <v>13322</v>
      </c>
      <c r="J873" s="13"/>
      <c r="K873" s="13" t="s">
        <v>6373</v>
      </c>
      <c r="L873" s="13" t="s">
        <v>6374</v>
      </c>
    </row>
    <row r="874" customFormat="false" ht="247.75" hidden="false" customHeight="false" outlineLevel="0" collapsed="false">
      <c r="A874" s="13" t="s">
        <v>4</v>
      </c>
      <c r="B874" s="13" t="s">
        <v>68</v>
      </c>
      <c r="C874" s="13" t="n">
        <v>157</v>
      </c>
      <c r="D874" s="13" t="s">
        <v>6369</v>
      </c>
      <c r="E874" s="13" t="s">
        <v>13323</v>
      </c>
      <c r="F874" s="13" t="s">
        <v>13324</v>
      </c>
      <c r="G874" s="13" t="s">
        <v>11098</v>
      </c>
      <c r="H874" s="13" t="s">
        <v>11099</v>
      </c>
      <c r="I874" s="13" t="s">
        <v>6383</v>
      </c>
      <c r="J874" s="13"/>
      <c r="K874" s="13" t="s">
        <v>6373</v>
      </c>
      <c r="L874" s="13" t="s">
        <v>6374</v>
      </c>
    </row>
    <row r="875" customFormat="false" ht="23.85" hidden="false" customHeight="false" outlineLevel="0" collapsed="false">
      <c r="A875" s="13" t="s">
        <v>4</v>
      </c>
      <c r="B875" s="13" t="s">
        <v>68</v>
      </c>
      <c r="C875" s="13" t="n">
        <v>157</v>
      </c>
      <c r="D875" s="13" t="s">
        <v>6386</v>
      </c>
      <c r="E875" s="13" t="s">
        <v>13325</v>
      </c>
      <c r="F875" s="13" t="s">
        <v>13326</v>
      </c>
      <c r="G875" s="13" t="s">
        <v>11098</v>
      </c>
      <c r="H875" s="13" t="s">
        <v>11099</v>
      </c>
      <c r="I875" s="13" t="s">
        <v>6387</v>
      </c>
      <c r="J875" s="13"/>
      <c r="K875" s="13" t="s">
        <v>6389</v>
      </c>
      <c r="L875" s="13" t="s">
        <v>6390</v>
      </c>
    </row>
    <row r="876" customFormat="false" ht="23.85" hidden="false" customHeight="false" outlineLevel="0" collapsed="false">
      <c r="A876" s="13" t="s">
        <v>4</v>
      </c>
      <c r="B876" s="13" t="s">
        <v>68</v>
      </c>
      <c r="C876" s="13" t="n">
        <v>165</v>
      </c>
      <c r="D876" s="13" t="s">
        <v>6391</v>
      </c>
      <c r="E876" s="13" t="s">
        <v>13327</v>
      </c>
      <c r="F876" s="13" t="s">
        <v>13328</v>
      </c>
      <c r="G876" s="13" t="s">
        <v>11098</v>
      </c>
      <c r="H876" s="13" t="s">
        <v>11099</v>
      </c>
      <c r="I876" s="13" t="s">
        <v>6397</v>
      </c>
      <c r="J876" s="13"/>
      <c r="K876" s="13" t="s">
        <v>6395</v>
      </c>
      <c r="L876" s="13" t="s">
        <v>6396</v>
      </c>
    </row>
    <row r="877" customFormat="false" ht="35.05" hidden="false" customHeight="false" outlineLevel="0" collapsed="false">
      <c r="A877" s="13" t="s">
        <v>4</v>
      </c>
      <c r="B877" s="13" t="s">
        <v>68</v>
      </c>
      <c r="C877" s="13" t="n">
        <v>165</v>
      </c>
      <c r="D877" s="13" t="s">
        <v>6391</v>
      </c>
      <c r="E877" s="13" t="s">
        <v>13329</v>
      </c>
      <c r="F877" s="13" t="s">
        <v>13330</v>
      </c>
      <c r="G877" s="13" t="s">
        <v>11315</v>
      </c>
      <c r="H877" s="13" t="s">
        <v>11099</v>
      </c>
      <c r="I877" s="13" t="s">
        <v>6392</v>
      </c>
      <c r="J877" s="13" t="s">
        <v>13331</v>
      </c>
      <c r="K877" s="13" t="s">
        <v>6395</v>
      </c>
      <c r="L877" s="13" t="s">
        <v>6396</v>
      </c>
    </row>
    <row r="878" customFormat="false" ht="281.3" hidden="false" customHeight="false" outlineLevel="0" collapsed="false">
      <c r="A878" s="13" t="s">
        <v>4</v>
      </c>
      <c r="B878" s="13" t="s">
        <v>68</v>
      </c>
      <c r="C878" s="13" t="n">
        <v>165</v>
      </c>
      <c r="D878" s="13" t="s">
        <v>6400</v>
      </c>
      <c r="E878" s="13" t="s">
        <v>13332</v>
      </c>
      <c r="F878" s="13" t="s">
        <v>13333</v>
      </c>
      <c r="G878" s="13" t="s">
        <v>11098</v>
      </c>
      <c r="H878" s="13" t="s">
        <v>11099</v>
      </c>
      <c r="I878" s="13" t="s">
        <v>13334</v>
      </c>
      <c r="J878" s="13"/>
      <c r="K878" s="13" t="s">
        <v>6402</v>
      </c>
      <c r="L878" s="13" t="s">
        <v>6403</v>
      </c>
    </row>
    <row r="879" customFormat="false" ht="281.3" hidden="false" customHeight="false" outlineLevel="0" collapsed="false">
      <c r="A879" s="13" t="s">
        <v>4</v>
      </c>
      <c r="B879" s="13" t="s">
        <v>68</v>
      </c>
      <c r="C879" s="13" t="n">
        <v>165</v>
      </c>
      <c r="D879" s="13" t="s">
        <v>6400</v>
      </c>
      <c r="E879" s="13" t="s">
        <v>13335</v>
      </c>
      <c r="F879" s="13" t="s">
        <v>13336</v>
      </c>
      <c r="G879" s="13" t="s">
        <v>11098</v>
      </c>
      <c r="H879" s="13" t="s">
        <v>11099</v>
      </c>
      <c r="I879" s="13" t="s">
        <v>6404</v>
      </c>
      <c r="J879" s="13"/>
      <c r="K879" s="13" t="s">
        <v>6402</v>
      </c>
      <c r="L879" s="13" t="s">
        <v>6403</v>
      </c>
    </row>
    <row r="880" customFormat="false" ht="281.3" hidden="false" customHeight="false" outlineLevel="0" collapsed="false">
      <c r="A880" s="13" t="s">
        <v>4</v>
      </c>
      <c r="B880" s="13" t="s">
        <v>68</v>
      </c>
      <c r="C880" s="13" t="n">
        <v>165</v>
      </c>
      <c r="D880" s="13" t="s">
        <v>6400</v>
      </c>
      <c r="E880" s="13" t="s">
        <v>13337</v>
      </c>
      <c r="F880" s="13" t="s">
        <v>13338</v>
      </c>
      <c r="G880" s="13" t="s">
        <v>11098</v>
      </c>
      <c r="H880" s="13" t="s">
        <v>11099</v>
      </c>
      <c r="I880" s="13" t="s">
        <v>13339</v>
      </c>
      <c r="J880" s="13"/>
      <c r="K880" s="13" t="s">
        <v>6402</v>
      </c>
      <c r="L880" s="13" t="s">
        <v>6403</v>
      </c>
    </row>
    <row r="881" customFormat="false" ht="23.85" hidden="false" customHeight="false" outlineLevel="0" collapsed="false">
      <c r="A881" s="13" t="s">
        <v>4</v>
      </c>
      <c r="B881" s="13" t="s">
        <v>68</v>
      </c>
      <c r="C881" s="13" t="n">
        <v>165</v>
      </c>
      <c r="D881" s="13" t="s">
        <v>6413</v>
      </c>
      <c r="E881" s="13" t="s">
        <v>13340</v>
      </c>
      <c r="F881" s="13" t="s">
        <v>13341</v>
      </c>
      <c r="G881" s="13" t="s">
        <v>11098</v>
      </c>
      <c r="H881" s="13" t="s">
        <v>11099</v>
      </c>
      <c r="I881" s="13" t="s">
        <v>6414</v>
      </c>
      <c r="J881" s="13"/>
      <c r="K881" s="13" t="s">
        <v>6416</v>
      </c>
      <c r="L881" s="13" t="s">
        <v>6417</v>
      </c>
    </row>
    <row r="882" customFormat="false" ht="57.45" hidden="false" customHeight="false" outlineLevel="0" collapsed="false">
      <c r="A882" s="13" t="s">
        <v>4</v>
      </c>
      <c r="B882" s="13" t="s">
        <v>68</v>
      </c>
      <c r="C882" s="13" t="n">
        <v>165</v>
      </c>
      <c r="D882" s="13" t="s">
        <v>6418</v>
      </c>
      <c r="E882" s="13" t="s">
        <v>13342</v>
      </c>
      <c r="F882" s="13" t="s">
        <v>13343</v>
      </c>
      <c r="G882" s="13" t="s">
        <v>11098</v>
      </c>
      <c r="H882" s="13" t="s">
        <v>11099</v>
      </c>
      <c r="I882" s="13" t="s">
        <v>6419</v>
      </c>
      <c r="J882" s="13"/>
      <c r="K882" s="13" t="s">
        <v>6421</v>
      </c>
      <c r="L882" s="13" t="s">
        <v>6422</v>
      </c>
    </row>
    <row r="883" customFormat="false" ht="57.45" hidden="false" customHeight="false" outlineLevel="0" collapsed="false">
      <c r="A883" s="13" t="s">
        <v>4</v>
      </c>
      <c r="B883" s="13" t="s">
        <v>68</v>
      </c>
      <c r="C883" s="13" t="n">
        <v>165</v>
      </c>
      <c r="D883" s="13" t="s">
        <v>6418</v>
      </c>
      <c r="E883" s="13" t="s">
        <v>13344</v>
      </c>
      <c r="F883" s="13" t="s">
        <v>13345</v>
      </c>
      <c r="G883" s="13" t="s">
        <v>11098</v>
      </c>
      <c r="H883" s="13" t="s">
        <v>11099</v>
      </c>
      <c r="I883" s="13" t="s">
        <v>6423</v>
      </c>
      <c r="J883" s="13"/>
      <c r="K883" s="13" t="s">
        <v>6421</v>
      </c>
      <c r="L883" s="13" t="s">
        <v>6422</v>
      </c>
    </row>
    <row r="884" customFormat="false" ht="23.85" hidden="false" customHeight="false" outlineLevel="0" collapsed="false">
      <c r="A884" s="13" t="s">
        <v>4</v>
      </c>
      <c r="B884" s="13" t="s">
        <v>68</v>
      </c>
      <c r="C884" s="13" t="n">
        <v>165</v>
      </c>
      <c r="D884" s="13" t="s">
        <v>6425</v>
      </c>
      <c r="E884" s="13" t="s">
        <v>13346</v>
      </c>
      <c r="F884" s="13" t="s">
        <v>13347</v>
      </c>
      <c r="G884" s="13" t="s">
        <v>11098</v>
      </c>
      <c r="H884" s="13" t="s">
        <v>11099</v>
      </c>
      <c r="I884" s="13" t="s">
        <v>13348</v>
      </c>
      <c r="J884" s="13"/>
      <c r="K884" s="13" t="s">
        <v>6427</v>
      </c>
      <c r="L884" s="13" t="s">
        <v>6428</v>
      </c>
    </row>
    <row r="885" customFormat="false" ht="23.85" hidden="false" customHeight="false" outlineLevel="0" collapsed="false">
      <c r="A885" s="13" t="s">
        <v>4</v>
      </c>
      <c r="B885" s="13" t="s">
        <v>68</v>
      </c>
      <c r="C885" s="13" t="n">
        <v>165</v>
      </c>
      <c r="D885" s="13" t="s">
        <v>6425</v>
      </c>
      <c r="E885" s="13" t="s">
        <v>13349</v>
      </c>
      <c r="F885" s="13" t="s">
        <v>13350</v>
      </c>
      <c r="G885" s="13" t="s">
        <v>11098</v>
      </c>
      <c r="H885" s="13" t="s">
        <v>11099</v>
      </c>
      <c r="I885" s="13" t="s">
        <v>6430</v>
      </c>
      <c r="J885" s="13"/>
      <c r="K885" s="13" t="s">
        <v>6427</v>
      </c>
      <c r="L885" s="13" t="s">
        <v>6428</v>
      </c>
    </row>
    <row r="886" customFormat="false" ht="102.2" hidden="false" customHeight="false" outlineLevel="0" collapsed="false">
      <c r="A886" s="13" t="s">
        <v>4</v>
      </c>
      <c r="B886" s="13" t="s">
        <v>68</v>
      </c>
      <c r="C886" s="13" t="n">
        <v>213</v>
      </c>
      <c r="D886" s="13" t="s">
        <v>6434</v>
      </c>
      <c r="E886" s="13" t="s">
        <v>13351</v>
      </c>
      <c r="F886" s="13" t="s">
        <v>13352</v>
      </c>
      <c r="G886" s="13" t="s">
        <v>11098</v>
      </c>
      <c r="H886" s="13" t="s">
        <v>11099</v>
      </c>
      <c r="I886" s="13" t="s">
        <v>13353</v>
      </c>
      <c r="J886" s="13"/>
      <c r="K886" s="13" t="s">
        <v>6439</v>
      </c>
      <c r="L886" s="13" t="s">
        <v>6440</v>
      </c>
    </row>
    <row r="887" customFormat="false" ht="46.25" hidden="false" customHeight="false" outlineLevel="0" collapsed="false">
      <c r="A887" s="13" t="s">
        <v>4</v>
      </c>
      <c r="B887" s="13" t="s">
        <v>68</v>
      </c>
      <c r="C887" s="13" t="n">
        <v>213</v>
      </c>
      <c r="D887" s="13" t="s">
        <v>6444</v>
      </c>
      <c r="E887" s="13" t="s">
        <v>13354</v>
      </c>
      <c r="F887" s="13" t="s">
        <v>13355</v>
      </c>
      <c r="G887" s="13" t="s">
        <v>11098</v>
      </c>
      <c r="H887" s="13" t="s">
        <v>11099</v>
      </c>
      <c r="I887" s="13" t="s">
        <v>6445</v>
      </c>
      <c r="J887" s="13"/>
      <c r="K887" s="13" t="s">
        <v>6448</v>
      </c>
      <c r="L887" s="13" t="s">
        <v>6449</v>
      </c>
    </row>
    <row r="888" customFormat="false" ht="57.45" hidden="false" customHeight="false" outlineLevel="0" collapsed="false">
      <c r="A888" s="13" t="s">
        <v>4</v>
      </c>
      <c r="B888" s="13" t="s">
        <v>68</v>
      </c>
      <c r="C888" s="13" t="n">
        <v>213</v>
      </c>
      <c r="D888" s="13" t="s">
        <v>6450</v>
      </c>
      <c r="E888" s="13" t="s">
        <v>13356</v>
      </c>
      <c r="F888" s="13" t="s">
        <v>13357</v>
      </c>
      <c r="G888" s="13" t="s">
        <v>11098</v>
      </c>
      <c r="H888" s="13" t="s">
        <v>11099</v>
      </c>
      <c r="I888" s="13" t="s">
        <v>6451</v>
      </c>
      <c r="J888" s="13"/>
      <c r="K888" s="13" t="s">
        <v>6454</v>
      </c>
      <c r="L888" s="13" t="s">
        <v>6455</v>
      </c>
    </row>
    <row r="889" customFormat="false" ht="57.45" hidden="false" customHeight="false" outlineLevel="0" collapsed="false">
      <c r="A889" s="13" t="s">
        <v>4</v>
      </c>
      <c r="B889" s="13" t="s">
        <v>68</v>
      </c>
      <c r="C889" s="13" t="n">
        <v>213</v>
      </c>
      <c r="D889" s="13" t="s">
        <v>6450</v>
      </c>
      <c r="E889" s="13" t="s">
        <v>13358</v>
      </c>
      <c r="F889" s="13" t="s">
        <v>13359</v>
      </c>
      <c r="G889" s="13" t="s">
        <v>11098</v>
      </c>
      <c r="H889" s="13" t="s">
        <v>11099</v>
      </c>
      <c r="I889" s="13" t="s">
        <v>6456</v>
      </c>
      <c r="J889" s="13"/>
      <c r="K889" s="13" t="s">
        <v>6454</v>
      </c>
      <c r="L889" s="13" t="s">
        <v>6455</v>
      </c>
    </row>
    <row r="890" customFormat="false" ht="214.15" hidden="false" customHeight="false" outlineLevel="0" collapsed="false">
      <c r="A890" s="13" t="s">
        <v>4</v>
      </c>
      <c r="B890" s="13" t="s">
        <v>68</v>
      </c>
      <c r="C890" s="13" t="n">
        <v>213</v>
      </c>
      <c r="D890" s="13" t="s">
        <v>6459</v>
      </c>
      <c r="E890" s="13" t="s">
        <v>13360</v>
      </c>
      <c r="F890" s="13" t="s">
        <v>13361</v>
      </c>
      <c r="G890" s="13" t="s">
        <v>11098</v>
      </c>
      <c r="H890" s="13" t="s">
        <v>11099</v>
      </c>
      <c r="I890" s="13" t="s">
        <v>13362</v>
      </c>
      <c r="J890" s="13"/>
      <c r="K890" s="13" t="s">
        <v>6462</v>
      </c>
      <c r="L890" s="13" t="s">
        <v>6463</v>
      </c>
    </row>
    <row r="891" customFormat="false" ht="214.15" hidden="false" customHeight="false" outlineLevel="0" collapsed="false">
      <c r="A891" s="13" t="s">
        <v>4</v>
      </c>
      <c r="B891" s="13" t="s">
        <v>68</v>
      </c>
      <c r="C891" s="13" t="n">
        <v>213</v>
      </c>
      <c r="D891" s="13" t="s">
        <v>6459</v>
      </c>
      <c r="E891" s="13" t="s">
        <v>13363</v>
      </c>
      <c r="F891" s="13" t="s">
        <v>13364</v>
      </c>
      <c r="G891" s="13" t="s">
        <v>11098</v>
      </c>
      <c r="H891" s="13" t="s">
        <v>11099</v>
      </c>
      <c r="I891" s="13" t="s">
        <v>6467</v>
      </c>
      <c r="J891" s="13"/>
      <c r="K891" s="13" t="s">
        <v>6462</v>
      </c>
      <c r="L891" s="13" t="s">
        <v>6463</v>
      </c>
    </row>
    <row r="892" customFormat="false" ht="79.85" hidden="false" customHeight="false" outlineLevel="0" collapsed="false">
      <c r="A892" s="13" t="s">
        <v>4</v>
      </c>
      <c r="B892" s="13" t="s">
        <v>68</v>
      </c>
      <c r="C892" s="13" t="n">
        <v>258</v>
      </c>
      <c r="D892" s="13" t="s">
        <v>6475</v>
      </c>
      <c r="E892" s="13" t="s">
        <v>13365</v>
      </c>
      <c r="F892" s="13" t="s">
        <v>13366</v>
      </c>
      <c r="G892" s="13" t="s">
        <v>11098</v>
      </c>
      <c r="H892" s="13" t="s">
        <v>11099</v>
      </c>
      <c r="I892" s="13" t="s">
        <v>13367</v>
      </c>
      <c r="J892" s="13"/>
      <c r="K892" s="13" t="s">
        <v>6478</v>
      </c>
      <c r="L892" s="13" t="s">
        <v>6479</v>
      </c>
    </row>
    <row r="893" customFormat="false" ht="68.65" hidden="false" customHeight="false" outlineLevel="0" collapsed="false">
      <c r="A893" s="13" t="s">
        <v>4</v>
      </c>
      <c r="B893" s="13" t="s">
        <v>68</v>
      </c>
      <c r="C893" s="13" t="n">
        <v>258</v>
      </c>
      <c r="D893" s="13" t="s">
        <v>6488</v>
      </c>
      <c r="E893" s="13" t="s">
        <v>13368</v>
      </c>
      <c r="F893" s="13" t="s">
        <v>13369</v>
      </c>
      <c r="G893" s="13" t="s">
        <v>11098</v>
      </c>
      <c r="H893" s="13" t="s">
        <v>11099</v>
      </c>
      <c r="I893" s="13" t="s">
        <v>6489</v>
      </c>
      <c r="J893" s="13"/>
      <c r="K893" s="13" t="s">
        <v>6492</v>
      </c>
      <c r="L893" s="13" t="s">
        <v>6493</v>
      </c>
    </row>
    <row r="894" customFormat="false" ht="35.05" hidden="false" customHeight="false" outlineLevel="0" collapsed="false">
      <c r="A894" s="13" t="s">
        <v>4</v>
      </c>
      <c r="B894" s="13" t="s">
        <v>68</v>
      </c>
      <c r="C894" s="13" t="n">
        <v>258</v>
      </c>
      <c r="D894" s="13" t="s">
        <v>6494</v>
      </c>
      <c r="E894" s="13" t="s">
        <v>13370</v>
      </c>
      <c r="F894" s="13" t="s">
        <v>13371</v>
      </c>
      <c r="G894" s="13" t="s">
        <v>11098</v>
      </c>
      <c r="H894" s="13" t="s">
        <v>11099</v>
      </c>
      <c r="I894" s="13" t="s">
        <v>6495</v>
      </c>
      <c r="J894" s="13"/>
      <c r="K894" s="13" t="s">
        <v>6498</v>
      </c>
      <c r="L894" s="13" t="s">
        <v>6499</v>
      </c>
    </row>
    <row r="895" customFormat="false" ht="79.85" hidden="false" customHeight="false" outlineLevel="0" collapsed="false">
      <c r="A895" s="13" t="s">
        <v>4</v>
      </c>
      <c r="B895" s="13" t="s">
        <v>68</v>
      </c>
      <c r="C895" s="13" t="n">
        <v>258</v>
      </c>
      <c r="D895" s="13" t="s">
        <v>6500</v>
      </c>
      <c r="E895" s="13" t="s">
        <v>13372</v>
      </c>
      <c r="F895" s="13" t="s">
        <v>13373</v>
      </c>
      <c r="G895" s="13" t="s">
        <v>11098</v>
      </c>
      <c r="H895" s="13" t="s">
        <v>11099</v>
      </c>
      <c r="I895" s="13" t="s">
        <v>13374</v>
      </c>
      <c r="J895" s="13"/>
      <c r="K895" s="13" t="s">
        <v>6505</v>
      </c>
      <c r="L895" s="13" t="s">
        <v>6506</v>
      </c>
    </row>
    <row r="896" customFormat="false" ht="79.85" hidden="false" customHeight="false" outlineLevel="0" collapsed="false">
      <c r="A896" s="13" t="s">
        <v>4</v>
      </c>
      <c r="B896" s="13" t="s">
        <v>68</v>
      </c>
      <c r="C896" s="13" t="n">
        <v>258</v>
      </c>
      <c r="D896" s="13" t="s">
        <v>6513</v>
      </c>
      <c r="E896" s="13" t="s">
        <v>13375</v>
      </c>
      <c r="F896" s="13" t="s">
        <v>13376</v>
      </c>
      <c r="G896" s="13" t="s">
        <v>11098</v>
      </c>
      <c r="H896" s="13" t="s">
        <v>11099</v>
      </c>
      <c r="I896" s="13" t="s">
        <v>6514</v>
      </c>
      <c r="J896" s="13"/>
      <c r="K896" s="13" t="s">
        <v>6517</v>
      </c>
      <c r="L896" s="13" t="s">
        <v>6518</v>
      </c>
    </row>
    <row r="897" customFormat="false" ht="79.85" hidden="false" customHeight="false" outlineLevel="0" collapsed="false">
      <c r="A897" s="13" t="s">
        <v>4</v>
      </c>
      <c r="B897" s="13" t="s">
        <v>68</v>
      </c>
      <c r="C897" s="13" t="n">
        <v>258</v>
      </c>
      <c r="D897" s="13" t="s">
        <v>6513</v>
      </c>
      <c r="E897" s="13" t="s">
        <v>13377</v>
      </c>
      <c r="F897" s="13" t="s">
        <v>13378</v>
      </c>
      <c r="G897" s="13" t="s">
        <v>11128</v>
      </c>
      <c r="H897" s="13" t="s">
        <v>11099</v>
      </c>
      <c r="I897" s="13"/>
      <c r="J897" s="13"/>
      <c r="K897" s="13" t="s">
        <v>6517</v>
      </c>
      <c r="L897" s="13" t="s">
        <v>6518</v>
      </c>
    </row>
    <row r="898" customFormat="false" ht="79.85" hidden="false" customHeight="false" outlineLevel="0" collapsed="false">
      <c r="A898" s="13" t="s">
        <v>4</v>
      </c>
      <c r="B898" s="13" t="s">
        <v>68</v>
      </c>
      <c r="C898" s="13" t="n">
        <v>258</v>
      </c>
      <c r="D898" s="13" t="s">
        <v>6513</v>
      </c>
      <c r="E898" s="13" t="s">
        <v>13379</v>
      </c>
      <c r="F898" s="13" t="s">
        <v>13380</v>
      </c>
      <c r="G898" s="13" t="s">
        <v>11098</v>
      </c>
      <c r="H898" s="13" t="s">
        <v>11099</v>
      </c>
      <c r="I898" s="13" t="s">
        <v>13381</v>
      </c>
      <c r="J898" s="13"/>
      <c r="K898" s="13" t="s">
        <v>6517</v>
      </c>
      <c r="L898" s="13" t="s">
        <v>6518</v>
      </c>
    </row>
    <row r="899" customFormat="false" ht="23.85" hidden="false" customHeight="false" outlineLevel="0" collapsed="false">
      <c r="A899" s="13" t="s">
        <v>4</v>
      </c>
      <c r="B899" s="13" t="s">
        <v>68</v>
      </c>
      <c r="C899" s="13" t="n">
        <v>258</v>
      </c>
      <c r="D899" s="13" t="s">
        <v>6528</v>
      </c>
      <c r="E899" s="13" t="s">
        <v>13382</v>
      </c>
      <c r="F899" s="13" t="s">
        <v>13383</v>
      </c>
      <c r="G899" s="13" t="s">
        <v>11098</v>
      </c>
      <c r="H899" s="13" t="s">
        <v>11099</v>
      </c>
      <c r="I899" s="13" t="s">
        <v>6529</v>
      </c>
      <c r="J899" s="13"/>
      <c r="K899" s="13" t="s">
        <v>6531</v>
      </c>
      <c r="L899" s="13" t="s">
        <v>6532</v>
      </c>
    </row>
    <row r="900" customFormat="false" ht="135.8" hidden="false" customHeight="false" outlineLevel="0" collapsed="false">
      <c r="A900" s="13" t="s">
        <v>4</v>
      </c>
      <c r="B900" s="13" t="s">
        <v>68</v>
      </c>
      <c r="C900" s="13" t="n">
        <v>258</v>
      </c>
      <c r="D900" s="13" t="s">
        <v>6533</v>
      </c>
      <c r="E900" s="13" t="s">
        <v>13384</v>
      </c>
      <c r="F900" s="13" t="s">
        <v>13385</v>
      </c>
      <c r="G900" s="13" t="s">
        <v>11098</v>
      </c>
      <c r="H900" s="13" t="s">
        <v>11099</v>
      </c>
      <c r="I900" s="13" t="s">
        <v>13386</v>
      </c>
      <c r="J900" s="13"/>
      <c r="K900" s="13" t="s">
        <v>6537</v>
      </c>
      <c r="L900" s="13" t="s">
        <v>6538</v>
      </c>
    </row>
    <row r="901" customFormat="false" ht="135.8" hidden="false" customHeight="false" outlineLevel="0" collapsed="false">
      <c r="A901" s="13" t="s">
        <v>4</v>
      </c>
      <c r="B901" s="13" t="s">
        <v>68</v>
      </c>
      <c r="C901" s="13" t="n">
        <v>258</v>
      </c>
      <c r="D901" s="13" t="s">
        <v>6533</v>
      </c>
      <c r="E901" s="13" t="s">
        <v>13387</v>
      </c>
      <c r="F901" s="13" t="s">
        <v>13388</v>
      </c>
      <c r="G901" s="13" t="s">
        <v>11098</v>
      </c>
      <c r="H901" s="13" t="s">
        <v>11099</v>
      </c>
      <c r="I901" s="13" t="s">
        <v>6559</v>
      </c>
      <c r="J901" s="13"/>
      <c r="K901" s="13" t="s">
        <v>6537</v>
      </c>
      <c r="L901" s="13" t="s">
        <v>6538</v>
      </c>
    </row>
    <row r="902" customFormat="false" ht="135.8" hidden="false" customHeight="false" outlineLevel="0" collapsed="false">
      <c r="A902" s="13" t="s">
        <v>4</v>
      </c>
      <c r="B902" s="13" t="s">
        <v>68</v>
      </c>
      <c r="C902" s="13" t="n">
        <v>258</v>
      </c>
      <c r="D902" s="13" t="s">
        <v>6533</v>
      </c>
      <c r="E902" s="13" t="s">
        <v>13389</v>
      </c>
      <c r="F902" s="13" t="s">
        <v>13390</v>
      </c>
      <c r="G902" s="13" t="s">
        <v>11098</v>
      </c>
      <c r="H902" s="13" t="s">
        <v>11099</v>
      </c>
      <c r="I902" s="13" t="s">
        <v>6562</v>
      </c>
      <c r="J902" s="13"/>
      <c r="K902" s="13" t="s">
        <v>6537</v>
      </c>
      <c r="L902" s="13" t="s">
        <v>6538</v>
      </c>
    </row>
    <row r="903" customFormat="false" ht="180.55" hidden="false" customHeight="false" outlineLevel="0" collapsed="false">
      <c r="A903" s="13" t="s">
        <v>4</v>
      </c>
      <c r="B903" s="13" t="s">
        <v>68</v>
      </c>
      <c r="C903" s="13" t="n">
        <v>291</v>
      </c>
      <c r="D903" s="13" t="s">
        <v>6565</v>
      </c>
      <c r="E903" s="13" t="s">
        <v>13391</v>
      </c>
      <c r="F903" s="13" t="s">
        <v>13392</v>
      </c>
      <c r="G903" s="13" t="s">
        <v>11098</v>
      </c>
      <c r="H903" s="13" t="s">
        <v>11099</v>
      </c>
      <c r="I903" s="13" t="s">
        <v>13393</v>
      </c>
      <c r="J903" s="13"/>
      <c r="K903" s="13" t="s">
        <v>6570</v>
      </c>
      <c r="L903" s="13" t="s">
        <v>6571</v>
      </c>
    </row>
    <row r="904" customFormat="false" ht="180.55" hidden="false" customHeight="false" outlineLevel="0" collapsed="false">
      <c r="A904" s="13" t="s">
        <v>4</v>
      </c>
      <c r="B904" s="13" t="s">
        <v>68</v>
      </c>
      <c r="C904" s="13" t="n">
        <v>291</v>
      </c>
      <c r="D904" s="13" t="s">
        <v>6565</v>
      </c>
      <c r="E904" s="13" t="s">
        <v>13394</v>
      </c>
      <c r="F904" s="13" t="s">
        <v>13395</v>
      </c>
      <c r="G904" s="13" t="s">
        <v>11098</v>
      </c>
      <c r="H904" s="13" t="s">
        <v>11099</v>
      </c>
      <c r="I904" s="13" t="s">
        <v>13396</v>
      </c>
      <c r="J904" s="13"/>
      <c r="K904" s="13" t="s">
        <v>6570</v>
      </c>
      <c r="L904" s="13" t="s">
        <v>6571</v>
      </c>
    </row>
    <row r="905" customFormat="false" ht="91" hidden="false" customHeight="false" outlineLevel="0" collapsed="false">
      <c r="A905" s="13" t="s">
        <v>4</v>
      </c>
      <c r="B905" s="13" t="s">
        <v>68</v>
      </c>
      <c r="C905" s="13" t="n">
        <v>291</v>
      </c>
      <c r="D905" s="13" t="s">
        <v>6585</v>
      </c>
      <c r="E905" s="13" t="s">
        <v>13397</v>
      </c>
      <c r="F905" s="13" t="s">
        <v>13398</v>
      </c>
      <c r="G905" s="13" t="s">
        <v>11098</v>
      </c>
      <c r="H905" s="13" t="s">
        <v>11099</v>
      </c>
      <c r="I905" s="13" t="s">
        <v>13399</v>
      </c>
      <c r="J905" s="13"/>
      <c r="K905" s="13" t="s">
        <v>6587</v>
      </c>
      <c r="L905" s="13" t="s">
        <v>6588</v>
      </c>
    </row>
    <row r="906" customFormat="false" ht="91" hidden="false" customHeight="false" outlineLevel="0" collapsed="false">
      <c r="A906" s="13" t="s">
        <v>4</v>
      </c>
      <c r="B906" s="13" t="s">
        <v>68</v>
      </c>
      <c r="C906" s="13" t="n">
        <v>291</v>
      </c>
      <c r="D906" s="13" t="s">
        <v>6591</v>
      </c>
      <c r="E906" s="13" t="s">
        <v>13400</v>
      </c>
      <c r="F906" s="13" t="s">
        <v>13401</v>
      </c>
      <c r="G906" s="13" t="s">
        <v>11098</v>
      </c>
      <c r="H906" s="13" t="s">
        <v>11099</v>
      </c>
      <c r="I906" s="13" t="s">
        <v>13402</v>
      </c>
      <c r="J906" s="13"/>
      <c r="K906" s="13" t="s">
        <v>6593</v>
      </c>
      <c r="L906" s="13" t="s">
        <v>6594</v>
      </c>
    </row>
    <row r="907" customFormat="false" ht="79.85" hidden="false" customHeight="false" outlineLevel="0" collapsed="false">
      <c r="A907" s="13" t="s">
        <v>4</v>
      </c>
      <c r="B907" s="13" t="s">
        <v>68</v>
      </c>
      <c r="C907" s="13" t="n">
        <v>291</v>
      </c>
      <c r="D907" s="13" t="s">
        <v>6597</v>
      </c>
      <c r="E907" s="13" t="s">
        <v>13403</v>
      </c>
      <c r="F907" s="13" t="s">
        <v>13404</v>
      </c>
      <c r="G907" s="13" t="s">
        <v>11098</v>
      </c>
      <c r="H907" s="13" t="s">
        <v>11099</v>
      </c>
      <c r="I907" s="13" t="s">
        <v>13405</v>
      </c>
      <c r="J907" s="13"/>
      <c r="K907" s="13" t="s">
        <v>6599</v>
      </c>
      <c r="L907" s="13" t="s">
        <v>6600</v>
      </c>
    </row>
    <row r="908" customFormat="false" ht="35.05" hidden="false" customHeight="false" outlineLevel="0" collapsed="false">
      <c r="A908" s="13" t="s">
        <v>4</v>
      </c>
      <c r="B908" s="13" t="s">
        <v>68</v>
      </c>
      <c r="C908" s="13" t="n">
        <v>291</v>
      </c>
      <c r="D908" s="13" t="s">
        <v>6603</v>
      </c>
      <c r="E908" s="13" t="s">
        <v>13406</v>
      </c>
      <c r="F908" s="13" t="s">
        <v>13407</v>
      </c>
      <c r="G908" s="13" t="s">
        <v>11098</v>
      </c>
      <c r="H908" s="13" t="s">
        <v>11099</v>
      </c>
      <c r="I908" s="13" t="s">
        <v>6604</v>
      </c>
      <c r="J908" s="13"/>
      <c r="K908" s="13" t="s">
        <v>6607</v>
      </c>
      <c r="L908" s="13" t="s">
        <v>6608</v>
      </c>
    </row>
    <row r="909" customFormat="false" ht="102.2" hidden="false" customHeight="false" outlineLevel="0" collapsed="false">
      <c r="A909" s="13" t="s">
        <v>4</v>
      </c>
      <c r="B909" s="13" t="s">
        <v>68</v>
      </c>
      <c r="C909" s="13" t="n">
        <v>291</v>
      </c>
      <c r="D909" s="13" t="s">
        <v>6609</v>
      </c>
      <c r="E909" s="13" t="s">
        <v>13408</v>
      </c>
      <c r="F909" s="13" t="s">
        <v>13409</v>
      </c>
      <c r="G909" s="13" t="s">
        <v>11098</v>
      </c>
      <c r="H909" s="13" t="s">
        <v>11099</v>
      </c>
      <c r="I909" s="13" t="s">
        <v>13410</v>
      </c>
      <c r="J909" s="13"/>
      <c r="K909" s="13" t="s">
        <v>6612</v>
      </c>
      <c r="L909" s="13" t="s">
        <v>6613</v>
      </c>
    </row>
    <row r="910" customFormat="false" ht="147" hidden="false" customHeight="false" outlineLevel="0" collapsed="false">
      <c r="A910" s="13" t="s">
        <v>4</v>
      </c>
      <c r="B910" s="13" t="s">
        <v>68</v>
      </c>
      <c r="C910" s="13" t="n">
        <v>310</v>
      </c>
      <c r="D910" s="13" t="s">
        <v>6620</v>
      </c>
      <c r="E910" s="13" t="s">
        <v>13411</v>
      </c>
      <c r="F910" s="13" t="s">
        <v>13412</v>
      </c>
      <c r="G910" s="13" t="s">
        <v>11098</v>
      </c>
      <c r="H910" s="13" t="s">
        <v>11099</v>
      </c>
      <c r="I910" s="13" t="s">
        <v>6621</v>
      </c>
      <c r="J910" s="13"/>
      <c r="K910" s="13" t="s">
        <v>6624</v>
      </c>
      <c r="L910" s="13" t="s">
        <v>6625</v>
      </c>
    </row>
    <row r="911" customFormat="false" ht="147" hidden="false" customHeight="false" outlineLevel="0" collapsed="false">
      <c r="A911" s="13" t="s">
        <v>4</v>
      </c>
      <c r="B911" s="13" t="s">
        <v>68</v>
      </c>
      <c r="C911" s="13" t="n">
        <v>310</v>
      </c>
      <c r="D911" s="13" t="s">
        <v>6620</v>
      </c>
      <c r="E911" s="13" t="s">
        <v>13413</v>
      </c>
      <c r="F911" s="13" t="s">
        <v>13414</v>
      </c>
      <c r="G911" s="13" t="s">
        <v>11098</v>
      </c>
      <c r="H911" s="13" t="s">
        <v>11099</v>
      </c>
      <c r="I911" s="13" t="s">
        <v>6626</v>
      </c>
      <c r="J911" s="13"/>
      <c r="K911" s="13" t="s">
        <v>6624</v>
      </c>
      <c r="L911" s="13" t="s">
        <v>6625</v>
      </c>
    </row>
    <row r="912" customFormat="false" ht="147" hidden="false" customHeight="false" outlineLevel="0" collapsed="false">
      <c r="A912" s="13" t="s">
        <v>4</v>
      </c>
      <c r="B912" s="13" t="s">
        <v>68</v>
      </c>
      <c r="C912" s="13" t="n">
        <v>310</v>
      </c>
      <c r="D912" s="13" t="s">
        <v>6620</v>
      </c>
      <c r="E912" s="13" t="s">
        <v>13415</v>
      </c>
      <c r="F912" s="13" t="s">
        <v>13416</v>
      </c>
      <c r="G912" s="13" t="s">
        <v>11098</v>
      </c>
      <c r="H912" s="13" t="s">
        <v>11099</v>
      </c>
      <c r="I912" s="13" t="s">
        <v>6630</v>
      </c>
      <c r="J912" s="13"/>
      <c r="K912" s="13" t="s">
        <v>6624</v>
      </c>
      <c r="L912" s="13" t="s">
        <v>6625</v>
      </c>
    </row>
    <row r="913" customFormat="false" ht="147" hidden="false" customHeight="false" outlineLevel="0" collapsed="false">
      <c r="A913" s="13" t="s">
        <v>4</v>
      </c>
      <c r="B913" s="13" t="s">
        <v>68</v>
      </c>
      <c r="C913" s="13" t="n">
        <v>310</v>
      </c>
      <c r="D913" s="13" t="s">
        <v>6620</v>
      </c>
      <c r="E913" s="13" t="s">
        <v>13417</v>
      </c>
      <c r="F913" s="13" t="s">
        <v>13418</v>
      </c>
      <c r="G913" s="13" t="s">
        <v>11098</v>
      </c>
      <c r="H913" s="13" t="s">
        <v>11099</v>
      </c>
      <c r="I913" s="13" t="s">
        <v>6633</v>
      </c>
      <c r="J913" s="13"/>
      <c r="K913" s="13" t="s">
        <v>6624</v>
      </c>
      <c r="L913" s="13" t="s">
        <v>6625</v>
      </c>
    </row>
    <row r="914" customFormat="false" ht="102.2" hidden="false" customHeight="false" outlineLevel="0" collapsed="false">
      <c r="A914" s="13" t="s">
        <v>4</v>
      </c>
      <c r="B914" s="13" t="s">
        <v>68</v>
      </c>
      <c r="C914" s="13" t="n">
        <v>310</v>
      </c>
      <c r="D914" s="13" t="s">
        <v>6635</v>
      </c>
      <c r="E914" s="13" t="s">
        <v>13419</v>
      </c>
      <c r="F914" s="13" t="s">
        <v>13420</v>
      </c>
      <c r="G914" s="13" t="s">
        <v>11098</v>
      </c>
      <c r="H914" s="13" t="s">
        <v>11099</v>
      </c>
      <c r="I914" s="13" t="s">
        <v>13421</v>
      </c>
      <c r="J914" s="13"/>
      <c r="K914" s="13" t="s">
        <v>6640</v>
      </c>
      <c r="L914" s="13" t="s">
        <v>6641</v>
      </c>
    </row>
    <row r="915" customFormat="false" ht="23.85" hidden="false" customHeight="false" outlineLevel="0" collapsed="false">
      <c r="A915" s="13" t="s">
        <v>4</v>
      </c>
      <c r="B915" s="13" t="s">
        <v>68</v>
      </c>
      <c r="C915" s="13" t="n">
        <v>310</v>
      </c>
      <c r="D915" s="13" t="s">
        <v>6645</v>
      </c>
      <c r="E915" s="13" t="s">
        <v>13422</v>
      </c>
      <c r="F915" s="13" t="s">
        <v>13423</v>
      </c>
      <c r="G915" s="13" t="s">
        <v>11098</v>
      </c>
      <c r="H915" s="13" t="s">
        <v>11099</v>
      </c>
      <c r="I915" s="13" t="s">
        <v>13424</v>
      </c>
      <c r="J915" s="13"/>
      <c r="K915" s="13" t="s">
        <v>6648</v>
      </c>
      <c r="L915" s="13" t="s">
        <v>6649</v>
      </c>
    </row>
    <row r="916" customFormat="false" ht="23.85" hidden="false" customHeight="false" outlineLevel="0" collapsed="false">
      <c r="A916" s="13" t="s">
        <v>4</v>
      </c>
      <c r="B916" s="13" t="s">
        <v>68</v>
      </c>
      <c r="C916" s="13" t="n">
        <v>310</v>
      </c>
      <c r="D916" s="13" t="s">
        <v>6653</v>
      </c>
      <c r="E916" s="13" t="s">
        <v>13425</v>
      </c>
      <c r="F916" s="13" t="s">
        <v>13426</v>
      </c>
      <c r="G916" s="13" t="s">
        <v>11098</v>
      </c>
      <c r="H916" s="13" t="s">
        <v>11099</v>
      </c>
      <c r="I916" s="13" t="s">
        <v>6654</v>
      </c>
      <c r="J916" s="13"/>
      <c r="K916" s="13" t="s">
        <v>6657</v>
      </c>
      <c r="L916" s="13" t="s">
        <v>6658</v>
      </c>
    </row>
    <row r="917" customFormat="false" ht="15" hidden="false" customHeight="false" outlineLevel="0" collapsed="false">
      <c r="A917" s="13" t="s">
        <v>4</v>
      </c>
      <c r="B917" s="13" t="s">
        <v>68</v>
      </c>
      <c r="C917" s="13" t="n">
        <v>310</v>
      </c>
      <c r="D917" s="13" t="s">
        <v>6659</v>
      </c>
      <c r="E917" s="13" t="s">
        <v>13427</v>
      </c>
      <c r="F917" s="13" t="s">
        <v>13428</v>
      </c>
      <c r="G917" s="13" t="s">
        <v>11098</v>
      </c>
      <c r="H917" s="13" t="s">
        <v>11099</v>
      </c>
      <c r="I917" s="13" t="s">
        <v>6660</v>
      </c>
      <c r="J917" s="13"/>
      <c r="K917" s="13" t="s">
        <v>6663</v>
      </c>
      <c r="L917" s="13" t="s">
        <v>6664</v>
      </c>
    </row>
    <row r="918" customFormat="false" ht="426.85" hidden="false" customHeight="false" outlineLevel="0" collapsed="false">
      <c r="A918" s="13" t="s">
        <v>4</v>
      </c>
      <c r="B918" s="13" t="s">
        <v>68</v>
      </c>
      <c r="C918" s="13" t="n">
        <v>310</v>
      </c>
      <c r="D918" s="13" t="s">
        <v>6665</v>
      </c>
      <c r="E918" s="13" t="s">
        <v>13429</v>
      </c>
      <c r="F918" s="13" t="s">
        <v>13430</v>
      </c>
      <c r="G918" s="13" t="s">
        <v>11098</v>
      </c>
      <c r="H918" s="13" t="s">
        <v>11099</v>
      </c>
      <c r="I918" s="13" t="s">
        <v>6666</v>
      </c>
      <c r="J918" s="13"/>
      <c r="K918" s="13" t="s">
        <v>6669</v>
      </c>
      <c r="L918" s="13" t="s">
        <v>6670</v>
      </c>
    </row>
    <row r="919" customFormat="false" ht="426.85" hidden="false" customHeight="false" outlineLevel="0" collapsed="false">
      <c r="A919" s="13" t="s">
        <v>4</v>
      </c>
      <c r="B919" s="13" t="s">
        <v>68</v>
      </c>
      <c r="C919" s="13" t="n">
        <v>310</v>
      </c>
      <c r="D919" s="13" t="s">
        <v>6665</v>
      </c>
      <c r="E919" s="13" t="s">
        <v>13431</v>
      </c>
      <c r="F919" s="13" t="s">
        <v>13432</v>
      </c>
      <c r="G919" s="13" t="s">
        <v>11098</v>
      </c>
      <c r="H919" s="13" t="s">
        <v>11099</v>
      </c>
      <c r="I919" s="13" t="s">
        <v>6671</v>
      </c>
      <c r="J919" s="13"/>
      <c r="K919" s="13" t="s">
        <v>6669</v>
      </c>
      <c r="L919" s="13" t="s">
        <v>6670</v>
      </c>
    </row>
    <row r="920" customFormat="false" ht="426.85" hidden="false" customHeight="false" outlineLevel="0" collapsed="false">
      <c r="A920" s="13" t="s">
        <v>4</v>
      </c>
      <c r="B920" s="13" t="s">
        <v>68</v>
      </c>
      <c r="C920" s="13" t="n">
        <v>310</v>
      </c>
      <c r="D920" s="13" t="s">
        <v>6665</v>
      </c>
      <c r="E920" s="13" t="s">
        <v>13433</v>
      </c>
      <c r="F920" s="13" t="s">
        <v>13434</v>
      </c>
      <c r="G920" s="13" t="s">
        <v>11098</v>
      </c>
      <c r="H920" s="13" t="s">
        <v>11099</v>
      </c>
      <c r="I920" s="13" t="s">
        <v>13435</v>
      </c>
      <c r="J920" s="13"/>
      <c r="K920" s="13" t="s">
        <v>6669</v>
      </c>
      <c r="L920" s="13" t="s">
        <v>6670</v>
      </c>
    </row>
    <row r="921" customFormat="false" ht="426.85" hidden="false" customHeight="false" outlineLevel="0" collapsed="false">
      <c r="A921" s="13" t="s">
        <v>4</v>
      </c>
      <c r="B921" s="13" t="s">
        <v>68</v>
      </c>
      <c r="C921" s="13" t="n">
        <v>310</v>
      </c>
      <c r="D921" s="13" t="s">
        <v>6665</v>
      </c>
      <c r="E921" s="13" t="s">
        <v>13436</v>
      </c>
      <c r="F921" s="13" t="s">
        <v>13437</v>
      </c>
      <c r="G921" s="13" t="s">
        <v>11128</v>
      </c>
      <c r="H921" s="13" t="s">
        <v>11099</v>
      </c>
      <c r="I921" s="13"/>
      <c r="J921" s="13"/>
      <c r="K921" s="13" t="s">
        <v>6669</v>
      </c>
      <c r="L921" s="13" t="s">
        <v>6670</v>
      </c>
    </row>
    <row r="922" customFormat="false" ht="426.85" hidden="false" customHeight="false" outlineLevel="0" collapsed="false">
      <c r="A922" s="13" t="s">
        <v>4</v>
      </c>
      <c r="B922" s="13" t="s">
        <v>68</v>
      </c>
      <c r="C922" s="13" t="n">
        <v>310</v>
      </c>
      <c r="D922" s="13" t="s">
        <v>6665</v>
      </c>
      <c r="E922" s="13" t="s">
        <v>13438</v>
      </c>
      <c r="F922" s="13" t="s">
        <v>13439</v>
      </c>
      <c r="G922" s="13" t="s">
        <v>11098</v>
      </c>
      <c r="H922" s="13" t="s">
        <v>11099</v>
      </c>
      <c r="I922" s="13" t="s">
        <v>6680</v>
      </c>
      <c r="J922" s="13"/>
      <c r="K922" s="13" t="s">
        <v>6669</v>
      </c>
      <c r="L922" s="13" t="s">
        <v>6670</v>
      </c>
    </row>
    <row r="923" customFormat="false" ht="426.85" hidden="false" customHeight="false" outlineLevel="0" collapsed="false">
      <c r="A923" s="13" t="s">
        <v>4</v>
      </c>
      <c r="B923" s="13" t="s">
        <v>68</v>
      </c>
      <c r="C923" s="13" t="n">
        <v>310</v>
      </c>
      <c r="D923" s="13" t="s">
        <v>6665</v>
      </c>
      <c r="E923" s="13" t="s">
        <v>13440</v>
      </c>
      <c r="F923" s="13" t="s">
        <v>13441</v>
      </c>
      <c r="G923" s="13" t="s">
        <v>11098</v>
      </c>
      <c r="H923" s="13" t="s">
        <v>11099</v>
      </c>
      <c r="I923" s="13" t="s">
        <v>6684</v>
      </c>
      <c r="J923" s="13"/>
      <c r="K923" s="13" t="s">
        <v>6669</v>
      </c>
      <c r="L923" s="13" t="s">
        <v>6670</v>
      </c>
    </row>
    <row r="924" customFormat="false" ht="426.85" hidden="false" customHeight="false" outlineLevel="0" collapsed="false">
      <c r="A924" s="13" t="s">
        <v>4</v>
      </c>
      <c r="B924" s="13" t="s">
        <v>68</v>
      </c>
      <c r="C924" s="13" t="n">
        <v>310</v>
      </c>
      <c r="D924" s="13" t="s">
        <v>6665</v>
      </c>
      <c r="E924" s="13" t="s">
        <v>13442</v>
      </c>
      <c r="F924" s="13" t="s">
        <v>13443</v>
      </c>
      <c r="G924" s="13" t="s">
        <v>11128</v>
      </c>
      <c r="H924" s="13" t="s">
        <v>11099</v>
      </c>
      <c r="I924" s="13"/>
      <c r="J924" s="13"/>
      <c r="K924" s="13" t="s">
        <v>6669</v>
      </c>
      <c r="L924" s="13" t="s">
        <v>6670</v>
      </c>
    </row>
    <row r="925" customFormat="false" ht="426.85" hidden="false" customHeight="false" outlineLevel="0" collapsed="false">
      <c r="A925" s="13" t="s">
        <v>4</v>
      </c>
      <c r="B925" s="13" t="s">
        <v>68</v>
      </c>
      <c r="C925" s="13" t="n">
        <v>310</v>
      </c>
      <c r="D925" s="13" t="s">
        <v>6665</v>
      </c>
      <c r="E925" s="13" t="s">
        <v>13444</v>
      </c>
      <c r="F925" s="13" t="s">
        <v>13445</v>
      </c>
      <c r="G925" s="13" t="s">
        <v>11098</v>
      </c>
      <c r="H925" s="13" t="s">
        <v>11099</v>
      </c>
      <c r="I925" s="13" t="s">
        <v>6687</v>
      </c>
      <c r="J925" s="13"/>
      <c r="K925" s="13" t="s">
        <v>6669</v>
      </c>
      <c r="L925" s="13" t="s">
        <v>6670</v>
      </c>
    </row>
    <row r="926" customFormat="false" ht="102.2" hidden="false" customHeight="false" outlineLevel="0" collapsed="false">
      <c r="A926" s="13" t="s">
        <v>4</v>
      </c>
      <c r="B926" s="13" t="s">
        <v>68</v>
      </c>
      <c r="C926" s="13" t="n">
        <v>313</v>
      </c>
      <c r="D926" s="13" t="s">
        <v>6689</v>
      </c>
      <c r="E926" s="13" t="s">
        <v>13446</v>
      </c>
      <c r="F926" s="13" t="s">
        <v>13447</v>
      </c>
      <c r="G926" s="13" t="s">
        <v>11098</v>
      </c>
      <c r="H926" s="13" t="s">
        <v>11099</v>
      </c>
      <c r="I926" s="13" t="s">
        <v>6690</v>
      </c>
      <c r="J926" s="13"/>
      <c r="K926" s="13" t="s">
        <v>6694</v>
      </c>
      <c r="L926" s="13" t="s">
        <v>6695</v>
      </c>
    </row>
    <row r="927" customFormat="false" ht="102.2" hidden="false" customHeight="false" outlineLevel="0" collapsed="false">
      <c r="A927" s="13" t="s">
        <v>4</v>
      </c>
      <c r="B927" s="13" t="s">
        <v>68</v>
      </c>
      <c r="C927" s="13" t="n">
        <v>313</v>
      </c>
      <c r="D927" s="13" t="s">
        <v>6689</v>
      </c>
      <c r="E927" s="13" t="s">
        <v>13448</v>
      </c>
      <c r="F927" s="13" t="s">
        <v>13449</v>
      </c>
      <c r="G927" s="13" t="s">
        <v>11098</v>
      </c>
      <c r="H927" s="13" t="s">
        <v>11099</v>
      </c>
      <c r="I927" s="13" t="s">
        <v>6696</v>
      </c>
      <c r="J927" s="13"/>
      <c r="K927" s="13" t="s">
        <v>6694</v>
      </c>
      <c r="L927" s="13" t="s">
        <v>6695</v>
      </c>
    </row>
    <row r="928" customFormat="false" ht="102.2" hidden="false" customHeight="false" outlineLevel="0" collapsed="false">
      <c r="A928" s="13" t="s">
        <v>4</v>
      </c>
      <c r="B928" s="13" t="s">
        <v>68</v>
      </c>
      <c r="C928" s="13" t="n">
        <v>313</v>
      </c>
      <c r="D928" s="13" t="s">
        <v>6689</v>
      </c>
      <c r="E928" s="13" t="s">
        <v>13450</v>
      </c>
      <c r="F928" s="13" t="s">
        <v>13451</v>
      </c>
      <c r="G928" s="13" t="s">
        <v>11098</v>
      </c>
      <c r="H928" s="13" t="s">
        <v>11099</v>
      </c>
      <c r="I928" s="13" t="s">
        <v>13452</v>
      </c>
      <c r="J928" s="13"/>
      <c r="K928" s="13" t="s">
        <v>6694</v>
      </c>
      <c r="L928" s="13" t="s">
        <v>6695</v>
      </c>
    </row>
    <row r="929" customFormat="false" ht="91" hidden="false" customHeight="false" outlineLevel="0" collapsed="false">
      <c r="A929" s="13" t="s">
        <v>4</v>
      </c>
      <c r="B929" s="13" t="s">
        <v>68</v>
      </c>
      <c r="C929" s="13" t="n">
        <v>313</v>
      </c>
      <c r="D929" s="13" t="s">
        <v>6704</v>
      </c>
      <c r="E929" s="13" t="s">
        <v>13453</v>
      </c>
      <c r="F929" s="13" t="s">
        <v>13454</v>
      </c>
      <c r="G929" s="13" t="s">
        <v>11098</v>
      </c>
      <c r="H929" s="13" t="s">
        <v>11099</v>
      </c>
      <c r="I929" s="13" t="s">
        <v>13455</v>
      </c>
      <c r="J929" s="13"/>
      <c r="K929" s="13" t="s">
        <v>6707</v>
      </c>
      <c r="L929" s="13" t="s">
        <v>6708</v>
      </c>
    </row>
    <row r="930" customFormat="false" ht="91" hidden="false" customHeight="false" outlineLevel="0" collapsed="false">
      <c r="A930" s="13" t="s">
        <v>4</v>
      </c>
      <c r="B930" s="13" t="s">
        <v>68</v>
      </c>
      <c r="C930" s="13" t="n">
        <v>313</v>
      </c>
      <c r="D930" s="13" t="s">
        <v>6704</v>
      </c>
      <c r="E930" s="13" t="s">
        <v>13456</v>
      </c>
      <c r="F930" s="13" t="s">
        <v>13457</v>
      </c>
      <c r="G930" s="13" t="s">
        <v>11098</v>
      </c>
      <c r="H930" s="13" t="s">
        <v>11099</v>
      </c>
      <c r="I930" s="13" t="s">
        <v>6716</v>
      </c>
      <c r="J930" s="13"/>
      <c r="K930" s="13" t="s">
        <v>6707</v>
      </c>
      <c r="L930" s="13" t="s">
        <v>6708</v>
      </c>
    </row>
    <row r="931" customFormat="false" ht="91" hidden="false" customHeight="false" outlineLevel="0" collapsed="false">
      <c r="A931" s="13" t="s">
        <v>4</v>
      </c>
      <c r="B931" s="13" t="s">
        <v>68</v>
      </c>
      <c r="C931" s="13" t="n">
        <v>313</v>
      </c>
      <c r="D931" s="13" t="s">
        <v>6704</v>
      </c>
      <c r="E931" s="13" t="s">
        <v>13458</v>
      </c>
      <c r="F931" s="13" t="s">
        <v>13459</v>
      </c>
      <c r="G931" s="13" t="s">
        <v>11128</v>
      </c>
      <c r="H931" s="13" t="s">
        <v>11099</v>
      </c>
      <c r="I931" s="13"/>
      <c r="J931" s="13" t="s">
        <v>13460</v>
      </c>
      <c r="K931" s="13" t="s">
        <v>6707</v>
      </c>
      <c r="L931" s="13" t="s">
        <v>6708</v>
      </c>
    </row>
    <row r="932" customFormat="false" ht="102.2" hidden="false" customHeight="false" outlineLevel="0" collapsed="false">
      <c r="A932" s="13" t="s">
        <v>4</v>
      </c>
      <c r="B932" s="13" t="s">
        <v>68</v>
      </c>
      <c r="C932" s="13" t="n">
        <v>313</v>
      </c>
      <c r="D932" s="13" t="s">
        <v>6718</v>
      </c>
      <c r="E932" s="13" t="s">
        <v>13461</v>
      </c>
      <c r="F932" s="13" t="s">
        <v>13462</v>
      </c>
      <c r="G932" s="13" t="s">
        <v>11098</v>
      </c>
      <c r="H932" s="13" t="s">
        <v>11099</v>
      </c>
      <c r="I932" s="13" t="s">
        <v>13463</v>
      </c>
      <c r="J932" s="13"/>
      <c r="K932" s="13" t="s">
        <v>6721</v>
      </c>
      <c r="L932" s="13" t="s">
        <v>6722</v>
      </c>
    </row>
    <row r="933" customFormat="false" ht="102.2" hidden="false" customHeight="false" outlineLevel="0" collapsed="false">
      <c r="A933" s="13" t="s">
        <v>4</v>
      </c>
      <c r="B933" s="13" t="s">
        <v>68</v>
      </c>
      <c r="C933" s="13" t="n">
        <v>313</v>
      </c>
      <c r="D933" s="13" t="s">
        <v>6718</v>
      </c>
      <c r="E933" s="13" t="s">
        <v>13464</v>
      </c>
      <c r="F933" s="13" t="s">
        <v>13465</v>
      </c>
      <c r="G933" s="13" t="s">
        <v>11098</v>
      </c>
      <c r="H933" s="13" t="s">
        <v>11099</v>
      </c>
      <c r="I933" s="13" t="s">
        <v>13466</v>
      </c>
      <c r="J933" s="13"/>
      <c r="K933" s="13" t="s">
        <v>6721</v>
      </c>
      <c r="L933" s="13" t="s">
        <v>6722</v>
      </c>
    </row>
    <row r="934" customFormat="false" ht="202.95" hidden="false" customHeight="false" outlineLevel="0" collapsed="false">
      <c r="A934" s="13" t="s">
        <v>4</v>
      </c>
      <c r="B934" s="13" t="s">
        <v>68</v>
      </c>
      <c r="C934" s="13" t="n">
        <v>313</v>
      </c>
      <c r="D934" s="13" t="s">
        <v>6735</v>
      </c>
      <c r="E934" s="13" t="s">
        <v>13467</v>
      </c>
      <c r="F934" s="13" t="s">
        <v>13468</v>
      </c>
      <c r="G934" s="13" t="s">
        <v>11098</v>
      </c>
      <c r="H934" s="13" t="s">
        <v>11099</v>
      </c>
      <c r="I934" s="13" t="s">
        <v>6736</v>
      </c>
      <c r="J934" s="13"/>
      <c r="K934" s="13" t="s">
        <v>6738</v>
      </c>
      <c r="L934" s="13" t="s">
        <v>6739</v>
      </c>
    </row>
    <row r="935" customFormat="false" ht="202.95" hidden="false" customHeight="false" outlineLevel="0" collapsed="false">
      <c r="A935" s="13" t="s">
        <v>4</v>
      </c>
      <c r="B935" s="13" t="s">
        <v>68</v>
      </c>
      <c r="C935" s="13" t="n">
        <v>313</v>
      </c>
      <c r="D935" s="13" t="s">
        <v>6735</v>
      </c>
      <c r="E935" s="13" t="s">
        <v>13469</v>
      </c>
      <c r="F935" s="13" t="s">
        <v>13470</v>
      </c>
      <c r="G935" s="13" t="s">
        <v>11098</v>
      </c>
      <c r="H935" s="13" t="s">
        <v>11099</v>
      </c>
      <c r="I935" s="13" t="s">
        <v>13471</v>
      </c>
      <c r="J935" s="13"/>
      <c r="K935" s="13" t="s">
        <v>6738</v>
      </c>
      <c r="L935" s="13" t="s">
        <v>6739</v>
      </c>
    </row>
    <row r="936" customFormat="false" ht="202.95" hidden="false" customHeight="false" outlineLevel="0" collapsed="false">
      <c r="A936" s="13" t="s">
        <v>4</v>
      </c>
      <c r="B936" s="13" t="s">
        <v>68</v>
      </c>
      <c r="C936" s="13" t="n">
        <v>313</v>
      </c>
      <c r="D936" s="13" t="s">
        <v>6735</v>
      </c>
      <c r="E936" s="13" t="s">
        <v>13472</v>
      </c>
      <c r="F936" s="13" t="s">
        <v>13473</v>
      </c>
      <c r="G936" s="13" t="s">
        <v>11098</v>
      </c>
      <c r="H936" s="13" t="s">
        <v>11099</v>
      </c>
      <c r="I936" s="13" t="s">
        <v>6751</v>
      </c>
      <c r="J936" s="13"/>
      <c r="K936" s="13" t="s">
        <v>6738</v>
      </c>
      <c r="L936" s="13" t="s">
        <v>6739</v>
      </c>
    </row>
    <row r="937" customFormat="false" ht="202.95" hidden="false" customHeight="false" outlineLevel="0" collapsed="false">
      <c r="A937" s="13" t="s">
        <v>4</v>
      </c>
      <c r="B937" s="13" t="s">
        <v>68</v>
      </c>
      <c r="C937" s="13" t="n">
        <v>313</v>
      </c>
      <c r="D937" s="13" t="s">
        <v>6735</v>
      </c>
      <c r="E937" s="13" t="s">
        <v>13474</v>
      </c>
      <c r="F937" s="13" t="s">
        <v>13475</v>
      </c>
      <c r="G937" s="13" t="s">
        <v>11098</v>
      </c>
      <c r="H937" s="13" t="s">
        <v>11099</v>
      </c>
      <c r="I937" s="13" t="s">
        <v>13476</v>
      </c>
      <c r="J937" s="13"/>
      <c r="K937" s="13" t="s">
        <v>6738</v>
      </c>
      <c r="L937" s="13" t="s">
        <v>6739</v>
      </c>
    </row>
    <row r="938" customFormat="false" ht="303.7" hidden="false" customHeight="false" outlineLevel="0" collapsed="false">
      <c r="A938" s="13" t="s">
        <v>4</v>
      </c>
      <c r="B938" s="13" t="s">
        <v>68</v>
      </c>
      <c r="C938" s="13" t="n">
        <v>313</v>
      </c>
      <c r="D938" s="13" t="s">
        <v>6759</v>
      </c>
      <c r="E938" s="13" t="s">
        <v>13477</v>
      </c>
      <c r="F938" s="13" t="s">
        <v>13478</v>
      </c>
      <c r="G938" s="13" t="s">
        <v>11098</v>
      </c>
      <c r="H938" s="13" t="s">
        <v>11099</v>
      </c>
      <c r="I938" s="13" t="s">
        <v>6760</v>
      </c>
      <c r="J938" s="13"/>
      <c r="K938" s="13" t="s">
        <v>6763</v>
      </c>
      <c r="L938" s="13" t="s">
        <v>6764</v>
      </c>
    </row>
    <row r="939" customFormat="false" ht="303.7" hidden="false" customHeight="false" outlineLevel="0" collapsed="false">
      <c r="A939" s="13" t="s">
        <v>4</v>
      </c>
      <c r="B939" s="13" t="s">
        <v>68</v>
      </c>
      <c r="C939" s="13" t="n">
        <v>313</v>
      </c>
      <c r="D939" s="13" t="s">
        <v>6759</v>
      </c>
      <c r="E939" s="13" t="s">
        <v>13479</v>
      </c>
      <c r="F939" s="13" t="s">
        <v>13480</v>
      </c>
      <c r="G939" s="13" t="s">
        <v>11098</v>
      </c>
      <c r="H939" s="13" t="s">
        <v>11099</v>
      </c>
      <c r="I939" s="13" t="s">
        <v>13481</v>
      </c>
      <c r="J939" s="13"/>
      <c r="K939" s="13" t="s">
        <v>6763</v>
      </c>
      <c r="L939" s="13" t="s">
        <v>6764</v>
      </c>
    </row>
    <row r="940" customFormat="false" ht="303.7" hidden="false" customHeight="false" outlineLevel="0" collapsed="false">
      <c r="A940" s="13" t="s">
        <v>4</v>
      </c>
      <c r="B940" s="13" t="s">
        <v>68</v>
      </c>
      <c r="C940" s="13" t="n">
        <v>313</v>
      </c>
      <c r="D940" s="13" t="s">
        <v>6759</v>
      </c>
      <c r="E940" s="13" t="s">
        <v>13482</v>
      </c>
      <c r="F940" s="13" t="s">
        <v>13483</v>
      </c>
      <c r="G940" s="13" t="s">
        <v>11098</v>
      </c>
      <c r="H940" s="13" t="s">
        <v>11099</v>
      </c>
      <c r="I940" s="13" t="s">
        <v>13484</v>
      </c>
      <c r="J940" s="13"/>
      <c r="K940" s="13" t="s">
        <v>6763</v>
      </c>
      <c r="L940" s="13" t="s">
        <v>6764</v>
      </c>
    </row>
    <row r="941" customFormat="false" ht="303.7" hidden="false" customHeight="false" outlineLevel="0" collapsed="false">
      <c r="A941" s="13" t="s">
        <v>4</v>
      </c>
      <c r="B941" s="13" t="s">
        <v>68</v>
      </c>
      <c r="C941" s="13" t="n">
        <v>313</v>
      </c>
      <c r="D941" s="13" t="s">
        <v>6759</v>
      </c>
      <c r="E941" s="13" t="s">
        <v>13485</v>
      </c>
      <c r="F941" s="13" t="s">
        <v>13486</v>
      </c>
      <c r="G941" s="13" t="s">
        <v>11098</v>
      </c>
      <c r="H941" s="13" t="s">
        <v>11099</v>
      </c>
      <c r="I941" s="13" t="s">
        <v>13487</v>
      </c>
      <c r="J941" s="13"/>
      <c r="K941" s="13" t="s">
        <v>6763</v>
      </c>
      <c r="L941" s="13" t="s">
        <v>6764</v>
      </c>
    </row>
    <row r="942" customFormat="false" ht="303.7" hidden="false" customHeight="false" outlineLevel="0" collapsed="false">
      <c r="A942" s="13" t="s">
        <v>4</v>
      </c>
      <c r="B942" s="13" t="s">
        <v>68</v>
      </c>
      <c r="C942" s="13" t="n">
        <v>313</v>
      </c>
      <c r="D942" s="13" t="s">
        <v>6759</v>
      </c>
      <c r="E942" s="13" t="s">
        <v>13488</v>
      </c>
      <c r="F942" s="13" t="s">
        <v>13489</v>
      </c>
      <c r="G942" s="13" t="s">
        <v>11128</v>
      </c>
      <c r="H942" s="13" t="s">
        <v>11099</v>
      </c>
      <c r="I942" s="13"/>
      <c r="J942" s="13" t="s">
        <v>13490</v>
      </c>
      <c r="K942" s="13" t="s">
        <v>6763</v>
      </c>
      <c r="L942" s="13" t="s">
        <v>6764</v>
      </c>
    </row>
    <row r="943" customFormat="false" ht="57.45" hidden="false" customHeight="false" outlineLevel="0" collapsed="false">
      <c r="A943" s="13" t="s">
        <v>4</v>
      </c>
      <c r="B943" s="13" t="s">
        <v>68</v>
      </c>
      <c r="C943" s="13" t="n">
        <v>323</v>
      </c>
      <c r="D943" s="13" t="s">
        <v>6781</v>
      </c>
      <c r="E943" s="13" t="s">
        <v>13491</v>
      </c>
      <c r="F943" s="13" t="s">
        <v>13492</v>
      </c>
      <c r="G943" s="13" t="s">
        <v>11098</v>
      </c>
      <c r="H943" s="13" t="s">
        <v>11099</v>
      </c>
      <c r="I943" s="13" t="s">
        <v>13493</v>
      </c>
      <c r="J943" s="13"/>
      <c r="K943" s="13" t="s">
        <v>6785</v>
      </c>
      <c r="L943" s="13" t="s">
        <v>6786</v>
      </c>
    </row>
    <row r="944" customFormat="false" ht="35.05" hidden="false" customHeight="false" outlineLevel="0" collapsed="false">
      <c r="A944" s="13" t="s">
        <v>4</v>
      </c>
      <c r="B944" s="13" t="s">
        <v>68</v>
      </c>
      <c r="C944" s="13" t="n">
        <v>323</v>
      </c>
      <c r="D944" s="13" t="s">
        <v>6789</v>
      </c>
      <c r="E944" s="13" t="s">
        <v>13494</v>
      </c>
      <c r="F944" s="13" t="s">
        <v>13495</v>
      </c>
      <c r="G944" s="13" t="s">
        <v>11098</v>
      </c>
      <c r="H944" s="13" t="s">
        <v>11099</v>
      </c>
      <c r="I944" s="13" t="s">
        <v>6790</v>
      </c>
      <c r="J944" s="13"/>
      <c r="K944" s="13" t="s">
        <v>6792</v>
      </c>
      <c r="L944" s="13" t="s">
        <v>6793</v>
      </c>
    </row>
    <row r="945" customFormat="false" ht="35.05" hidden="false" customHeight="false" outlineLevel="0" collapsed="false">
      <c r="A945" s="13" t="s">
        <v>4</v>
      </c>
      <c r="B945" s="13" t="s">
        <v>68</v>
      </c>
      <c r="C945" s="13" t="n">
        <v>323</v>
      </c>
      <c r="D945" s="13" t="s">
        <v>6789</v>
      </c>
      <c r="E945" s="13" t="s">
        <v>13496</v>
      </c>
      <c r="F945" s="13" t="s">
        <v>13497</v>
      </c>
      <c r="G945" s="13" t="s">
        <v>11098</v>
      </c>
      <c r="H945" s="13" t="s">
        <v>11099</v>
      </c>
      <c r="I945" s="13" t="s">
        <v>6794</v>
      </c>
      <c r="J945" s="13" t="s">
        <v>13498</v>
      </c>
      <c r="K945" s="13" t="s">
        <v>6792</v>
      </c>
      <c r="L945" s="13" t="s">
        <v>6793</v>
      </c>
    </row>
    <row r="946" customFormat="false" ht="57.45" hidden="false" customHeight="false" outlineLevel="0" collapsed="false">
      <c r="A946" s="13" t="s">
        <v>4</v>
      </c>
      <c r="B946" s="13" t="s">
        <v>68</v>
      </c>
      <c r="C946" s="13" t="n">
        <v>323</v>
      </c>
      <c r="D946" s="13" t="s">
        <v>6797</v>
      </c>
      <c r="E946" s="13" t="s">
        <v>13499</v>
      </c>
      <c r="F946" s="13" t="s">
        <v>13500</v>
      </c>
      <c r="G946" s="13" t="s">
        <v>11098</v>
      </c>
      <c r="H946" s="13" t="s">
        <v>11099</v>
      </c>
      <c r="I946" s="13" t="s">
        <v>13501</v>
      </c>
      <c r="J946" s="13"/>
      <c r="K946" s="13" t="s">
        <v>6801</v>
      </c>
      <c r="L946" s="13" t="s">
        <v>6802</v>
      </c>
    </row>
    <row r="947" customFormat="false" ht="46.25" hidden="false" customHeight="false" outlineLevel="0" collapsed="false">
      <c r="A947" s="13" t="s">
        <v>4</v>
      </c>
      <c r="B947" s="13" t="s">
        <v>68</v>
      </c>
      <c r="C947" s="13" t="n">
        <v>323</v>
      </c>
      <c r="D947" s="13" t="s">
        <v>6806</v>
      </c>
      <c r="E947" s="13" t="s">
        <v>13502</v>
      </c>
      <c r="F947" s="13" t="s">
        <v>13503</v>
      </c>
      <c r="G947" s="13" t="s">
        <v>11098</v>
      </c>
      <c r="H947" s="13" t="s">
        <v>11099</v>
      </c>
      <c r="I947" s="13" t="s">
        <v>13504</v>
      </c>
      <c r="J947" s="13"/>
      <c r="K947" s="13" t="s">
        <v>6808</v>
      </c>
      <c r="L947" s="13" t="s">
        <v>6809</v>
      </c>
    </row>
    <row r="948" customFormat="false" ht="35.05" hidden="false" customHeight="false" outlineLevel="0" collapsed="false">
      <c r="A948" s="13" t="s">
        <v>4</v>
      </c>
      <c r="B948" s="13" t="s">
        <v>68</v>
      </c>
      <c r="C948" s="13" t="n">
        <v>323</v>
      </c>
      <c r="D948" s="13" t="s">
        <v>6812</v>
      </c>
      <c r="E948" s="13" t="s">
        <v>13505</v>
      </c>
      <c r="F948" s="13" t="s">
        <v>13506</v>
      </c>
      <c r="G948" s="13" t="s">
        <v>11098</v>
      </c>
      <c r="H948" s="13" t="s">
        <v>11099</v>
      </c>
      <c r="I948" s="13" t="s">
        <v>6813</v>
      </c>
      <c r="J948" s="13"/>
      <c r="K948" s="13" t="s">
        <v>6817</v>
      </c>
      <c r="L948" s="13" t="s">
        <v>6818</v>
      </c>
    </row>
    <row r="949" customFormat="false" ht="482.8" hidden="false" customHeight="false" outlineLevel="0" collapsed="false">
      <c r="A949" s="13" t="s">
        <v>4</v>
      </c>
      <c r="B949" s="13" t="s">
        <v>68</v>
      </c>
      <c r="C949" s="13" t="n">
        <v>323</v>
      </c>
      <c r="D949" s="13" t="s">
        <v>6819</v>
      </c>
      <c r="E949" s="13" t="s">
        <v>13507</v>
      </c>
      <c r="F949" s="13" t="s">
        <v>13508</v>
      </c>
      <c r="G949" s="13" t="s">
        <v>11098</v>
      </c>
      <c r="H949" s="13" t="s">
        <v>11099</v>
      </c>
      <c r="I949" s="13" t="s">
        <v>6820</v>
      </c>
      <c r="J949" s="13"/>
      <c r="K949" s="13" t="s">
        <v>6824</v>
      </c>
      <c r="L949" s="13" t="s">
        <v>6825</v>
      </c>
    </row>
    <row r="950" customFormat="false" ht="482.8" hidden="false" customHeight="false" outlineLevel="0" collapsed="false">
      <c r="A950" s="13" t="s">
        <v>4</v>
      </c>
      <c r="B950" s="13" t="s">
        <v>68</v>
      </c>
      <c r="C950" s="13" t="n">
        <v>323</v>
      </c>
      <c r="D950" s="13" t="s">
        <v>6819</v>
      </c>
      <c r="E950" s="13" t="s">
        <v>13509</v>
      </c>
      <c r="F950" s="13" t="s">
        <v>13510</v>
      </c>
      <c r="G950" s="13" t="s">
        <v>11098</v>
      </c>
      <c r="H950" s="13" t="s">
        <v>11099</v>
      </c>
      <c r="I950" s="13" t="s">
        <v>13511</v>
      </c>
      <c r="J950" s="13"/>
      <c r="K950" s="13" t="s">
        <v>6824</v>
      </c>
      <c r="L950" s="13" t="s">
        <v>6825</v>
      </c>
    </row>
    <row r="951" customFormat="false" ht="482.8" hidden="false" customHeight="false" outlineLevel="0" collapsed="false">
      <c r="A951" s="13" t="s">
        <v>4</v>
      </c>
      <c r="B951" s="13" t="s">
        <v>68</v>
      </c>
      <c r="C951" s="13" t="n">
        <v>323</v>
      </c>
      <c r="D951" s="13" t="s">
        <v>6819</v>
      </c>
      <c r="E951" s="13" t="s">
        <v>13512</v>
      </c>
      <c r="F951" s="13" t="s">
        <v>13513</v>
      </c>
      <c r="G951" s="13" t="s">
        <v>11098</v>
      </c>
      <c r="H951" s="13" t="s">
        <v>11099</v>
      </c>
      <c r="I951" s="13" t="s">
        <v>13514</v>
      </c>
      <c r="J951" s="13" t="s">
        <v>13515</v>
      </c>
      <c r="K951" s="13" t="s">
        <v>6824</v>
      </c>
      <c r="L951" s="13" t="s">
        <v>6825</v>
      </c>
    </row>
    <row r="952" customFormat="false" ht="482.8" hidden="false" customHeight="false" outlineLevel="0" collapsed="false">
      <c r="A952" s="13" t="s">
        <v>4</v>
      </c>
      <c r="B952" s="13" t="s">
        <v>68</v>
      </c>
      <c r="C952" s="13" t="n">
        <v>323</v>
      </c>
      <c r="D952" s="13" t="s">
        <v>6819</v>
      </c>
      <c r="E952" s="13" t="s">
        <v>13516</v>
      </c>
      <c r="F952" s="13" t="s">
        <v>13517</v>
      </c>
      <c r="G952" s="13" t="s">
        <v>11128</v>
      </c>
      <c r="H952" s="13" t="s">
        <v>11099</v>
      </c>
      <c r="I952" s="13"/>
      <c r="J952" s="13" t="s">
        <v>13518</v>
      </c>
      <c r="K952" s="13" t="s">
        <v>6824</v>
      </c>
      <c r="L952" s="13" t="s">
        <v>6825</v>
      </c>
    </row>
    <row r="953" customFormat="false" ht="482.8" hidden="false" customHeight="false" outlineLevel="0" collapsed="false">
      <c r="A953" s="13" t="s">
        <v>4</v>
      </c>
      <c r="B953" s="13" t="s">
        <v>68</v>
      </c>
      <c r="C953" s="13" t="n">
        <v>323</v>
      </c>
      <c r="D953" s="13" t="s">
        <v>6819</v>
      </c>
      <c r="E953" s="13" t="s">
        <v>13519</v>
      </c>
      <c r="F953" s="13" t="s">
        <v>13520</v>
      </c>
      <c r="G953" s="13" t="s">
        <v>11137</v>
      </c>
      <c r="H953" s="13" t="s">
        <v>11099</v>
      </c>
      <c r="I953" s="13" t="s">
        <v>6835</v>
      </c>
      <c r="J953" s="13" t="s">
        <v>13521</v>
      </c>
      <c r="K953" s="13" t="s">
        <v>6824</v>
      </c>
      <c r="L953" s="13" t="s">
        <v>6825</v>
      </c>
    </row>
    <row r="954" customFormat="false" ht="124.6" hidden="false" customHeight="false" outlineLevel="0" collapsed="false">
      <c r="A954" s="13" t="s">
        <v>4</v>
      </c>
      <c r="B954" s="13" t="s">
        <v>68</v>
      </c>
      <c r="C954" s="13" t="n">
        <v>336</v>
      </c>
      <c r="D954" s="13" t="s">
        <v>6840</v>
      </c>
      <c r="E954" s="13" t="s">
        <v>13522</v>
      </c>
      <c r="F954" s="13" t="s">
        <v>13523</v>
      </c>
      <c r="G954" s="13" t="s">
        <v>11098</v>
      </c>
      <c r="H954" s="13" t="s">
        <v>11099</v>
      </c>
      <c r="I954" s="13" t="s">
        <v>6841</v>
      </c>
      <c r="J954" s="13"/>
      <c r="K954" s="13" t="s">
        <v>6845</v>
      </c>
      <c r="L954" s="13" t="s">
        <v>6846</v>
      </c>
    </row>
    <row r="955" customFormat="false" ht="124.6" hidden="false" customHeight="false" outlineLevel="0" collapsed="false">
      <c r="A955" s="13" t="s">
        <v>4</v>
      </c>
      <c r="B955" s="13" t="s">
        <v>68</v>
      </c>
      <c r="C955" s="13" t="n">
        <v>336</v>
      </c>
      <c r="D955" s="13" t="s">
        <v>6840</v>
      </c>
      <c r="E955" s="13" t="s">
        <v>13524</v>
      </c>
      <c r="F955" s="13" t="s">
        <v>13525</v>
      </c>
      <c r="G955" s="13" t="s">
        <v>11098</v>
      </c>
      <c r="H955" s="13" t="s">
        <v>11099</v>
      </c>
      <c r="I955" s="13" t="s">
        <v>13526</v>
      </c>
      <c r="J955" s="13"/>
      <c r="K955" s="13" t="s">
        <v>6845</v>
      </c>
      <c r="L955" s="13" t="s">
        <v>6846</v>
      </c>
    </row>
    <row r="956" customFormat="false" ht="124.6" hidden="false" customHeight="false" outlineLevel="0" collapsed="false">
      <c r="A956" s="13" t="s">
        <v>4</v>
      </c>
      <c r="B956" s="13" t="s">
        <v>68</v>
      </c>
      <c r="C956" s="13" t="n">
        <v>336</v>
      </c>
      <c r="D956" s="13" t="s">
        <v>6840</v>
      </c>
      <c r="E956" s="13" t="s">
        <v>13527</v>
      </c>
      <c r="F956" s="13" t="s">
        <v>13528</v>
      </c>
      <c r="G956" s="13" t="s">
        <v>11098</v>
      </c>
      <c r="H956" s="13" t="s">
        <v>11099</v>
      </c>
      <c r="I956" s="13" t="s">
        <v>6851</v>
      </c>
      <c r="J956" s="13"/>
      <c r="K956" s="13" t="s">
        <v>6845</v>
      </c>
      <c r="L956" s="13" t="s">
        <v>6846</v>
      </c>
    </row>
    <row r="957" customFormat="false" ht="158.2" hidden="false" customHeight="false" outlineLevel="0" collapsed="false">
      <c r="A957" s="13" t="s">
        <v>4</v>
      </c>
      <c r="B957" s="13" t="s">
        <v>68</v>
      </c>
      <c r="C957" s="13" t="n">
        <v>336</v>
      </c>
      <c r="D957" s="13" t="s">
        <v>6853</v>
      </c>
      <c r="E957" s="13" t="s">
        <v>13529</v>
      </c>
      <c r="F957" s="13" t="s">
        <v>13530</v>
      </c>
      <c r="G957" s="13" t="s">
        <v>11098</v>
      </c>
      <c r="H957" s="13" t="s">
        <v>11099</v>
      </c>
      <c r="I957" s="13" t="s">
        <v>13531</v>
      </c>
      <c r="J957" s="13" t="s">
        <v>13532</v>
      </c>
      <c r="K957" s="13" t="s">
        <v>6856</v>
      </c>
      <c r="L957" s="13" t="s">
        <v>6857</v>
      </c>
    </row>
    <row r="958" customFormat="false" ht="158.2" hidden="false" customHeight="false" outlineLevel="0" collapsed="false">
      <c r="A958" s="13" t="s">
        <v>4</v>
      </c>
      <c r="B958" s="13" t="s">
        <v>68</v>
      </c>
      <c r="C958" s="13" t="n">
        <v>336</v>
      </c>
      <c r="D958" s="13" t="s">
        <v>6853</v>
      </c>
      <c r="E958" s="13" t="s">
        <v>13533</v>
      </c>
      <c r="F958" s="13" t="s">
        <v>13534</v>
      </c>
      <c r="G958" s="13" t="s">
        <v>11098</v>
      </c>
      <c r="H958" s="13" t="s">
        <v>11099</v>
      </c>
      <c r="I958" s="13" t="s">
        <v>13535</v>
      </c>
      <c r="J958" s="13"/>
      <c r="K958" s="13" t="s">
        <v>6856</v>
      </c>
      <c r="L958" s="13" t="s">
        <v>6857</v>
      </c>
    </row>
    <row r="959" customFormat="false" ht="124.6" hidden="false" customHeight="false" outlineLevel="0" collapsed="false">
      <c r="A959" s="13" t="s">
        <v>4</v>
      </c>
      <c r="B959" s="13" t="s">
        <v>68</v>
      </c>
      <c r="C959" s="13" t="n">
        <v>336</v>
      </c>
      <c r="D959" s="13" t="s">
        <v>6866</v>
      </c>
      <c r="E959" s="13" t="s">
        <v>13536</v>
      </c>
      <c r="F959" s="13" t="s">
        <v>13537</v>
      </c>
      <c r="G959" s="13" t="s">
        <v>11098</v>
      </c>
      <c r="H959" s="13" t="s">
        <v>11099</v>
      </c>
      <c r="I959" s="13" t="s">
        <v>6867</v>
      </c>
      <c r="J959" s="13"/>
      <c r="K959" s="13" t="s">
        <v>6869</v>
      </c>
      <c r="L959" s="13" t="s">
        <v>6870</v>
      </c>
    </row>
    <row r="960" customFormat="false" ht="124.6" hidden="false" customHeight="false" outlineLevel="0" collapsed="false">
      <c r="A960" s="13" t="s">
        <v>4</v>
      </c>
      <c r="B960" s="13" t="s">
        <v>68</v>
      </c>
      <c r="C960" s="13" t="n">
        <v>336</v>
      </c>
      <c r="D960" s="13" t="s">
        <v>6866</v>
      </c>
      <c r="E960" s="13" t="s">
        <v>13538</v>
      </c>
      <c r="F960" s="13" t="s">
        <v>13539</v>
      </c>
      <c r="G960" s="13" t="s">
        <v>11098</v>
      </c>
      <c r="H960" s="13" t="s">
        <v>11099</v>
      </c>
      <c r="I960" s="13" t="s">
        <v>13540</v>
      </c>
      <c r="J960" s="13"/>
      <c r="K960" s="13" t="s">
        <v>6869</v>
      </c>
      <c r="L960" s="13" t="s">
        <v>6870</v>
      </c>
    </row>
    <row r="961" customFormat="false" ht="91" hidden="false" customHeight="false" outlineLevel="0" collapsed="false">
      <c r="A961" s="13" t="s">
        <v>4</v>
      </c>
      <c r="B961" s="13" t="s">
        <v>68</v>
      </c>
      <c r="C961" s="13" t="n">
        <v>336</v>
      </c>
      <c r="D961" s="13" t="s">
        <v>6877</v>
      </c>
      <c r="E961" s="13" t="s">
        <v>13541</v>
      </c>
      <c r="F961" s="13" t="s">
        <v>13542</v>
      </c>
      <c r="G961" s="13" t="s">
        <v>11098</v>
      </c>
      <c r="H961" s="13" t="s">
        <v>11099</v>
      </c>
      <c r="I961" s="13" t="s">
        <v>6878</v>
      </c>
      <c r="J961" s="13"/>
      <c r="K961" s="13" t="s">
        <v>6880</v>
      </c>
      <c r="L961" s="13" t="s">
        <v>6881</v>
      </c>
    </row>
    <row r="962" customFormat="false" ht="91" hidden="false" customHeight="false" outlineLevel="0" collapsed="false">
      <c r="A962" s="13" t="s">
        <v>4</v>
      </c>
      <c r="B962" s="13" t="s">
        <v>68</v>
      </c>
      <c r="C962" s="13" t="n">
        <v>336</v>
      </c>
      <c r="D962" s="13" t="s">
        <v>6877</v>
      </c>
      <c r="E962" s="13" t="s">
        <v>13543</v>
      </c>
      <c r="F962" s="13" t="s">
        <v>13544</v>
      </c>
      <c r="G962" s="13" t="s">
        <v>11098</v>
      </c>
      <c r="H962" s="13" t="s">
        <v>11099</v>
      </c>
      <c r="I962" s="13" t="s">
        <v>6882</v>
      </c>
      <c r="J962" s="13"/>
      <c r="K962" s="13" t="s">
        <v>6880</v>
      </c>
      <c r="L962" s="13" t="s">
        <v>6881</v>
      </c>
    </row>
    <row r="963" customFormat="false" ht="91" hidden="false" customHeight="false" outlineLevel="0" collapsed="false">
      <c r="A963" s="13" t="s">
        <v>4</v>
      </c>
      <c r="B963" s="13" t="s">
        <v>68</v>
      </c>
      <c r="C963" s="13" t="n">
        <v>336</v>
      </c>
      <c r="D963" s="13" t="s">
        <v>6877</v>
      </c>
      <c r="E963" s="13" t="s">
        <v>13545</v>
      </c>
      <c r="F963" s="13" t="s">
        <v>13546</v>
      </c>
      <c r="G963" s="13" t="s">
        <v>11098</v>
      </c>
      <c r="H963" s="13" t="s">
        <v>11099</v>
      </c>
      <c r="I963" s="13" t="s">
        <v>13547</v>
      </c>
      <c r="J963" s="13"/>
      <c r="K963" s="13" t="s">
        <v>6880</v>
      </c>
      <c r="L963" s="13" t="s">
        <v>6881</v>
      </c>
    </row>
    <row r="964" customFormat="false" ht="68.65" hidden="false" customHeight="false" outlineLevel="0" collapsed="false">
      <c r="A964" s="13" t="s">
        <v>4</v>
      </c>
      <c r="B964" s="13" t="s">
        <v>68</v>
      </c>
      <c r="C964" s="13" t="n">
        <v>339</v>
      </c>
      <c r="D964" s="13" t="s">
        <v>6892</v>
      </c>
      <c r="E964" s="13" t="s">
        <v>13548</v>
      </c>
      <c r="F964" s="13" t="s">
        <v>13549</v>
      </c>
      <c r="G964" s="13" t="s">
        <v>11098</v>
      </c>
      <c r="H964" s="13" t="s">
        <v>11099</v>
      </c>
      <c r="I964" s="13" t="s">
        <v>13550</v>
      </c>
      <c r="J964" s="13"/>
      <c r="K964" s="13" t="s">
        <v>6899</v>
      </c>
      <c r="L964" s="13" t="s">
        <v>6900</v>
      </c>
    </row>
    <row r="965" customFormat="false" ht="68.65" hidden="false" customHeight="false" outlineLevel="0" collapsed="false">
      <c r="A965" s="13" t="s">
        <v>4</v>
      </c>
      <c r="B965" s="13" t="s">
        <v>68</v>
      </c>
      <c r="C965" s="13" t="n">
        <v>339</v>
      </c>
      <c r="D965" s="13" t="s">
        <v>6892</v>
      </c>
      <c r="E965" s="13" t="s">
        <v>13551</v>
      </c>
      <c r="F965" s="13" t="s">
        <v>13552</v>
      </c>
      <c r="G965" s="13" t="s">
        <v>11098</v>
      </c>
      <c r="H965" s="13" t="s">
        <v>11099</v>
      </c>
      <c r="I965" s="13" t="s">
        <v>6904</v>
      </c>
      <c r="J965" s="13"/>
      <c r="K965" s="13" t="s">
        <v>6899</v>
      </c>
      <c r="L965" s="13" t="s">
        <v>6900</v>
      </c>
    </row>
    <row r="966" customFormat="false" ht="314.9" hidden="false" customHeight="false" outlineLevel="0" collapsed="false">
      <c r="A966" s="13" t="s">
        <v>4</v>
      </c>
      <c r="B966" s="13" t="s">
        <v>68</v>
      </c>
      <c r="C966" s="13" t="n">
        <v>339</v>
      </c>
      <c r="D966" s="13" t="s">
        <v>6907</v>
      </c>
      <c r="E966" s="13" t="s">
        <v>13553</v>
      </c>
      <c r="F966" s="13" t="s">
        <v>13554</v>
      </c>
      <c r="G966" s="13" t="s">
        <v>11098</v>
      </c>
      <c r="H966" s="13" t="s">
        <v>11099</v>
      </c>
      <c r="I966" s="13" t="s">
        <v>13555</v>
      </c>
      <c r="J966" s="13"/>
      <c r="K966" s="13" t="s">
        <v>6911</v>
      </c>
      <c r="L966" s="13" t="s">
        <v>6912</v>
      </c>
    </row>
    <row r="967" customFormat="false" ht="314.9" hidden="false" customHeight="false" outlineLevel="0" collapsed="false">
      <c r="A967" s="13" t="s">
        <v>4</v>
      </c>
      <c r="B967" s="13" t="s">
        <v>68</v>
      </c>
      <c r="C967" s="13" t="n">
        <v>339</v>
      </c>
      <c r="D967" s="13" t="s">
        <v>6907</v>
      </c>
      <c r="E967" s="13" t="s">
        <v>13556</v>
      </c>
      <c r="F967" s="13" t="s">
        <v>13557</v>
      </c>
      <c r="G967" s="13" t="s">
        <v>11098</v>
      </c>
      <c r="H967" s="13" t="s">
        <v>11099</v>
      </c>
      <c r="I967" s="13" t="s">
        <v>6916</v>
      </c>
      <c r="J967" s="13"/>
      <c r="K967" s="13" t="s">
        <v>6911</v>
      </c>
      <c r="L967" s="13" t="s">
        <v>6912</v>
      </c>
    </row>
    <row r="968" customFormat="false" ht="314.9" hidden="false" customHeight="false" outlineLevel="0" collapsed="false">
      <c r="A968" s="13" t="s">
        <v>4</v>
      </c>
      <c r="B968" s="13" t="s">
        <v>68</v>
      </c>
      <c r="C968" s="13" t="n">
        <v>339</v>
      </c>
      <c r="D968" s="13" t="s">
        <v>6907</v>
      </c>
      <c r="E968" s="13" t="s">
        <v>13558</v>
      </c>
      <c r="F968" s="13" t="s">
        <v>13559</v>
      </c>
      <c r="G968" s="13" t="s">
        <v>11098</v>
      </c>
      <c r="H968" s="13" t="s">
        <v>11099</v>
      </c>
      <c r="I968" s="13" t="s">
        <v>13560</v>
      </c>
      <c r="J968" s="13"/>
      <c r="K968" s="13" t="s">
        <v>6911</v>
      </c>
      <c r="L968" s="13" t="s">
        <v>6912</v>
      </c>
    </row>
    <row r="969" customFormat="false" ht="102.2" hidden="false" customHeight="false" outlineLevel="0" collapsed="false">
      <c r="A969" s="13" t="s">
        <v>4</v>
      </c>
      <c r="B969" s="13" t="s">
        <v>68</v>
      </c>
      <c r="C969" s="13" t="n">
        <v>339</v>
      </c>
      <c r="D969" s="13" t="s">
        <v>6925</v>
      </c>
      <c r="E969" s="13" t="s">
        <v>13561</v>
      </c>
      <c r="F969" s="13" t="s">
        <v>13562</v>
      </c>
      <c r="G969" s="13" t="s">
        <v>11098</v>
      </c>
      <c r="H969" s="13" t="s">
        <v>11099</v>
      </c>
      <c r="I969" s="13" t="s">
        <v>13563</v>
      </c>
      <c r="J969" s="13"/>
      <c r="K969" s="13" t="s">
        <v>6929</v>
      </c>
      <c r="L969" s="13" t="s">
        <v>6930</v>
      </c>
    </row>
    <row r="970" customFormat="false" ht="102.2" hidden="false" customHeight="false" outlineLevel="0" collapsed="false">
      <c r="A970" s="13" t="s">
        <v>4</v>
      </c>
      <c r="B970" s="13" t="s">
        <v>68</v>
      </c>
      <c r="C970" s="13" t="n">
        <v>339</v>
      </c>
      <c r="D970" s="13" t="s">
        <v>6925</v>
      </c>
      <c r="E970" s="13" t="s">
        <v>13564</v>
      </c>
      <c r="F970" s="13" t="s">
        <v>13565</v>
      </c>
      <c r="G970" s="13" t="s">
        <v>11098</v>
      </c>
      <c r="H970" s="13" t="s">
        <v>11099</v>
      </c>
      <c r="I970" s="13" t="s">
        <v>13566</v>
      </c>
      <c r="J970" s="13" t="s">
        <v>13567</v>
      </c>
      <c r="K970" s="13" t="s">
        <v>6929</v>
      </c>
      <c r="L970" s="13" t="s">
        <v>6930</v>
      </c>
    </row>
    <row r="971" customFormat="false" ht="46.25" hidden="false" customHeight="false" outlineLevel="0" collapsed="false">
      <c r="A971" s="13" t="s">
        <v>4</v>
      </c>
      <c r="B971" s="13" t="s">
        <v>68</v>
      </c>
      <c r="C971" s="13" t="n">
        <v>408</v>
      </c>
      <c r="D971" s="13" t="s">
        <v>6944</v>
      </c>
      <c r="E971" s="13" t="s">
        <v>13568</v>
      </c>
      <c r="F971" s="13" t="s">
        <v>13569</v>
      </c>
      <c r="G971" s="13" t="s">
        <v>11098</v>
      </c>
      <c r="H971" s="13" t="s">
        <v>11099</v>
      </c>
      <c r="I971" s="13" t="s">
        <v>13570</v>
      </c>
      <c r="J971" s="13"/>
      <c r="K971" s="13" t="s">
        <v>6948</v>
      </c>
      <c r="L971" s="13" t="s">
        <v>6949</v>
      </c>
    </row>
    <row r="972" customFormat="false" ht="57.45" hidden="false" customHeight="false" outlineLevel="0" collapsed="false">
      <c r="A972" s="13" t="s">
        <v>4</v>
      </c>
      <c r="B972" s="13" t="s">
        <v>68</v>
      </c>
      <c r="C972" s="13" t="n">
        <v>408</v>
      </c>
      <c r="D972" s="13" t="s">
        <v>6953</v>
      </c>
      <c r="E972" s="13" t="s">
        <v>13571</v>
      </c>
      <c r="F972" s="13" t="s">
        <v>13572</v>
      </c>
      <c r="G972" s="13" t="s">
        <v>11098</v>
      </c>
      <c r="H972" s="13" t="s">
        <v>11099</v>
      </c>
      <c r="I972" s="13" t="s">
        <v>13573</v>
      </c>
      <c r="J972" s="13"/>
      <c r="K972" s="13" t="s">
        <v>6956</v>
      </c>
      <c r="L972" s="13" t="s">
        <v>6957</v>
      </c>
    </row>
    <row r="973" customFormat="false" ht="35.05" hidden="false" customHeight="false" outlineLevel="0" collapsed="false">
      <c r="A973" s="13" t="s">
        <v>4</v>
      </c>
      <c r="B973" s="13" t="s">
        <v>68</v>
      </c>
      <c r="C973" s="13" t="n">
        <v>408</v>
      </c>
      <c r="D973" s="13" t="s">
        <v>6959</v>
      </c>
      <c r="E973" s="13" t="s">
        <v>13574</v>
      </c>
      <c r="F973" s="13" t="s">
        <v>13575</v>
      </c>
      <c r="G973" s="13" t="s">
        <v>11098</v>
      </c>
      <c r="H973" s="13" t="s">
        <v>11099</v>
      </c>
      <c r="I973" s="13" t="s">
        <v>13576</v>
      </c>
      <c r="J973" s="13"/>
      <c r="K973" s="13" t="s">
        <v>6962</v>
      </c>
      <c r="L973" s="13" t="s">
        <v>6963</v>
      </c>
    </row>
    <row r="974" customFormat="false" ht="68.65" hidden="false" customHeight="false" outlineLevel="0" collapsed="false">
      <c r="A974" s="13" t="s">
        <v>4</v>
      </c>
      <c r="B974" s="13" t="s">
        <v>68</v>
      </c>
      <c r="C974" s="13" t="n">
        <v>408</v>
      </c>
      <c r="D974" s="13" t="s">
        <v>6965</v>
      </c>
      <c r="E974" s="13" t="s">
        <v>13577</v>
      </c>
      <c r="F974" s="13" t="s">
        <v>13578</v>
      </c>
      <c r="G974" s="13" t="s">
        <v>11098</v>
      </c>
      <c r="H974" s="13" t="s">
        <v>11099</v>
      </c>
      <c r="I974" s="13" t="s">
        <v>13579</v>
      </c>
      <c r="J974" s="13"/>
      <c r="K974" s="13" t="s">
        <v>6968</v>
      </c>
      <c r="L974" s="13" t="s">
        <v>6969</v>
      </c>
    </row>
    <row r="975" customFormat="false" ht="68.65" hidden="false" customHeight="false" outlineLevel="0" collapsed="false">
      <c r="A975" s="13" t="s">
        <v>4</v>
      </c>
      <c r="B975" s="13" t="s">
        <v>68</v>
      </c>
      <c r="C975" s="13" t="n">
        <v>408</v>
      </c>
      <c r="D975" s="13" t="s">
        <v>6976</v>
      </c>
      <c r="E975" s="13" t="s">
        <v>13580</v>
      </c>
      <c r="F975" s="13" t="s">
        <v>13581</v>
      </c>
      <c r="G975" s="13" t="s">
        <v>11098</v>
      </c>
      <c r="H975" s="13" t="s">
        <v>11099</v>
      </c>
      <c r="I975" s="13" t="s">
        <v>13582</v>
      </c>
      <c r="J975" s="13"/>
      <c r="K975" s="13" t="s">
        <v>6980</v>
      </c>
      <c r="L975" s="13" t="s">
        <v>6981</v>
      </c>
    </row>
    <row r="976" customFormat="false" ht="46.25" hidden="false" customHeight="false" outlineLevel="0" collapsed="false">
      <c r="A976" s="13" t="s">
        <v>4</v>
      </c>
      <c r="B976" s="13" t="s">
        <v>68</v>
      </c>
      <c r="C976" s="13" t="n">
        <v>408</v>
      </c>
      <c r="D976" s="13" t="s">
        <v>6987</v>
      </c>
      <c r="E976" s="13" t="s">
        <v>13583</v>
      </c>
      <c r="F976" s="13" t="s">
        <v>13584</v>
      </c>
      <c r="G976" s="13" t="s">
        <v>11098</v>
      </c>
      <c r="H976" s="13" t="s">
        <v>11099</v>
      </c>
      <c r="I976" s="13" t="s">
        <v>13585</v>
      </c>
      <c r="J976" s="13"/>
      <c r="K976" s="13" t="s">
        <v>6989</v>
      </c>
      <c r="L976" s="13" t="s">
        <v>6990</v>
      </c>
    </row>
    <row r="977" customFormat="false" ht="113.4" hidden="false" customHeight="false" outlineLevel="0" collapsed="false">
      <c r="A977" s="13" t="s">
        <v>4</v>
      </c>
      <c r="B977" s="13" t="s">
        <v>68</v>
      </c>
      <c r="C977" s="13" t="n">
        <v>408</v>
      </c>
      <c r="D977" s="13" t="s">
        <v>6997</v>
      </c>
      <c r="E977" s="13" t="s">
        <v>13586</v>
      </c>
      <c r="F977" s="13" t="s">
        <v>13587</v>
      </c>
      <c r="G977" s="13" t="s">
        <v>11098</v>
      </c>
      <c r="H977" s="13" t="s">
        <v>11099</v>
      </c>
      <c r="I977" s="13" t="s">
        <v>6998</v>
      </c>
      <c r="J977" s="13"/>
      <c r="K977" s="13" t="s">
        <v>7000</v>
      </c>
      <c r="L977" s="13" t="s">
        <v>7001</v>
      </c>
    </row>
    <row r="978" customFormat="false" ht="113.4" hidden="false" customHeight="false" outlineLevel="0" collapsed="false">
      <c r="A978" s="13" t="s">
        <v>4</v>
      </c>
      <c r="B978" s="13" t="s">
        <v>68</v>
      </c>
      <c r="C978" s="13" t="n">
        <v>408</v>
      </c>
      <c r="D978" s="13" t="s">
        <v>6997</v>
      </c>
      <c r="E978" s="13" t="s">
        <v>13588</v>
      </c>
      <c r="F978" s="13" t="s">
        <v>13589</v>
      </c>
      <c r="G978" s="13" t="s">
        <v>11098</v>
      </c>
      <c r="H978" s="13" t="s">
        <v>11099</v>
      </c>
      <c r="I978" s="13" t="s">
        <v>13590</v>
      </c>
      <c r="J978" s="13"/>
      <c r="K978" s="13" t="s">
        <v>7000</v>
      </c>
      <c r="L978" s="13" t="s">
        <v>7001</v>
      </c>
    </row>
    <row r="979" customFormat="false" ht="91" hidden="false" customHeight="false" outlineLevel="0" collapsed="false">
      <c r="A979" s="13" t="s">
        <v>4</v>
      </c>
      <c r="B979" s="13" t="s">
        <v>68</v>
      </c>
      <c r="C979" s="13" t="n">
        <v>408</v>
      </c>
      <c r="D979" s="13" t="s">
        <v>7011</v>
      </c>
      <c r="E979" s="13" t="s">
        <v>13591</v>
      </c>
      <c r="F979" s="13" t="s">
        <v>13592</v>
      </c>
      <c r="G979" s="13" t="s">
        <v>11098</v>
      </c>
      <c r="H979" s="13" t="s">
        <v>11099</v>
      </c>
      <c r="I979" s="13" t="s">
        <v>13593</v>
      </c>
      <c r="J979" s="13"/>
      <c r="K979" s="13" t="s">
        <v>7014</v>
      </c>
      <c r="L979" s="13" t="s">
        <v>7015</v>
      </c>
    </row>
    <row r="980" customFormat="false" ht="91" hidden="false" customHeight="false" outlineLevel="0" collapsed="false">
      <c r="A980" s="13" t="s">
        <v>4</v>
      </c>
      <c r="B980" s="13" t="s">
        <v>68</v>
      </c>
      <c r="C980" s="13" t="n">
        <v>408</v>
      </c>
      <c r="D980" s="13" t="s">
        <v>7011</v>
      </c>
      <c r="E980" s="13" t="s">
        <v>13594</v>
      </c>
      <c r="F980" s="13" t="s">
        <v>13595</v>
      </c>
      <c r="G980" s="13" t="s">
        <v>11098</v>
      </c>
      <c r="H980" s="13" t="s">
        <v>11099</v>
      </c>
      <c r="I980" s="13" t="s">
        <v>7023</v>
      </c>
      <c r="J980" s="13" t="s">
        <v>13596</v>
      </c>
      <c r="K980" s="13" t="s">
        <v>7014</v>
      </c>
      <c r="L980" s="13" t="s">
        <v>7015</v>
      </c>
    </row>
    <row r="981" customFormat="false" ht="102.2" hidden="false" customHeight="false" outlineLevel="0" collapsed="false">
      <c r="A981" s="13" t="s">
        <v>4</v>
      </c>
      <c r="B981" s="13" t="s">
        <v>68</v>
      </c>
      <c r="C981" s="13" t="n">
        <v>408</v>
      </c>
      <c r="D981" s="13" t="s">
        <v>7025</v>
      </c>
      <c r="E981" s="13" t="s">
        <v>13597</v>
      </c>
      <c r="F981" s="13" t="s">
        <v>13598</v>
      </c>
      <c r="G981" s="13" t="s">
        <v>11098</v>
      </c>
      <c r="H981" s="13" t="s">
        <v>11099</v>
      </c>
      <c r="I981" s="13" t="s">
        <v>7026</v>
      </c>
      <c r="J981" s="13"/>
      <c r="K981" s="13" t="s">
        <v>7029</v>
      </c>
      <c r="L981" s="13" t="s">
        <v>7030</v>
      </c>
    </row>
    <row r="982" customFormat="false" ht="102.2" hidden="false" customHeight="false" outlineLevel="0" collapsed="false">
      <c r="A982" s="13" t="s">
        <v>4</v>
      </c>
      <c r="B982" s="13" t="s">
        <v>68</v>
      </c>
      <c r="C982" s="13" t="n">
        <v>408</v>
      </c>
      <c r="D982" s="13" t="s">
        <v>7025</v>
      </c>
      <c r="E982" s="13" t="s">
        <v>13599</v>
      </c>
      <c r="F982" s="13" t="s">
        <v>13600</v>
      </c>
      <c r="G982" s="13" t="s">
        <v>11098</v>
      </c>
      <c r="H982" s="13" t="s">
        <v>11099</v>
      </c>
      <c r="I982" s="13" t="s">
        <v>13601</v>
      </c>
      <c r="J982" s="13"/>
      <c r="K982" s="13" t="s">
        <v>7029</v>
      </c>
      <c r="L982" s="13" t="s">
        <v>7030</v>
      </c>
    </row>
    <row r="983" customFormat="false" ht="35.05" hidden="false" customHeight="false" outlineLevel="0" collapsed="false">
      <c r="A983" s="13" t="s">
        <v>4</v>
      </c>
      <c r="B983" s="13" t="s">
        <v>2150</v>
      </c>
      <c r="C983" s="13" t="n">
        <v>27</v>
      </c>
      <c r="D983" s="13" t="s">
        <v>7038</v>
      </c>
      <c r="E983" s="13" t="s">
        <v>13602</v>
      </c>
      <c r="F983" s="13" t="s">
        <v>13603</v>
      </c>
      <c r="G983" s="13" t="s">
        <v>11137</v>
      </c>
      <c r="H983" s="13" t="s">
        <v>11099</v>
      </c>
      <c r="I983" s="13" t="s">
        <v>7039</v>
      </c>
      <c r="J983" s="13" t="s">
        <v>13604</v>
      </c>
      <c r="K983" s="13" t="s">
        <v>7043</v>
      </c>
      <c r="L983" s="13" t="s">
        <v>7044</v>
      </c>
    </row>
    <row r="984" customFormat="false" ht="46.25" hidden="false" customHeight="false" outlineLevel="0" collapsed="false">
      <c r="A984" s="13" t="s">
        <v>4</v>
      </c>
      <c r="B984" s="13" t="s">
        <v>2150</v>
      </c>
      <c r="C984" s="13" t="n">
        <v>27</v>
      </c>
      <c r="D984" s="13" t="s">
        <v>7045</v>
      </c>
      <c r="E984" s="13" t="s">
        <v>13605</v>
      </c>
      <c r="F984" s="13" t="s">
        <v>13606</v>
      </c>
      <c r="G984" s="13" t="s">
        <v>11098</v>
      </c>
      <c r="H984" s="13" t="s">
        <v>11099</v>
      </c>
      <c r="I984" s="13" t="s">
        <v>13607</v>
      </c>
      <c r="J984" s="13"/>
      <c r="K984" s="13" t="s">
        <v>7048</v>
      </c>
      <c r="L984" s="13" t="s">
        <v>7049</v>
      </c>
    </row>
    <row r="985" customFormat="false" ht="23.85" hidden="false" customHeight="false" outlineLevel="0" collapsed="false">
      <c r="A985" s="13" t="s">
        <v>4</v>
      </c>
      <c r="B985" s="13" t="s">
        <v>2150</v>
      </c>
      <c r="C985" s="13" t="n">
        <v>27</v>
      </c>
      <c r="D985" s="13" t="s">
        <v>7055</v>
      </c>
      <c r="E985" s="13" t="s">
        <v>13608</v>
      </c>
      <c r="F985" s="13" t="s">
        <v>13609</v>
      </c>
      <c r="G985" s="13" t="s">
        <v>11137</v>
      </c>
      <c r="H985" s="13" t="s">
        <v>11099</v>
      </c>
      <c r="I985" s="13" t="s">
        <v>7056</v>
      </c>
      <c r="J985" s="13"/>
      <c r="K985" s="13" t="s">
        <v>7062</v>
      </c>
      <c r="L985" s="13" t="s">
        <v>7063</v>
      </c>
    </row>
    <row r="986" customFormat="false" ht="15" hidden="false" customHeight="false" outlineLevel="0" collapsed="false">
      <c r="A986" s="13" t="s">
        <v>4</v>
      </c>
      <c r="B986" s="13" t="s">
        <v>2150</v>
      </c>
      <c r="C986" s="13" t="n">
        <v>27</v>
      </c>
      <c r="D986" s="13" t="s">
        <v>7064</v>
      </c>
      <c r="E986" s="13" t="s">
        <v>13610</v>
      </c>
      <c r="F986" s="13" t="s">
        <v>13611</v>
      </c>
      <c r="G986" s="13" t="s">
        <v>11098</v>
      </c>
      <c r="H986" s="13" t="s">
        <v>11099</v>
      </c>
      <c r="I986" s="13" t="s">
        <v>7065</v>
      </c>
      <c r="J986" s="13"/>
      <c r="K986" s="13" t="s">
        <v>7068</v>
      </c>
      <c r="L986" s="13" t="s">
        <v>7069</v>
      </c>
    </row>
    <row r="987" customFormat="false" ht="91" hidden="false" customHeight="false" outlineLevel="0" collapsed="false">
      <c r="A987" s="13" t="s">
        <v>4</v>
      </c>
      <c r="B987" s="13" t="s">
        <v>2150</v>
      </c>
      <c r="C987" s="13" t="n">
        <v>27</v>
      </c>
      <c r="D987" s="13" t="s">
        <v>7070</v>
      </c>
      <c r="E987" s="13" t="s">
        <v>13612</v>
      </c>
      <c r="F987" s="13" t="s">
        <v>13613</v>
      </c>
      <c r="G987" s="13" t="s">
        <v>11098</v>
      </c>
      <c r="H987" s="13" t="s">
        <v>11099</v>
      </c>
      <c r="I987" s="13" t="s">
        <v>7071</v>
      </c>
      <c r="J987" s="13"/>
      <c r="K987" s="13" t="s">
        <v>7073</v>
      </c>
      <c r="L987" s="13" t="s">
        <v>7074</v>
      </c>
    </row>
    <row r="988" customFormat="false" ht="57.45" hidden="false" customHeight="false" outlineLevel="0" collapsed="false">
      <c r="A988" s="13" t="s">
        <v>4</v>
      </c>
      <c r="B988" s="13" t="s">
        <v>2150</v>
      </c>
      <c r="C988" s="13" t="n">
        <v>27</v>
      </c>
      <c r="D988" s="13" t="s">
        <v>7075</v>
      </c>
      <c r="E988" s="13" t="s">
        <v>13614</v>
      </c>
      <c r="F988" s="13" t="s">
        <v>13615</v>
      </c>
      <c r="G988" s="13" t="s">
        <v>11098</v>
      </c>
      <c r="H988" s="13" t="s">
        <v>11099</v>
      </c>
      <c r="I988" s="13" t="s">
        <v>13616</v>
      </c>
      <c r="J988" s="13"/>
      <c r="K988" s="13" t="s">
        <v>7078</v>
      </c>
      <c r="L988" s="13" t="s">
        <v>7079</v>
      </c>
    </row>
    <row r="989" customFormat="false" ht="23.85" hidden="false" customHeight="false" outlineLevel="0" collapsed="false">
      <c r="A989" s="13" t="s">
        <v>4</v>
      </c>
      <c r="B989" s="13" t="s">
        <v>2150</v>
      </c>
      <c r="C989" s="13" t="n">
        <v>27</v>
      </c>
      <c r="D989" s="13" t="s">
        <v>7083</v>
      </c>
      <c r="E989" s="13" t="s">
        <v>13617</v>
      </c>
      <c r="F989" s="13" t="s">
        <v>13618</v>
      </c>
      <c r="G989" s="13" t="s">
        <v>11098</v>
      </c>
      <c r="H989" s="13" t="s">
        <v>11099</v>
      </c>
      <c r="I989" s="13" t="s">
        <v>7084</v>
      </c>
      <c r="J989" s="13"/>
      <c r="K989" s="13" t="s">
        <v>7086</v>
      </c>
      <c r="L989" s="13" t="s">
        <v>7087</v>
      </c>
    </row>
    <row r="990" customFormat="false" ht="68.65" hidden="false" customHeight="false" outlineLevel="0" collapsed="false">
      <c r="A990" s="13" t="s">
        <v>4</v>
      </c>
      <c r="B990" s="13" t="s">
        <v>2150</v>
      </c>
      <c r="C990" s="13" t="n">
        <v>27</v>
      </c>
      <c r="D990" s="13" t="s">
        <v>7088</v>
      </c>
      <c r="E990" s="13" t="s">
        <v>13619</v>
      </c>
      <c r="F990" s="13" t="s">
        <v>13620</v>
      </c>
      <c r="G990" s="13" t="s">
        <v>11098</v>
      </c>
      <c r="H990" s="13" t="s">
        <v>11099</v>
      </c>
      <c r="I990" s="13" t="s">
        <v>7089</v>
      </c>
      <c r="J990" s="13"/>
      <c r="K990" s="13" t="s">
        <v>7091</v>
      </c>
      <c r="L990" s="13" t="s">
        <v>7092</v>
      </c>
    </row>
    <row r="991" customFormat="false" ht="68.65" hidden="false" customHeight="false" outlineLevel="0" collapsed="false">
      <c r="A991" s="13" t="s">
        <v>4</v>
      </c>
      <c r="B991" s="13" t="s">
        <v>2150</v>
      </c>
      <c r="C991" s="13" t="n">
        <v>27</v>
      </c>
      <c r="D991" s="13" t="s">
        <v>7088</v>
      </c>
      <c r="E991" s="13" t="s">
        <v>13621</v>
      </c>
      <c r="F991" s="13" t="s">
        <v>13622</v>
      </c>
      <c r="G991" s="13" t="s">
        <v>11098</v>
      </c>
      <c r="H991" s="13" t="s">
        <v>11099</v>
      </c>
      <c r="I991" s="13" t="s">
        <v>7093</v>
      </c>
      <c r="J991" s="13"/>
      <c r="K991" s="13" t="s">
        <v>7091</v>
      </c>
      <c r="L991" s="13" t="s">
        <v>7092</v>
      </c>
    </row>
    <row r="992" customFormat="false" ht="68.65" hidden="false" customHeight="false" outlineLevel="0" collapsed="false">
      <c r="A992" s="13" t="s">
        <v>4</v>
      </c>
      <c r="B992" s="13" t="s">
        <v>2150</v>
      </c>
      <c r="C992" s="13" t="n">
        <v>27</v>
      </c>
      <c r="D992" s="13" t="s">
        <v>7088</v>
      </c>
      <c r="E992" s="13" t="s">
        <v>13623</v>
      </c>
      <c r="F992" s="13" t="s">
        <v>13624</v>
      </c>
      <c r="G992" s="13" t="s">
        <v>11128</v>
      </c>
      <c r="H992" s="13" t="s">
        <v>11099</v>
      </c>
      <c r="I992" s="13"/>
      <c r="J992" s="13" t="s">
        <v>13625</v>
      </c>
      <c r="K992" s="13" t="s">
        <v>7091</v>
      </c>
      <c r="L992" s="13" t="s">
        <v>7092</v>
      </c>
    </row>
    <row r="993" customFormat="false" ht="46.25" hidden="false" customHeight="false" outlineLevel="0" collapsed="false">
      <c r="A993" s="13" t="s">
        <v>4</v>
      </c>
      <c r="B993" s="13" t="s">
        <v>2150</v>
      </c>
      <c r="C993" s="13" t="n">
        <v>27</v>
      </c>
      <c r="D993" s="13" t="s">
        <v>7096</v>
      </c>
      <c r="E993" s="13" t="s">
        <v>13626</v>
      </c>
      <c r="F993" s="13" t="s">
        <v>13627</v>
      </c>
      <c r="G993" s="13" t="s">
        <v>11098</v>
      </c>
      <c r="H993" s="13" t="s">
        <v>11099</v>
      </c>
      <c r="I993" s="13" t="s">
        <v>7097</v>
      </c>
      <c r="J993" s="13" t="s">
        <v>13628</v>
      </c>
      <c r="K993" s="13" t="s">
        <v>7099</v>
      </c>
      <c r="L993" s="13" t="s">
        <v>7100</v>
      </c>
    </row>
    <row r="994" customFormat="false" ht="57.45" hidden="false" customHeight="false" outlineLevel="0" collapsed="false">
      <c r="A994" s="13" t="s">
        <v>4</v>
      </c>
      <c r="B994" s="13" t="s">
        <v>2150</v>
      </c>
      <c r="C994" s="13" t="n">
        <v>27</v>
      </c>
      <c r="D994" s="13" t="s">
        <v>7101</v>
      </c>
      <c r="E994" s="13" t="s">
        <v>13629</v>
      </c>
      <c r="F994" s="13" t="s">
        <v>13630</v>
      </c>
      <c r="G994" s="13" t="s">
        <v>11098</v>
      </c>
      <c r="H994" s="13" t="s">
        <v>11099</v>
      </c>
      <c r="I994" s="13" t="s">
        <v>7102</v>
      </c>
      <c r="J994" s="13"/>
      <c r="K994" s="13" t="s">
        <v>7104</v>
      </c>
      <c r="L994" s="13" t="s">
        <v>7105</v>
      </c>
    </row>
    <row r="995" customFormat="false" ht="23.85" hidden="false" customHeight="false" outlineLevel="0" collapsed="false">
      <c r="A995" s="13" t="s">
        <v>4</v>
      </c>
      <c r="B995" s="13" t="s">
        <v>2150</v>
      </c>
      <c r="C995" s="13" t="n">
        <v>27</v>
      </c>
      <c r="D995" s="13" t="s">
        <v>7106</v>
      </c>
      <c r="E995" s="13" t="s">
        <v>13631</v>
      </c>
      <c r="F995" s="13" t="s">
        <v>13632</v>
      </c>
      <c r="G995" s="13" t="s">
        <v>11098</v>
      </c>
      <c r="H995" s="13" t="s">
        <v>11099</v>
      </c>
      <c r="I995" s="13" t="s">
        <v>7107</v>
      </c>
      <c r="J995" s="13"/>
      <c r="K995" s="13" t="s">
        <v>7109</v>
      </c>
      <c r="L995" s="13" t="s">
        <v>7110</v>
      </c>
    </row>
    <row r="996" customFormat="false" ht="79.85" hidden="false" customHeight="false" outlineLevel="0" collapsed="false">
      <c r="A996" s="13" t="s">
        <v>4</v>
      </c>
      <c r="B996" s="13" t="s">
        <v>2150</v>
      </c>
      <c r="C996" s="13" t="n">
        <v>27</v>
      </c>
      <c r="D996" s="13" t="s">
        <v>7116</v>
      </c>
      <c r="E996" s="13" t="s">
        <v>13633</v>
      </c>
      <c r="F996" s="13" t="s">
        <v>13634</v>
      </c>
      <c r="G996" s="13" t="s">
        <v>11098</v>
      </c>
      <c r="H996" s="13" t="s">
        <v>11099</v>
      </c>
      <c r="I996" s="13" t="s">
        <v>7117</v>
      </c>
      <c r="J996" s="13"/>
      <c r="K996" s="13" t="s">
        <v>7120</v>
      </c>
      <c r="L996" s="13" t="s">
        <v>7121</v>
      </c>
    </row>
    <row r="997" customFormat="false" ht="79.85" hidden="false" customHeight="false" outlineLevel="0" collapsed="false">
      <c r="A997" s="13" t="s">
        <v>4</v>
      </c>
      <c r="B997" s="13" t="s">
        <v>2150</v>
      </c>
      <c r="C997" s="13" t="n">
        <v>27</v>
      </c>
      <c r="D997" s="13" t="s">
        <v>7116</v>
      </c>
      <c r="E997" s="13" t="s">
        <v>13635</v>
      </c>
      <c r="F997" s="13" t="s">
        <v>13636</v>
      </c>
      <c r="G997" s="13" t="s">
        <v>11098</v>
      </c>
      <c r="H997" s="13" t="s">
        <v>11099</v>
      </c>
      <c r="I997" s="13" t="s">
        <v>13637</v>
      </c>
      <c r="J997" s="13"/>
      <c r="K997" s="13" t="s">
        <v>7120</v>
      </c>
      <c r="L997" s="13" t="s">
        <v>7121</v>
      </c>
    </row>
    <row r="998" customFormat="false" ht="23.85" hidden="false" customHeight="false" outlineLevel="0" collapsed="false">
      <c r="A998" s="13" t="s">
        <v>4</v>
      </c>
      <c r="B998" s="13" t="s">
        <v>2150</v>
      </c>
      <c r="C998" s="13" t="n">
        <v>29</v>
      </c>
      <c r="D998" s="13" t="s">
        <v>7128</v>
      </c>
      <c r="E998" s="13" t="s">
        <v>13638</v>
      </c>
      <c r="F998" s="13" t="s">
        <v>13639</v>
      </c>
      <c r="G998" s="13" t="s">
        <v>11098</v>
      </c>
      <c r="H998" s="13" t="s">
        <v>11099</v>
      </c>
      <c r="I998" s="13" t="s">
        <v>7129</v>
      </c>
      <c r="J998" s="13"/>
      <c r="K998" s="13" t="s">
        <v>7133</v>
      </c>
      <c r="L998" s="13" t="s">
        <v>7134</v>
      </c>
    </row>
    <row r="999" customFormat="false" ht="15" hidden="false" customHeight="false" outlineLevel="0" collapsed="false">
      <c r="A999" s="13" t="s">
        <v>4</v>
      </c>
      <c r="B999" s="13" t="s">
        <v>2150</v>
      </c>
      <c r="C999" s="13" t="n">
        <v>29</v>
      </c>
      <c r="D999" s="13" t="s">
        <v>7135</v>
      </c>
      <c r="E999" s="13" t="s">
        <v>13640</v>
      </c>
      <c r="F999" s="13" t="s">
        <v>13641</v>
      </c>
      <c r="G999" s="13" t="s">
        <v>11098</v>
      </c>
      <c r="H999" s="13" t="s">
        <v>11099</v>
      </c>
      <c r="I999" s="13" t="s">
        <v>7136</v>
      </c>
      <c r="J999" s="13"/>
      <c r="K999" s="13" t="s">
        <v>7139</v>
      </c>
      <c r="L999" s="13" t="s">
        <v>7140</v>
      </c>
    </row>
    <row r="1000" customFormat="false" ht="23.85" hidden="false" customHeight="false" outlineLevel="0" collapsed="false">
      <c r="A1000" s="13" t="s">
        <v>4</v>
      </c>
      <c r="B1000" s="13" t="s">
        <v>2150</v>
      </c>
      <c r="C1000" s="13" t="n">
        <v>29</v>
      </c>
      <c r="D1000" s="13" t="s">
        <v>7141</v>
      </c>
      <c r="E1000" s="13" t="s">
        <v>13642</v>
      </c>
      <c r="F1000" s="13" t="s">
        <v>13643</v>
      </c>
      <c r="G1000" s="13" t="s">
        <v>11098</v>
      </c>
      <c r="H1000" s="13" t="s">
        <v>11099</v>
      </c>
      <c r="I1000" s="13" t="s">
        <v>7142</v>
      </c>
      <c r="J1000" s="13" t="s">
        <v>13644</v>
      </c>
      <c r="K1000" s="13" t="s">
        <v>7144</v>
      </c>
      <c r="L1000" s="13" t="s">
        <v>7145</v>
      </c>
    </row>
    <row r="1001" customFormat="false" ht="23.85" hidden="false" customHeight="false" outlineLevel="0" collapsed="false">
      <c r="A1001" s="13" t="s">
        <v>4</v>
      </c>
      <c r="B1001" s="13" t="s">
        <v>2150</v>
      </c>
      <c r="C1001" s="13" t="n">
        <v>29</v>
      </c>
      <c r="D1001" s="13" t="s">
        <v>7146</v>
      </c>
      <c r="E1001" s="13" t="s">
        <v>13645</v>
      </c>
      <c r="F1001" s="13" t="s">
        <v>13646</v>
      </c>
      <c r="G1001" s="13" t="s">
        <v>11098</v>
      </c>
      <c r="H1001" s="13" t="s">
        <v>11099</v>
      </c>
      <c r="I1001" s="13" t="s">
        <v>7147</v>
      </c>
      <c r="J1001" s="13" t="s">
        <v>13647</v>
      </c>
      <c r="K1001" s="13" t="s">
        <v>7149</v>
      </c>
      <c r="L1001" s="13" t="s">
        <v>7150</v>
      </c>
    </row>
    <row r="1002" customFormat="false" ht="15" hidden="false" customHeight="false" outlineLevel="0" collapsed="false">
      <c r="A1002" s="13" t="s">
        <v>4</v>
      </c>
      <c r="B1002" s="13" t="s">
        <v>2150</v>
      </c>
      <c r="C1002" s="13" t="n">
        <v>29</v>
      </c>
      <c r="D1002" s="13" t="s">
        <v>7151</v>
      </c>
      <c r="E1002" s="13" t="s">
        <v>13648</v>
      </c>
      <c r="F1002" s="13" t="s">
        <v>13649</v>
      </c>
      <c r="G1002" s="13" t="s">
        <v>11098</v>
      </c>
      <c r="H1002" s="13" t="s">
        <v>11099</v>
      </c>
      <c r="I1002" s="13" t="s">
        <v>7152</v>
      </c>
      <c r="J1002" s="13"/>
      <c r="K1002" s="13" t="s">
        <v>7155</v>
      </c>
      <c r="L1002" s="13" t="s">
        <v>7156</v>
      </c>
    </row>
    <row r="1003" customFormat="false" ht="15" hidden="false" customHeight="false" outlineLevel="0" collapsed="false">
      <c r="A1003" s="13" t="s">
        <v>4</v>
      </c>
      <c r="B1003" s="13" t="s">
        <v>2150</v>
      </c>
      <c r="C1003" s="13" t="n">
        <v>29</v>
      </c>
      <c r="D1003" s="13" t="s">
        <v>7157</v>
      </c>
      <c r="E1003" s="13" t="s">
        <v>13650</v>
      </c>
      <c r="F1003" s="13" t="s">
        <v>13651</v>
      </c>
      <c r="G1003" s="13" t="s">
        <v>11098</v>
      </c>
      <c r="H1003" s="13" t="s">
        <v>11099</v>
      </c>
      <c r="I1003" s="13" t="s">
        <v>7158</v>
      </c>
      <c r="J1003" s="13"/>
      <c r="K1003" s="13" t="s">
        <v>7162</v>
      </c>
      <c r="L1003" s="13" t="s">
        <v>7163</v>
      </c>
    </row>
    <row r="1004" customFormat="false" ht="15" hidden="false" customHeight="false" outlineLevel="0" collapsed="false">
      <c r="A1004" s="13" t="s">
        <v>4</v>
      </c>
      <c r="B1004" s="13" t="s">
        <v>2150</v>
      </c>
      <c r="C1004" s="13" t="n">
        <v>29</v>
      </c>
      <c r="D1004" s="13" t="s">
        <v>7164</v>
      </c>
      <c r="E1004" s="13" t="s">
        <v>13652</v>
      </c>
      <c r="F1004" s="13" t="s">
        <v>13653</v>
      </c>
      <c r="G1004" s="13" t="s">
        <v>11098</v>
      </c>
      <c r="H1004" s="13" t="s">
        <v>11099</v>
      </c>
      <c r="I1004" s="13" t="s">
        <v>7165</v>
      </c>
      <c r="J1004" s="13"/>
      <c r="K1004" s="13" t="s">
        <v>7169</v>
      </c>
      <c r="L1004" s="13" t="s">
        <v>7170</v>
      </c>
    </row>
    <row r="1005" customFormat="false" ht="15" hidden="false" customHeight="false" outlineLevel="0" collapsed="false">
      <c r="A1005" s="13" t="s">
        <v>4</v>
      </c>
      <c r="B1005" s="13" t="s">
        <v>2150</v>
      </c>
      <c r="C1005" s="13" t="n">
        <v>29</v>
      </c>
      <c r="D1005" s="13" t="s">
        <v>7171</v>
      </c>
      <c r="E1005" s="13" t="s">
        <v>13654</v>
      </c>
      <c r="F1005" s="13" t="s">
        <v>13655</v>
      </c>
      <c r="G1005" s="13" t="s">
        <v>11098</v>
      </c>
      <c r="H1005" s="13" t="s">
        <v>11099</v>
      </c>
      <c r="I1005" s="13" t="s">
        <v>7172</v>
      </c>
      <c r="J1005" s="13"/>
      <c r="K1005" s="13" t="s">
        <v>7175</v>
      </c>
      <c r="L1005" s="13" t="s">
        <v>7176</v>
      </c>
    </row>
    <row r="1006" customFormat="false" ht="35.05" hidden="false" customHeight="false" outlineLevel="0" collapsed="false">
      <c r="A1006" s="13" t="s">
        <v>4</v>
      </c>
      <c r="B1006" s="13" t="s">
        <v>2150</v>
      </c>
      <c r="C1006" s="13" t="n">
        <v>29</v>
      </c>
      <c r="D1006" s="13" t="s">
        <v>7177</v>
      </c>
      <c r="E1006" s="13" t="s">
        <v>13656</v>
      </c>
      <c r="F1006" s="13" t="s">
        <v>13657</v>
      </c>
      <c r="G1006" s="13" t="s">
        <v>11098</v>
      </c>
      <c r="H1006" s="13" t="s">
        <v>11099</v>
      </c>
      <c r="I1006" s="13" t="s">
        <v>13658</v>
      </c>
      <c r="J1006" s="13"/>
      <c r="K1006" s="13" t="s">
        <v>7182</v>
      </c>
      <c r="L1006" s="13" t="s">
        <v>7183</v>
      </c>
    </row>
    <row r="1007" customFormat="false" ht="35.05" hidden="false" customHeight="false" outlineLevel="0" collapsed="false">
      <c r="A1007" s="13" t="s">
        <v>4</v>
      </c>
      <c r="B1007" s="13" t="s">
        <v>2150</v>
      </c>
      <c r="C1007" s="13" t="n">
        <v>29</v>
      </c>
      <c r="D1007" s="13" t="s">
        <v>7187</v>
      </c>
      <c r="E1007" s="13" t="s">
        <v>13659</v>
      </c>
      <c r="F1007" s="13" t="s">
        <v>13660</v>
      </c>
      <c r="G1007" s="13" t="s">
        <v>11098</v>
      </c>
      <c r="H1007" s="13" t="s">
        <v>11099</v>
      </c>
      <c r="I1007" s="13" t="s">
        <v>7188</v>
      </c>
      <c r="J1007" s="13" t="s">
        <v>13661</v>
      </c>
      <c r="K1007" s="13" t="s">
        <v>7192</v>
      </c>
      <c r="L1007" s="13" t="s">
        <v>7193</v>
      </c>
    </row>
    <row r="1008" customFormat="false" ht="46.25" hidden="false" customHeight="false" outlineLevel="0" collapsed="false">
      <c r="A1008" s="13" t="s">
        <v>4</v>
      </c>
      <c r="B1008" s="13" t="s">
        <v>2150</v>
      </c>
      <c r="C1008" s="13" t="n">
        <v>29</v>
      </c>
      <c r="D1008" s="13" t="s">
        <v>7194</v>
      </c>
      <c r="E1008" s="13" t="s">
        <v>13662</v>
      </c>
      <c r="F1008" s="13" t="s">
        <v>13663</v>
      </c>
      <c r="G1008" s="13" t="s">
        <v>11098</v>
      </c>
      <c r="H1008" s="13" t="s">
        <v>11099</v>
      </c>
      <c r="I1008" s="13" t="s">
        <v>7195</v>
      </c>
      <c r="J1008" s="13"/>
      <c r="K1008" s="13" t="s">
        <v>7198</v>
      </c>
      <c r="L1008" s="13" t="s">
        <v>7199</v>
      </c>
    </row>
    <row r="1009" customFormat="false" ht="15" hidden="false" customHeight="false" outlineLevel="0" collapsed="false">
      <c r="A1009" s="13" t="s">
        <v>4</v>
      </c>
      <c r="B1009" s="13" t="s">
        <v>2150</v>
      </c>
      <c r="C1009" s="13" t="n">
        <v>29</v>
      </c>
      <c r="D1009" s="13" t="s">
        <v>7200</v>
      </c>
      <c r="E1009" s="13" t="s">
        <v>13664</v>
      </c>
      <c r="F1009" s="13" t="s">
        <v>13665</v>
      </c>
      <c r="G1009" s="13" t="s">
        <v>11098</v>
      </c>
      <c r="H1009" s="13" t="s">
        <v>11099</v>
      </c>
      <c r="I1009" s="13" t="s">
        <v>7201</v>
      </c>
      <c r="J1009" s="13"/>
      <c r="K1009" s="13" t="s">
        <v>7203</v>
      </c>
      <c r="L1009" s="13" t="s">
        <v>7204</v>
      </c>
    </row>
    <row r="1010" customFormat="false" ht="15" hidden="false" customHeight="false" outlineLevel="0" collapsed="false">
      <c r="A1010" s="13" t="s">
        <v>4</v>
      </c>
      <c r="B1010" s="13" t="s">
        <v>2150</v>
      </c>
      <c r="C1010" s="13" t="n">
        <v>29</v>
      </c>
      <c r="D1010" s="13" t="s">
        <v>7205</v>
      </c>
      <c r="E1010" s="13" t="s">
        <v>13666</v>
      </c>
      <c r="F1010" s="13" t="s">
        <v>13667</v>
      </c>
      <c r="G1010" s="13" t="s">
        <v>11098</v>
      </c>
      <c r="H1010" s="13" t="s">
        <v>11099</v>
      </c>
      <c r="I1010" s="13" t="s">
        <v>7206</v>
      </c>
      <c r="J1010" s="13"/>
      <c r="K1010" s="13" t="s">
        <v>7209</v>
      </c>
      <c r="L1010" s="13" t="s">
        <v>7210</v>
      </c>
    </row>
    <row r="1011" customFormat="false" ht="23.85" hidden="false" customHeight="false" outlineLevel="0" collapsed="false">
      <c r="A1011" s="13" t="s">
        <v>4</v>
      </c>
      <c r="B1011" s="13" t="s">
        <v>2150</v>
      </c>
      <c r="C1011" s="13" t="n">
        <v>29</v>
      </c>
      <c r="D1011" s="13" t="s">
        <v>7211</v>
      </c>
      <c r="E1011" s="13" t="s">
        <v>13668</v>
      </c>
      <c r="F1011" s="13" t="s">
        <v>13669</v>
      </c>
      <c r="G1011" s="13" t="s">
        <v>11098</v>
      </c>
      <c r="H1011" s="13" t="s">
        <v>11099</v>
      </c>
      <c r="I1011" s="13" t="s">
        <v>7212</v>
      </c>
      <c r="J1011" s="13"/>
      <c r="K1011" s="13" t="s">
        <v>7215</v>
      </c>
      <c r="L1011" s="13" t="s">
        <v>7216</v>
      </c>
    </row>
    <row r="1012" customFormat="false" ht="15" hidden="false" customHeight="false" outlineLevel="0" collapsed="false">
      <c r="A1012" s="13" t="s">
        <v>4</v>
      </c>
      <c r="B1012" s="13" t="s">
        <v>2150</v>
      </c>
      <c r="C1012" s="13" t="n">
        <v>29</v>
      </c>
      <c r="D1012" s="13" t="s">
        <v>7217</v>
      </c>
      <c r="E1012" s="13" t="s">
        <v>13670</v>
      </c>
      <c r="F1012" s="13" t="s">
        <v>13671</v>
      </c>
      <c r="G1012" s="13" t="s">
        <v>11098</v>
      </c>
      <c r="H1012" s="13" t="s">
        <v>11099</v>
      </c>
      <c r="I1012" s="13" t="s">
        <v>7218</v>
      </c>
      <c r="J1012" s="13"/>
      <c r="K1012" s="13" t="s">
        <v>7220</v>
      </c>
      <c r="L1012" s="13" t="s">
        <v>7221</v>
      </c>
    </row>
    <row r="1013" customFormat="false" ht="15" hidden="false" customHeight="false" outlineLevel="0" collapsed="false">
      <c r="A1013" s="13" t="s">
        <v>4</v>
      </c>
      <c r="B1013" s="13" t="s">
        <v>2150</v>
      </c>
      <c r="C1013" s="13" t="n">
        <v>29</v>
      </c>
      <c r="D1013" s="13" t="s">
        <v>7222</v>
      </c>
      <c r="E1013" s="13" t="s">
        <v>13672</v>
      </c>
      <c r="F1013" s="13" t="s">
        <v>13673</v>
      </c>
      <c r="G1013" s="13" t="s">
        <v>11098</v>
      </c>
      <c r="H1013" s="13" t="s">
        <v>11099</v>
      </c>
      <c r="I1013" s="13" t="s">
        <v>7223</v>
      </c>
      <c r="J1013" s="13"/>
      <c r="K1013" s="13" t="s">
        <v>7226</v>
      </c>
      <c r="L1013" s="13" t="s">
        <v>7227</v>
      </c>
    </row>
    <row r="1014" customFormat="false" ht="15" hidden="false" customHeight="false" outlineLevel="0" collapsed="false">
      <c r="A1014" s="13" t="s">
        <v>4</v>
      </c>
      <c r="B1014" s="13" t="s">
        <v>2150</v>
      </c>
      <c r="C1014" s="13" t="n">
        <v>29</v>
      </c>
      <c r="D1014" s="13" t="s">
        <v>7228</v>
      </c>
      <c r="E1014" s="13" t="s">
        <v>13674</v>
      </c>
      <c r="F1014" s="13" t="s">
        <v>13675</v>
      </c>
      <c r="G1014" s="13" t="s">
        <v>11098</v>
      </c>
      <c r="H1014" s="13" t="s">
        <v>11099</v>
      </c>
      <c r="I1014" s="13" t="s">
        <v>7229</v>
      </c>
      <c r="J1014" s="13"/>
      <c r="K1014" s="13" t="s">
        <v>7232</v>
      </c>
      <c r="L1014" s="13" t="s">
        <v>7233</v>
      </c>
    </row>
    <row r="1015" customFormat="false" ht="15" hidden="false" customHeight="false" outlineLevel="0" collapsed="false">
      <c r="A1015" s="13" t="s">
        <v>4</v>
      </c>
      <c r="B1015" s="13" t="s">
        <v>2150</v>
      </c>
      <c r="C1015" s="13" t="n">
        <v>29</v>
      </c>
      <c r="D1015" s="13" t="s">
        <v>7234</v>
      </c>
      <c r="E1015" s="13" t="s">
        <v>13676</v>
      </c>
      <c r="F1015" s="13" t="s">
        <v>13677</v>
      </c>
      <c r="G1015" s="13" t="s">
        <v>11098</v>
      </c>
      <c r="H1015" s="13" t="s">
        <v>11099</v>
      </c>
      <c r="I1015" s="13" t="s">
        <v>7235</v>
      </c>
      <c r="J1015" s="13"/>
      <c r="K1015" s="13" t="s">
        <v>7238</v>
      </c>
      <c r="L1015" s="13" t="s">
        <v>7239</v>
      </c>
    </row>
    <row r="1016" customFormat="false" ht="15" hidden="false" customHeight="false" outlineLevel="0" collapsed="false">
      <c r="A1016" s="13" t="s">
        <v>4</v>
      </c>
      <c r="B1016" s="13" t="s">
        <v>2150</v>
      </c>
      <c r="C1016" s="13" t="n">
        <v>29</v>
      </c>
      <c r="D1016" s="13" t="s">
        <v>7240</v>
      </c>
      <c r="E1016" s="13" t="s">
        <v>13678</v>
      </c>
      <c r="F1016" s="13" t="s">
        <v>13679</v>
      </c>
      <c r="G1016" s="13" t="s">
        <v>11098</v>
      </c>
      <c r="H1016" s="13" t="s">
        <v>11099</v>
      </c>
      <c r="I1016" s="13" t="s">
        <v>7241</v>
      </c>
      <c r="J1016" s="13"/>
      <c r="K1016" s="13" t="s">
        <v>7244</v>
      </c>
      <c r="L1016" s="13" t="s">
        <v>7245</v>
      </c>
    </row>
    <row r="1017" customFormat="false" ht="23.85" hidden="false" customHeight="false" outlineLevel="0" collapsed="false">
      <c r="A1017" s="13" t="s">
        <v>4</v>
      </c>
      <c r="B1017" s="13" t="s">
        <v>2150</v>
      </c>
      <c r="C1017" s="13" t="n">
        <v>29</v>
      </c>
      <c r="D1017" s="13" t="s">
        <v>7246</v>
      </c>
      <c r="E1017" s="13" t="s">
        <v>13680</v>
      </c>
      <c r="F1017" s="13" t="s">
        <v>13681</v>
      </c>
      <c r="G1017" s="13" t="s">
        <v>11098</v>
      </c>
      <c r="H1017" s="13" t="s">
        <v>11099</v>
      </c>
      <c r="I1017" s="13" t="s">
        <v>13682</v>
      </c>
      <c r="J1017" s="13"/>
      <c r="K1017" s="13" t="s">
        <v>7250</v>
      </c>
      <c r="L1017" s="13" t="s">
        <v>7251</v>
      </c>
    </row>
    <row r="1018" customFormat="false" ht="23.85" hidden="false" customHeight="false" outlineLevel="0" collapsed="false">
      <c r="A1018" s="13" t="s">
        <v>4</v>
      </c>
      <c r="B1018" s="13" t="s">
        <v>2150</v>
      </c>
      <c r="C1018" s="13" t="n">
        <v>29</v>
      </c>
      <c r="D1018" s="13" t="s">
        <v>7255</v>
      </c>
      <c r="E1018" s="13" t="s">
        <v>13683</v>
      </c>
      <c r="F1018" s="13" t="s">
        <v>13684</v>
      </c>
      <c r="G1018" s="13" t="s">
        <v>11098</v>
      </c>
      <c r="H1018" s="13" t="s">
        <v>11099</v>
      </c>
      <c r="I1018" s="13" t="s">
        <v>7256</v>
      </c>
      <c r="J1018" s="13"/>
      <c r="K1018" s="13" t="s">
        <v>7259</v>
      </c>
      <c r="L1018" s="13" t="s">
        <v>7260</v>
      </c>
    </row>
    <row r="1019" customFormat="false" ht="23.85" hidden="false" customHeight="false" outlineLevel="0" collapsed="false">
      <c r="A1019" s="13" t="s">
        <v>4</v>
      </c>
      <c r="B1019" s="13" t="s">
        <v>2150</v>
      </c>
      <c r="C1019" s="13" t="n">
        <v>29</v>
      </c>
      <c r="D1019" s="13" t="s">
        <v>7261</v>
      </c>
      <c r="E1019" s="13" t="s">
        <v>13685</v>
      </c>
      <c r="F1019" s="13" t="s">
        <v>13686</v>
      </c>
      <c r="G1019" s="13" t="s">
        <v>11098</v>
      </c>
      <c r="H1019" s="13" t="s">
        <v>11099</v>
      </c>
      <c r="I1019" s="13" t="s">
        <v>13687</v>
      </c>
      <c r="J1019" s="13"/>
      <c r="K1019" s="13" t="s">
        <v>7264</v>
      </c>
      <c r="L1019" s="13" t="s">
        <v>7265</v>
      </c>
    </row>
    <row r="1020" customFormat="false" ht="23.85" hidden="false" customHeight="false" outlineLevel="0" collapsed="false">
      <c r="A1020" s="13" t="s">
        <v>4</v>
      </c>
      <c r="B1020" s="13" t="s">
        <v>2150</v>
      </c>
      <c r="C1020" s="13" t="n">
        <v>29</v>
      </c>
      <c r="D1020" s="13" t="s">
        <v>7269</v>
      </c>
      <c r="E1020" s="13" t="s">
        <v>13688</v>
      </c>
      <c r="F1020" s="13" t="s">
        <v>13689</v>
      </c>
      <c r="G1020" s="13" t="s">
        <v>11098</v>
      </c>
      <c r="H1020" s="13" t="s">
        <v>11099</v>
      </c>
      <c r="I1020" s="13" t="s">
        <v>7270</v>
      </c>
      <c r="J1020" s="13"/>
      <c r="K1020" s="13" t="s">
        <v>7273</v>
      </c>
      <c r="L1020" s="13" t="s">
        <v>7274</v>
      </c>
    </row>
    <row r="1021" customFormat="false" ht="550" hidden="false" customHeight="false" outlineLevel="0" collapsed="false">
      <c r="A1021" s="13" t="s">
        <v>4</v>
      </c>
      <c r="B1021" s="13" t="s">
        <v>2150</v>
      </c>
      <c r="C1021" s="13" t="n">
        <v>29</v>
      </c>
      <c r="D1021" s="13" t="s">
        <v>7275</v>
      </c>
      <c r="E1021" s="13" t="s">
        <v>13690</v>
      </c>
      <c r="F1021" s="13" t="s">
        <v>13691</v>
      </c>
      <c r="G1021" s="13" t="s">
        <v>11098</v>
      </c>
      <c r="H1021" s="13" t="s">
        <v>11099</v>
      </c>
      <c r="I1021" s="13" t="s">
        <v>13692</v>
      </c>
      <c r="J1021" s="13" t="s">
        <v>13693</v>
      </c>
      <c r="K1021" s="13" t="s">
        <v>7280</v>
      </c>
      <c r="L1021" s="13" t="s">
        <v>7281</v>
      </c>
    </row>
    <row r="1022" customFormat="false" ht="23.85" hidden="false" customHeight="false" outlineLevel="0" collapsed="false">
      <c r="A1022" s="13" t="s">
        <v>4</v>
      </c>
      <c r="B1022" s="13" t="s">
        <v>2150</v>
      </c>
      <c r="C1022" s="13" t="n">
        <v>42</v>
      </c>
      <c r="D1022" s="13" t="s">
        <v>7287</v>
      </c>
      <c r="E1022" s="13" t="s">
        <v>13694</v>
      </c>
      <c r="F1022" s="13" t="s">
        <v>13695</v>
      </c>
      <c r="G1022" s="13" t="s">
        <v>11128</v>
      </c>
      <c r="H1022" s="13" t="s">
        <v>11099</v>
      </c>
      <c r="I1022" s="13"/>
      <c r="J1022" s="13" t="s">
        <v>13696</v>
      </c>
      <c r="K1022" s="13" t="s">
        <v>7291</v>
      </c>
      <c r="L1022" s="13" t="s">
        <v>7292</v>
      </c>
    </row>
    <row r="1023" customFormat="false" ht="23.85" hidden="false" customHeight="false" outlineLevel="0" collapsed="false">
      <c r="A1023" s="13" t="s">
        <v>4</v>
      </c>
      <c r="B1023" s="13" t="s">
        <v>2150</v>
      </c>
      <c r="C1023" s="13" t="n">
        <v>42</v>
      </c>
      <c r="D1023" s="13" t="s">
        <v>7287</v>
      </c>
      <c r="E1023" s="13" t="s">
        <v>13697</v>
      </c>
      <c r="F1023" s="13" t="s">
        <v>13698</v>
      </c>
      <c r="G1023" s="13" t="s">
        <v>11098</v>
      </c>
      <c r="H1023" s="13" t="s">
        <v>11099</v>
      </c>
      <c r="I1023" s="13" t="s">
        <v>13699</v>
      </c>
      <c r="J1023" s="13"/>
      <c r="K1023" s="13" t="s">
        <v>7291</v>
      </c>
      <c r="L1023" s="13" t="s">
        <v>7292</v>
      </c>
    </row>
    <row r="1024" customFormat="false" ht="23.85" hidden="false" customHeight="false" outlineLevel="0" collapsed="false">
      <c r="A1024" s="13" t="s">
        <v>4</v>
      </c>
      <c r="B1024" s="13" t="s">
        <v>2150</v>
      </c>
      <c r="C1024" s="13" t="n">
        <v>42</v>
      </c>
      <c r="D1024" s="13" t="s">
        <v>7296</v>
      </c>
      <c r="E1024" s="13" t="s">
        <v>13700</v>
      </c>
      <c r="F1024" s="13" t="s">
        <v>13701</v>
      </c>
      <c r="G1024" s="13" t="s">
        <v>11098</v>
      </c>
      <c r="H1024" s="13" t="s">
        <v>11099</v>
      </c>
      <c r="I1024" s="13" t="s">
        <v>13702</v>
      </c>
      <c r="J1024" s="13"/>
      <c r="K1024" s="13" t="s">
        <v>7299</v>
      </c>
      <c r="L1024" s="13" t="s">
        <v>7300</v>
      </c>
    </row>
    <row r="1025" customFormat="false" ht="23.85" hidden="false" customHeight="false" outlineLevel="0" collapsed="false">
      <c r="A1025" s="13" t="s">
        <v>4</v>
      </c>
      <c r="B1025" s="13" t="s">
        <v>2150</v>
      </c>
      <c r="C1025" s="13" t="n">
        <v>42</v>
      </c>
      <c r="D1025" s="13" t="s">
        <v>7303</v>
      </c>
      <c r="E1025" s="13" t="s">
        <v>13703</v>
      </c>
      <c r="F1025" s="13" t="s">
        <v>13704</v>
      </c>
      <c r="G1025" s="13" t="s">
        <v>11098</v>
      </c>
      <c r="H1025" s="13" t="s">
        <v>11099</v>
      </c>
      <c r="I1025" s="13" t="s">
        <v>13705</v>
      </c>
      <c r="J1025" s="13"/>
      <c r="K1025" s="13" t="s">
        <v>7306</v>
      </c>
      <c r="L1025" s="13" t="s">
        <v>7307</v>
      </c>
    </row>
    <row r="1026" customFormat="false" ht="23.85" hidden="false" customHeight="false" outlineLevel="0" collapsed="false">
      <c r="A1026" s="13" t="s">
        <v>4</v>
      </c>
      <c r="B1026" s="13" t="s">
        <v>2150</v>
      </c>
      <c r="C1026" s="13" t="n">
        <v>42</v>
      </c>
      <c r="D1026" s="13" t="s">
        <v>7310</v>
      </c>
      <c r="E1026" s="13" t="s">
        <v>13706</v>
      </c>
      <c r="F1026" s="13" t="s">
        <v>13707</v>
      </c>
      <c r="G1026" s="13" t="s">
        <v>11098</v>
      </c>
      <c r="H1026" s="13" t="s">
        <v>11099</v>
      </c>
      <c r="I1026" s="13" t="s">
        <v>13708</v>
      </c>
      <c r="J1026" s="13"/>
      <c r="K1026" s="13" t="s">
        <v>7313</v>
      </c>
      <c r="L1026" s="13" t="s">
        <v>7314</v>
      </c>
    </row>
    <row r="1027" customFormat="false" ht="23.85" hidden="false" customHeight="false" outlineLevel="0" collapsed="false">
      <c r="A1027" s="13" t="s">
        <v>4</v>
      </c>
      <c r="B1027" s="13" t="s">
        <v>2150</v>
      </c>
      <c r="C1027" s="13" t="n">
        <v>42</v>
      </c>
      <c r="D1027" s="13" t="s">
        <v>7317</v>
      </c>
      <c r="E1027" s="13" t="s">
        <v>13709</v>
      </c>
      <c r="F1027" s="13" t="s">
        <v>13710</v>
      </c>
      <c r="G1027" s="13" t="s">
        <v>11098</v>
      </c>
      <c r="H1027" s="13" t="s">
        <v>11099</v>
      </c>
      <c r="I1027" s="13" t="s">
        <v>13711</v>
      </c>
      <c r="J1027" s="13"/>
      <c r="K1027" s="13" t="s">
        <v>7321</v>
      </c>
      <c r="L1027" s="13" t="s">
        <v>7322</v>
      </c>
    </row>
    <row r="1028" customFormat="false" ht="46.25" hidden="false" customHeight="false" outlineLevel="0" collapsed="false">
      <c r="A1028" s="13" t="s">
        <v>4</v>
      </c>
      <c r="B1028" s="13" t="s">
        <v>2150</v>
      </c>
      <c r="C1028" s="13" t="n">
        <v>42</v>
      </c>
      <c r="D1028" s="13" t="s">
        <v>7325</v>
      </c>
      <c r="E1028" s="13" t="s">
        <v>13712</v>
      </c>
      <c r="F1028" s="13" t="s">
        <v>13713</v>
      </c>
      <c r="G1028" s="13" t="s">
        <v>11098</v>
      </c>
      <c r="H1028" s="13" t="s">
        <v>11099</v>
      </c>
      <c r="I1028" s="13" t="s">
        <v>13714</v>
      </c>
      <c r="J1028" s="13"/>
      <c r="K1028" s="13" t="s">
        <v>7329</v>
      </c>
      <c r="L1028" s="13" t="s">
        <v>7330</v>
      </c>
    </row>
    <row r="1029" customFormat="false" ht="68.65" hidden="false" customHeight="false" outlineLevel="0" collapsed="false">
      <c r="A1029" s="13" t="s">
        <v>4</v>
      </c>
      <c r="B1029" s="13" t="s">
        <v>2150</v>
      </c>
      <c r="C1029" s="13" t="n">
        <v>42</v>
      </c>
      <c r="D1029" s="13" t="s">
        <v>7339</v>
      </c>
      <c r="E1029" s="13" t="s">
        <v>13715</v>
      </c>
      <c r="F1029" s="13" t="s">
        <v>13716</v>
      </c>
      <c r="G1029" s="13" t="s">
        <v>11098</v>
      </c>
      <c r="H1029" s="13" t="s">
        <v>11099</v>
      </c>
      <c r="I1029" s="13" t="s">
        <v>13717</v>
      </c>
      <c r="J1029" s="13"/>
      <c r="K1029" s="13" t="s">
        <v>7343</v>
      </c>
      <c r="L1029" s="13" t="s">
        <v>7344</v>
      </c>
    </row>
    <row r="1030" customFormat="false" ht="23.85" hidden="false" customHeight="false" outlineLevel="0" collapsed="false">
      <c r="A1030" s="13" t="s">
        <v>4</v>
      </c>
      <c r="B1030" s="13" t="s">
        <v>2150</v>
      </c>
      <c r="C1030" s="13" t="n">
        <v>42</v>
      </c>
      <c r="D1030" s="13" t="s">
        <v>7348</v>
      </c>
      <c r="E1030" s="13" t="s">
        <v>13718</v>
      </c>
      <c r="F1030" s="13" t="s">
        <v>13719</v>
      </c>
      <c r="G1030" s="13" t="s">
        <v>11098</v>
      </c>
      <c r="H1030" s="13" t="s">
        <v>11099</v>
      </c>
      <c r="I1030" s="13" t="s">
        <v>13720</v>
      </c>
      <c r="J1030" s="13"/>
      <c r="K1030" s="13" t="s">
        <v>7352</v>
      </c>
      <c r="L1030" s="13" t="s">
        <v>7353</v>
      </c>
    </row>
    <row r="1031" customFormat="false" ht="35.05" hidden="false" customHeight="false" outlineLevel="0" collapsed="false">
      <c r="A1031" s="13" t="s">
        <v>4</v>
      </c>
      <c r="B1031" s="13" t="s">
        <v>2150</v>
      </c>
      <c r="C1031" s="13" t="n">
        <v>42</v>
      </c>
      <c r="D1031" s="13" t="s">
        <v>7357</v>
      </c>
      <c r="E1031" s="13" t="s">
        <v>13721</v>
      </c>
      <c r="F1031" s="13" t="s">
        <v>13722</v>
      </c>
      <c r="G1031" s="13" t="s">
        <v>11098</v>
      </c>
      <c r="H1031" s="13" t="s">
        <v>11099</v>
      </c>
      <c r="I1031" s="13" t="s">
        <v>7358</v>
      </c>
      <c r="J1031" s="13"/>
      <c r="K1031" s="13" t="s">
        <v>7362</v>
      </c>
      <c r="L1031" s="13" t="s">
        <v>7363</v>
      </c>
    </row>
    <row r="1032" customFormat="false" ht="46.25" hidden="false" customHeight="false" outlineLevel="0" collapsed="false">
      <c r="A1032" s="13" t="s">
        <v>4</v>
      </c>
      <c r="B1032" s="13" t="s">
        <v>2150</v>
      </c>
      <c r="C1032" s="13" t="n">
        <v>42</v>
      </c>
      <c r="D1032" s="13" t="s">
        <v>7364</v>
      </c>
      <c r="E1032" s="13" t="s">
        <v>13723</v>
      </c>
      <c r="F1032" s="13" t="s">
        <v>13724</v>
      </c>
      <c r="G1032" s="13" t="s">
        <v>11098</v>
      </c>
      <c r="H1032" s="13" t="s">
        <v>11099</v>
      </c>
      <c r="I1032" s="13" t="s">
        <v>13725</v>
      </c>
      <c r="J1032" s="13"/>
      <c r="K1032" s="13" t="s">
        <v>7368</v>
      </c>
      <c r="L1032" s="13" t="s">
        <v>7369</v>
      </c>
    </row>
    <row r="1033" customFormat="false" ht="147" hidden="false" customHeight="false" outlineLevel="0" collapsed="false">
      <c r="A1033" s="13" t="s">
        <v>4</v>
      </c>
      <c r="B1033" s="13" t="s">
        <v>2150</v>
      </c>
      <c r="C1033" s="13" t="n">
        <v>42</v>
      </c>
      <c r="D1033" s="13" t="s">
        <v>7373</v>
      </c>
      <c r="E1033" s="13" t="s">
        <v>13726</v>
      </c>
      <c r="F1033" s="13" t="s">
        <v>13727</v>
      </c>
      <c r="G1033" s="13" t="s">
        <v>11098</v>
      </c>
      <c r="H1033" s="13" t="s">
        <v>11099</v>
      </c>
      <c r="I1033" s="13" t="s">
        <v>13728</v>
      </c>
      <c r="J1033" s="13"/>
      <c r="K1033" s="13" t="s">
        <v>7377</v>
      </c>
      <c r="L1033" s="13" t="s">
        <v>7378</v>
      </c>
    </row>
    <row r="1034" customFormat="false" ht="147" hidden="false" customHeight="false" outlineLevel="0" collapsed="false">
      <c r="A1034" s="13" t="s">
        <v>4</v>
      </c>
      <c r="B1034" s="13" t="s">
        <v>2150</v>
      </c>
      <c r="C1034" s="13" t="n">
        <v>42</v>
      </c>
      <c r="D1034" s="13" t="s">
        <v>7373</v>
      </c>
      <c r="E1034" s="13" t="s">
        <v>13729</v>
      </c>
      <c r="F1034" s="13" t="s">
        <v>13730</v>
      </c>
      <c r="G1034" s="13" t="s">
        <v>11098</v>
      </c>
      <c r="H1034" s="13" t="s">
        <v>11099</v>
      </c>
      <c r="I1034" s="13" t="s">
        <v>7385</v>
      </c>
      <c r="J1034" s="13"/>
      <c r="K1034" s="13" t="s">
        <v>7377</v>
      </c>
      <c r="L1034" s="13" t="s">
        <v>7378</v>
      </c>
    </row>
    <row r="1035" customFormat="false" ht="15" hidden="false" customHeight="false" outlineLevel="0" collapsed="false">
      <c r="A1035" s="13" t="s">
        <v>4</v>
      </c>
      <c r="B1035" s="13" t="s">
        <v>2150</v>
      </c>
      <c r="C1035" s="13" t="n">
        <v>42</v>
      </c>
      <c r="D1035" s="13" t="s">
        <v>7388</v>
      </c>
      <c r="E1035" s="13" t="s">
        <v>13731</v>
      </c>
      <c r="F1035" s="13" t="s">
        <v>13732</v>
      </c>
      <c r="G1035" s="13" t="s">
        <v>11098</v>
      </c>
      <c r="H1035" s="13" t="s">
        <v>11099</v>
      </c>
      <c r="I1035" s="13" t="s">
        <v>7389</v>
      </c>
      <c r="J1035" s="13"/>
      <c r="K1035" s="13" t="s">
        <v>7392</v>
      </c>
      <c r="L1035" s="13" t="s">
        <v>7393</v>
      </c>
    </row>
    <row r="1036" customFormat="false" ht="23.85" hidden="false" customHeight="false" outlineLevel="0" collapsed="false">
      <c r="A1036" s="13" t="s">
        <v>4</v>
      </c>
      <c r="B1036" s="13" t="s">
        <v>2150</v>
      </c>
      <c r="C1036" s="13" t="n">
        <v>42</v>
      </c>
      <c r="D1036" s="13" t="s">
        <v>7394</v>
      </c>
      <c r="E1036" s="13" t="s">
        <v>13733</v>
      </c>
      <c r="F1036" s="13" t="s">
        <v>13734</v>
      </c>
      <c r="G1036" s="13" t="s">
        <v>11098</v>
      </c>
      <c r="H1036" s="13" t="s">
        <v>11099</v>
      </c>
      <c r="I1036" s="13" t="s">
        <v>7395</v>
      </c>
      <c r="J1036" s="13"/>
      <c r="K1036" s="13" t="s">
        <v>7396</v>
      </c>
      <c r="L1036" s="13" t="s">
        <v>7397</v>
      </c>
    </row>
    <row r="1037" customFormat="false" ht="23.85" hidden="false" customHeight="false" outlineLevel="0" collapsed="false">
      <c r="A1037" s="13" t="s">
        <v>4</v>
      </c>
      <c r="B1037" s="13" t="s">
        <v>2150</v>
      </c>
      <c r="C1037" s="13" t="n">
        <v>42</v>
      </c>
      <c r="D1037" s="13" t="s">
        <v>7398</v>
      </c>
      <c r="E1037" s="13" t="s">
        <v>13735</v>
      </c>
      <c r="F1037" s="13" t="s">
        <v>13736</v>
      </c>
      <c r="G1037" s="13" t="s">
        <v>11098</v>
      </c>
      <c r="H1037" s="13" t="s">
        <v>11099</v>
      </c>
      <c r="I1037" s="13" t="s">
        <v>7399</v>
      </c>
      <c r="J1037" s="13"/>
      <c r="K1037" s="13" t="s">
        <v>7402</v>
      </c>
      <c r="L1037" s="13" t="s">
        <v>7403</v>
      </c>
    </row>
    <row r="1038" customFormat="false" ht="46.25" hidden="false" customHeight="false" outlineLevel="0" collapsed="false">
      <c r="A1038" s="13" t="s">
        <v>4</v>
      </c>
      <c r="B1038" s="13" t="s">
        <v>2150</v>
      </c>
      <c r="C1038" s="13" t="n">
        <v>42</v>
      </c>
      <c r="D1038" s="13" t="s">
        <v>7404</v>
      </c>
      <c r="E1038" s="13" t="s">
        <v>13737</v>
      </c>
      <c r="F1038" s="13" t="s">
        <v>13738</v>
      </c>
      <c r="G1038" s="13" t="s">
        <v>11098</v>
      </c>
      <c r="H1038" s="13" t="s">
        <v>11099</v>
      </c>
      <c r="I1038" s="13" t="s">
        <v>13739</v>
      </c>
      <c r="J1038" s="13" t="s">
        <v>13740</v>
      </c>
      <c r="K1038" s="13" t="s">
        <v>7408</v>
      </c>
      <c r="L1038" s="13" t="s">
        <v>7409</v>
      </c>
    </row>
    <row r="1039" customFormat="false" ht="23.85" hidden="false" customHeight="false" outlineLevel="0" collapsed="false">
      <c r="A1039" s="13" t="s">
        <v>4</v>
      </c>
      <c r="B1039" s="13" t="s">
        <v>2150</v>
      </c>
      <c r="C1039" s="13" t="n">
        <v>42</v>
      </c>
      <c r="D1039" s="13" t="s">
        <v>7413</v>
      </c>
      <c r="E1039" s="13" t="s">
        <v>13741</v>
      </c>
      <c r="F1039" s="13" t="s">
        <v>13742</v>
      </c>
      <c r="G1039" s="13" t="s">
        <v>11098</v>
      </c>
      <c r="H1039" s="13" t="s">
        <v>11099</v>
      </c>
      <c r="I1039" s="13" t="s">
        <v>13743</v>
      </c>
      <c r="J1039" s="13"/>
      <c r="K1039" s="13" t="s">
        <v>7417</v>
      </c>
      <c r="L1039" s="13" t="s">
        <v>7418</v>
      </c>
    </row>
    <row r="1040" customFormat="false" ht="35.05" hidden="false" customHeight="false" outlineLevel="0" collapsed="false">
      <c r="A1040" s="13" t="s">
        <v>4</v>
      </c>
      <c r="B1040" s="13" t="s">
        <v>2150</v>
      </c>
      <c r="C1040" s="13" t="n">
        <v>42</v>
      </c>
      <c r="D1040" s="13" t="s">
        <v>7422</v>
      </c>
      <c r="E1040" s="13" t="s">
        <v>13744</v>
      </c>
      <c r="F1040" s="13" t="s">
        <v>13745</v>
      </c>
      <c r="G1040" s="13" t="s">
        <v>11098</v>
      </c>
      <c r="H1040" s="13" t="s">
        <v>11099</v>
      </c>
      <c r="I1040" s="13" t="s">
        <v>13746</v>
      </c>
      <c r="J1040" s="13" t="s">
        <v>13747</v>
      </c>
      <c r="K1040" s="13" t="s">
        <v>7426</v>
      </c>
      <c r="L1040" s="13" t="s">
        <v>7427</v>
      </c>
    </row>
    <row r="1041" customFormat="false" ht="23.85" hidden="false" customHeight="false" outlineLevel="0" collapsed="false">
      <c r="A1041" s="13" t="s">
        <v>4</v>
      </c>
      <c r="B1041" s="13" t="s">
        <v>2150</v>
      </c>
      <c r="C1041" s="13" t="n">
        <v>62</v>
      </c>
      <c r="D1041" s="13" t="s">
        <v>7433</v>
      </c>
      <c r="E1041" s="13" t="s">
        <v>13748</v>
      </c>
      <c r="F1041" s="13" t="s">
        <v>13749</v>
      </c>
      <c r="G1041" s="13" t="s">
        <v>11098</v>
      </c>
      <c r="H1041" s="13" t="s">
        <v>11099</v>
      </c>
      <c r="I1041" s="13" t="s">
        <v>13750</v>
      </c>
      <c r="J1041" s="13"/>
      <c r="K1041" s="13" t="s">
        <v>7435</v>
      </c>
      <c r="L1041" s="13" t="s">
        <v>7436</v>
      </c>
    </row>
    <row r="1042" customFormat="false" ht="57.45" hidden="false" customHeight="false" outlineLevel="0" collapsed="false">
      <c r="A1042" s="13" t="s">
        <v>4</v>
      </c>
      <c r="B1042" s="13" t="s">
        <v>2150</v>
      </c>
      <c r="C1042" s="13" t="n">
        <v>62</v>
      </c>
      <c r="D1042" s="13" t="s">
        <v>7439</v>
      </c>
      <c r="E1042" s="13" t="s">
        <v>13751</v>
      </c>
      <c r="F1042" s="13" t="s">
        <v>13752</v>
      </c>
      <c r="G1042" s="13" t="s">
        <v>11098</v>
      </c>
      <c r="H1042" s="13" t="s">
        <v>11099</v>
      </c>
      <c r="I1042" s="13" t="s">
        <v>13753</v>
      </c>
      <c r="J1042" s="13"/>
      <c r="K1042" s="13" t="s">
        <v>7442</v>
      </c>
      <c r="L1042" s="13" t="s">
        <v>7443</v>
      </c>
    </row>
    <row r="1043" customFormat="false" ht="35.05" hidden="false" customHeight="false" outlineLevel="0" collapsed="false">
      <c r="A1043" s="13" t="s">
        <v>4</v>
      </c>
      <c r="B1043" s="13" t="s">
        <v>2150</v>
      </c>
      <c r="C1043" s="13" t="n">
        <v>62</v>
      </c>
      <c r="D1043" s="13" t="s">
        <v>7450</v>
      </c>
      <c r="E1043" s="13" t="s">
        <v>13754</v>
      </c>
      <c r="F1043" s="13" t="s">
        <v>13755</v>
      </c>
      <c r="G1043" s="13" t="s">
        <v>11098</v>
      </c>
      <c r="H1043" s="13" t="s">
        <v>11099</v>
      </c>
      <c r="I1043" s="13" t="s">
        <v>7451</v>
      </c>
      <c r="J1043" s="13"/>
      <c r="K1043" s="13" t="s">
        <v>7453</v>
      </c>
      <c r="L1043" s="13" t="s">
        <v>7454</v>
      </c>
    </row>
    <row r="1044" customFormat="false" ht="23.85" hidden="false" customHeight="false" outlineLevel="0" collapsed="false">
      <c r="A1044" s="13" t="s">
        <v>4</v>
      </c>
      <c r="B1044" s="13" t="s">
        <v>2150</v>
      </c>
      <c r="C1044" s="13" t="n">
        <v>62</v>
      </c>
      <c r="D1044" s="13" t="s">
        <v>7455</v>
      </c>
      <c r="E1044" s="13" t="s">
        <v>13756</v>
      </c>
      <c r="F1044" s="13" t="s">
        <v>13757</v>
      </c>
      <c r="G1044" s="13" t="s">
        <v>11098</v>
      </c>
      <c r="H1044" s="13" t="s">
        <v>11099</v>
      </c>
      <c r="I1044" s="13" t="s">
        <v>7456</v>
      </c>
      <c r="J1044" s="13"/>
      <c r="K1044" s="13" t="s">
        <v>7459</v>
      </c>
      <c r="L1044" s="13" t="s">
        <v>7460</v>
      </c>
    </row>
    <row r="1045" customFormat="false" ht="35.05" hidden="false" customHeight="false" outlineLevel="0" collapsed="false">
      <c r="A1045" s="13" t="s">
        <v>4</v>
      </c>
      <c r="B1045" s="13" t="s">
        <v>2150</v>
      </c>
      <c r="C1045" s="13" t="n">
        <v>62</v>
      </c>
      <c r="D1045" s="13" t="s">
        <v>7461</v>
      </c>
      <c r="E1045" s="13" t="s">
        <v>13758</v>
      </c>
      <c r="F1045" s="13" t="s">
        <v>13759</v>
      </c>
      <c r="G1045" s="13" t="s">
        <v>11098</v>
      </c>
      <c r="H1045" s="13" t="s">
        <v>11099</v>
      </c>
      <c r="I1045" s="13" t="s">
        <v>13760</v>
      </c>
      <c r="J1045" s="13"/>
      <c r="K1045" s="13" t="s">
        <v>7464</v>
      </c>
      <c r="L1045" s="13" t="s">
        <v>7465</v>
      </c>
    </row>
    <row r="1046" customFormat="false" ht="23.85" hidden="false" customHeight="false" outlineLevel="0" collapsed="false">
      <c r="A1046" s="13" t="s">
        <v>4</v>
      </c>
      <c r="B1046" s="13" t="s">
        <v>2150</v>
      </c>
      <c r="C1046" s="13" t="n">
        <v>62</v>
      </c>
      <c r="D1046" s="13" t="s">
        <v>7468</v>
      </c>
      <c r="E1046" s="13" t="s">
        <v>13761</v>
      </c>
      <c r="F1046" s="13" t="s">
        <v>13762</v>
      </c>
      <c r="G1046" s="13" t="s">
        <v>11098</v>
      </c>
      <c r="H1046" s="13" t="s">
        <v>11099</v>
      </c>
      <c r="I1046" s="13" t="s">
        <v>7469</v>
      </c>
      <c r="J1046" s="13"/>
      <c r="K1046" s="13" t="s">
        <v>7473</v>
      </c>
      <c r="L1046" s="13" t="s">
        <v>7474</v>
      </c>
    </row>
    <row r="1047" customFormat="false" ht="23.85" hidden="false" customHeight="false" outlineLevel="0" collapsed="false">
      <c r="A1047" s="13" t="s">
        <v>4</v>
      </c>
      <c r="B1047" s="13" t="s">
        <v>2150</v>
      </c>
      <c r="C1047" s="13" t="n">
        <v>62</v>
      </c>
      <c r="D1047" s="13" t="s">
        <v>7475</v>
      </c>
      <c r="E1047" s="13" t="s">
        <v>13763</v>
      </c>
      <c r="F1047" s="13" t="s">
        <v>13764</v>
      </c>
      <c r="G1047" s="13" t="s">
        <v>11315</v>
      </c>
      <c r="H1047" s="13" t="s">
        <v>11099</v>
      </c>
      <c r="I1047" s="13" t="s">
        <v>7476</v>
      </c>
      <c r="J1047" s="13" t="s">
        <v>13765</v>
      </c>
      <c r="K1047" s="13" t="s">
        <v>7478</v>
      </c>
      <c r="L1047" s="13" t="s">
        <v>7479</v>
      </c>
    </row>
    <row r="1048" customFormat="false" ht="68.65" hidden="false" customHeight="false" outlineLevel="0" collapsed="false">
      <c r="A1048" s="13" t="s">
        <v>4</v>
      </c>
      <c r="B1048" s="13" t="s">
        <v>2150</v>
      </c>
      <c r="C1048" s="13" t="n">
        <v>62</v>
      </c>
      <c r="D1048" s="13" t="s">
        <v>7480</v>
      </c>
      <c r="E1048" s="13" t="s">
        <v>13766</v>
      </c>
      <c r="F1048" s="13" t="s">
        <v>13767</v>
      </c>
      <c r="G1048" s="13" t="s">
        <v>11098</v>
      </c>
      <c r="H1048" s="13" t="s">
        <v>11099</v>
      </c>
      <c r="I1048" s="13" t="s">
        <v>13768</v>
      </c>
      <c r="J1048" s="13"/>
      <c r="K1048" s="13" t="s">
        <v>7484</v>
      </c>
      <c r="L1048" s="13" t="s">
        <v>7485</v>
      </c>
    </row>
    <row r="1049" customFormat="false" ht="57.45" hidden="false" customHeight="false" outlineLevel="0" collapsed="false">
      <c r="A1049" s="13" t="s">
        <v>4</v>
      </c>
      <c r="B1049" s="13" t="s">
        <v>2150</v>
      </c>
      <c r="C1049" s="13" t="n">
        <v>62</v>
      </c>
      <c r="D1049" s="13" t="s">
        <v>7490</v>
      </c>
      <c r="E1049" s="13" t="s">
        <v>13769</v>
      </c>
      <c r="F1049" s="13" t="s">
        <v>13770</v>
      </c>
      <c r="G1049" s="13" t="s">
        <v>11098</v>
      </c>
      <c r="H1049" s="13" t="s">
        <v>11099</v>
      </c>
      <c r="I1049" s="13" t="s">
        <v>13771</v>
      </c>
      <c r="J1049" s="13"/>
      <c r="K1049" s="13" t="s">
        <v>7494</v>
      </c>
      <c r="L1049" s="13" t="s">
        <v>7495</v>
      </c>
    </row>
    <row r="1050" customFormat="false" ht="35.05" hidden="false" customHeight="false" outlineLevel="0" collapsed="false">
      <c r="A1050" s="13" t="s">
        <v>4</v>
      </c>
      <c r="B1050" s="13" t="s">
        <v>2150</v>
      </c>
      <c r="C1050" s="13" t="n">
        <v>62</v>
      </c>
      <c r="D1050" s="13" t="s">
        <v>7506</v>
      </c>
      <c r="E1050" s="13" t="s">
        <v>13772</v>
      </c>
      <c r="F1050" s="13" t="s">
        <v>13773</v>
      </c>
      <c r="G1050" s="13" t="s">
        <v>11098</v>
      </c>
      <c r="H1050" s="13" t="s">
        <v>11099</v>
      </c>
      <c r="I1050" s="13" t="s">
        <v>13774</v>
      </c>
      <c r="J1050" s="13"/>
      <c r="K1050" s="13" t="s">
        <v>7509</v>
      </c>
      <c r="L1050" s="13" t="s">
        <v>7510</v>
      </c>
    </row>
    <row r="1051" customFormat="false" ht="35.05" hidden="false" customHeight="false" outlineLevel="0" collapsed="false">
      <c r="A1051" s="13" t="s">
        <v>4</v>
      </c>
      <c r="B1051" s="13" t="s">
        <v>2150</v>
      </c>
      <c r="C1051" s="13" t="n">
        <v>62</v>
      </c>
      <c r="D1051" s="13" t="s">
        <v>7514</v>
      </c>
      <c r="E1051" s="13" t="s">
        <v>13775</v>
      </c>
      <c r="F1051" s="13" t="s">
        <v>13776</v>
      </c>
      <c r="G1051" s="13" t="s">
        <v>11098</v>
      </c>
      <c r="H1051" s="13" t="s">
        <v>11099</v>
      </c>
      <c r="I1051" s="13" t="s">
        <v>13777</v>
      </c>
      <c r="J1051" s="13"/>
      <c r="K1051" s="13" t="s">
        <v>7518</v>
      </c>
      <c r="L1051" s="13" t="s">
        <v>7519</v>
      </c>
    </row>
    <row r="1052" customFormat="false" ht="23.85" hidden="false" customHeight="false" outlineLevel="0" collapsed="false">
      <c r="A1052" s="13" t="s">
        <v>4</v>
      </c>
      <c r="B1052" s="13" t="s">
        <v>2150</v>
      </c>
      <c r="C1052" s="13" t="n">
        <v>62</v>
      </c>
      <c r="D1052" s="13" t="s">
        <v>7524</v>
      </c>
      <c r="E1052" s="13" t="s">
        <v>13778</v>
      </c>
      <c r="F1052" s="13" t="s">
        <v>13779</v>
      </c>
      <c r="G1052" s="13" t="s">
        <v>11098</v>
      </c>
      <c r="H1052" s="13" t="s">
        <v>11099</v>
      </c>
      <c r="I1052" s="13" t="s">
        <v>7525</v>
      </c>
      <c r="J1052" s="13"/>
      <c r="K1052" s="13" t="s">
        <v>7526</v>
      </c>
      <c r="L1052" s="13" t="s">
        <v>7527</v>
      </c>
    </row>
    <row r="1053" customFormat="false" ht="23.85" hidden="false" customHeight="false" outlineLevel="0" collapsed="false">
      <c r="A1053" s="13" t="s">
        <v>4</v>
      </c>
      <c r="B1053" s="13" t="s">
        <v>2150</v>
      </c>
      <c r="C1053" s="13" t="n">
        <v>79</v>
      </c>
      <c r="D1053" s="13" t="s">
        <v>7528</v>
      </c>
      <c r="E1053" s="13" t="s">
        <v>13780</v>
      </c>
      <c r="F1053" s="13" t="s">
        <v>13781</v>
      </c>
      <c r="G1053" s="13" t="s">
        <v>11098</v>
      </c>
      <c r="H1053" s="13" t="s">
        <v>11099</v>
      </c>
      <c r="I1053" s="13" t="s">
        <v>13782</v>
      </c>
      <c r="J1053" s="13"/>
      <c r="K1053" s="13" t="s">
        <v>7531</v>
      </c>
      <c r="L1053" s="13" t="s">
        <v>7532</v>
      </c>
    </row>
    <row r="1054" customFormat="false" ht="79.85" hidden="false" customHeight="false" outlineLevel="0" collapsed="false">
      <c r="A1054" s="13" t="s">
        <v>4</v>
      </c>
      <c r="B1054" s="13" t="s">
        <v>2150</v>
      </c>
      <c r="C1054" s="13" t="n">
        <v>79</v>
      </c>
      <c r="D1054" s="13" t="s">
        <v>7535</v>
      </c>
      <c r="E1054" s="13" t="s">
        <v>13783</v>
      </c>
      <c r="F1054" s="13" t="s">
        <v>13784</v>
      </c>
      <c r="G1054" s="13" t="s">
        <v>11315</v>
      </c>
      <c r="H1054" s="13" t="s">
        <v>11099</v>
      </c>
      <c r="I1054" s="13" t="s">
        <v>13785</v>
      </c>
      <c r="J1054" s="13" t="s">
        <v>13786</v>
      </c>
      <c r="K1054" s="13" t="s">
        <v>7541</v>
      </c>
      <c r="L1054" s="13" t="s">
        <v>7542</v>
      </c>
    </row>
    <row r="1055" customFormat="false" ht="57.45" hidden="false" customHeight="false" outlineLevel="0" collapsed="false">
      <c r="A1055" s="13" t="s">
        <v>4</v>
      </c>
      <c r="B1055" s="13" t="s">
        <v>2150</v>
      </c>
      <c r="C1055" s="13" t="n">
        <v>79</v>
      </c>
      <c r="D1055" s="13" t="s">
        <v>7557</v>
      </c>
      <c r="E1055" s="13" t="s">
        <v>13787</v>
      </c>
      <c r="F1055" s="13" t="s">
        <v>13788</v>
      </c>
      <c r="G1055" s="13" t="s">
        <v>11098</v>
      </c>
      <c r="H1055" s="13" t="s">
        <v>11099</v>
      </c>
      <c r="I1055" s="13" t="s">
        <v>7558</v>
      </c>
      <c r="J1055" s="13"/>
      <c r="K1055" s="13" t="s">
        <v>7560</v>
      </c>
      <c r="L1055" s="13" t="s">
        <v>7561</v>
      </c>
    </row>
    <row r="1056" customFormat="false" ht="35.05" hidden="false" customHeight="false" outlineLevel="0" collapsed="false">
      <c r="A1056" s="13" t="s">
        <v>4</v>
      </c>
      <c r="B1056" s="13" t="s">
        <v>2150</v>
      </c>
      <c r="C1056" s="13" t="n">
        <v>79</v>
      </c>
      <c r="D1056" s="13" t="s">
        <v>7562</v>
      </c>
      <c r="E1056" s="13" t="s">
        <v>13789</v>
      </c>
      <c r="F1056" s="13" t="s">
        <v>13790</v>
      </c>
      <c r="G1056" s="13" t="s">
        <v>11098</v>
      </c>
      <c r="H1056" s="13" t="s">
        <v>11099</v>
      </c>
      <c r="I1056" s="13" t="s">
        <v>7563</v>
      </c>
      <c r="J1056" s="13"/>
      <c r="K1056" s="13" t="s">
        <v>7566</v>
      </c>
      <c r="L1056" s="13" t="s">
        <v>7567</v>
      </c>
    </row>
    <row r="1057" customFormat="false" ht="35.05" hidden="false" customHeight="false" outlineLevel="0" collapsed="false">
      <c r="A1057" s="13" t="s">
        <v>4</v>
      </c>
      <c r="B1057" s="13" t="s">
        <v>2150</v>
      </c>
      <c r="C1057" s="13" t="n">
        <v>79</v>
      </c>
      <c r="D1057" s="13" t="s">
        <v>7568</v>
      </c>
      <c r="E1057" s="13" t="s">
        <v>13791</v>
      </c>
      <c r="F1057" s="13" t="s">
        <v>13792</v>
      </c>
      <c r="G1057" s="13" t="s">
        <v>11098</v>
      </c>
      <c r="H1057" s="13" t="s">
        <v>11099</v>
      </c>
      <c r="I1057" s="13" t="s">
        <v>7569</v>
      </c>
      <c r="J1057" s="13"/>
      <c r="K1057" s="13" t="s">
        <v>7572</v>
      </c>
      <c r="L1057" s="13" t="s">
        <v>7573</v>
      </c>
    </row>
    <row r="1058" customFormat="false" ht="35.05" hidden="false" customHeight="false" outlineLevel="0" collapsed="false">
      <c r="A1058" s="13" t="s">
        <v>4</v>
      </c>
      <c r="B1058" s="13" t="s">
        <v>2150</v>
      </c>
      <c r="C1058" s="13" t="n">
        <v>79</v>
      </c>
      <c r="D1058" s="13" t="s">
        <v>7574</v>
      </c>
      <c r="E1058" s="13" t="s">
        <v>13793</v>
      </c>
      <c r="F1058" s="13" t="s">
        <v>13794</v>
      </c>
      <c r="G1058" s="13" t="s">
        <v>11098</v>
      </c>
      <c r="H1058" s="13" t="s">
        <v>11099</v>
      </c>
      <c r="I1058" s="13" t="s">
        <v>7575</v>
      </c>
      <c r="J1058" s="13"/>
      <c r="K1058" s="13" t="s">
        <v>7576</v>
      </c>
      <c r="L1058" s="13" t="s">
        <v>7577</v>
      </c>
    </row>
    <row r="1059" customFormat="false" ht="35.05" hidden="false" customHeight="false" outlineLevel="0" collapsed="false">
      <c r="A1059" s="13" t="s">
        <v>4</v>
      </c>
      <c r="B1059" s="13" t="s">
        <v>2150</v>
      </c>
      <c r="C1059" s="13" t="n">
        <v>79</v>
      </c>
      <c r="D1059" s="13" t="s">
        <v>7578</v>
      </c>
      <c r="E1059" s="13" t="s">
        <v>13795</v>
      </c>
      <c r="F1059" s="13" t="s">
        <v>13796</v>
      </c>
      <c r="G1059" s="13" t="s">
        <v>11098</v>
      </c>
      <c r="H1059" s="13" t="s">
        <v>11099</v>
      </c>
      <c r="I1059" s="13" t="s">
        <v>7579</v>
      </c>
      <c r="J1059" s="13"/>
      <c r="K1059" s="13" t="s">
        <v>7581</v>
      </c>
      <c r="L1059" s="13" t="s">
        <v>7582</v>
      </c>
    </row>
    <row r="1060" customFormat="false" ht="35.05" hidden="false" customHeight="false" outlineLevel="0" collapsed="false">
      <c r="A1060" s="13" t="s">
        <v>4</v>
      </c>
      <c r="B1060" s="13" t="s">
        <v>2150</v>
      </c>
      <c r="C1060" s="13" t="n">
        <v>79</v>
      </c>
      <c r="D1060" s="13" t="s">
        <v>7578</v>
      </c>
      <c r="E1060" s="13" t="s">
        <v>13797</v>
      </c>
      <c r="F1060" s="13" t="s">
        <v>13798</v>
      </c>
      <c r="G1060" s="13" t="s">
        <v>11098</v>
      </c>
      <c r="H1060" s="13" t="s">
        <v>11099</v>
      </c>
      <c r="I1060" s="13" t="s">
        <v>7583</v>
      </c>
      <c r="J1060" s="13"/>
      <c r="K1060" s="13" t="s">
        <v>7581</v>
      </c>
      <c r="L1060" s="13" t="s">
        <v>7582</v>
      </c>
    </row>
    <row r="1061" customFormat="false" ht="35.05" hidden="false" customHeight="false" outlineLevel="0" collapsed="false">
      <c r="A1061" s="13" t="s">
        <v>4</v>
      </c>
      <c r="B1061" s="13" t="s">
        <v>2150</v>
      </c>
      <c r="C1061" s="13" t="n">
        <v>79</v>
      </c>
      <c r="D1061" s="13" t="s">
        <v>7586</v>
      </c>
      <c r="E1061" s="13" t="s">
        <v>13799</v>
      </c>
      <c r="F1061" s="13" t="s">
        <v>13800</v>
      </c>
      <c r="G1061" s="13" t="s">
        <v>11098</v>
      </c>
      <c r="H1061" s="13" t="s">
        <v>11099</v>
      </c>
      <c r="I1061" s="13" t="s">
        <v>7587</v>
      </c>
      <c r="J1061" s="13"/>
      <c r="K1061" s="13" t="s">
        <v>7590</v>
      </c>
      <c r="L1061" s="13" t="s">
        <v>7591</v>
      </c>
    </row>
    <row r="1062" customFormat="false" ht="15" hidden="false" customHeight="false" outlineLevel="0" collapsed="false">
      <c r="A1062" s="13" t="s">
        <v>4</v>
      </c>
      <c r="B1062" s="13" t="s">
        <v>2150</v>
      </c>
      <c r="C1062" s="13" t="n">
        <v>79</v>
      </c>
      <c r="D1062" s="13" t="s">
        <v>7592</v>
      </c>
      <c r="E1062" s="13" t="s">
        <v>13801</v>
      </c>
      <c r="F1062" s="13" t="s">
        <v>13802</v>
      </c>
      <c r="G1062" s="13" t="s">
        <v>11137</v>
      </c>
      <c r="H1062" s="13" t="s">
        <v>11099</v>
      </c>
      <c r="I1062" s="13" t="s">
        <v>7593</v>
      </c>
      <c r="J1062" s="13"/>
      <c r="K1062" s="13" t="s">
        <v>7597</v>
      </c>
      <c r="L1062" s="13" t="s">
        <v>7598</v>
      </c>
    </row>
    <row r="1063" customFormat="false" ht="57.45" hidden="false" customHeight="false" outlineLevel="0" collapsed="false">
      <c r="A1063" s="13" t="s">
        <v>4</v>
      </c>
      <c r="B1063" s="13" t="s">
        <v>2150</v>
      </c>
      <c r="C1063" s="13" t="n">
        <v>79</v>
      </c>
      <c r="D1063" s="13" t="s">
        <v>7599</v>
      </c>
      <c r="E1063" s="13" t="s">
        <v>13803</v>
      </c>
      <c r="F1063" s="13" t="s">
        <v>13804</v>
      </c>
      <c r="G1063" s="13" t="s">
        <v>11098</v>
      </c>
      <c r="H1063" s="13" t="s">
        <v>11099</v>
      </c>
      <c r="I1063" s="13" t="s">
        <v>13805</v>
      </c>
      <c r="J1063" s="13"/>
      <c r="K1063" s="13" t="s">
        <v>7605</v>
      </c>
      <c r="L1063" s="13" t="s">
        <v>7606</v>
      </c>
    </row>
    <row r="1064" customFormat="false" ht="23.85" hidden="false" customHeight="false" outlineLevel="0" collapsed="false">
      <c r="A1064" s="13" t="s">
        <v>4</v>
      </c>
      <c r="B1064" s="13" t="s">
        <v>2150</v>
      </c>
      <c r="C1064" s="13" t="n">
        <v>134</v>
      </c>
      <c r="D1064" s="13" t="s">
        <v>7611</v>
      </c>
      <c r="E1064" s="13" t="s">
        <v>13806</v>
      </c>
      <c r="F1064" s="13" t="s">
        <v>13807</v>
      </c>
      <c r="G1064" s="13" t="s">
        <v>11098</v>
      </c>
      <c r="H1064" s="13" t="s">
        <v>11099</v>
      </c>
      <c r="I1064" s="13" t="s">
        <v>13808</v>
      </c>
      <c r="J1064" s="13"/>
      <c r="K1064" s="13" t="s">
        <v>7616</v>
      </c>
      <c r="L1064" s="13" t="s">
        <v>7617</v>
      </c>
    </row>
    <row r="1065" customFormat="false" ht="23.85" hidden="false" customHeight="false" outlineLevel="0" collapsed="false">
      <c r="A1065" s="13" t="s">
        <v>4</v>
      </c>
      <c r="B1065" s="13" t="s">
        <v>2150</v>
      </c>
      <c r="C1065" s="13" t="n">
        <v>134</v>
      </c>
      <c r="D1065" s="13" t="s">
        <v>7621</v>
      </c>
      <c r="E1065" s="13" t="s">
        <v>13809</v>
      </c>
      <c r="F1065" s="13" t="s">
        <v>13810</v>
      </c>
      <c r="G1065" s="13" t="s">
        <v>11098</v>
      </c>
      <c r="H1065" s="13" t="s">
        <v>11099</v>
      </c>
      <c r="I1065" s="13" t="s">
        <v>13811</v>
      </c>
      <c r="J1065" s="13"/>
      <c r="K1065" s="13" t="s">
        <v>7625</v>
      </c>
      <c r="L1065" s="13" t="s">
        <v>7626</v>
      </c>
    </row>
    <row r="1066" customFormat="false" ht="23.85" hidden="false" customHeight="false" outlineLevel="0" collapsed="false">
      <c r="A1066" s="13" t="s">
        <v>4</v>
      </c>
      <c r="B1066" s="13" t="s">
        <v>2150</v>
      </c>
      <c r="C1066" s="13" t="n">
        <v>134</v>
      </c>
      <c r="D1066" s="13" t="s">
        <v>7628</v>
      </c>
      <c r="E1066" s="13" t="s">
        <v>13812</v>
      </c>
      <c r="F1066" s="13" t="s">
        <v>13813</v>
      </c>
      <c r="G1066" s="13" t="s">
        <v>11098</v>
      </c>
      <c r="H1066" s="13" t="s">
        <v>11099</v>
      </c>
      <c r="I1066" s="13" t="s">
        <v>13814</v>
      </c>
      <c r="J1066" s="13"/>
      <c r="K1066" s="13" t="s">
        <v>7631</v>
      </c>
      <c r="L1066" s="13" t="s">
        <v>7632</v>
      </c>
    </row>
    <row r="1067" customFormat="false" ht="91" hidden="false" customHeight="false" outlineLevel="0" collapsed="false">
      <c r="A1067" s="13" t="s">
        <v>4</v>
      </c>
      <c r="B1067" s="13" t="s">
        <v>2150</v>
      </c>
      <c r="C1067" s="13" t="n">
        <v>134</v>
      </c>
      <c r="D1067" s="13" t="s">
        <v>7634</v>
      </c>
      <c r="E1067" s="13" t="s">
        <v>13815</v>
      </c>
      <c r="F1067" s="13" t="s">
        <v>13816</v>
      </c>
      <c r="G1067" s="13" t="s">
        <v>11098</v>
      </c>
      <c r="H1067" s="13" t="s">
        <v>11099</v>
      </c>
      <c r="I1067" s="13" t="s">
        <v>13817</v>
      </c>
      <c r="J1067" s="13"/>
      <c r="K1067" s="13" t="s">
        <v>7637</v>
      </c>
      <c r="L1067" s="13" t="s">
        <v>7638</v>
      </c>
    </row>
    <row r="1068" customFormat="false" ht="91" hidden="false" customHeight="false" outlineLevel="0" collapsed="false">
      <c r="A1068" s="13" t="s">
        <v>4</v>
      </c>
      <c r="B1068" s="13" t="s">
        <v>2150</v>
      </c>
      <c r="C1068" s="13" t="n">
        <v>134</v>
      </c>
      <c r="D1068" s="13" t="s">
        <v>7634</v>
      </c>
      <c r="E1068" s="13" t="s">
        <v>13818</v>
      </c>
      <c r="F1068" s="13" t="s">
        <v>13819</v>
      </c>
      <c r="G1068" s="13" t="s">
        <v>11098</v>
      </c>
      <c r="H1068" s="13" t="s">
        <v>11099</v>
      </c>
      <c r="I1068" s="13" t="s">
        <v>13820</v>
      </c>
      <c r="J1068" s="13"/>
      <c r="K1068" s="13" t="s">
        <v>7637</v>
      </c>
      <c r="L1068" s="13" t="s">
        <v>7638</v>
      </c>
    </row>
    <row r="1069" customFormat="false" ht="23.85" hidden="false" customHeight="false" outlineLevel="0" collapsed="false">
      <c r="A1069" s="13" t="s">
        <v>4</v>
      </c>
      <c r="B1069" s="13" t="s">
        <v>2150</v>
      </c>
      <c r="C1069" s="13" t="n">
        <v>134</v>
      </c>
      <c r="D1069" s="13" t="s">
        <v>7648</v>
      </c>
      <c r="E1069" s="13" t="s">
        <v>13821</v>
      </c>
      <c r="F1069" s="13" t="s">
        <v>13822</v>
      </c>
      <c r="G1069" s="13" t="s">
        <v>11098</v>
      </c>
      <c r="H1069" s="13" t="s">
        <v>11099</v>
      </c>
      <c r="I1069" s="13" t="s">
        <v>13823</v>
      </c>
      <c r="J1069" s="13"/>
      <c r="K1069" s="13" t="s">
        <v>7652</v>
      </c>
      <c r="L1069" s="13" t="s">
        <v>7653</v>
      </c>
    </row>
    <row r="1070" customFormat="false" ht="113.4" hidden="false" customHeight="false" outlineLevel="0" collapsed="false">
      <c r="A1070" s="13" t="s">
        <v>4</v>
      </c>
      <c r="B1070" s="13" t="s">
        <v>2150</v>
      </c>
      <c r="C1070" s="13" t="n">
        <v>134</v>
      </c>
      <c r="D1070" s="13" t="s">
        <v>7657</v>
      </c>
      <c r="E1070" s="13" t="s">
        <v>13824</v>
      </c>
      <c r="F1070" s="13" t="s">
        <v>13825</v>
      </c>
      <c r="G1070" s="13" t="s">
        <v>11098</v>
      </c>
      <c r="H1070" s="13" t="s">
        <v>11099</v>
      </c>
      <c r="I1070" s="13" t="s">
        <v>13826</v>
      </c>
      <c r="J1070" s="13" t="s">
        <v>13827</v>
      </c>
      <c r="K1070" s="13" t="s">
        <v>7661</v>
      </c>
      <c r="L1070" s="13" t="s">
        <v>7662</v>
      </c>
    </row>
    <row r="1071" customFormat="false" ht="46.25" hidden="false" customHeight="false" outlineLevel="0" collapsed="false">
      <c r="A1071" s="13" t="s">
        <v>4</v>
      </c>
      <c r="B1071" s="13" t="s">
        <v>2150</v>
      </c>
      <c r="C1071" s="13" t="n">
        <v>134</v>
      </c>
      <c r="D1071" s="13" t="s">
        <v>7668</v>
      </c>
      <c r="E1071" s="13" t="s">
        <v>13828</v>
      </c>
      <c r="F1071" s="13" t="s">
        <v>13829</v>
      </c>
      <c r="G1071" s="13" t="s">
        <v>11098</v>
      </c>
      <c r="H1071" s="13" t="s">
        <v>11099</v>
      </c>
      <c r="I1071" s="13" t="s">
        <v>13830</v>
      </c>
      <c r="J1071" s="13"/>
      <c r="K1071" s="13" t="s">
        <v>7673</v>
      </c>
      <c r="L1071" s="13" t="s">
        <v>7674</v>
      </c>
    </row>
    <row r="1072" customFormat="false" ht="35.05" hidden="false" customHeight="false" outlineLevel="0" collapsed="false">
      <c r="A1072" s="13" t="s">
        <v>4</v>
      </c>
      <c r="B1072" s="13" t="s">
        <v>2150</v>
      </c>
      <c r="C1072" s="13" t="n">
        <v>134</v>
      </c>
      <c r="D1072" s="13" t="s">
        <v>7676</v>
      </c>
      <c r="E1072" s="13" t="s">
        <v>13831</v>
      </c>
      <c r="F1072" s="13" t="s">
        <v>13832</v>
      </c>
      <c r="G1072" s="13" t="s">
        <v>11098</v>
      </c>
      <c r="H1072" s="13" t="s">
        <v>11099</v>
      </c>
      <c r="I1072" s="13" t="s">
        <v>13833</v>
      </c>
      <c r="J1072" s="13"/>
      <c r="K1072" s="13" t="s">
        <v>7680</v>
      </c>
      <c r="L1072" s="13" t="s">
        <v>7681</v>
      </c>
    </row>
    <row r="1073" customFormat="false" ht="79.85" hidden="false" customHeight="false" outlineLevel="0" collapsed="false">
      <c r="A1073" s="13" t="s">
        <v>4</v>
      </c>
      <c r="B1073" s="13" t="s">
        <v>2150</v>
      </c>
      <c r="C1073" s="13" t="n">
        <v>134</v>
      </c>
      <c r="D1073" s="13" t="s">
        <v>7685</v>
      </c>
      <c r="E1073" s="13" t="s">
        <v>13834</v>
      </c>
      <c r="F1073" s="13" t="s">
        <v>13835</v>
      </c>
      <c r="G1073" s="13" t="s">
        <v>11315</v>
      </c>
      <c r="H1073" s="13" t="s">
        <v>11099</v>
      </c>
      <c r="I1073" s="13" t="s">
        <v>13836</v>
      </c>
      <c r="J1073" s="13" t="s">
        <v>13837</v>
      </c>
      <c r="K1073" s="13" t="s">
        <v>7691</v>
      </c>
      <c r="L1073" s="13" t="s">
        <v>7692</v>
      </c>
    </row>
    <row r="1074" customFormat="false" ht="35.05" hidden="false" customHeight="false" outlineLevel="0" collapsed="false">
      <c r="A1074" s="13" t="s">
        <v>4</v>
      </c>
      <c r="B1074" s="13" t="s">
        <v>2150</v>
      </c>
      <c r="C1074" s="13" t="n">
        <v>147</v>
      </c>
      <c r="D1074" s="13" t="s">
        <v>7721</v>
      </c>
      <c r="E1074" s="13" t="s">
        <v>13838</v>
      </c>
      <c r="F1074" s="13" t="s">
        <v>13839</v>
      </c>
      <c r="G1074" s="13" t="s">
        <v>11098</v>
      </c>
      <c r="H1074" s="13" t="s">
        <v>11099</v>
      </c>
      <c r="I1074" s="13" t="s">
        <v>13840</v>
      </c>
      <c r="J1074" s="13"/>
      <c r="K1074" s="13" t="s">
        <v>7725</v>
      </c>
      <c r="L1074" s="13" t="s">
        <v>7726</v>
      </c>
    </row>
    <row r="1075" customFormat="false" ht="57.45" hidden="false" customHeight="false" outlineLevel="0" collapsed="false">
      <c r="A1075" s="13" t="s">
        <v>4</v>
      </c>
      <c r="B1075" s="13" t="s">
        <v>2150</v>
      </c>
      <c r="C1075" s="13" t="n">
        <v>147</v>
      </c>
      <c r="D1075" s="13" t="s">
        <v>7732</v>
      </c>
      <c r="E1075" s="13" t="s">
        <v>13841</v>
      </c>
      <c r="F1075" s="13" t="s">
        <v>13842</v>
      </c>
      <c r="G1075" s="13" t="s">
        <v>11098</v>
      </c>
      <c r="H1075" s="13" t="s">
        <v>11099</v>
      </c>
      <c r="I1075" s="13" t="s">
        <v>13843</v>
      </c>
      <c r="J1075" s="13"/>
      <c r="K1075" s="13" t="s">
        <v>7735</v>
      </c>
      <c r="L1075" s="13" t="s">
        <v>7736</v>
      </c>
    </row>
    <row r="1076" customFormat="false" ht="68.65" hidden="false" customHeight="false" outlineLevel="0" collapsed="false">
      <c r="A1076" s="13" t="s">
        <v>4</v>
      </c>
      <c r="B1076" s="13" t="s">
        <v>2150</v>
      </c>
      <c r="C1076" s="13" t="n">
        <v>147</v>
      </c>
      <c r="D1076" s="13" t="s">
        <v>7741</v>
      </c>
      <c r="E1076" s="13" t="s">
        <v>13844</v>
      </c>
      <c r="F1076" s="13" t="s">
        <v>13845</v>
      </c>
      <c r="G1076" s="13" t="s">
        <v>11098</v>
      </c>
      <c r="H1076" s="13" t="s">
        <v>11099</v>
      </c>
      <c r="I1076" s="13" t="s">
        <v>13846</v>
      </c>
      <c r="J1076" s="13"/>
      <c r="K1076" s="13" t="s">
        <v>7746</v>
      </c>
      <c r="L1076" s="13" t="s">
        <v>7747</v>
      </c>
    </row>
    <row r="1077" customFormat="false" ht="68.65" hidden="false" customHeight="false" outlineLevel="0" collapsed="false">
      <c r="A1077" s="13" t="s">
        <v>4</v>
      </c>
      <c r="B1077" s="13" t="s">
        <v>2150</v>
      </c>
      <c r="C1077" s="13" t="n">
        <v>147</v>
      </c>
      <c r="D1077" s="13" t="s">
        <v>7741</v>
      </c>
      <c r="E1077" s="13" t="s">
        <v>13847</v>
      </c>
      <c r="F1077" s="13" t="s">
        <v>13848</v>
      </c>
      <c r="G1077" s="13" t="s">
        <v>11098</v>
      </c>
      <c r="H1077" s="13" t="s">
        <v>11099</v>
      </c>
      <c r="I1077" s="13" t="s">
        <v>7756</v>
      </c>
      <c r="J1077" s="13"/>
      <c r="K1077" s="13" t="s">
        <v>7746</v>
      </c>
      <c r="L1077" s="13" t="s">
        <v>7747</v>
      </c>
    </row>
    <row r="1078" customFormat="false" ht="23.85" hidden="false" customHeight="false" outlineLevel="0" collapsed="false">
      <c r="A1078" s="13" t="s">
        <v>4</v>
      </c>
      <c r="B1078" s="13" t="s">
        <v>2150</v>
      </c>
      <c r="C1078" s="13" t="n">
        <v>147</v>
      </c>
      <c r="D1078" s="13" t="s">
        <v>7758</v>
      </c>
      <c r="E1078" s="13" t="s">
        <v>13849</v>
      </c>
      <c r="F1078" s="13" t="s">
        <v>13850</v>
      </c>
      <c r="G1078" s="13" t="s">
        <v>11098</v>
      </c>
      <c r="H1078" s="13" t="s">
        <v>11099</v>
      </c>
      <c r="I1078" s="13" t="s">
        <v>13851</v>
      </c>
      <c r="J1078" s="13"/>
      <c r="K1078" s="13" t="s">
        <v>7762</v>
      </c>
      <c r="L1078" s="13" t="s">
        <v>7763</v>
      </c>
    </row>
    <row r="1079" customFormat="false" ht="68.65" hidden="false" customHeight="false" outlineLevel="0" collapsed="false">
      <c r="A1079" s="13" t="s">
        <v>4</v>
      </c>
      <c r="B1079" s="13" t="s">
        <v>2150</v>
      </c>
      <c r="C1079" s="13" t="n">
        <v>147</v>
      </c>
      <c r="D1079" s="13" t="s">
        <v>7767</v>
      </c>
      <c r="E1079" s="13" t="s">
        <v>13852</v>
      </c>
      <c r="F1079" s="13" t="s">
        <v>13853</v>
      </c>
      <c r="G1079" s="13" t="s">
        <v>11098</v>
      </c>
      <c r="H1079" s="13" t="s">
        <v>11099</v>
      </c>
      <c r="I1079" s="13" t="s">
        <v>13854</v>
      </c>
      <c r="J1079" s="13"/>
      <c r="K1079" s="13" t="s">
        <v>7771</v>
      </c>
      <c r="L1079" s="13" t="s">
        <v>7772</v>
      </c>
    </row>
    <row r="1080" customFormat="false" ht="68.65" hidden="false" customHeight="false" outlineLevel="0" collapsed="false">
      <c r="A1080" s="13" t="s">
        <v>4</v>
      </c>
      <c r="B1080" s="13" t="s">
        <v>2150</v>
      </c>
      <c r="C1080" s="13" t="n">
        <v>147</v>
      </c>
      <c r="D1080" s="13" t="s">
        <v>7767</v>
      </c>
      <c r="E1080" s="13" t="s">
        <v>13855</v>
      </c>
      <c r="F1080" s="13" t="s">
        <v>13856</v>
      </c>
      <c r="G1080" s="13" t="s">
        <v>11098</v>
      </c>
      <c r="H1080" s="13" t="s">
        <v>11099</v>
      </c>
      <c r="I1080" s="13" t="s">
        <v>13857</v>
      </c>
      <c r="J1080" s="13"/>
      <c r="K1080" s="13" t="s">
        <v>7771</v>
      </c>
      <c r="L1080" s="13" t="s">
        <v>7772</v>
      </c>
    </row>
    <row r="1081" customFormat="false" ht="258.95" hidden="false" customHeight="false" outlineLevel="0" collapsed="false">
      <c r="A1081" s="13" t="s">
        <v>4</v>
      </c>
      <c r="B1081" s="13" t="s">
        <v>2150</v>
      </c>
      <c r="C1081" s="13" t="n">
        <v>147</v>
      </c>
      <c r="D1081" s="13" t="s">
        <v>7778</v>
      </c>
      <c r="E1081" s="13" t="s">
        <v>13858</v>
      </c>
      <c r="F1081" s="13" t="s">
        <v>13859</v>
      </c>
      <c r="G1081" s="13" t="s">
        <v>11098</v>
      </c>
      <c r="H1081" s="13" t="s">
        <v>11099</v>
      </c>
      <c r="I1081" s="13" t="s">
        <v>13860</v>
      </c>
      <c r="J1081" s="13"/>
      <c r="K1081" s="13" t="s">
        <v>7782</v>
      </c>
      <c r="L1081" s="13" t="s">
        <v>7783</v>
      </c>
    </row>
    <row r="1082" customFormat="false" ht="258.95" hidden="false" customHeight="false" outlineLevel="0" collapsed="false">
      <c r="A1082" s="13" t="s">
        <v>4</v>
      </c>
      <c r="B1082" s="13" t="s">
        <v>2150</v>
      </c>
      <c r="C1082" s="13" t="n">
        <v>147</v>
      </c>
      <c r="D1082" s="13" t="s">
        <v>7778</v>
      </c>
      <c r="E1082" s="13" t="s">
        <v>13861</v>
      </c>
      <c r="F1082" s="13" t="s">
        <v>13862</v>
      </c>
      <c r="G1082" s="13" t="s">
        <v>11098</v>
      </c>
      <c r="H1082" s="13" t="s">
        <v>11099</v>
      </c>
      <c r="I1082" s="13" t="s">
        <v>13863</v>
      </c>
      <c r="J1082" s="13"/>
      <c r="K1082" s="13" t="s">
        <v>7782</v>
      </c>
      <c r="L1082" s="13" t="s">
        <v>7783</v>
      </c>
    </row>
    <row r="1083" customFormat="false" ht="258.95" hidden="false" customHeight="false" outlineLevel="0" collapsed="false">
      <c r="A1083" s="13" t="s">
        <v>4</v>
      </c>
      <c r="B1083" s="13" t="s">
        <v>2150</v>
      </c>
      <c r="C1083" s="13" t="n">
        <v>147</v>
      </c>
      <c r="D1083" s="13" t="s">
        <v>7778</v>
      </c>
      <c r="E1083" s="13" t="s">
        <v>13864</v>
      </c>
      <c r="F1083" s="13" t="s">
        <v>13865</v>
      </c>
      <c r="G1083" s="13" t="s">
        <v>11128</v>
      </c>
      <c r="H1083" s="13" t="s">
        <v>11099</v>
      </c>
      <c r="I1083" s="13"/>
      <c r="J1083" s="13" t="s">
        <v>13866</v>
      </c>
      <c r="K1083" s="13" t="s">
        <v>7782</v>
      </c>
      <c r="L1083" s="13" t="s">
        <v>7783</v>
      </c>
    </row>
    <row r="1084" customFormat="false" ht="23.85" hidden="false" customHeight="false" outlineLevel="0" collapsed="false">
      <c r="A1084" s="13" t="s">
        <v>4</v>
      </c>
      <c r="B1084" s="13" t="s">
        <v>2150</v>
      </c>
      <c r="C1084" s="13" t="n">
        <v>147</v>
      </c>
      <c r="D1084" s="13" t="s">
        <v>7800</v>
      </c>
      <c r="E1084" s="13" t="s">
        <v>13867</v>
      </c>
      <c r="F1084" s="13" t="s">
        <v>13868</v>
      </c>
      <c r="G1084" s="13" t="s">
        <v>11098</v>
      </c>
      <c r="H1084" s="13" t="s">
        <v>11099</v>
      </c>
      <c r="I1084" s="13" t="s">
        <v>13869</v>
      </c>
      <c r="J1084" s="13"/>
      <c r="K1084" s="13" t="s">
        <v>7803</v>
      </c>
      <c r="L1084" s="13" t="s">
        <v>7804</v>
      </c>
    </row>
    <row r="1085" customFormat="false" ht="23.85" hidden="false" customHeight="false" outlineLevel="0" collapsed="false">
      <c r="A1085" s="13" t="s">
        <v>4</v>
      </c>
      <c r="B1085" s="13" t="s">
        <v>2150</v>
      </c>
      <c r="C1085" s="13" t="n">
        <v>147</v>
      </c>
      <c r="D1085" s="13" t="s">
        <v>7806</v>
      </c>
      <c r="E1085" s="13" t="s">
        <v>13870</v>
      </c>
      <c r="F1085" s="13" t="s">
        <v>13871</v>
      </c>
      <c r="G1085" s="13" t="s">
        <v>11098</v>
      </c>
      <c r="H1085" s="13" t="s">
        <v>11099</v>
      </c>
      <c r="I1085" s="13" t="s">
        <v>13872</v>
      </c>
      <c r="J1085" s="13" t="s">
        <v>13873</v>
      </c>
      <c r="K1085" s="13" t="s">
        <v>7809</v>
      </c>
      <c r="L1085" s="13" t="s">
        <v>7810</v>
      </c>
    </row>
    <row r="1086" customFormat="false" ht="281.3" hidden="false" customHeight="false" outlineLevel="0" collapsed="false">
      <c r="A1086" s="13" t="s">
        <v>4</v>
      </c>
      <c r="B1086" s="13" t="s">
        <v>2150</v>
      </c>
      <c r="C1086" s="13" t="n">
        <v>190</v>
      </c>
      <c r="D1086" s="13" t="s">
        <v>7813</v>
      </c>
      <c r="E1086" s="13" t="s">
        <v>13874</v>
      </c>
      <c r="F1086" s="13" t="s">
        <v>13875</v>
      </c>
      <c r="G1086" s="13" t="s">
        <v>11098</v>
      </c>
      <c r="H1086" s="13" t="s">
        <v>11099</v>
      </c>
      <c r="I1086" s="13" t="s">
        <v>13876</v>
      </c>
      <c r="J1086" s="13" t="s">
        <v>13877</v>
      </c>
      <c r="K1086" s="13" t="s">
        <v>7817</v>
      </c>
      <c r="L1086" s="13" t="s">
        <v>7818</v>
      </c>
    </row>
    <row r="1087" customFormat="false" ht="281.3" hidden="false" customHeight="false" outlineLevel="0" collapsed="false">
      <c r="A1087" s="13" t="s">
        <v>4</v>
      </c>
      <c r="B1087" s="13" t="s">
        <v>2150</v>
      </c>
      <c r="C1087" s="13" t="n">
        <v>190</v>
      </c>
      <c r="D1087" s="13" t="s">
        <v>7813</v>
      </c>
      <c r="E1087" s="13" t="s">
        <v>13878</v>
      </c>
      <c r="F1087" s="13" t="s">
        <v>13879</v>
      </c>
      <c r="G1087" s="13" t="s">
        <v>11137</v>
      </c>
      <c r="H1087" s="13" t="s">
        <v>11099</v>
      </c>
      <c r="I1087" s="13" t="s">
        <v>7825</v>
      </c>
      <c r="J1087" s="13" t="s">
        <v>13880</v>
      </c>
      <c r="K1087" s="13" t="s">
        <v>7817</v>
      </c>
      <c r="L1087" s="13" t="s">
        <v>7818</v>
      </c>
    </row>
    <row r="1088" customFormat="false" ht="23.85" hidden="false" customHeight="false" outlineLevel="0" collapsed="false">
      <c r="A1088" s="13" t="s">
        <v>4</v>
      </c>
      <c r="B1088" s="13" t="s">
        <v>2150</v>
      </c>
      <c r="C1088" s="13" t="n">
        <v>190</v>
      </c>
      <c r="D1088" s="13" t="s">
        <v>7830</v>
      </c>
      <c r="E1088" s="13" t="s">
        <v>13881</v>
      </c>
      <c r="F1088" s="13" t="s">
        <v>13882</v>
      </c>
      <c r="G1088" s="13" t="s">
        <v>11098</v>
      </c>
      <c r="H1088" s="13" t="s">
        <v>11099</v>
      </c>
      <c r="I1088" s="13" t="s">
        <v>7838</v>
      </c>
      <c r="J1088" s="13" t="s">
        <v>13883</v>
      </c>
      <c r="K1088" s="13" t="s">
        <v>7836</v>
      </c>
      <c r="L1088" s="13" t="s">
        <v>7837</v>
      </c>
    </row>
    <row r="1089" customFormat="false" ht="91" hidden="false" customHeight="false" outlineLevel="0" collapsed="false">
      <c r="A1089" s="13" t="s">
        <v>4</v>
      </c>
      <c r="B1089" s="13" t="s">
        <v>2150</v>
      </c>
      <c r="C1089" s="13" t="n">
        <v>190</v>
      </c>
      <c r="D1089" s="13" t="s">
        <v>7841</v>
      </c>
      <c r="E1089" s="13" t="s">
        <v>13884</v>
      </c>
      <c r="F1089" s="13" t="s">
        <v>13885</v>
      </c>
      <c r="G1089" s="13" t="s">
        <v>11098</v>
      </c>
      <c r="H1089" s="13" t="s">
        <v>11099</v>
      </c>
      <c r="I1089" s="13" t="s">
        <v>13886</v>
      </c>
      <c r="J1089" s="13"/>
      <c r="K1089" s="13" t="s">
        <v>7846</v>
      </c>
      <c r="L1089" s="13" t="s">
        <v>7847</v>
      </c>
    </row>
    <row r="1090" customFormat="false" ht="46.25" hidden="false" customHeight="false" outlineLevel="0" collapsed="false">
      <c r="A1090" s="13" t="s">
        <v>4</v>
      </c>
      <c r="B1090" s="13" t="s">
        <v>2150</v>
      </c>
      <c r="C1090" s="13" t="n">
        <v>190</v>
      </c>
      <c r="D1090" s="13" t="s">
        <v>7854</v>
      </c>
      <c r="E1090" s="13" t="s">
        <v>13887</v>
      </c>
      <c r="F1090" s="13" t="s">
        <v>13888</v>
      </c>
      <c r="G1090" s="13" t="s">
        <v>11098</v>
      </c>
      <c r="H1090" s="13" t="s">
        <v>11099</v>
      </c>
      <c r="I1090" s="13" t="s">
        <v>13889</v>
      </c>
      <c r="J1090" s="13"/>
      <c r="K1090" s="13" t="s">
        <v>7858</v>
      </c>
      <c r="L1090" s="13" t="s">
        <v>7859</v>
      </c>
    </row>
    <row r="1091" customFormat="false" ht="57.45" hidden="false" customHeight="false" outlineLevel="0" collapsed="false">
      <c r="A1091" s="13" t="s">
        <v>4</v>
      </c>
      <c r="B1091" s="13" t="s">
        <v>2150</v>
      </c>
      <c r="C1091" s="13" t="n">
        <v>190</v>
      </c>
      <c r="D1091" s="13" t="s">
        <v>7862</v>
      </c>
      <c r="E1091" s="13" t="s">
        <v>13890</v>
      </c>
      <c r="F1091" s="13" t="s">
        <v>13891</v>
      </c>
      <c r="G1091" s="13" t="s">
        <v>11098</v>
      </c>
      <c r="H1091" s="13" t="s">
        <v>11099</v>
      </c>
      <c r="I1091" s="13" t="s">
        <v>13892</v>
      </c>
      <c r="J1091" s="13"/>
      <c r="K1091" s="13" t="s">
        <v>7865</v>
      </c>
      <c r="L1091" s="13" t="s">
        <v>7866</v>
      </c>
    </row>
    <row r="1092" customFormat="false" ht="79.85" hidden="false" customHeight="false" outlineLevel="0" collapsed="false">
      <c r="A1092" s="13" t="s">
        <v>4</v>
      </c>
      <c r="B1092" s="13" t="s">
        <v>2150</v>
      </c>
      <c r="C1092" s="13" t="n">
        <v>190</v>
      </c>
      <c r="D1092" s="13" t="s">
        <v>7869</v>
      </c>
      <c r="E1092" s="13" t="s">
        <v>13893</v>
      </c>
      <c r="F1092" s="13" t="s">
        <v>13894</v>
      </c>
      <c r="G1092" s="13" t="s">
        <v>11098</v>
      </c>
      <c r="H1092" s="13" t="s">
        <v>11099</v>
      </c>
      <c r="I1092" s="13" t="s">
        <v>13895</v>
      </c>
      <c r="J1092" s="13"/>
      <c r="K1092" s="13" t="s">
        <v>7872</v>
      </c>
      <c r="L1092" s="13" t="s">
        <v>7873</v>
      </c>
    </row>
    <row r="1093" customFormat="false" ht="79.85" hidden="false" customHeight="false" outlineLevel="0" collapsed="false">
      <c r="A1093" s="13" t="s">
        <v>4</v>
      </c>
      <c r="B1093" s="13" t="s">
        <v>2150</v>
      </c>
      <c r="C1093" s="13" t="n">
        <v>190</v>
      </c>
      <c r="D1093" s="13" t="s">
        <v>7869</v>
      </c>
      <c r="E1093" s="13" t="s">
        <v>13896</v>
      </c>
      <c r="F1093" s="13" t="s">
        <v>13897</v>
      </c>
      <c r="G1093" s="13" t="s">
        <v>11098</v>
      </c>
      <c r="H1093" s="13" t="s">
        <v>11099</v>
      </c>
      <c r="I1093" s="13" t="s">
        <v>7876</v>
      </c>
      <c r="J1093" s="13"/>
      <c r="K1093" s="13" t="s">
        <v>7872</v>
      </c>
      <c r="L1093" s="13" t="s">
        <v>7873</v>
      </c>
    </row>
    <row r="1094" customFormat="false" ht="23.85" hidden="false" customHeight="false" outlineLevel="0" collapsed="false">
      <c r="A1094" s="13" t="s">
        <v>4</v>
      </c>
      <c r="B1094" s="13" t="s">
        <v>2150</v>
      </c>
      <c r="C1094" s="13" t="n">
        <v>190</v>
      </c>
      <c r="D1094" s="13" t="s">
        <v>7878</v>
      </c>
      <c r="E1094" s="13" t="s">
        <v>13898</v>
      </c>
      <c r="F1094" s="13" t="s">
        <v>13899</v>
      </c>
      <c r="G1094" s="13" t="s">
        <v>11098</v>
      </c>
      <c r="H1094" s="13" t="s">
        <v>11099</v>
      </c>
      <c r="I1094" s="13" t="s">
        <v>7879</v>
      </c>
      <c r="J1094" s="13"/>
      <c r="K1094" s="13" t="s">
        <v>7882</v>
      </c>
      <c r="L1094" s="13" t="s">
        <v>7883</v>
      </c>
    </row>
    <row r="1095" customFormat="false" ht="23.85" hidden="false" customHeight="false" outlineLevel="0" collapsed="false">
      <c r="A1095" s="13" t="s">
        <v>4</v>
      </c>
      <c r="B1095" s="13" t="s">
        <v>2150</v>
      </c>
      <c r="C1095" s="13" t="n">
        <v>190</v>
      </c>
      <c r="D1095" s="13" t="s">
        <v>7884</v>
      </c>
      <c r="E1095" s="13" t="s">
        <v>13900</v>
      </c>
      <c r="F1095" s="13" t="s">
        <v>13901</v>
      </c>
      <c r="G1095" s="13" t="s">
        <v>11098</v>
      </c>
      <c r="H1095" s="13" t="s">
        <v>11099</v>
      </c>
      <c r="I1095" s="13" t="s">
        <v>7885</v>
      </c>
      <c r="J1095" s="13"/>
      <c r="K1095" s="13" t="s">
        <v>7888</v>
      </c>
      <c r="L1095" s="13" t="s">
        <v>7889</v>
      </c>
    </row>
    <row r="1096" customFormat="false" ht="35.05" hidden="false" customHeight="false" outlineLevel="0" collapsed="false">
      <c r="A1096" s="13" t="s">
        <v>4</v>
      </c>
      <c r="B1096" s="13" t="s">
        <v>2150</v>
      </c>
      <c r="C1096" s="13" t="n">
        <v>190</v>
      </c>
      <c r="D1096" s="13" t="s">
        <v>7890</v>
      </c>
      <c r="E1096" s="13" t="s">
        <v>13902</v>
      </c>
      <c r="F1096" s="13" t="s">
        <v>13903</v>
      </c>
      <c r="G1096" s="13" t="s">
        <v>11098</v>
      </c>
      <c r="H1096" s="13" t="s">
        <v>11099</v>
      </c>
      <c r="I1096" s="13" t="s">
        <v>13904</v>
      </c>
      <c r="J1096" s="13"/>
      <c r="K1096" s="13" t="s">
        <v>7894</v>
      </c>
      <c r="L1096" s="13" t="s">
        <v>7895</v>
      </c>
    </row>
    <row r="1097" customFormat="false" ht="102.2" hidden="false" customHeight="false" outlineLevel="0" collapsed="false">
      <c r="A1097" s="13" t="s">
        <v>4</v>
      </c>
      <c r="B1097" s="13" t="s">
        <v>2150</v>
      </c>
      <c r="C1097" s="13" t="n">
        <v>193</v>
      </c>
      <c r="D1097" s="13" t="s">
        <v>7898</v>
      </c>
      <c r="E1097" s="13" t="s">
        <v>13905</v>
      </c>
      <c r="F1097" s="13" t="s">
        <v>13906</v>
      </c>
      <c r="G1097" s="13" t="s">
        <v>11137</v>
      </c>
      <c r="H1097" s="13" t="s">
        <v>11099</v>
      </c>
      <c r="I1097" s="13" t="s">
        <v>13907</v>
      </c>
      <c r="J1097" s="13"/>
      <c r="K1097" s="13" t="s">
        <v>7904</v>
      </c>
      <c r="L1097" s="13" t="s">
        <v>7905</v>
      </c>
    </row>
    <row r="1098" customFormat="false" ht="102.2" hidden="false" customHeight="false" outlineLevel="0" collapsed="false">
      <c r="A1098" s="13" t="s">
        <v>4</v>
      </c>
      <c r="B1098" s="13" t="s">
        <v>2150</v>
      </c>
      <c r="C1098" s="13" t="n">
        <v>193</v>
      </c>
      <c r="D1098" s="13" t="s">
        <v>7898</v>
      </c>
      <c r="E1098" s="13" t="s">
        <v>13908</v>
      </c>
      <c r="F1098" s="13" t="s">
        <v>13909</v>
      </c>
      <c r="G1098" s="13" t="s">
        <v>11137</v>
      </c>
      <c r="H1098" s="13" t="s">
        <v>11099</v>
      </c>
      <c r="I1098" s="13" t="s">
        <v>7912</v>
      </c>
      <c r="J1098" s="13"/>
      <c r="K1098" s="13" t="s">
        <v>7904</v>
      </c>
      <c r="L1098" s="13" t="s">
        <v>7905</v>
      </c>
    </row>
    <row r="1099" customFormat="false" ht="102.2" hidden="false" customHeight="false" outlineLevel="0" collapsed="false">
      <c r="A1099" s="13" t="s">
        <v>4</v>
      </c>
      <c r="B1099" s="13" t="s">
        <v>2150</v>
      </c>
      <c r="C1099" s="13" t="n">
        <v>193</v>
      </c>
      <c r="D1099" s="13" t="s">
        <v>7898</v>
      </c>
      <c r="E1099" s="13" t="s">
        <v>13910</v>
      </c>
      <c r="F1099" s="13" t="s">
        <v>13911</v>
      </c>
      <c r="G1099" s="13" t="s">
        <v>11098</v>
      </c>
      <c r="H1099" s="13" t="s">
        <v>11099</v>
      </c>
      <c r="I1099" s="13" t="s">
        <v>13912</v>
      </c>
      <c r="J1099" s="13" t="s">
        <v>13913</v>
      </c>
      <c r="K1099" s="13" t="s">
        <v>7904</v>
      </c>
      <c r="L1099" s="13" t="s">
        <v>7905</v>
      </c>
    </row>
    <row r="1100" customFormat="false" ht="46.25" hidden="false" customHeight="false" outlineLevel="0" collapsed="false">
      <c r="A1100" s="13" t="s">
        <v>4</v>
      </c>
      <c r="B1100" s="13" t="s">
        <v>2150</v>
      </c>
      <c r="C1100" s="13" t="n">
        <v>193</v>
      </c>
      <c r="D1100" s="13" t="s">
        <v>7922</v>
      </c>
      <c r="E1100" s="13" t="s">
        <v>13914</v>
      </c>
      <c r="F1100" s="13" t="s">
        <v>13915</v>
      </c>
      <c r="G1100" s="13" t="s">
        <v>11098</v>
      </c>
      <c r="H1100" s="13" t="s">
        <v>11099</v>
      </c>
      <c r="I1100" s="13" t="s">
        <v>13916</v>
      </c>
      <c r="J1100" s="13" t="s">
        <v>13917</v>
      </c>
      <c r="K1100" s="13" t="s">
        <v>7926</v>
      </c>
      <c r="L1100" s="13" t="s">
        <v>7927</v>
      </c>
    </row>
    <row r="1101" customFormat="false" ht="113.4" hidden="false" customHeight="false" outlineLevel="0" collapsed="false">
      <c r="A1101" s="13" t="s">
        <v>4</v>
      </c>
      <c r="B1101" s="13" t="s">
        <v>2150</v>
      </c>
      <c r="C1101" s="13" t="n">
        <v>193</v>
      </c>
      <c r="D1101" s="13" t="s">
        <v>7930</v>
      </c>
      <c r="E1101" s="13" t="s">
        <v>13918</v>
      </c>
      <c r="F1101" s="13" t="s">
        <v>13919</v>
      </c>
      <c r="G1101" s="13" t="s">
        <v>11098</v>
      </c>
      <c r="H1101" s="13" t="s">
        <v>11099</v>
      </c>
      <c r="I1101" s="13" t="s">
        <v>13920</v>
      </c>
      <c r="J1101" s="13"/>
      <c r="K1101" s="13" t="s">
        <v>7933</v>
      </c>
      <c r="L1101" s="13" t="s">
        <v>7934</v>
      </c>
    </row>
    <row r="1102" customFormat="false" ht="68.65" hidden="false" customHeight="false" outlineLevel="0" collapsed="false">
      <c r="A1102" s="13" t="s">
        <v>4</v>
      </c>
      <c r="B1102" s="13" t="s">
        <v>2150</v>
      </c>
      <c r="C1102" s="13" t="n">
        <v>193</v>
      </c>
      <c r="D1102" s="13" t="s">
        <v>7940</v>
      </c>
      <c r="E1102" s="13" t="s">
        <v>13921</v>
      </c>
      <c r="F1102" s="13" t="s">
        <v>13922</v>
      </c>
      <c r="G1102" s="13" t="s">
        <v>11315</v>
      </c>
      <c r="H1102" s="13" t="s">
        <v>11099</v>
      </c>
      <c r="I1102" s="13" t="s">
        <v>7941</v>
      </c>
      <c r="J1102" s="13" t="s">
        <v>13923</v>
      </c>
      <c r="K1102" s="13" t="s">
        <v>7943</v>
      </c>
      <c r="L1102" s="13" t="s">
        <v>7944</v>
      </c>
    </row>
    <row r="1103" customFormat="false" ht="68.65" hidden="false" customHeight="false" outlineLevel="0" collapsed="false">
      <c r="A1103" s="13" t="s">
        <v>4</v>
      </c>
      <c r="B1103" s="13" t="s">
        <v>2150</v>
      </c>
      <c r="C1103" s="13" t="n">
        <v>193</v>
      </c>
      <c r="D1103" s="13" t="s">
        <v>7940</v>
      </c>
      <c r="E1103" s="13" t="s">
        <v>13924</v>
      </c>
      <c r="F1103" s="13" t="s">
        <v>13925</v>
      </c>
      <c r="G1103" s="13" t="s">
        <v>11098</v>
      </c>
      <c r="H1103" s="13" t="s">
        <v>11099</v>
      </c>
      <c r="I1103" s="13" t="s">
        <v>7945</v>
      </c>
      <c r="J1103" s="13"/>
      <c r="K1103" s="13" t="s">
        <v>7943</v>
      </c>
      <c r="L1103" s="13" t="s">
        <v>7944</v>
      </c>
    </row>
    <row r="1104" customFormat="false" ht="35.05" hidden="false" customHeight="false" outlineLevel="0" collapsed="false">
      <c r="A1104" s="13" t="s">
        <v>4</v>
      </c>
      <c r="B1104" s="13" t="s">
        <v>2150</v>
      </c>
      <c r="C1104" s="13" t="n">
        <v>193</v>
      </c>
      <c r="D1104" s="13" t="s">
        <v>7947</v>
      </c>
      <c r="E1104" s="13" t="s">
        <v>13926</v>
      </c>
      <c r="F1104" s="13" t="s">
        <v>13927</v>
      </c>
      <c r="G1104" s="13" t="s">
        <v>11098</v>
      </c>
      <c r="H1104" s="13" t="s">
        <v>11099</v>
      </c>
      <c r="I1104" s="13" t="s">
        <v>13928</v>
      </c>
      <c r="J1104" s="13"/>
      <c r="K1104" s="13" t="s">
        <v>7949</v>
      </c>
      <c r="L1104" s="13" t="s">
        <v>7950</v>
      </c>
    </row>
    <row r="1105" customFormat="false" ht="35.05" hidden="false" customHeight="false" outlineLevel="0" collapsed="false">
      <c r="A1105" s="13" t="s">
        <v>4</v>
      </c>
      <c r="B1105" s="13" t="s">
        <v>2150</v>
      </c>
      <c r="C1105" s="13" t="n">
        <v>193</v>
      </c>
      <c r="D1105" s="13" t="s">
        <v>7953</v>
      </c>
      <c r="E1105" s="13" t="s">
        <v>13929</v>
      </c>
      <c r="F1105" s="13" t="s">
        <v>13930</v>
      </c>
      <c r="G1105" s="13" t="s">
        <v>11098</v>
      </c>
      <c r="H1105" s="13" t="s">
        <v>11099</v>
      </c>
      <c r="I1105" s="13" t="s">
        <v>7954</v>
      </c>
      <c r="J1105" s="13"/>
      <c r="K1105" s="13" t="s">
        <v>7955</v>
      </c>
      <c r="L1105" s="13" t="s">
        <v>7956</v>
      </c>
    </row>
    <row r="1106" customFormat="false" ht="46.25" hidden="false" customHeight="false" outlineLevel="0" collapsed="false">
      <c r="A1106" s="13" t="s">
        <v>4</v>
      </c>
      <c r="B1106" s="13" t="s">
        <v>2150</v>
      </c>
      <c r="C1106" s="13" t="n">
        <v>193</v>
      </c>
      <c r="D1106" s="13" t="s">
        <v>7957</v>
      </c>
      <c r="E1106" s="13" t="s">
        <v>13931</v>
      </c>
      <c r="F1106" s="13" t="s">
        <v>13932</v>
      </c>
      <c r="G1106" s="13" t="s">
        <v>11098</v>
      </c>
      <c r="H1106" s="13" t="s">
        <v>11099</v>
      </c>
      <c r="I1106" s="13" t="s">
        <v>13933</v>
      </c>
      <c r="J1106" s="13"/>
      <c r="K1106" s="13" t="s">
        <v>7960</v>
      </c>
      <c r="L1106" s="13" t="s">
        <v>7961</v>
      </c>
    </row>
    <row r="1107" customFormat="false" ht="46.25" hidden="false" customHeight="false" outlineLevel="0" collapsed="false">
      <c r="A1107" s="13" t="s">
        <v>4</v>
      </c>
      <c r="B1107" s="13" t="s">
        <v>2150</v>
      </c>
      <c r="C1107" s="13" t="n">
        <v>193</v>
      </c>
      <c r="D1107" s="13" t="s">
        <v>7957</v>
      </c>
      <c r="E1107" s="13" t="s">
        <v>13934</v>
      </c>
      <c r="F1107" s="13" t="s">
        <v>13935</v>
      </c>
      <c r="G1107" s="13" t="s">
        <v>11128</v>
      </c>
      <c r="H1107" s="13" t="s">
        <v>11099</v>
      </c>
      <c r="I1107" s="13"/>
      <c r="J1107" s="13" t="s">
        <v>13936</v>
      </c>
      <c r="K1107" s="13" t="s">
        <v>7960</v>
      </c>
      <c r="L1107" s="13" t="s">
        <v>7961</v>
      </c>
    </row>
    <row r="1108" customFormat="false" ht="35.05" hidden="false" customHeight="false" outlineLevel="0" collapsed="false">
      <c r="A1108" s="13" t="s">
        <v>4</v>
      </c>
      <c r="B1108" s="13" t="s">
        <v>2150</v>
      </c>
      <c r="C1108" s="13" t="n">
        <v>193</v>
      </c>
      <c r="D1108" s="13" t="s">
        <v>7964</v>
      </c>
      <c r="E1108" s="13" t="s">
        <v>13937</v>
      </c>
      <c r="F1108" s="13" t="s">
        <v>13938</v>
      </c>
      <c r="G1108" s="13" t="s">
        <v>11098</v>
      </c>
      <c r="H1108" s="13" t="s">
        <v>11099</v>
      </c>
      <c r="I1108" s="13" t="s">
        <v>7965</v>
      </c>
      <c r="J1108" s="13"/>
      <c r="K1108" s="13" t="s">
        <v>7966</v>
      </c>
      <c r="L1108" s="13" t="s">
        <v>7967</v>
      </c>
    </row>
    <row r="1109" customFormat="false" ht="147" hidden="false" customHeight="false" outlineLevel="0" collapsed="false">
      <c r="A1109" s="13" t="s">
        <v>4</v>
      </c>
      <c r="B1109" s="13" t="s">
        <v>2150</v>
      </c>
      <c r="C1109" s="13" t="n">
        <v>193</v>
      </c>
      <c r="D1109" s="13" t="s">
        <v>7968</v>
      </c>
      <c r="E1109" s="13" t="s">
        <v>13939</v>
      </c>
      <c r="F1109" s="13" t="s">
        <v>13940</v>
      </c>
      <c r="G1109" s="13" t="s">
        <v>11137</v>
      </c>
      <c r="H1109" s="13" t="s">
        <v>11099</v>
      </c>
      <c r="I1109" s="13" t="s">
        <v>7969</v>
      </c>
      <c r="J1109" s="13"/>
      <c r="K1109" s="13" t="s">
        <v>7973</v>
      </c>
      <c r="L1109" s="13" t="s">
        <v>7974</v>
      </c>
    </row>
    <row r="1110" customFormat="false" ht="147" hidden="false" customHeight="false" outlineLevel="0" collapsed="false">
      <c r="A1110" s="13" t="s">
        <v>4</v>
      </c>
      <c r="B1110" s="13" t="s">
        <v>2150</v>
      </c>
      <c r="C1110" s="13" t="n">
        <v>193</v>
      </c>
      <c r="D1110" s="13" t="s">
        <v>7968</v>
      </c>
      <c r="E1110" s="13" t="s">
        <v>13941</v>
      </c>
      <c r="F1110" s="13" t="s">
        <v>13942</v>
      </c>
      <c r="G1110" s="13" t="s">
        <v>11098</v>
      </c>
      <c r="H1110" s="13" t="s">
        <v>11099</v>
      </c>
      <c r="I1110" s="13" t="s">
        <v>7975</v>
      </c>
      <c r="J1110" s="13" t="s">
        <v>13943</v>
      </c>
      <c r="K1110" s="13" t="s">
        <v>7973</v>
      </c>
      <c r="L1110" s="13" t="s">
        <v>7974</v>
      </c>
    </row>
    <row r="1111" customFormat="false" ht="35.05" hidden="false" customHeight="false" outlineLevel="0" collapsed="false">
      <c r="A1111" s="13" t="s">
        <v>4</v>
      </c>
      <c r="B1111" s="13" t="s">
        <v>2150</v>
      </c>
      <c r="C1111" s="13" t="n">
        <v>205</v>
      </c>
      <c r="D1111" s="13" t="s">
        <v>7981</v>
      </c>
      <c r="E1111" s="13" t="s">
        <v>13944</v>
      </c>
      <c r="F1111" s="13" t="s">
        <v>13945</v>
      </c>
      <c r="G1111" s="13" t="s">
        <v>11098</v>
      </c>
      <c r="H1111" s="13" t="s">
        <v>11099</v>
      </c>
      <c r="I1111" s="13" t="s">
        <v>13946</v>
      </c>
      <c r="J1111" s="13"/>
      <c r="K1111" s="13" t="s">
        <v>7985</v>
      </c>
      <c r="L1111" s="13" t="s">
        <v>7986</v>
      </c>
    </row>
    <row r="1112" customFormat="false" ht="79.85" hidden="false" customHeight="false" outlineLevel="0" collapsed="false">
      <c r="A1112" s="13" t="s">
        <v>4</v>
      </c>
      <c r="B1112" s="13" t="s">
        <v>2150</v>
      </c>
      <c r="C1112" s="13" t="n">
        <v>205</v>
      </c>
      <c r="D1112" s="13" t="s">
        <v>7989</v>
      </c>
      <c r="E1112" s="13" t="s">
        <v>13947</v>
      </c>
      <c r="F1112" s="13" t="s">
        <v>13948</v>
      </c>
      <c r="G1112" s="13" t="s">
        <v>11128</v>
      </c>
      <c r="H1112" s="13" t="s">
        <v>11099</v>
      </c>
      <c r="I1112" s="13"/>
      <c r="J1112" s="13" t="s">
        <v>13949</v>
      </c>
      <c r="K1112" s="13" t="s">
        <v>7994</v>
      </c>
      <c r="L1112" s="13" t="s">
        <v>7995</v>
      </c>
    </row>
    <row r="1113" customFormat="false" ht="79.85" hidden="false" customHeight="false" outlineLevel="0" collapsed="false">
      <c r="A1113" s="13" t="s">
        <v>4</v>
      </c>
      <c r="B1113" s="13" t="s">
        <v>2150</v>
      </c>
      <c r="C1113" s="13" t="n">
        <v>205</v>
      </c>
      <c r="D1113" s="13" t="s">
        <v>7989</v>
      </c>
      <c r="E1113" s="13" t="s">
        <v>13950</v>
      </c>
      <c r="F1113" s="13" t="s">
        <v>13951</v>
      </c>
      <c r="G1113" s="13" t="s">
        <v>11098</v>
      </c>
      <c r="H1113" s="13" t="s">
        <v>11099</v>
      </c>
      <c r="I1113" s="13" t="s">
        <v>13952</v>
      </c>
      <c r="J1113" s="13"/>
      <c r="K1113" s="13" t="s">
        <v>7994</v>
      </c>
      <c r="L1113" s="13" t="s">
        <v>7995</v>
      </c>
    </row>
    <row r="1114" customFormat="false" ht="135.8" hidden="false" customHeight="false" outlineLevel="0" collapsed="false">
      <c r="A1114" s="13" t="s">
        <v>4</v>
      </c>
      <c r="B1114" s="13" t="s">
        <v>2150</v>
      </c>
      <c r="C1114" s="13" t="n">
        <v>205</v>
      </c>
      <c r="D1114" s="13" t="s">
        <v>7999</v>
      </c>
      <c r="E1114" s="13" t="s">
        <v>13953</v>
      </c>
      <c r="F1114" s="13" t="s">
        <v>13954</v>
      </c>
      <c r="G1114" s="13" t="s">
        <v>11098</v>
      </c>
      <c r="H1114" s="13" t="s">
        <v>11099</v>
      </c>
      <c r="I1114" s="13" t="s">
        <v>13955</v>
      </c>
      <c r="J1114" s="13"/>
      <c r="K1114" s="13" t="s">
        <v>8003</v>
      </c>
      <c r="L1114" s="13" t="s">
        <v>8004</v>
      </c>
    </row>
    <row r="1115" customFormat="false" ht="57.45" hidden="false" customHeight="false" outlineLevel="0" collapsed="false">
      <c r="A1115" s="13" t="s">
        <v>4</v>
      </c>
      <c r="B1115" s="13" t="s">
        <v>2150</v>
      </c>
      <c r="C1115" s="13" t="n">
        <v>205</v>
      </c>
      <c r="D1115" s="13" t="s">
        <v>8008</v>
      </c>
      <c r="E1115" s="13" t="s">
        <v>13956</v>
      </c>
      <c r="F1115" s="13" t="s">
        <v>13957</v>
      </c>
      <c r="G1115" s="13" t="s">
        <v>11098</v>
      </c>
      <c r="H1115" s="13" t="s">
        <v>11099</v>
      </c>
      <c r="I1115" s="13" t="s">
        <v>8009</v>
      </c>
      <c r="J1115" s="13"/>
      <c r="K1115" s="13" t="s">
        <v>8012</v>
      </c>
      <c r="L1115" s="13" t="s">
        <v>8013</v>
      </c>
    </row>
    <row r="1116" customFormat="false" ht="35.05" hidden="false" customHeight="false" outlineLevel="0" collapsed="false">
      <c r="A1116" s="13" t="s">
        <v>4</v>
      </c>
      <c r="B1116" s="13" t="s">
        <v>2150</v>
      </c>
      <c r="C1116" s="13" t="n">
        <v>205</v>
      </c>
      <c r="D1116" s="13" t="s">
        <v>8014</v>
      </c>
      <c r="E1116" s="13" t="s">
        <v>13958</v>
      </c>
      <c r="F1116" s="13" t="s">
        <v>13959</v>
      </c>
      <c r="G1116" s="13" t="s">
        <v>11098</v>
      </c>
      <c r="H1116" s="13" t="s">
        <v>11099</v>
      </c>
      <c r="I1116" s="13" t="s">
        <v>13960</v>
      </c>
      <c r="J1116" s="13" t="s">
        <v>13961</v>
      </c>
      <c r="K1116" s="13" t="s">
        <v>8019</v>
      </c>
      <c r="L1116" s="13" t="s">
        <v>8020</v>
      </c>
    </row>
    <row r="1117" customFormat="false" ht="23.85" hidden="false" customHeight="false" outlineLevel="0" collapsed="false">
      <c r="A1117" s="13" t="s">
        <v>4</v>
      </c>
      <c r="B1117" s="13" t="s">
        <v>2150</v>
      </c>
      <c r="C1117" s="13" t="n">
        <v>205</v>
      </c>
      <c r="D1117" s="13" t="s">
        <v>8025</v>
      </c>
      <c r="E1117" s="13" t="s">
        <v>13962</v>
      </c>
      <c r="F1117" s="13" t="s">
        <v>13963</v>
      </c>
      <c r="G1117" s="13" t="s">
        <v>11098</v>
      </c>
      <c r="H1117" s="13" t="s">
        <v>11099</v>
      </c>
      <c r="I1117" s="13" t="s">
        <v>8026</v>
      </c>
      <c r="J1117" s="13"/>
      <c r="K1117" s="13" t="s">
        <v>8029</v>
      </c>
      <c r="L1117" s="13" t="s">
        <v>8030</v>
      </c>
    </row>
    <row r="1118" customFormat="false" ht="35.05" hidden="false" customHeight="false" outlineLevel="0" collapsed="false">
      <c r="A1118" s="13" t="s">
        <v>4</v>
      </c>
      <c r="B1118" s="13" t="s">
        <v>2150</v>
      </c>
      <c r="C1118" s="13" t="n">
        <v>228</v>
      </c>
      <c r="D1118" s="13" t="s">
        <v>8031</v>
      </c>
      <c r="E1118" s="13" t="s">
        <v>13964</v>
      </c>
      <c r="F1118" s="13" t="s">
        <v>13965</v>
      </c>
      <c r="G1118" s="13" t="s">
        <v>11098</v>
      </c>
      <c r="H1118" s="13" t="s">
        <v>11099</v>
      </c>
      <c r="I1118" s="13" t="s">
        <v>13966</v>
      </c>
      <c r="J1118" s="13" t="s">
        <v>13967</v>
      </c>
      <c r="K1118" s="13" t="s">
        <v>8035</v>
      </c>
      <c r="L1118" s="13" t="s">
        <v>8036</v>
      </c>
    </row>
    <row r="1119" customFormat="false" ht="35.05" hidden="false" customHeight="false" outlineLevel="0" collapsed="false">
      <c r="A1119" s="13" t="s">
        <v>4</v>
      </c>
      <c r="B1119" s="13" t="s">
        <v>2150</v>
      </c>
      <c r="C1119" s="13" t="n">
        <v>228</v>
      </c>
      <c r="D1119" s="13" t="s">
        <v>8037</v>
      </c>
      <c r="E1119" s="13" t="s">
        <v>13968</v>
      </c>
      <c r="F1119" s="13" t="s">
        <v>13969</v>
      </c>
      <c r="G1119" s="13" t="s">
        <v>11098</v>
      </c>
      <c r="H1119" s="13" t="s">
        <v>11099</v>
      </c>
      <c r="I1119" s="13" t="s">
        <v>8043</v>
      </c>
      <c r="J1119" s="13"/>
      <c r="K1119" s="13" t="s">
        <v>8041</v>
      </c>
      <c r="L1119" s="13" t="s">
        <v>8042</v>
      </c>
    </row>
    <row r="1120" customFormat="false" ht="23.85" hidden="false" customHeight="false" outlineLevel="0" collapsed="false">
      <c r="A1120" s="13" t="s">
        <v>4</v>
      </c>
      <c r="B1120" s="13" t="s">
        <v>2150</v>
      </c>
      <c r="C1120" s="13" t="n">
        <v>228</v>
      </c>
      <c r="D1120" s="13" t="s">
        <v>8052</v>
      </c>
      <c r="E1120" s="13" t="s">
        <v>13970</v>
      </c>
      <c r="F1120" s="13" t="s">
        <v>13971</v>
      </c>
      <c r="G1120" s="13" t="s">
        <v>11098</v>
      </c>
      <c r="H1120" s="13" t="s">
        <v>11099</v>
      </c>
      <c r="I1120" s="13" t="s">
        <v>8053</v>
      </c>
      <c r="J1120" s="13" t="s">
        <v>13972</v>
      </c>
      <c r="K1120" s="13" t="s">
        <v>8057</v>
      </c>
      <c r="L1120" s="13" t="s">
        <v>8058</v>
      </c>
    </row>
    <row r="1121" customFormat="false" ht="35.05" hidden="false" customHeight="false" outlineLevel="0" collapsed="false">
      <c r="A1121" s="13" t="s">
        <v>4</v>
      </c>
      <c r="B1121" s="13" t="s">
        <v>2150</v>
      </c>
      <c r="C1121" s="13" t="n">
        <v>228</v>
      </c>
      <c r="D1121" s="13" t="s">
        <v>13973</v>
      </c>
      <c r="E1121" s="13" t="s">
        <v>13974</v>
      </c>
      <c r="F1121" s="13" t="s">
        <v>13975</v>
      </c>
      <c r="G1121" s="13" t="s">
        <v>11128</v>
      </c>
      <c r="H1121" s="13" t="s">
        <v>11099</v>
      </c>
      <c r="I1121" s="13"/>
      <c r="J1121" s="13" t="s">
        <v>13976</v>
      </c>
      <c r="K1121" s="13" t="s">
        <v>13977</v>
      </c>
      <c r="L1121" s="13" t="s">
        <v>13978</v>
      </c>
    </row>
    <row r="1122" customFormat="false" ht="23.85" hidden="false" customHeight="false" outlineLevel="0" collapsed="false">
      <c r="A1122" s="13" t="s">
        <v>4</v>
      </c>
      <c r="B1122" s="13" t="s">
        <v>2150</v>
      </c>
      <c r="C1122" s="13" t="n">
        <v>228</v>
      </c>
      <c r="D1122" s="13" t="s">
        <v>8059</v>
      </c>
      <c r="E1122" s="13" t="s">
        <v>13979</v>
      </c>
      <c r="F1122" s="13" t="s">
        <v>13980</v>
      </c>
      <c r="G1122" s="13" t="s">
        <v>11098</v>
      </c>
      <c r="H1122" s="13" t="s">
        <v>11099</v>
      </c>
      <c r="I1122" s="13" t="s">
        <v>13981</v>
      </c>
      <c r="J1122" s="13"/>
      <c r="K1122" s="13" t="s">
        <v>8063</v>
      </c>
      <c r="L1122" s="13" t="s">
        <v>8064</v>
      </c>
    </row>
    <row r="1123" customFormat="false" ht="15" hidden="false" customHeight="false" outlineLevel="0" collapsed="false">
      <c r="A1123" s="13" t="s">
        <v>4</v>
      </c>
      <c r="B1123" s="13" t="s">
        <v>2150</v>
      </c>
      <c r="C1123" s="13" t="n">
        <v>228</v>
      </c>
      <c r="D1123" s="13" t="s">
        <v>8071</v>
      </c>
      <c r="E1123" s="13" t="s">
        <v>13982</v>
      </c>
      <c r="F1123" s="13" t="s">
        <v>13983</v>
      </c>
      <c r="G1123" s="13" t="s">
        <v>11098</v>
      </c>
      <c r="H1123" s="13" t="s">
        <v>11099</v>
      </c>
      <c r="I1123" s="13" t="s">
        <v>8072</v>
      </c>
      <c r="J1123" s="13"/>
      <c r="K1123" s="13" t="s">
        <v>8075</v>
      </c>
      <c r="L1123" s="13" t="s">
        <v>8076</v>
      </c>
    </row>
    <row r="1124" customFormat="false" ht="23.85" hidden="false" customHeight="false" outlineLevel="0" collapsed="false">
      <c r="A1124" s="13" t="s">
        <v>4</v>
      </c>
      <c r="B1124" s="13" t="s">
        <v>2150</v>
      </c>
      <c r="C1124" s="13" t="n">
        <v>228</v>
      </c>
      <c r="D1124" s="13" t="s">
        <v>8077</v>
      </c>
      <c r="E1124" s="13" t="s">
        <v>13984</v>
      </c>
      <c r="F1124" s="13" t="s">
        <v>13985</v>
      </c>
      <c r="G1124" s="13" t="s">
        <v>11098</v>
      </c>
      <c r="H1124" s="13" t="s">
        <v>11099</v>
      </c>
      <c r="I1124" s="13" t="s">
        <v>8078</v>
      </c>
      <c r="J1124" s="13"/>
      <c r="K1124" s="13" t="s">
        <v>8081</v>
      </c>
      <c r="L1124" s="13" t="s">
        <v>8082</v>
      </c>
    </row>
    <row r="1125" customFormat="false" ht="23.85" hidden="false" customHeight="false" outlineLevel="0" collapsed="false">
      <c r="A1125" s="13" t="s">
        <v>4</v>
      </c>
      <c r="B1125" s="13" t="s">
        <v>2150</v>
      </c>
      <c r="C1125" s="13" t="n">
        <v>228</v>
      </c>
      <c r="D1125" s="13" t="s">
        <v>8083</v>
      </c>
      <c r="E1125" s="13" t="s">
        <v>13986</v>
      </c>
      <c r="F1125" s="13" t="s">
        <v>13987</v>
      </c>
      <c r="G1125" s="13" t="s">
        <v>11098</v>
      </c>
      <c r="H1125" s="13" t="s">
        <v>11099</v>
      </c>
      <c r="I1125" s="13" t="s">
        <v>13988</v>
      </c>
      <c r="J1125" s="13"/>
      <c r="K1125" s="13" t="s">
        <v>8086</v>
      </c>
      <c r="L1125" s="13" t="s">
        <v>8087</v>
      </c>
    </row>
    <row r="1126" customFormat="false" ht="35.05" hidden="false" customHeight="false" outlineLevel="0" collapsed="false">
      <c r="A1126" s="13" t="s">
        <v>4</v>
      </c>
      <c r="B1126" s="13" t="s">
        <v>2150</v>
      </c>
      <c r="C1126" s="13" t="n">
        <v>228</v>
      </c>
      <c r="D1126" s="13" t="s">
        <v>8091</v>
      </c>
      <c r="E1126" s="13" t="s">
        <v>13989</v>
      </c>
      <c r="F1126" s="13" t="s">
        <v>13990</v>
      </c>
      <c r="G1126" s="13" t="s">
        <v>11098</v>
      </c>
      <c r="H1126" s="13" t="s">
        <v>11099</v>
      </c>
      <c r="I1126" s="13" t="s">
        <v>13991</v>
      </c>
      <c r="J1126" s="13"/>
      <c r="K1126" s="13" t="s">
        <v>8095</v>
      </c>
      <c r="L1126" s="13" t="s">
        <v>8096</v>
      </c>
    </row>
    <row r="1127" customFormat="false" ht="15" hidden="false" customHeight="false" outlineLevel="0" collapsed="false">
      <c r="A1127" s="13" t="s">
        <v>4</v>
      </c>
      <c r="B1127" s="13" t="s">
        <v>2150</v>
      </c>
      <c r="C1127" s="13" t="n">
        <v>228</v>
      </c>
      <c r="D1127" s="13" t="s">
        <v>8106</v>
      </c>
      <c r="E1127" s="13" t="s">
        <v>13992</v>
      </c>
      <c r="F1127" s="13" t="s">
        <v>13993</v>
      </c>
      <c r="G1127" s="13" t="s">
        <v>11098</v>
      </c>
      <c r="H1127" s="13" t="s">
        <v>11099</v>
      </c>
      <c r="I1127" s="13" t="s">
        <v>8107</v>
      </c>
      <c r="J1127" s="13"/>
      <c r="K1127" s="13" t="s">
        <v>8110</v>
      </c>
      <c r="L1127" s="13" t="s">
        <v>8111</v>
      </c>
    </row>
    <row r="1128" customFormat="false" ht="35.05" hidden="false" customHeight="false" outlineLevel="0" collapsed="false">
      <c r="A1128" s="13" t="s">
        <v>4</v>
      </c>
      <c r="B1128" s="13" t="s">
        <v>2150</v>
      </c>
      <c r="C1128" s="13" t="n">
        <v>228</v>
      </c>
      <c r="D1128" s="13" t="s">
        <v>8112</v>
      </c>
      <c r="E1128" s="13" t="s">
        <v>13994</v>
      </c>
      <c r="F1128" s="13" t="s">
        <v>13995</v>
      </c>
      <c r="G1128" s="13" t="s">
        <v>11098</v>
      </c>
      <c r="H1128" s="13" t="s">
        <v>11099</v>
      </c>
      <c r="I1128" s="13" t="s">
        <v>13996</v>
      </c>
      <c r="J1128" s="13"/>
      <c r="K1128" s="13" t="s">
        <v>8116</v>
      </c>
      <c r="L1128" s="13" t="s">
        <v>8117</v>
      </c>
    </row>
    <row r="1129" customFormat="false" ht="35.05" hidden="false" customHeight="false" outlineLevel="0" collapsed="false">
      <c r="A1129" s="13" t="s">
        <v>4</v>
      </c>
      <c r="B1129" s="13" t="s">
        <v>2150</v>
      </c>
      <c r="C1129" s="13" t="n">
        <v>228</v>
      </c>
      <c r="D1129" s="13" t="s">
        <v>8130</v>
      </c>
      <c r="E1129" s="13" t="s">
        <v>13997</v>
      </c>
      <c r="F1129" s="13" t="s">
        <v>13998</v>
      </c>
      <c r="G1129" s="13" t="s">
        <v>11098</v>
      </c>
      <c r="H1129" s="13" t="s">
        <v>11099</v>
      </c>
      <c r="I1129" s="13" t="s">
        <v>13999</v>
      </c>
      <c r="J1129" s="13"/>
      <c r="K1129" s="13" t="s">
        <v>8135</v>
      </c>
      <c r="L1129" s="13" t="s">
        <v>8136</v>
      </c>
    </row>
    <row r="1130" customFormat="false" ht="23.85" hidden="false" customHeight="false" outlineLevel="0" collapsed="false">
      <c r="A1130" s="13" t="s">
        <v>4</v>
      </c>
      <c r="B1130" s="13" t="s">
        <v>2150</v>
      </c>
      <c r="C1130" s="13" t="n">
        <v>228</v>
      </c>
      <c r="D1130" s="13" t="s">
        <v>8165</v>
      </c>
      <c r="E1130" s="13" t="s">
        <v>14000</v>
      </c>
      <c r="F1130" s="13" t="s">
        <v>14001</v>
      </c>
      <c r="G1130" s="13" t="s">
        <v>11098</v>
      </c>
      <c r="H1130" s="13" t="s">
        <v>11099</v>
      </c>
      <c r="I1130" s="13" t="s">
        <v>8166</v>
      </c>
      <c r="J1130" s="13"/>
      <c r="K1130" s="13" t="s">
        <v>8170</v>
      </c>
      <c r="L1130" s="13" t="s">
        <v>8171</v>
      </c>
    </row>
    <row r="1131" customFormat="false" ht="46.25" hidden="false" customHeight="false" outlineLevel="0" collapsed="false">
      <c r="A1131" s="13" t="s">
        <v>4</v>
      </c>
      <c r="B1131" s="13" t="s">
        <v>2150</v>
      </c>
      <c r="C1131" s="13" t="n">
        <v>228</v>
      </c>
      <c r="D1131" s="13" t="s">
        <v>8172</v>
      </c>
      <c r="E1131" s="13" t="s">
        <v>14002</v>
      </c>
      <c r="F1131" s="13" t="s">
        <v>14003</v>
      </c>
      <c r="G1131" s="13" t="s">
        <v>11098</v>
      </c>
      <c r="H1131" s="13" t="s">
        <v>11099</v>
      </c>
      <c r="I1131" s="13" t="s">
        <v>14004</v>
      </c>
      <c r="J1131" s="13"/>
      <c r="K1131" s="13" t="s">
        <v>8176</v>
      </c>
      <c r="L1131" s="13" t="s">
        <v>8177</v>
      </c>
    </row>
    <row r="1132" customFormat="false" ht="35.05" hidden="false" customHeight="false" outlineLevel="0" collapsed="false">
      <c r="A1132" s="13" t="s">
        <v>4</v>
      </c>
      <c r="B1132" s="13" t="s">
        <v>2150</v>
      </c>
      <c r="C1132" s="13" t="n">
        <v>228</v>
      </c>
      <c r="D1132" s="13" t="s">
        <v>8183</v>
      </c>
      <c r="E1132" s="13" t="s">
        <v>14005</v>
      </c>
      <c r="F1132" s="13" t="s">
        <v>14006</v>
      </c>
      <c r="G1132" s="13" t="s">
        <v>11098</v>
      </c>
      <c r="H1132" s="13" t="s">
        <v>11099</v>
      </c>
      <c r="I1132" s="13" t="s">
        <v>14007</v>
      </c>
      <c r="J1132" s="13"/>
      <c r="K1132" s="13" t="s">
        <v>8186</v>
      </c>
      <c r="L1132" s="13" t="s">
        <v>8187</v>
      </c>
    </row>
    <row r="1133" customFormat="false" ht="23.85" hidden="false" customHeight="false" outlineLevel="0" collapsed="false">
      <c r="A1133" s="13" t="s">
        <v>4</v>
      </c>
      <c r="B1133" s="13" t="s">
        <v>2150</v>
      </c>
      <c r="C1133" s="13" t="n">
        <v>228</v>
      </c>
      <c r="D1133" s="13" t="s">
        <v>8198</v>
      </c>
      <c r="E1133" s="13" t="s">
        <v>14008</v>
      </c>
      <c r="F1133" s="13" t="s">
        <v>14009</v>
      </c>
      <c r="G1133" s="13" t="s">
        <v>11098</v>
      </c>
      <c r="H1133" s="13" t="s">
        <v>11099</v>
      </c>
      <c r="I1133" s="13" t="s">
        <v>14010</v>
      </c>
      <c r="J1133" s="13"/>
      <c r="K1133" s="13" t="s">
        <v>8202</v>
      </c>
      <c r="L1133" s="13" t="s">
        <v>8203</v>
      </c>
    </row>
    <row r="1134" customFormat="false" ht="23.85" hidden="false" customHeight="false" outlineLevel="0" collapsed="false">
      <c r="A1134" s="13" t="s">
        <v>4</v>
      </c>
      <c r="B1134" s="13" t="s">
        <v>2150</v>
      </c>
      <c r="C1134" s="13" t="n">
        <v>228</v>
      </c>
      <c r="D1134" s="13" t="s">
        <v>14011</v>
      </c>
      <c r="E1134" s="13" t="s">
        <v>14012</v>
      </c>
      <c r="F1134" s="13" t="s">
        <v>14013</v>
      </c>
      <c r="G1134" s="13" t="s">
        <v>11128</v>
      </c>
      <c r="H1134" s="13" t="s">
        <v>11099</v>
      </c>
      <c r="I1134" s="13"/>
      <c r="J1134" s="13" t="s">
        <v>14014</v>
      </c>
      <c r="K1134" s="13" t="s">
        <v>14015</v>
      </c>
      <c r="L1134" s="13" t="s">
        <v>14016</v>
      </c>
    </row>
    <row r="1135" customFormat="false" ht="23.85" hidden="false" customHeight="false" outlineLevel="0" collapsed="false">
      <c r="A1135" s="13" t="s">
        <v>4</v>
      </c>
      <c r="B1135" s="13" t="s">
        <v>2150</v>
      </c>
      <c r="C1135" s="13" t="n">
        <v>228</v>
      </c>
      <c r="D1135" s="13" t="s">
        <v>8210</v>
      </c>
      <c r="E1135" s="13" t="s">
        <v>14017</v>
      </c>
      <c r="F1135" s="13" t="s">
        <v>14018</v>
      </c>
      <c r="G1135" s="13" t="s">
        <v>11315</v>
      </c>
      <c r="H1135" s="13" t="s">
        <v>11099</v>
      </c>
      <c r="I1135" s="13" t="s">
        <v>8211</v>
      </c>
      <c r="J1135" s="13" t="s">
        <v>14019</v>
      </c>
      <c r="K1135" s="13" t="s">
        <v>8214</v>
      </c>
      <c r="L1135" s="13" t="s">
        <v>8215</v>
      </c>
    </row>
    <row r="1136" customFormat="false" ht="15" hidden="false" customHeight="false" outlineLevel="0" collapsed="false">
      <c r="A1136" s="13" t="s">
        <v>4</v>
      </c>
      <c r="B1136" s="13" t="s">
        <v>2150</v>
      </c>
      <c r="C1136" s="13" t="n">
        <v>228</v>
      </c>
      <c r="D1136" s="13" t="s">
        <v>8216</v>
      </c>
      <c r="E1136" s="13" t="s">
        <v>14020</v>
      </c>
      <c r="F1136" s="13" t="s">
        <v>14021</v>
      </c>
      <c r="G1136" s="13" t="s">
        <v>11098</v>
      </c>
      <c r="H1136" s="13" t="s">
        <v>11099</v>
      </c>
      <c r="I1136" s="13" t="s">
        <v>8217</v>
      </c>
      <c r="J1136" s="13"/>
      <c r="K1136" s="13" t="s">
        <v>8218</v>
      </c>
      <c r="L1136" s="13" t="s">
        <v>8219</v>
      </c>
    </row>
    <row r="1137" customFormat="false" ht="35.05" hidden="false" customHeight="false" outlineLevel="0" collapsed="false">
      <c r="A1137" s="13" t="s">
        <v>4</v>
      </c>
      <c r="B1137" s="13" t="s">
        <v>2150</v>
      </c>
      <c r="C1137" s="13" t="n">
        <v>228</v>
      </c>
      <c r="D1137" s="13" t="s">
        <v>8220</v>
      </c>
      <c r="E1137" s="13" t="s">
        <v>14022</v>
      </c>
      <c r="F1137" s="13" t="s">
        <v>14023</v>
      </c>
      <c r="G1137" s="13" t="s">
        <v>11098</v>
      </c>
      <c r="H1137" s="13" t="s">
        <v>11099</v>
      </c>
      <c r="I1137" s="13" t="s">
        <v>14024</v>
      </c>
      <c r="J1137" s="13"/>
      <c r="K1137" s="13" t="s">
        <v>8225</v>
      </c>
      <c r="L1137" s="13" t="s">
        <v>8226</v>
      </c>
    </row>
    <row r="1138" customFormat="false" ht="23.85" hidden="false" customHeight="false" outlineLevel="0" collapsed="false">
      <c r="A1138" s="13" t="s">
        <v>4</v>
      </c>
      <c r="B1138" s="13" t="s">
        <v>2150</v>
      </c>
      <c r="C1138" s="13" t="n">
        <v>228</v>
      </c>
      <c r="D1138" s="13" t="s">
        <v>8239</v>
      </c>
      <c r="E1138" s="13" t="s">
        <v>14025</v>
      </c>
      <c r="F1138" s="13" t="s">
        <v>14026</v>
      </c>
      <c r="G1138" s="13" t="s">
        <v>11098</v>
      </c>
      <c r="H1138" s="13" t="s">
        <v>11099</v>
      </c>
      <c r="I1138" s="13" t="s">
        <v>14027</v>
      </c>
      <c r="J1138" s="13"/>
      <c r="K1138" s="13" t="s">
        <v>8243</v>
      </c>
      <c r="L1138" s="13" t="s">
        <v>8244</v>
      </c>
    </row>
    <row r="1139" customFormat="false" ht="23.85" hidden="false" customHeight="false" outlineLevel="0" collapsed="false">
      <c r="A1139" s="13" t="s">
        <v>4</v>
      </c>
      <c r="B1139" s="13" t="s">
        <v>2150</v>
      </c>
      <c r="C1139" s="13" t="n">
        <v>228</v>
      </c>
      <c r="D1139" s="13" t="s">
        <v>8245</v>
      </c>
      <c r="E1139" s="13" t="s">
        <v>14028</v>
      </c>
      <c r="F1139" s="13" t="s">
        <v>14029</v>
      </c>
      <c r="G1139" s="13" t="s">
        <v>11098</v>
      </c>
      <c r="H1139" s="13" t="s">
        <v>11099</v>
      </c>
      <c r="I1139" s="13" t="s">
        <v>8246</v>
      </c>
      <c r="J1139" s="13"/>
      <c r="K1139" s="13" t="s">
        <v>8249</v>
      </c>
      <c r="L1139" s="13" t="s">
        <v>8250</v>
      </c>
    </row>
    <row r="1140" customFormat="false" ht="23.85" hidden="false" customHeight="false" outlineLevel="0" collapsed="false">
      <c r="A1140" s="13" t="s">
        <v>4</v>
      </c>
      <c r="B1140" s="13" t="s">
        <v>2150</v>
      </c>
      <c r="C1140" s="13" t="n">
        <v>228</v>
      </c>
      <c r="D1140" s="13" t="s">
        <v>8257</v>
      </c>
      <c r="E1140" s="13" t="s">
        <v>14030</v>
      </c>
      <c r="F1140" s="13" t="s">
        <v>14031</v>
      </c>
      <c r="G1140" s="13" t="s">
        <v>11098</v>
      </c>
      <c r="H1140" s="13" t="s">
        <v>11099</v>
      </c>
      <c r="I1140" s="13" t="s">
        <v>8258</v>
      </c>
      <c r="J1140" s="13"/>
      <c r="K1140" s="13" t="s">
        <v>8260</v>
      </c>
      <c r="L1140" s="13" t="s">
        <v>8261</v>
      </c>
    </row>
    <row r="1141" customFormat="false" ht="23.85" hidden="false" customHeight="false" outlineLevel="0" collapsed="false">
      <c r="A1141" s="13" t="s">
        <v>4</v>
      </c>
      <c r="B1141" s="13" t="s">
        <v>2150</v>
      </c>
      <c r="C1141" s="13" t="n">
        <v>228</v>
      </c>
      <c r="D1141" s="13" t="s">
        <v>8262</v>
      </c>
      <c r="E1141" s="13" t="s">
        <v>14032</v>
      </c>
      <c r="F1141" s="13" t="s">
        <v>14033</v>
      </c>
      <c r="G1141" s="13" t="s">
        <v>11098</v>
      </c>
      <c r="H1141" s="13" t="s">
        <v>11099</v>
      </c>
      <c r="I1141" s="13" t="s">
        <v>14034</v>
      </c>
      <c r="J1141" s="13"/>
      <c r="K1141" s="13" t="s">
        <v>8265</v>
      </c>
      <c r="L1141" s="13" t="s">
        <v>8266</v>
      </c>
    </row>
    <row r="1142" customFormat="false" ht="91" hidden="false" customHeight="false" outlineLevel="0" collapsed="false">
      <c r="A1142" s="13" t="s">
        <v>4</v>
      </c>
      <c r="B1142" s="13" t="s">
        <v>2150</v>
      </c>
      <c r="C1142" s="13" t="n">
        <v>248</v>
      </c>
      <c r="D1142" s="13" t="s">
        <v>8278</v>
      </c>
      <c r="E1142" s="13" t="s">
        <v>14035</v>
      </c>
      <c r="F1142" s="13" t="s">
        <v>14036</v>
      </c>
      <c r="G1142" s="13" t="s">
        <v>11098</v>
      </c>
      <c r="H1142" s="13" t="s">
        <v>11099</v>
      </c>
      <c r="I1142" s="13" t="s">
        <v>14037</v>
      </c>
      <c r="J1142" s="13"/>
      <c r="K1142" s="13" t="s">
        <v>8283</v>
      </c>
      <c r="L1142" s="13" t="s">
        <v>8284</v>
      </c>
    </row>
    <row r="1143" customFormat="false" ht="113.4" hidden="false" customHeight="false" outlineLevel="0" collapsed="false">
      <c r="A1143" s="13" t="s">
        <v>4</v>
      </c>
      <c r="B1143" s="13" t="s">
        <v>2150</v>
      </c>
      <c r="C1143" s="13" t="n">
        <v>248</v>
      </c>
      <c r="D1143" s="13" t="s">
        <v>8290</v>
      </c>
      <c r="E1143" s="13" t="s">
        <v>14038</v>
      </c>
      <c r="F1143" s="13" t="s">
        <v>14039</v>
      </c>
      <c r="G1143" s="13" t="s">
        <v>11098</v>
      </c>
      <c r="H1143" s="13" t="s">
        <v>11099</v>
      </c>
      <c r="I1143" s="13" t="s">
        <v>14040</v>
      </c>
      <c r="J1143" s="13"/>
      <c r="K1143" s="13" t="s">
        <v>8293</v>
      </c>
      <c r="L1143" s="13" t="s">
        <v>8294</v>
      </c>
    </row>
    <row r="1144" customFormat="false" ht="113.4" hidden="false" customHeight="false" outlineLevel="0" collapsed="false">
      <c r="A1144" s="13" t="s">
        <v>4</v>
      </c>
      <c r="B1144" s="13" t="s">
        <v>2150</v>
      </c>
      <c r="C1144" s="13" t="n">
        <v>248</v>
      </c>
      <c r="D1144" s="13" t="s">
        <v>8290</v>
      </c>
      <c r="E1144" s="13" t="s">
        <v>14041</v>
      </c>
      <c r="F1144" s="13" t="s">
        <v>14042</v>
      </c>
      <c r="G1144" s="13" t="s">
        <v>11098</v>
      </c>
      <c r="H1144" s="13" t="s">
        <v>11099</v>
      </c>
      <c r="I1144" s="13" t="s">
        <v>14043</v>
      </c>
      <c r="J1144" s="13"/>
      <c r="K1144" s="13" t="s">
        <v>8293</v>
      </c>
      <c r="L1144" s="13" t="s">
        <v>8294</v>
      </c>
    </row>
    <row r="1145" customFormat="false" ht="113.4" hidden="false" customHeight="false" outlineLevel="0" collapsed="false">
      <c r="A1145" s="13" t="s">
        <v>4</v>
      </c>
      <c r="B1145" s="13" t="s">
        <v>2150</v>
      </c>
      <c r="C1145" s="13" t="n">
        <v>248</v>
      </c>
      <c r="D1145" s="13" t="s">
        <v>8290</v>
      </c>
      <c r="E1145" s="13" t="s">
        <v>14044</v>
      </c>
      <c r="F1145" s="13" t="s">
        <v>14045</v>
      </c>
      <c r="G1145" s="13" t="s">
        <v>11098</v>
      </c>
      <c r="H1145" s="13" t="s">
        <v>11099</v>
      </c>
      <c r="I1145" s="13" t="s">
        <v>14046</v>
      </c>
      <c r="J1145" s="13" t="s">
        <v>14047</v>
      </c>
      <c r="K1145" s="13" t="s">
        <v>8293</v>
      </c>
      <c r="L1145" s="13" t="s">
        <v>8294</v>
      </c>
    </row>
    <row r="1146" customFormat="false" ht="23.85" hidden="false" customHeight="false" outlineLevel="0" collapsed="false">
      <c r="A1146" s="13" t="s">
        <v>4</v>
      </c>
      <c r="B1146" s="13" t="s">
        <v>2150</v>
      </c>
      <c r="C1146" s="13" t="n">
        <v>248</v>
      </c>
      <c r="D1146" s="13" t="s">
        <v>8313</v>
      </c>
      <c r="E1146" s="13" t="s">
        <v>14048</v>
      </c>
      <c r="F1146" s="13" t="s">
        <v>14049</v>
      </c>
      <c r="G1146" s="13" t="s">
        <v>11098</v>
      </c>
      <c r="H1146" s="13" t="s">
        <v>11099</v>
      </c>
      <c r="I1146" s="13" t="s">
        <v>8314</v>
      </c>
      <c r="J1146" s="13"/>
      <c r="K1146" s="13" t="s">
        <v>8318</v>
      </c>
      <c r="L1146" s="13" t="s">
        <v>8319</v>
      </c>
    </row>
    <row r="1147" customFormat="false" ht="202.95" hidden="false" customHeight="false" outlineLevel="0" collapsed="false">
      <c r="A1147" s="13" t="s">
        <v>4</v>
      </c>
      <c r="B1147" s="13" t="s">
        <v>2150</v>
      </c>
      <c r="C1147" s="13" t="n">
        <v>248</v>
      </c>
      <c r="D1147" s="13" t="s">
        <v>8320</v>
      </c>
      <c r="E1147" s="13" t="s">
        <v>14050</v>
      </c>
      <c r="F1147" s="13" t="s">
        <v>14051</v>
      </c>
      <c r="G1147" s="13" t="s">
        <v>11098</v>
      </c>
      <c r="H1147" s="13" t="s">
        <v>11099</v>
      </c>
      <c r="I1147" s="13" t="s">
        <v>14052</v>
      </c>
      <c r="J1147" s="13"/>
      <c r="K1147" s="13" t="s">
        <v>8325</v>
      </c>
      <c r="L1147" s="13" t="s">
        <v>8326</v>
      </c>
    </row>
    <row r="1148" customFormat="false" ht="202.95" hidden="false" customHeight="false" outlineLevel="0" collapsed="false">
      <c r="A1148" s="13" t="s">
        <v>4</v>
      </c>
      <c r="B1148" s="13" t="s">
        <v>2150</v>
      </c>
      <c r="C1148" s="13" t="n">
        <v>248</v>
      </c>
      <c r="D1148" s="13" t="s">
        <v>8320</v>
      </c>
      <c r="E1148" s="13" t="s">
        <v>14053</v>
      </c>
      <c r="F1148" s="13" t="s">
        <v>14054</v>
      </c>
      <c r="G1148" s="13" t="s">
        <v>11098</v>
      </c>
      <c r="H1148" s="13" t="s">
        <v>11099</v>
      </c>
      <c r="I1148" s="13" t="s">
        <v>14055</v>
      </c>
      <c r="J1148" s="13"/>
      <c r="K1148" s="13" t="s">
        <v>8325</v>
      </c>
      <c r="L1148" s="13" t="s">
        <v>8326</v>
      </c>
    </row>
    <row r="1149" customFormat="false" ht="202.95" hidden="false" customHeight="false" outlineLevel="0" collapsed="false">
      <c r="A1149" s="13" t="s">
        <v>4</v>
      </c>
      <c r="B1149" s="13" t="s">
        <v>2150</v>
      </c>
      <c r="C1149" s="13" t="n">
        <v>248</v>
      </c>
      <c r="D1149" s="13" t="s">
        <v>8320</v>
      </c>
      <c r="E1149" s="13" t="s">
        <v>14056</v>
      </c>
      <c r="F1149" s="13" t="s">
        <v>14057</v>
      </c>
      <c r="G1149" s="13" t="s">
        <v>11098</v>
      </c>
      <c r="H1149" s="13" t="s">
        <v>11099</v>
      </c>
      <c r="I1149" s="13" t="s">
        <v>8353</v>
      </c>
      <c r="J1149" s="13" t="s">
        <v>14058</v>
      </c>
      <c r="K1149" s="13" t="s">
        <v>8325</v>
      </c>
      <c r="L1149" s="13" t="s">
        <v>8326</v>
      </c>
    </row>
    <row r="1150" customFormat="false" ht="46.25" hidden="false" customHeight="false" outlineLevel="0" collapsed="false">
      <c r="A1150" s="13" t="s">
        <v>4</v>
      </c>
      <c r="B1150" s="13" t="s">
        <v>2150</v>
      </c>
      <c r="C1150" s="13" t="n">
        <v>248</v>
      </c>
      <c r="D1150" s="13" t="s">
        <v>8336</v>
      </c>
      <c r="E1150" s="13" t="s">
        <v>14059</v>
      </c>
      <c r="F1150" s="13" t="s">
        <v>14060</v>
      </c>
      <c r="G1150" s="13" t="s">
        <v>11098</v>
      </c>
      <c r="H1150" s="13" t="s">
        <v>11099</v>
      </c>
      <c r="I1150" s="13" t="s">
        <v>8337</v>
      </c>
      <c r="J1150" s="13"/>
      <c r="K1150" s="13" t="s">
        <v>8340</v>
      </c>
      <c r="L1150" s="13" t="s">
        <v>8341</v>
      </c>
    </row>
    <row r="1151" customFormat="false" ht="68.65" hidden="false" customHeight="false" outlineLevel="0" collapsed="false">
      <c r="A1151" s="13" t="s">
        <v>4</v>
      </c>
      <c r="B1151" s="13" t="s">
        <v>2150</v>
      </c>
      <c r="C1151" s="13" t="n">
        <v>248</v>
      </c>
      <c r="D1151" s="13" t="s">
        <v>8342</v>
      </c>
      <c r="E1151" s="13" t="s">
        <v>14061</v>
      </c>
      <c r="F1151" s="13" t="s">
        <v>14062</v>
      </c>
      <c r="G1151" s="13" t="s">
        <v>11128</v>
      </c>
      <c r="H1151" s="13" t="s">
        <v>11099</v>
      </c>
      <c r="I1151" s="13"/>
      <c r="J1151" s="13" t="s">
        <v>14063</v>
      </c>
      <c r="K1151" s="13" t="s">
        <v>8346</v>
      </c>
      <c r="L1151" s="13" t="s">
        <v>8347</v>
      </c>
    </row>
    <row r="1152" customFormat="false" ht="68.65" hidden="false" customHeight="false" outlineLevel="0" collapsed="false">
      <c r="A1152" s="13" t="s">
        <v>4</v>
      </c>
      <c r="B1152" s="13" t="s">
        <v>2150</v>
      </c>
      <c r="C1152" s="13" t="n">
        <v>248</v>
      </c>
      <c r="D1152" s="13" t="s">
        <v>8342</v>
      </c>
      <c r="E1152" s="13" t="s">
        <v>14064</v>
      </c>
      <c r="F1152" s="13" t="s">
        <v>14065</v>
      </c>
      <c r="G1152" s="13" t="s">
        <v>11098</v>
      </c>
      <c r="H1152" s="13" t="s">
        <v>11099</v>
      </c>
      <c r="I1152" s="13" t="s">
        <v>8343</v>
      </c>
      <c r="J1152" s="13"/>
      <c r="K1152" s="13" t="s">
        <v>8346</v>
      </c>
      <c r="L1152" s="13" t="s">
        <v>8347</v>
      </c>
    </row>
    <row r="1153" customFormat="false" ht="180.55" hidden="false" customHeight="false" outlineLevel="0" collapsed="false">
      <c r="A1153" s="13" t="s">
        <v>4</v>
      </c>
      <c r="B1153" s="13" t="s">
        <v>2150</v>
      </c>
      <c r="C1153" s="13" t="n">
        <v>248</v>
      </c>
      <c r="D1153" s="13" t="s">
        <v>8348</v>
      </c>
      <c r="E1153" s="13" t="s">
        <v>14066</v>
      </c>
      <c r="F1153" s="13" t="s">
        <v>14067</v>
      </c>
      <c r="G1153" s="13" t="s">
        <v>11098</v>
      </c>
      <c r="H1153" s="13" t="s">
        <v>11099</v>
      </c>
      <c r="I1153" s="13" t="s">
        <v>14068</v>
      </c>
      <c r="J1153" s="13"/>
      <c r="K1153" s="13" t="s">
        <v>8351</v>
      </c>
      <c r="L1153" s="13" t="s">
        <v>8352</v>
      </c>
    </row>
    <row r="1154" customFormat="false" ht="180.55" hidden="false" customHeight="false" outlineLevel="0" collapsed="false">
      <c r="A1154" s="13" t="s">
        <v>4</v>
      </c>
      <c r="B1154" s="13" t="s">
        <v>2150</v>
      </c>
      <c r="C1154" s="13" t="n">
        <v>248</v>
      </c>
      <c r="D1154" s="13" t="s">
        <v>8348</v>
      </c>
      <c r="E1154" s="13" t="s">
        <v>14069</v>
      </c>
      <c r="F1154" s="13" t="s">
        <v>14070</v>
      </c>
      <c r="G1154" s="13" t="s">
        <v>11128</v>
      </c>
      <c r="H1154" s="13" t="s">
        <v>11099</v>
      </c>
      <c r="I1154" s="13"/>
      <c r="J1154" s="13" t="s">
        <v>14071</v>
      </c>
      <c r="K1154" s="13" t="s">
        <v>8351</v>
      </c>
      <c r="L1154" s="13" t="s">
        <v>8352</v>
      </c>
    </row>
    <row r="1155" customFormat="false" ht="180.55" hidden="false" customHeight="false" outlineLevel="0" collapsed="false">
      <c r="A1155" s="13" t="s">
        <v>4</v>
      </c>
      <c r="B1155" s="13" t="s">
        <v>2150</v>
      </c>
      <c r="C1155" s="13" t="n">
        <v>248</v>
      </c>
      <c r="D1155" s="13" t="s">
        <v>8348</v>
      </c>
      <c r="E1155" s="13" t="s">
        <v>14072</v>
      </c>
      <c r="F1155" s="13" t="s">
        <v>14073</v>
      </c>
      <c r="G1155" s="13" t="s">
        <v>11098</v>
      </c>
      <c r="H1155" s="13" t="s">
        <v>11099</v>
      </c>
      <c r="I1155" s="13" t="s">
        <v>8356</v>
      </c>
      <c r="J1155" s="13"/>
      <c r="K1155" s="13" t="s">
        <v>8351</v>
      </c>
      <c r="L1155" s="13" t="s">
        <v>8352</v>
      </c>
    </row>
    <row r="1156" customFormat="false" ht="180.55" hidden="false" customHeight="false" outlineLevel="0" collapsed="false">
      <c r="A1156" s="13" t="s">
        <v>4</v>
      </c>
      <c r="B1156" s="13" t="s">
        <v>2150</v>
      </c>
      <c r="C1156" s="13" t="n">
        <v>248</v>
      </c>
      <c r="D1156" s="13" t="s">
        <v>8348</v>
      </c>
      <c r="E1156" s="13" t="s">
        <v>14074</v>
      </c>
      <c r="F1156" s="13" t="s">
        <v>14075</v>
      </c>
      <c r="G1156" s="13" t="s">
        <v>11098</v>
      </c>
      <c r="H1156" s="13" t="s">
        <v>11099</v>
      </c>
      <c r="I1156" s="13" t="s">
        <v>8359</v>
      </c>
      <c r="J1156" s="13"/>
      <c r="K1156" s="13" t="s">
        <v>8351</v>
      </c>
      <c r="L1156" s="13" t="s">
        <v>8352</v>
      </c>
    </row>
    <row r="1157" customFormat="false" ht="180.55" hidden="false" customHeight="false" outlineLevel="0" collapsed="false">
      <c r="A1157" s="13" t="s">
        <v>4</v>
      </c>
      <c r="B1157" s="13" t="s">
        <v>2150</v>
      </c>
      <c r="C1157" s="13" t="n">
        <v>248</v>
      </c>
      <c r="D1157" s="13" t="s">
        <v>8348</v>
      </c>
      <c r="E1157" s="13" t="s">
        <v>14076</v>
      </c>
      <c r="F1157" s="13" t="s">
        <v>14077</v>
      </c>
      <c r="G1157" s="13" t="s">
        <v>11128</v>
      </c>
      <c r="H1157" s="13" t="s">
        <v>11099</v>
      </c>
      <c r="I1157" s="13"/>
      <c r="J1157" s="13" t="s">
        <v>14078</v>
      </c>
      <c r="K1157" s="13" t="s">
        <v>8351</v>
      </c>
      <c r="L1157" s="13" t="s">
        <v>8352</v>
      </c>
    </row>
    <row r="1158" customFormat="false" ht="57.45" hidden="false" customHeight="false" outlineLevel="0" collapsed="false">
      <c r="A1158" s="13" t="s">
        <v>4</v>
      </c>
      <c r="B1158" s="13" t="s">
        <v>2150</v>
      </c>
      <c r="C1158" s="13" t="n">
        <v>274</v>
      </c>
      <c r="D1158" s="13" t="s">
        <v>8362</v>
      </c>
      <c r="E1158" s="13" t="s">
        <v>14079</v>
      </c>
      <c r="F1158" s="13" t="s">
        <v>14080</v>
      </c>
      <c r="G1158" s="13" t="s">
        <v>11098</v>
      </c>
      <c r="H1158" s="13" t="s">
        <v>11099</v>
      </c>
      <c r="I1158" s="13" t="s">
        <v>14081</v>
      </c>
      <c r="J1158" s="13"/>
      <c r="K1158" s="13" t="s">
        <v>8367</v>
      </c>
      <c r="L1158" s="13" t="s">
        <v>8368</v>
      </c>
    </row>
    <row r="1159" customFormat="false" ht="169.4" hidden="false" customHeight="false" outlineLevel="0" collapsed="false">
      <c r="A1159" s="13" t="s">
        <v>4</v>
      </c>
      <c r="B1159" s="13" t="s">
        <v>2150</v>
      </c>
      <c r="C1159" s="13" t="n">
        <v>274</v>
      </c>
      <c r="D1159" s="13" t="s">
        <v>8376</v>
      </c>
      <c r="E1159" s="13" t="s">
        <v>14082</v>
      </c>
      <c r="F1159" s="13" t="s">
        <v>14083</v>
      </c>
      <c r="G1159" s="13" t="s">
        <v>11098</v>
      </c>
      <c r="H1159" s="13" t="s">
        <v>11099</v>
      </c>
      <c r="I1159" s="13" t="s">
        <v>8377</v>
      </c>
      <c r="J1159" s="13"/>
      <c r="K1159" s="13" t="s">
        <v>8380</v>
      </c>
      <c r="L1159" s="13" t="s">
        <v>8381</v>
      </c>
    </row>
    <row r="1160" customFormat="false" ht="169.4" hidden="false" customHeight="false" outlineLevel="0" collapsed="false">
      <c r="A1160" s="13" t="s">
        <v>4</v>
      </c>
      <c r="B1160" s="13" t="s">
        <v>2150</v>
      </c>
      <c r="C1160" s="13" t="n">
        <v>274</v>
      </c>
      <c r="D1160" s="13" t="s">
        <v>8376</v>
      </c>
      <c r="E1160" s="13" t="s">
        <v>14084</v>
      </c>
      <c r="F1160" s="13" t="s">
        <v>14085</v>
      </c>
      <c r="G1160" s="13" t="s">
        <v>11098</v>
      </c>
      <c r="H1160" s="13" t="s">
        <v>11099</v>
      </c>
      <c r="I1160" s="13" t="s">
        <v>14086</v>
      </c>
      <c r="J1160" s="13"/>
      <c r="K1160" s="13" t="s">
        <v>8380</v>
      </c>
      <c r="L1160" s="13" t="s">
        <v>8381</v>
      </c>
    </row>
    <row r="1161" customFormat="false" ht="169.4" hidden="false" customHeight="false" outlineLevel="0" collapsed="false">
      <c r="A1161" s="13" t="s">
        <v>4</v>
      </c>
      <c r="B1161" s="13" t="s">
        <v>2150</v>
      </c>
      <c r="C1161" s="13" t="n">
        <v>274</v>
      </c>
      <c r="D1161" s="13" t="s">
        <v>8376</v>
      </c>
      <c r="E1161" s="13" t="s">
        <v>14087</v>
      </c>
      <c r="F1161" s="13" t="s">
        <v>14088</v>
      </c>
      <c r="G1161" s="13" t="s">
        <v>11098</v>
      </c>
      <c r="H1161" s="13" t="s">
        <v>11099</v>
      </c>
      <c r="I1161" s="13" t="s">
        <v>8393</v>
      </c>
      <c r="J1161" s="13"/>
      <c r="K1161" s="13" t="s">
        <v>8380</v>
      </c>
      <c r="L1161" s="13" t="s">
        <v>8381</v>
      </c>
    </row>
    <row r="1162" customFormat="false" ht="102.2" hidden="false" customHeight="false" outlineLevel="0" collapsed="false">
      <c r="A1162" s="13" t="s">
        <v>4</v>
      </c>
      <c r="B1162" s="13" t="s">
        <v>2150</v>
      </c>
      <c r="C1162" s="13" t="n">
        <v>274</v>
      </c>
      <c r="D1162" s="13" t="s">
        <v>8396</v>
      </c>
      <c r="E1162" s="13" t="s">
        <v>14089</v>
      </c>
      <c r="F1162" s="13" t="s">
        <v>14090</v>
      </c>
      <c r="G1162" s="13" t="s">
        <v>11098</v>
      </c>
      <c r="H1162" s="13" t="s">
        <v>11099</v>
      </c>
      <c r="I1162" s="13" t="s">
        <v>14091</v>
      </c>
      <c r="J1162" s="13"/>
      <c r="K1162" s="13" t="s">
        <v>8400</v>
      </c>
      <c r="L1162" s="13" t="s">
        <v>8401</v>
      </c>
    </row>
    <row r="1163" customFormat="false" ht="102.2" hidden="false" customHeight="false" outlineLevel="0" collapsed="false">
      <c r="A1163" s="13" t="s">
        <v>4</v>
      </c>
      <c r="B1163" s="13" t="s">
        <v>2150</v>
      </c>
      <c r="C1163" s="13" t="n">
        <v>274</v>
      </c>
      <c r="D1163" s="13" t="s">
        <v>8396</v>
      </c>
      <c r="E1163" s="13" t="s">
        <v>14092</v>
      </c>
      <c r="F1163" s="13" t="s">
        <v>14093</v>
      </c>
      <c r="G1163" s="13" t="s">
        <v>11098</v>
      </c>
      <c r="H1163" s="13" t="s">
        <v>11099</v>
      </c>
      <c r="I1163" s="13" t="s">
        <v>14094</v>
      </c>
      <c r="J1163" s="13"/>
      <c r="K1163" s="13" t="s">
        <v>8400</v>
      </c>
      <c r="L1163" s="13" t="s">
        <v>8401</v>
      </c>
    </row>
    <row r="1164" customFormat="false" ht="91" hidden="false" customHeight="false" outlineLevel="0" collapsed="false">
      <c r="A1164" s="13" t="s">
        <v>4</v>
      </c>
      <c r="B1164" s="13" t="s">
        <v>2150</v>
      </c>
      <c r="C1164" s="13" t="n">
        <v>274</v>
      </c>
      <c r="D1164" s="13" t="s">
        <v>8413</v>
      </c>
      <c r="E1164" s="13" t="s">
        <v>14095</v>
      </c>
      <c r="F1164" s="13" t="s">
        <v>14096</v>
      </c>
      <c r="G1164" s="13" t="s">
        <v>11098</v>
      </c>
      <c r="H1164" s="13" t="s">
        <v>11099</v>
      </c>
      <c r="I1164" s="13" t="s">
        <v>14097</v>
      </c>
      <c r="J1164" s="13"/>
      <c r="K1164" s="13" t="s">
        <v>8417</v>
      </c>
      <c r="L1164" s="13" t="s">
        <v>8418</v>
      </c>
    </row>
    <row r="1165" customFormat="false" ht="23.85" hidden="false" customHeight="false" outlineLevel="0" collapsed="false">
      <c r="A1165" s="13" t="s">
        <v>4</v>
      </c>
      <c r="B1165" s="13" t="s">
        <v>2150</v>
      </c>
      <c r="C1165" s="13" t="n">
        <v>274</v>
      </c>
      <c r="D1165" s="13" t="s">
        <v>8427</v>
      </c>
      <c r="E1165" s="13" t="s">
        <v>14098</v>
      </c>
      <c r="F1165" s="13" t="s">
        <v>14099</v>
      </c>
      <c r="G1165" s="13" t="s">
        <v>11098</v>
      </c>
      <c r="H1165" s="13" t="s">
        <v>11099</v>
      </c>
      <c r="I1165" s="13" t="s">
        <v>8428</v>
      </c>
      <c r="J1165" s="13"/>
      <c r="K1165" s="13" t="s">
        <v>8431</v>
      </c>
      <c r="L1165" s="13" t="s">
        <v>8432</v>
      </c>
    </row>
    <row r="1166" customFormat="false" ht="113.4" hidden="false" customHeight="false" outlineLevel="0" collapsed="false">
      <c r="A1166" s="13" t="s">
        <v>4</v>
      </c>
      <c r="B1166" s="13" t="s">
        <v>2150</v>
      </c>
      <c r="C1166" s="13" t="n">
        <v>274</v>
      </c>
      <c r="D1166" s="13" t="s">
        <v>8433</v>
      </c>
      <c r="E1166" s="13" t="s">
        <v>14100</v>
      </c>
      <c r="F1166" s="13" t="s">
        <v>14101</v>
      </c>
      <c r="G1166" s="13" t="s">
        <v>11098</v>
      </c>
      <c r="H1166" s="13" t="s">
        <v>11099</v>
      </c>
      <c r="I1166" s="13" t="s">
        <v>14102</v>
      </c>
      <c r="J1166" s="13"/>
      <c r="K1166" s="13" t="s">
        <v>8437</v>
      </c>
      <c r="L1166" s="13" t="s">
        <v>8438</v>
      </c>
    </row>
    <row r="1167" customFormat="false" ht="113.4" hidden="false" customHeight="false" outlineLevel="0" collapsed="false">
      <c r="A1167" s="13" t="s">
        <v>4</v>
      </c>
      <c r="B1167" s="13" t="s">
        <v>2150</v>
      </c>
      <c r="C1167" s="13" t="n">
        <v>274</v>
      </c>
      <c r="D1167" s="13" t="s">
        <v>8433</v>
      </c>
      <c r="E1167" s="13" t="s">
        <v>14103</v>
      </c>
      <c r="F1167" s="13" t="s">
        <v>14104</v>
      </c>
      <c r="G1167" s="13" t="s">
        <v>11098</v>
      </c>
      <c r="H1167" s="13" t="s">
        <v>11099</v>
      </c>
      <c r="I1167" s="13" t="s">
        <v>8447</v>
      </c>
      <c r="J1167" s="13"/>
      <c r="K1167" s="13" t="s">
        <v>8437</v>
      </c>
      <c r="L1167" s="13" t="s">
        <v>8438</v>
      </c>
    </row>
    <row r="1168" customFormat="false" ht="113.4" hidden="false" customHeight="false" outlineLevel="0" collapsed="false">
      <c r="A1168" s="13" t="s">
        <v>4</v>
      </c>
      <c r="B1168" s="13" t="s">
        <v>2150</v>
      </c>
      <c r="C1168" s="13" t="n">
        <v>274</v>
      </c>
      <c r="D1168" s="13" t="s">
        <v>8433</v>
      </c>
      <c r="E1168" s="13" t="s">
        <v>14105</v>
      </c>
      <c r="F1168" s="13" t="s">
        <v>14106</v>
      </c>
      <c r="G1168" s="13" t="s">
        <v>11098</v>
      </c>
      <c r="H1168" s="13" t="s">
        <v>11099</v>
      </c>
      <c r="I1168" s="13" t="s">
        <v>14107</v>
      </c>
      <c r="J1168" s="13"/>
      <c r="K1168" s="13" t="s">
        <v>8437</v>
      </c>
      <c r="L1168" s="13" t="s">
        <v>8438</v>
      </c>
    </row>
    <row r="1169" customFormat="false" ht="35.05" hidden="false" customHeight="false" outlineLevel="0" collapsed="false">
      <c r="A1169" s="13" t="s">
        <v>4</v>
      </c>
      <c r="B1169" s="13" t="s">
        <v>2150</v>
      </c>
      <c r="C1169" s="13" t="n">
        <v>335</v>
      </c>
      <c r="D1169" s="13" t="s">
        <v>8455</v>
      </c>
      <c r="E1169" s="13" t="s">
        <v>14108</v>
      </c>
      <c r="F1169" s="13" t="s">
        <v>14109</v>
      </c>
      <c r="G1169" s="13" t="s">
        <v>11098</v>
      </c>
      <c r="H1169" s="13" t="s">
        <v>11099</v>
      </c>
      <c r="I1169" s="13" t="s">
        <v>14110</v>
      </c>
      <c r="J1169" s="13"/>
      <c r="K1169" s="13" t="s">
        <v>8459</v>
      </c>
      <c r="L1169" s="13" t="s">
        <v>8460</v>
      </c>
    </row>
    <row r="1170" customFormat="false" ht="68.65" hidden="false" customHeight="false" outlineLevel="0" collapsed="false">
      <c r="A1170" s="13" t="s">
        <v>4</v>
      </c>
      <c r="B1170" s="13" t="s">
        <v>2150</v>
      </c>
      <c r="C1170" s="13" t="n">
        <v>335</v>
      </c>
      <c r="D1170" s="13" t="s">
        <v>8467</v>
      </c>
      <c r="E1170" s="13" t="s">
        <v>14111</v>
      </c>
      <c r="F1170" s="13" t="s">
        <v>14112</v>
      </c>
      <c r="G1170" s="13" t="s">
        <v>11098</v>
      </c>
      <c r="H1170" s="13" t="s">
        <v>11099</v>
      </c>
      <c r="I1170" s="13" t="s">
        <v>14113</v>
      </c>
      <c r="J1170" s="13"/>
      <c r="K1170" s="13" t="s">
        <v>8470</v>
      </c>
      <c r="L1170" s="13" t="s">
        <v>8471</v>
      </c>
    </row>
    <row r="1171" customFormat="false" ht="68.65" hidden="false" customHeight="false" outlineLevel="0" collapsed="false">
      <c r="A1171" s="13" t="s">
        <v>4</v>
      </c>
      <c r="B1171" s="13" t="s">
        <v>2150</v>
      </c>
      <c r="C1171" s="13" t="n">
        <v>335</v>
      </c>
      <c r="D1171" s="13" t="s">
        <v>8467</v>
      </c>
      <c r="E1171" s="13" t="s">
        <v>14114</v>
      </c>
      <c r="F1171" s="13" t="s">
        <v>14115</v>
      </c>
      <c r="G1171" s="13" t="s">
        <v>11137</v>
      </c>
      <c r="H1171" s="13" t="s">
        <v>11099</v>
      </c>
      <c r="I1171" s="13" t="s">
        <v>8473</v>
      </c>
      <c r="J1171" s="13"/>
      <c r="K1171" s="13" t="s">
        <v>8470</v>
      </c>
      <c r="L1171" s="13" t="s">
        <v>8471</v>
      </c>
    </row>
    <row r="1172" customFormat="false" ht="35.05" hidden="false" customHeight="false" outlineLevel="0" collapsed="false">
      <c r="A1172" s="13" t="s">
        <v>4</v>
      </c>
      <c r="B1172" s="13" t="s">
        <v>2150</v>
      </c>
      <c r="C1172" s="13" t="n">
        <v>335</v>
      </c>
      <c r="D1172" s="13" t="s">
        <v>8478</v>
      </c>
      <c r="E1172" s="13" t="s">
        <v>14116</v>
      </c>
      <c r="F1172" s="13" t="s">
        <v>14117</v>
      </c>
      <c r="G1172" s="13" t="s">
        <v>11098</v>
      </c>
      <c r="H1172" s="13" t="s">
        <v>11099</v>
      </c>
      <c r="I1172" s="13" t="s">
        <v>14118</v>
      </c>
      <c r="J1172" s="13"/>
      <c r="K1172" s="13" t="s">
        <v>8481</v>
      </c>
      <c r="L1172" s="13" t="s">
        <v>8482</v>
      </c>
    </row>
    <row r="1173" customFormat="false" ht="113.4" hidden="false" customHeight="false" outlineLevel="0" collapsed="false">
      <c r="A1173" s="13" t="s">
        <v>4</v>
      </c>
      <c r="B1173" s="13" t="s">
        <v>2150</v>
      </c>
      <c r="C1173" s="13" t="n">
        <v>335</v>
      </c>
      <c r="D1173" s="13" t="s">
        <v>8484</v>
      </c>
      <c r="E1173" s="13" t="s">
        <v>14119</v>
      </c>
      <c r="F1173" s="13" t="s">
        <v>14120</v>
      </c>
      <c r="G1173" s="13" t="s">
        <v>11098</v>
      </c>
      <c r="H1173" s="13" t="s">
        <v>11099</v>
      </c>
      <c r="I1173" s="13" t="s">
        <v>8485</v>
      </c>
      <c r="J1173" s="13"/>
      <c r="K1173" s="13" t="s">
        <v>8488</v>
      </c>
      <c r="L1173" s="13" t="s">
        <v>8489</v>
      </c>
    </row>
    <row r="1174" customFormat="false" ht="113.4" hidden="false" customHeight="false" outlineLevel="0" collapsed="false">
      <c r="A1174" s="13" t="s">
        <v>4</v>
      </c>
      <c r="B1174" s="13" t="s">
        <v>2150</v>
      </c>
      <c r="C1174" s="13" t="n">
        <v>335</v>
      </c>
      <c r="D1174" s="13" t="s">
        <v>8484</v>
      </c>
      <c r="E1174" s="13" t="s">
        <v>14121</v>
      </c>
      <c r="F1174" s="13" t="s">
        <v>14122</v>
      </c>
      <c r="G1174" s="13" t="s">
        <v>11315</v>
      </c>
      <c r="H1174" s="13" t="s">
        <v>11099</v>
      </c>
      <c r="I1174" s="13" t="s">
        <v>14123</v>
      </c>
      <c r="J1174" s="13" t="s">
        <v>14124</v>
      </c>
      <c r="K1174" s="13" t="s">
        <v>8488</v>
      </c>
      <c r="L1174" s="13" t="s">
        <v>8489</v>
      </c>
    </row>
    <row r="1175" customFormat="false" ht="23.85" hidden="false" customHeight="false" outlineLevel="0" collapsed="false">
      <c r="A1175" s="13" t="s">
        <v>4</v>
      </c>
      <c r="B1175" s="13" t="s">
        <v>2150</v>
      </c>
      <c r="C1175" s="13" t="n">
        <v>335</v>
      </c>
      <c r="D1175" s="13" t="s">
        <v>8496</v>
      </c>
      <c r="E1175" s="13" t="s">
        <v>14125</v>
      </c>
      <c r="F1175" s="13" t="s">
        <v>14126</v>
      </c>
      <c r="G1175" s="13" t="s">
        <v>11098</v>
      </c>
      <c r="H1175" s="13" t="s">
        <v>11099</v>
      </c>
      <c r="I1175" s="13" t="s">
        <v>8497</v>
      </c>
      <c r="J1175" s="13"/>
      <c r="K1175" s="13" t="s">
        <v>8499</v>
      </c>
      <c r="L1175" s="13" t="s">
        <v>8500</v>
      </c>
    </row>
    <row r="1176" customFormat="false" ht="23.85" hidden="false" customHeight="false" outlineLevel="0" collapsed="false">
      <c r="A1176" s="13" t="s">
        <v>4</v>
      </c>
      <c r="B1176" s="13" t="s">
        <v>2150</v>
      </c>
      <c r="C1176" s="13" t="n">
        <v>335</v>
      </c>
      <c r="D1176" s="13" t="s">
        <v>8501</v>
      </c>
      <c r="E1176" s="13" t="s">
        <v>14127</v>
      </c>
      <c r="F1176" s="13" t="s">
        <v>14128</v>
      </c>
      <c r="G1176" s="13" t="s">
        <v>11098</v>
      </c>
      <c r="H1176" s="13" t="s">
        <v>11099</v>
      </c>
      <c r="I1176" s="13" t="s">
        <v>8502</v>
      </c>
      <c r="J1176" s="13"/>
      <c r="K1176" s="13" t="s">
        <v>8504</v>
      </c>
      <c r="L1176" s="13" t="s">
        <v>8505</v>
      </c>
    </row>
    <row r="1177" customFormat="false" ht="35.05" hidden="false" customHeight="false" outlineLevel="0" collapsed="false">
      <c r="A1177" s="13" t="s">
        <v>4</v>
      </c>
      <c r="B1177" s="13" t="s">
        <v>2150</v>
      </c>
      <c r="C1177" s="13" t="n">
        <v>335</v>
      </c>
      <c r="D1177" s="13" t="s">
        <v>8506</v>
      </c>
      <c r="E1177" s="13" t="s">
        <v>14129</v>
      </c>
      <c r="F1177" s="13" t="s">
        <v>14130</v>
      </c>
      <c r="G1177" s="13" t="s">
        <v>11098</v>
      </c>
      <c r="H1177" s="13" t="s">
        <v>11099</v>
      </c>
      <c r="I1177" s="13" t="s">
        <v>14131</v>
      </c>
      <c r="J1177" s="13"/>
      <c r="K1177" s="13" t="s">
        <v>8510</v>
      </c>
      <c r="L1177" s="13" t="s">
        <v>8511</v>
      </c>
    </row>
    <row r="1178" customFormat="false" ht="23.85" hidden="false" customHeight="false" outlineLevel="0" collapsed="false">
      <c r="A1178" s="13" t="s">
        <v>4</v>
      </c>
      <c r="B1178" s="13" t="s">
        <v>2150</v>
      </c>
      <c r="C1178" s="13" t="n">
        <v>335</v>
      </c>
      <c r="D1178" s="13" t="s">
        <v>8514</v>
      </c>
      <c r="E1178" s="13" t="s">
        <v>14132</v>
      </c>
      <c r="F1178" s="13" t="s">
        <v>14133</v>
      </c>
      <c r="G1178" s="13" t="s">
        <v>11098</v>
      </c>
      <c r="H1178" s="13" t="s">
        <v>11099</v>
      </c>
      <c r="I1178" s="13" t="s">
        <v>8515</v>
      </c>
      <c r="J1178" s="13"/>
      <c r="K1178" s="13" t="s">
        <v>8517</v>
      </c>
      <c r="L1178" s="13" t="s">
        <v>8518</v>
      </c>
    </row>
    <row r="1179" customFormat="false" ht="281.3" hidden="false" customHeight="false" outlineLevel="0" collapsed="false">
      <c r="A1179" s="13" t="s">
        <v>4</v>
      </c>
      <c r="B1179" s="13" t="s">
        <v>2150</v>
      </c>
      <c r="C1179" s="13" t="n">
        <v>335</v>
      </c>
      <c r="D1179" s="13" t="s">
        <v>8519</v>
      </c>
      <c r="E1179" s="13" t="s">
        <v>14134</v>
      </c>
      <c r="F1179" s="13" t="s">
        <v>14135</v>
      </c>
      <c r="G1179" s="13" t="s">
        <v>11098</v>
      </c>
      <c r="H1179" s="13" t="s">
        <v>11099</v>
      </c>
      <c r="I1179" s="13" t="s">
        <v>14136</v>
      </c>
      <c r="J1179" s="13"/>
      <c r="K1179" s="13" t="s">
        <v>8522</v>
      </c>
      <c r="L1179" s="13" t="s">
        <v>8523</v>
      </c>
    </row>
    <row r="1180" customFormat="false" ht="281.3" hidden="false" customHeight="false" outlineLevel="0" collapsed="false">
      <c r="A1180" s="13" t="s">
        <v>4</v>
      </c>
      <c r="B1180" s="13" t="s">
        <v>2150</v>
      </c>
      <c r="C1180" s="13" t="n">
        <v>335</v>
      </c>
      <c r="D1180" s="13" t="s">
        <v>8519</v>
      </c>
      <c r="E1180" s="13" t="s">
        <v>14137</v>
      </c>
      <c r="F1180" s="13" t="s">
        <v>14138</v>
      </c>
      <c r="G1180" s="13" t="s">
        <v>11098</v>
      </c>
      <c r="H1180" s="13" t="s">
        <v>11099</v>
      </c>
      <c r="I1180" s="13" t="s">
        <v>8527</v>
      </c>
      <c r="J1180" s="13"/>
      <c r="K1180" s="13" t="s">
        <v>8522</v>
      </c>
      <c r="L1180" s="13" t="s">
        <v>8523</v>
      </c>
    </row>
    <row r="1181" customFormat="false" ht="281.3" hidden="false" customHeight="false" outlineLevel="0" collapsed="false">
      <c r="A1181" s="13" t="s">
        <v>4</v>
      </c>
      <c r="B1181" s="13" t="s">
        <v>2150</v>
      </c>
      <c r="C1181" s="13" t="n">
        <v>335</v>
      </c>
      <c r="D1181" s="13" t="s">
        <v>8519</v>
      </c>
      <c r="E1181" s="13" t="s">
        <v>14139</v>
      </c>
      <c r="F1181" s="13" t="s">
        <v>14140</v>
      </c>
      <c r="G1181" s="13" t="s">
        <v>11315</v>
      </c>
      <c r="H1181" s="13" t="s">
        <v>11099</v>
      </c>
      <c r="I1181" s="13" t="s">
        <v>14141</v>
      </c>
      <c r="J1181" s="13" t="s">
        <v>14142</v>
      </c>
      <c r="K1181" s="13" t="s">
        <v>8522</v>
      </c>
      <c r="L1181" s="13" t="s">
        <v>8523</v>
      </c>
    </row>
    <row r="1182" customFormat="false" ht="281.3" hidden="false" customHeight="false" outlineLevel="0" collapsed="false">
      <c r="A1182" s="13" t="s">
        <v>4</v>
      </c>
      <c r="B1182" s="13" t="s">
        <v>2150</v>
      </c>
      <c r="C1182" s="13" t="n">
        <v>335</v>
      </c>
      <c r="D1182" s="13" t="s">
        <v>8519</v>
      </c>
      <c r="E1182" s="13" t="s">
        <v>14143</v>
      </c>
      <c r="F1182" s="13" t="s">
        <v>14144</v>
      </c>
      <c r="G1182" s="13" t="s">
        <v>11098</v>
      </c>
      <c r="H1182" s="13" t="s">
        <v>11099</v>
      </c>
      <c r="I1182" s="13" t="s">
        <v>14145</v>
      </c>
      <c r="J1182" s="13"/>
      <c r="K1182" s="13" t="s">
        <v>8522</v>
      </c>
      <c r="L1182" s="13" t="s">
        <v>8523</v>
      </c>
    </row>
    <row r="1183" customFormat="false" ht="281.3" hidden="false" customHeight="false" outlineLevel="0" collapsed="false">
      <c r="A1183" s="13" t="s">
        <v>4</v>
      </c>
      <c r="B1183" s="13" t="s">
        <v>2150</v>
      </c>
      <c r="C1183" s="13" t="n">
        <v>335</v>
      </c>
      <c r="D1183" s="13" t="s">
        <v>8519</v>
      </c>
      <c r="E1183" s="13" t="s">
        <v>14146</v>
      </c>
      <c r="F1183" s="13" t="s">
        <v>14147</v>
      </c>
      <c r="G1183" s="13" t="s">
        <v>11098</v>
      </c>
      <c r="H1183" s="13" t="s">
        <v>11099</v>
      </c>
      <c r="I1183" s="13" t="s">
        <v>8542</v>
      </c>
      <c r="J1183" s="13"/>
      <c r="K1183" s="13" t="s">
        <v>8522</v>
      </c>
      <c r="L1183" s="13" t="s">
        <v>8523</v>
      </c>
    </row>
    <row r="1184" customFormat="false" ht="57.45" hidden="false" customHeight="false" outlineLevel="0" collapsed="false">
      <c r="A1184" s="13" t="s">
        <v>4</v>
      </c>
      <c r="B1184" s="13" t="s">
        <v>2150</v>
      </c>
      <c r="C1184" s="13" t="n">
        <v>342</v>
      </c>
      <c r="D1184" s="13" t="s">
        <v>8548</v>
      </c>
      <c r="E1184" s="13" t="s">
        <v>14148</v>
      </c>
      <c r="F1184" s="13" t="s">
        <v>14149</v>
      </c>
      <c r="G1184" s="13" t="s">
        <v>11098</v>
      </c>
      <c r="H1184" s="13" t="s">
        <v>11099</v>
      </c>
      <c r="I1184" s="13" t="s">
        <v>14150</v>
      </c>
      <c r="J1184" s="13" t="s">
        <v>14151</v>
      </c>
      <c r="K1184" s="13" t="s">
        <v>8552</v>
      </c>
      <c r="L1184" s="13" t="s">
        <v>8553</v>
      </c>
    </row>
    <row r="1185" customFormat="false" ht="23.85" hidden="false" customHeight="false" outlineLevel="0" collapsed="false">
      <c r="A1185" s="13" t="s">
        <v>4</v>
      </c>
      <c r="B1185" s="13" t="s">
        <v>2150</v>
      </c>
      <c r="C1185" s="13" t="n">
        <v>342</v>
      </c>
      <c r="D1185" s="13" t="s">
        <v>8570</v>
      </c>
      <c r="E1185" s="13" t="s">
        <v>14152</v>
      </c>
      <c r="F1185" s="13" t="s">
        <v>14153</v>
      </c>
      <c r="G1185" s="13" t="s">
        <v>11098</v>
      </c>
      <c r="H1185" s="13" t="s">
        <v>11099</v>
      </c>
      <c r="I1185" s="13" t="s">
        <v>14154</v>
      </c>
      <c r="J1185" s="13"/>
      <c r="K1185" s="13" t="s">
        <v>8574</v>
      </c>
      <c r="L1185" s="13" t="s">
        <v>8575</v>
      </c>
    </row>
    <row r="1186" customFormat="false" ht="57.45" hidden="false" customHeight="false" outlineLevel="0" collapsed="false">
      <c r="A1186" s="13" t="s">
        <v>4</v>
      </c>
      <c r="B1186" s="13" t="s">
        <v>2150</v>
      </c>
      <c r="C1186" s="13" t="n">
        <v>342</v>
      </c>
      <c r="D1186" s="13" t="s">
        <v>8579</v>
      </c>
      <c r="E1186" s="13" t="s">
        <v>14155</v>
      </c>
      <c r="F1186" s="13" t="s">
        <v>14156</v>
      </c>
      <c r="G1186" s="13" t="s">
        <v>11098</v>
      </c>
      <c r="H1186" s="13" t="s">
        <v>11099</v>
      </c>
      <c r="I1186" s="13" t="s">
        <v>8580</v>
      </c>
      <c r="J1186" s="13"/>
      <c r="K1186" s="13" t="s">
        <v>8582</v>
      </c>
      <c r="L1186" s="13" t="s">
        <v>8583</v>
      </c>
    </row>
    <row r="1187" customFormat="false" ht="57.45" hidden="false" customHeight="false" outlineLevel="0" collapsed="false">
      <c r="A1187" s="13" t="s">
        <v>4</v>
      </c>
      <c r="B1187" s="13" t="s">
        <v>2150</v>
      </c>
      <c r="C1187" s="13" t="n">
        <v>342</v>
      </c>
      <c r="D1187" s="13" t="s">
        <v>8579</v>
      </c>
      <c r="E1187" s="13" t="s">
        <v>14157</v>
      </c>
      <c r="F1187" s="13" t="s">
        <v>14158</v>
      </c>
      <c r="G1187" s="13" t="s">
        <v>11098</v>
      </c>
      <c r="H1187" s="13" t="s">
        <v>11099</v>
      </c>
      <c r="I1187" s="13" t="s">
        <v>14159</v>
      </c>
      <c r="J1187" s="13"/>
      <c r="K1187" s="13" t="s">
        <v>8582</v>
      </c>
      <c r="L1187" s="13" t="s">
        <v>8583</v>
      </c>
    </row>
    <row r="1188" customFormat="false" ht="281.3" hidden="false" customHeight="false" outlineLevel="0" collapsed="false">
      <c r="A1188" s="13" t="s">
        <v>4</v>
      </c>
      <c r="B1188" s="13" t="s">
        <v>2150</v>
      </c>
      <c r="C1188" s="13" t="n">
        <v>342</v>
      </c>
      <c r="D1188" s="13" t="s">
        <v>8589</v>
      </c>
      <c r="E1188" s="13" t="s">
        <v>14160</v>
      </c>
      <c r="F1188" s="13" t="s">
        <v>14161</v>
      </c>
      <c r="G1188" s="13" t="s">
        <v>11098</v>
      </c>
      <c r="H1188" s="13" t="s">
        <v>11099</v>
      </c>
      <c r="I1188" s="13" t="s">
        <v>14162</v>
      </c>
      <c r="J1188" s="13"/>
      <c r="K1188" s="13" t="s">
        <v>8591</v>
      </c>
      <c r="L1188" s="13" t="s">
        <v>8592</v>
      </c>
    </row>
    <row r="1189" customFormat="false" ht="281.3" hidden="false" customHeight="false" outlineLevel="0" collapsed="false">
      <c r="A1189" s="13" t="s">
        <v>4</v>
      </c>
      <c r="B1189" s="13" t="s">
        <v>2150</v>
      </c>
      <c r="C1189" s="13" t="n">
        <v>342</v>
      </c>
      <c r="D1189" s="13" t="s">
        <v>8589</v>
      </c>
      <c r="E1189" s="13" t="s">
        <v>14163</v>
      </c>
      <c r="F1189" s="13" t="s">
        <v>14164</v>
      </c>
      <c r="G1189" s="13" t="s">
        <v>11098</v>
      </c>
      <c r="H1189" s="13" t="s">
        <v>11099</v>
      </c>
      <c r="I1189" s="13" t="s">
        <v>14165</v>
      </c>
      <c r="J1189" s="13"/>
      <c r="K1189" s="13" t="s">
        <v>8591</v>
      </c>
      <c r="L1189" s="13" t="s">
        <v>8592</v>
      </c>
    </row>
    <row r="1190" customFormat="false" ht="281.3" hidden="false" customHeight="false" outlineLevel="0" collapsed="false">
      <c r="A1190" s="13" t="s">
        <v>4</v>
      </c>
      <c r="B1190" s="13" t="s">
        <v>2150</v>
      </c>
      <c r="C1190" s="13" t="n">
        <v>342</v>
      </c>
      <c r="D1190" s="13" t="s">
        <v>8589</v>
      </c>
      <c r="E1190" s="13" t="s">
        <v>14166</v>
      </c>
      <c r="F1190" s="13" t="s">
        <v>14167</v>
      </c>
      <c r="G1190" s="13" t="s">
        <v>11128</v>
      </c>
      <c r="H1190" s="13" t="s">
        <v>11099</v>
      </c>
      <c r="I1190" s="13"/>
      <c r="J1190" s="13" t="s">
        <v>14168</v>
      </c>
      <c r="K1190" s="13" t="s">
        <v>8591</v>
      </c>
      <c r="L1190" s="13" t="s">
        <v>8592</v>
      </c>
    </row>
    <row r="1191" customFormat="false" ht="281.3" hidden="false" customHeight="false" outlineLevel="0" collapsed="false">
      <c r="A1191" s="13" t="s">
        <v>4</v>
      </c>
      <c r="B1191" s="13" t="s">
        <v>2150</v>
      </c>
      <c r="C1191" s="13" t="n">
        <v>342</v>
      </c>
      <c r="D1191" s="13" t="s">
        <v>8589</v>
      </c>
      <c r="E1191" s="13" t="s">
        <v>14169</v>
      </c>
      <c r="F1191" s="13" t="s">
        <v>14170</v>
      </c>
      <c r="G1191" s="13" t="s">
        <v>11098</v>
      </c>
      <c r="H1191" s="13" t="s">
        <v>11099</v>
      </c>
      <c r="I1191" s="13" t="s">
        <v>8608</v>
      </c>
      <c r="J1191" s="13"/>
      <c r="K1191" s="13" t="s">
        <v>8591</v>
      </c>
      <c r="L1191" s="13" t="s">
        <v>8592</v>
      </c>
    </row>
    <row r="1192" customFormat="false" ht="91" hidden="false" customHeight="false" outlineLevel="0" collapsed="false">
      <c r="A1192" s="13" t="s">
        <v>4</v>
      </c>
      <c r="B1192" s="13" t="s">
        <v>2150</v>
      </c>
      <c r="C1192" s="13" t="n">
        <v>342</v>
      </c>
      <c r="D1192" s="13" t="s">
        <v>8610</v>
      </c>
      <c r="E1192" s="13" t="s">
        <v>14171</v>
      </c>
      <c r="F1192" s="13" t="s">
        <v>14172</v>
      </c>
      <c r="G1192" s="13" t="s">
        <v>11098</v>
      </c>
      <c r="H1192" s="13" t="s">
        <v>11099</v>
      </c>
      <c r="I1192" s="13" t="s">
        <v>14173</v>
      </c>
      <c r="J1192" s="13"/>
      <c r="K1192" s="13" t="s">
        <v>8614</v>
      </c>
      <c r="L1192" s="13" t="s">
        <v>8615</v>
      </c>
    </row>
    <row r="1193" customFormat="false" ht="91" hidden="false" customHeight="false" outlineLevel="0" collapsed="false">
      <c r="A1193" s="13" t="s">
        <v>4</v>
      </c>
      <c r="B1193" s="13" t="s">
        <v>2150</v>
      </c>
      <c r="C1193" s="13" t="n">
        <v>342</v>
      </c>
      <c r="D1193" s="13" t="s">
        <v>8610</v>
      </c>
      <c r="E1193" s="13" t="s">
        <v>14174</v>
      </c>
      <c r="F1193" s="13" t="s">
        <v>14175</v>
      </c>
      <c r="G1193" s="13" t="s">
        <v>11128</v>
      </c>
      <c r="H1193" s="13" t="s">
        <v>11099</v>
      </c>
      <c r="I1193" s="13"/>
      <c r="J1193" s="13" t="s">
        <v>14176</v>
      </c>
      <c r="K1193" s="13" t="s">
        <v>8614</v>
      </c>
      <c r="L1193" s="13" t="s">
        <v>8615</v>
      </c>
    </row>
    <row r="1194" customFormat="false" ht="46.25" hidden="false" customHeight="false" outlineLevel="0" collapsed="false">
      <c r="A1194" s="13" t="s">
        <v>4</v>
      </c>
      <c r="B1194" s="13" t="s">
        <v>2150</v>
      </c>
      <c r="C1194" s="13" t="n">
        <v>342</v>
      </c>
      <c r="D1194" s="13" t="s">
        <v>8617</v>
      </c>
      <c r="E1194" s="13" t="s">
        <v>14177</v>
      </c>
      <c r="F1194" s="13" t="s">
        <v>14178</v>
      </c>
      <c r="G1194" s="13" t="s">
        <v>11315</v>
      </c>
      <c r="H1194" s="13" t="s">
        <v>11099</v>
      </c>
      <c r="I1194" s="13" t="s">
        <v>14179</v>
      </c>
      <c r="J1194" s="13" t="s">
        <v>14180</v>
      </c>
      <c r="K1194" s="13" t="s">
        <v>8621</v>
      </c>
      <c r="L1194" s="13" t="s">
        <v>8622</v>
      </c>
    </row>
    <row r="1195" customFormat="false" ht="46.25" hidden="false" customHeight="false" outlineLevel="0" collapsed="false">
      <c r="A1195" s="13" t="s">
        <v>4</v>
      </c>
      <c r="B1195" s="13" t="s">
        <v>2150</v>
      </c>
      <c r="C1195" s="13" t="n">
        <v>387</v>
      </c>
      <c r="D1195" s="13" t="s">
        <v>8625</v>
      </c>
      <c r="E1195" s="13" t="s">
        <v>14181</v>
      </c>
      <c r="F1195" s="13" t="s">
        <v>14182</v>
      </c>
      <c r="G1195" s="13" t="s">
        <v>11098</v>
      </c>
      <c r="H1195" s="13" t="s">
        <v>11099</v>
      </c>
      <c r="I1195" s="13" t="s">
        <v>14183</v>
      </c>
      <c r="J1195" s="13"/>
      <c r="K1195" s="13" t="s">
        <v>8628</v>
      </c>
      <c r="L1195" s="13" t="s">
        <v>8629</v>
      </c>
    </row>
    <row r="1196" customFormat="false" ht="46.25" hidden="false" customHeight="false" outlineLevel="0" collapsed="false">
      <c r="A1196" s="13" t="s">
        <v>4</v>
      </c>
      <c r="B1196" s="13" t="s">
        <v>2150</v>
      </c>
      <c r="C1196" s="13" t="n">
        <v>387</v>
      </c>
      <c r="D1196" s="13" t="s">
        <v>8625</v>
      </c>
      <c r="E1196" s="13" t="s">
        <v>14184</v>
      </c>
      <c r="F1196" s="13" t="s">
        <v>14185</v>
      </c>
      <c r="G1196" s="13" t="s">
        <v>11098</v>
      </c>
      <c r="H1196" s="13" t="s">
        <v>11099</v>
      </c>
      <c r="I1196" s="13" t="s">
        <v>14186</v>
      </c>
      <c r="J1196" s="13"/>
      <c r="K1196" s="13" t="s">
        <v>8628</v>
      </c>
      <c r="L1196" s="13" t="s">
        <v>8629</v>
      </c>
    </row>
    <row r="1197" customFormat="false" ht="46.25" hidden="false" customHeight="false" outlineLevel="0" collapsed="false">
      <c r="A1197" s="13" t="s">
        <v>4</v>
      </c>
      <c r="B1197" s="13" t="s">
        <v>2150</v>
      </c>
      <c r="C1197" s="13" t="n">
        <v>387</v>
      </c>
      <c r="D1197" s="13" t="s">
        <v>8638</v>
      </c>
      <c r="E1197" s="13" t="s">
        <v>14187</v>
      </c>
      <c r="F1197" s="13" t="s">
        <v>14188</v>
      </c>
      <c r="G1197" s="13" t="s">
        <v>11098</v>
      </c>
      <c r="H1197" s="13" t="s">
        <v>11099</v>
      </c>
      <c r="I1197" s="13" t="s">
        <v>14189</v>
      </c>
      <c r="J1197" s="13"/>
      <c r="K1197" s="13" t="s">
        <v>8642</v>
      </c>
      <c r="L1197" s="13" t="s">
        <v>8643</v>
      </c>
    </row>
    <row r="1198" customFormat="false" ht="46.25" hidden="false" customHeight="false" outlineLevel="0" collapsed="false">
      <c r="A1198" s="13" t="s">
        <v>4</v>
      </c>
      <c r="B1198" s="13" t="s">
        <v>2150</v>
      </c>
      <c r="C1198" s="13" t="n">
        <v>387</v>
      </c>
      <c r="D1198" s="13" t="s">
        <v>8638</v>
      </c>
      <c r="E1198" s="13" t="s">
        <v>14190</v>
      </c>
      <c r="F1198" s="13" t="s">
        <v>14191</v>
      </c>
      <c r="G1198" s="13" t="s">
        <v>11098</v>
      </c>
      <c r="H1198" s="13" t="s">
        <v>11099</v>
      </c>
      <c r="I1198" s="13" t="s">
        <v>8639</v>
      </c>
      <c r="J1198" s="13"/>
      <c r="K1198" s="13" t="s">
        <v>8642</v>
      </c>
      <c r="L1198" s="13" t="s">
        <v>8643</v>
      </c>
    </row>
    <row r="1199" customFormat="false" ht="46.25" hidden="false" customHeight="false" outlineLevel="0" collapsed="false">
      <c r="A1199" s="13" t="s">
        <v>4</v>
      </c>
      <c r="B1199" s="13" t="s">
        <v>2150</v>
      </c>
      <c r="C1199" s="13" t="n">
        <v>387</v>
      </c>
      <c r="D1199" s="13" t="s">
        <v>8638</v>
      </c>
      <c r="E1199" s="13" t="s">
        <v>14192</v>
      </c>
      <c r="F1199" s="13" t="s">
        <v>14193</v>
      </c>
      <c r="G1199" s="13" t="s">
        <v>11128</v>
      </c>
      <c r="H1199" s="13" t="s">
        <v>11099</v>
      </c>
      <c r="I1199" s="13"/>
      <c r="J1199" s="13" t="s">
        <v>14194</v>
      </c>
      <c r="K1199" s="13" t="s">
        <v>8642</v>
      </c>
      <c r="L1199" s="13" t="s">
        <v>8643</v>
      </c>
    </row>
    <row r="1200" customFormat="false" ht="91" hidden="false" customHeight="false" outlineLevel="0" collapsed="false">
      <c r="A1200" s="13" t="s">
        <v>4</v>
      </c>
      <c r="B1200" s="13" t="s">
        <v>2150</v>
      </c>
      <c r="C1200" s="13" t="n">
        <v>387</v>
      </c>
      <c r="D1200" s="13" t="s">
        <v>8649</v>
      </c>
      <c r="E1200" s="13" t="s">
        <v>14195</v>
      </c>
      <c r="F1200" s="13" t="s">
        <v>14196</v>
      </c>
      <c r="G1200" s="13" t="s">
        <v>11098</v>
      </c>
      <c r="H1200" s="13" t="s">
        <v>11099</v>
      </c>
      <c r="I1200" s="13" t="s">
        <v>14197</v>
      </c>
      <c r="J1200" s="13"/>
      <c r="K1200" s="13" t="s">
        <v>8653</v>
      </c>
      <c r="L1200" s="13" t="s">
        <v>8654</v>
      </c>
    </row>
    <row r="1201" customFormat="false" ht="91" hidden="false" customHeight="false" outlineLevel="0" collapsed="false">
      <c r="A1201" s="13" t="s">
        <v>4</v>
      </c>
      <c r="B1201" s="13" t="s">
        <v>2150</v>
      </c>
      <c r="C1201" s="13" t="n">
        <v>387</v>
      </c>
      <c r="D1201" s="13" t="s">
        <v>8649</v>
      </c>
      <c r="E1201" s="13" t="s">
        <v>14198</v>
      </c>
      <c r="F1201" s="13" t="s">
        <v>14199</v>
      </c>
      <c r="G1201" s="13" t="s">
        <v>11098</v>
      </c>
      <c r="H1201" s="13" t="s">
        <v>11099</v>
      </c>
      <c r="I1201" s="13" t="s">
        <v>8656</v>
      </c>
      <c r="J1201" s="13"/>
      <c r="K1201" s="13" t="s">
        <v>8653</v>
      </c>
      <c r="L1201" s="13" t="s">
        <v>8654</v>
      </c>
    </row>
    <row r="1202" customFormat="false" ht="91" hidden="false" customHeight="false" outlineLevel="0" collapsed="false">
      <c r="A1202" s="13" t="s">
        <v>4</v>
      </c>
      <c r="B1202" s="13" t="s">
        <v>2150</v>
      </c>
      <c r="C1202" s="13" t="n">
        <v>387</v>
      </c>
      <c r="D1202" s="13" t="s">
        <v>8649</v>
      </c>
      <c r="E1202" s="13" t="s">
        <v>14200</v>
      </c>
      <c r="F1202" s="13" t="s">
        <v>14201</v>
      </c>
      <c r="G1202" s="13" t="s">
        <v>11098</v>
      </c>
      <c r="H1202" s="13" t="s">
        <v>11099</v>
      </c>
      <c r="I1202" s="13" t="s">
        <v>8657</v>
      </c>
      <c r="J1202" s="13"/>
      <c r="K1202" s="13" t="s">
        <v>8653</v>
      </c>
      <c r="L1202" s="13" t="s">
        <v>8654</v>
      </c>
    </row>
    <row r="1203" customFormat="false" ht="23.85" hidden="false" customHeight="false" outlineLevel="0" collapsed="false">
      <c r="A1203" s="13" t="s">
        <v>4</v>
      </c>
      <c r="B1203" s="13" t="s">
        <v>2150</v>
      </c>
      <c r="C1203" s="13" t="n">
        <v>387</v>
      </c>
      <c r="D1203" s="13" t="s">
        <v>8659</v>
      </c>
      <c r="E1203" s="13" t="s">
        <v>14202</v>
      </c>
      <c r="F1203" s="13" t="s">
        <v>14203</v>
      </c>
      <c r="G1203" s="13" t="s">
        <v>11098</v>
      </c>
      <c r="H1203" s="13" t="s">
        <v>11099</v>
      </c>
      <c r="I1203" s="13" t="s">
        <v>14204</v>
      </c>
      <c r="J1203" s="13"/>
      <c r="K1203" s="13" t="s">
        <v>8663</v>
      </c>
      <c r="L1203" s="13" t="s">
        <v>8664</v>
      </c>
    </row>
    <row r="1204" customFormat="false" ht="23.85" hidden="false" customHeight="false" outlineLevel="0" collapsed="false">
      <c r="A1204" s="13" t="s">
        <v>4</v>
      </c>
      <c r="B1204" s="13" t="s">
        <v>2150</v>
      </c>
      <c r="C1204" s="13" t="n">
        <v>387</v>
      </c>
      <c r="D1204" s="13" t="s">
        <v>8659</v>
      </c>
      <c r="E1204" s="13" t="s">
        <v>14205</v>
      </c>
      <c r="F1204" s="13" t="s">
        <v>14206</v>
      </c>
      <c r="G1204" s="13" t="s">
        <v>11098</v>
      </c>
      <c r="H1204" s="13" t="s">
        <v>11099</v>
      </c>
      <c r="I1204" s="13" t="s">
        <v>8666</v>
      </c>
      <c r="J1204" s="13"/>
      <c r="K1204" s="13" t="s">
        <v>8663</v>
      </c>
      <c r="L1204" s="13" t="s">
        <v>8664</v>
      </c>
    </row>
    <row r="1205" customFormat="false" ht="35.05" hidden="false" customHeight="false" outlineLevel="0" collapsed="false">
      <c r="A1205" s="13" t="s">
        <v>4</v>
      </c>
      <c r="B1205" s="13" t="s">
        <v>2150</v>
      </c>
      <c r="C1205" s="13" t="n">
        <v>387</v>
      </c>
      <c r="D1205" s="13" t="s">
        <v>8668</v>
      </c>
      <c r="E1205" s="13" t="s">
        <v>14207</v>
      </c>
      <c r="F1205" s="13" t="s">
        <v>14208</v>
      </c>
      <c r="G1205" s="13" t="s">
        <v>11098</v>
      </c>
      <c r="H1205" s="13" t="s">
        <v>11099</v>
      </c>
      <c r="I1205" s="13" t="s">
        <v>14209</v>
      </c>
      <c r="J1205" s="13"/>
      <c r="K1205" s="13" t="s">
        <v>8672</v>
      </c>
      <c r="L1205" s="13" t="s">
        <v>8673</v>
      </c>
    </row>
    <row r="1206" customFormat="false" ht="35.05" hidden="false" customHeight="false" outlineLevel="0" collapsed="false">
      <c r="A1206" s="13" t="s">
        <v>4</v>
      </c>
      <c r="B1206" s="13" t="s">
        <v>2150</v>
      </c>
      <c r="C1206" s="13" t="n">
        <v>387</v>
      </c>
      <c r="D1206" s="13" t="s">
        <v>8668</v>
      </c>
      <c r="E1206" s="13" t="s">
        <v>14210</v>
      </c>
      <c r="F1206" s="13" t="s">
        <v>14211</v>
      </c>
      <c r="G1206" s="13" t="s">
        <v>11098</v>
      </c>
      <c r="H1206" s="13" t="s">
        <v>11099</v>
      </c>
      <c r="I1206" s="13" t="s">
        <v>8675</v>
      </c>
      <c r="J1206" s="13"/>
      <c r="K1206" s="13" t="s">
        <v>8672</v>
      </c>
      <c r="L1206" s="13" t="s">
        <v>8673</v>
      </c>
    </row>
    <row r="1207" customFormat="false" ht="35.05" hidden="false" customHeight="false" outlineLevel="0" collapsed="false">
      <c r="A1207" s="13" t="s">
        <v>4</v>
      </c>
      <c r="B1207" s="13" t="s">
        <v>2150</v>
      </c>
      <c r="C1207" s="13" t="n">
        <v>387</v>
      </c>
      <c r="D1207" s="13" t="s">
        <v>8668</v>
      </c>
      <c r="E1207" s="13" t="s">
        <v>14212</v>
      </c>
      <c r="F1207" s="13" t="s">
        <v>14213</v>
      </c>
      <c r="G1207" s="13" t="s">
        <v>11098</v>
      </c>
      <c r="H1207" s="13" t="s">
        <v>11099</v>
      </c>
      <c r="I1207" s="13" t="s">
        <v>14214</v>
      </c>
      <c r="J1207" s="13"/>
      <c r="K1207" s="13" t="s">
        <v>8672</v>
      </c>
      <c r="L1207" s="13" t="s">
        <v>8673</v>
      </c>
    </row>
    <row r="1208" customFormat="false" ht="46.25" hidden="false" customHeight="false" outlineLevel="0" collapsed="false">
      <c r="A1208" s="13" t="s">
        <v>4</v>
      </c>
      <c r="B1208" s="13" t="s">
        <v>2150</v>
      </c>
      <c r="C1208" s="13" t="n">
        <v>387</v>
      </c>
      <c r="D1208" s="13" t="s">
        <v>8681</v>
      </c>
      <c r="E1208" s="13" t="s">
        <v>14215</v>
      </c>
      <c r="F1208" s="13" t="s">
        <v>14216</v>
      </c>
      <c r="G1208" s="13" t="s">
        <v>11098</v>
      </c>
      <c r="H1208" s="13" t="s">
        <v>11099</v>
      </c>
      <c r="I1208" s="13" t="s">
        <v>14217</v>
      </c>
      <c r="J1208" s="13"/>
      <c r="K1208" s="13" t="s">
        <v>8685</v>
      </c>
      <c r="L1208" s="13" t="s">
        <v>8686</v>
      </c>
    </row>
    <row r="1209" customFormat="false" ht="46.25" hidden="false" customHeight="false" outlineLevel="0" collapsed="false">
      <c r="A1209" s="13" t="s">
        <v>4</v>
      </c>
      <c r="B1209" s="13" t="s">
        <v>2150</v>
      </c>
      <c r="C1209" s="13" t="n">
        <v>387</v>
      </c>
      <c r="D1209" s="13" t="s">
        <v>8681</v>
      </c>
      <c r="E1209" s="13" t="s">
        <v>14218</v>
      </c>
      <c r="F1209" s="13" t="s">
        <v>14219</v>
      </c>
      <c r="G1209" s="13" t="s">
        <v>11098</v>
      </c>
      <c r="H1209" s="13" t="s">
        <v>11099</v>
      </c>
      <c r="I1209" s="13" t="s">
        <v>8688</v>
      </c>
      <c r="J1209" s="13"/>
      <c r="K1209" s="13" t="s">
        <v>8685</v>
      </c>
      <c r="L1209" s="13" t="s">
        <v>8686</v>
      </c>
    </row>
    <row r="1210" customFormat="false" ht="57.45" hidden="false" customHeight="false" outlineLevel="0" collapsed="false">
      <c r="A1210" s="13" t="s">
        <v>4</v>
      </c>
      <c r="B1210" s="13" t="s">
        <v>2150</v>
      </c>
      <c r="C1210" s="13" t="n">
        <v>420</v>
      </c>
      <c r="D1210" s="13" t="s">
        <v>8690</v>
      </c>
      <c r="E1210" s="13" t="s">
        <v>14220</v>
      </c>
      <c r="F1210" s="13" t="s">
        <v>14221</v>
      </c>
      <c r="G1210" s="13" t="s">
        <v>11098</v>
      </c>
      <c r="H1210" s="13" t="s">
        <v>11099</v>
      </c>
      <c r="I1210" s="13" t="s">
        <v>14222</v>
      </c>
      <c r="J1210" s="13"/>
      <c r="K1210" s="13" t="s">
        <v>8695</v>
      </c>
      <c r="L1210" s="13" t="s">
        <v>8696</v>
      </c>
    </row>
    <row r="1211" customFormat="false" ht="46.25" hidden="false" customHeight="false" outlineLevel="0" collapsed="false">
      <c r="A1211" s="13" t="s">
        <v>4</v>
      </c>
      <c r="B1211" s="13" t="s">
        <v>2150</v>
      </c>
      <c r="C1211" s="13" t="n">
        <v>420</v>
      </c>
      <c r="D1211" s="13" t="s">
        <v>8705</v>
      </c>
      <c r="E1211" s="13" t="s">
        <v>14223</v>
      </c>
      <c r="F1211" s="13" t="s">
        <v>14224</v>
      </c>
      <c r="G1211" s="13" t="s">
        <v>11098</v>
      </c>
      <c r="H1211" s="13" t="s">
        <v>11099</v>
      </c>
      <c r="I1211" s="13" t="s">
        <v>14225</v>
      </c>
      <c r="J1211" s="13"/>
      <c r="K1211" s="13" t="s">
        <v>8710</v>
      </c>
      <c r="L1211" s="13" t="s">
        <v>8711</v>
      </c>
    </row>
    <row r="1212" customFormat="false" ht="15" hidden="false" customHeight="false" outlineLevel="0" collapsed="false">
      <c r="A1212" s="13" t="s">
        <v>4</v>
      </c>
      <c r="B1212" s="13" t="s">
        <v>2150</v>
      </c>
      <c r="C1212" s="13" t="n">
        <v>420</v>
      </c>
      <c r="D1212" s="13" t="s">
        <v>8715</v>
      </c>
      <c r="E1212" s="13" t="s">
        <v>14226</v>
      </c>
      <c r="F1212" s="13" t="s">
        <v>14227</v>
      </c>
      <c r="G1212" s="13" t="s">
        <v>11098</v>
      </c>
      <c r="H1212" s="13" t="s">
        <v>11099</v>
      </c>
      <c r="I1212" s="13" t="s">
        <v>8716</v>
      </c>
      <c r="J1212" s="13"/>
      <c r="K1212" s="13" t="s">
        <v>8718</v>
      </c>
      <c r="L1212" s="13" t="s">
        <v>8719</v>
      </c>
    </row>
    <row r="1213" customFormat="false" ht="15" hidden="false" customHeight="false" outlineLevel="0" collapsed="false">
      <c r="A1213" s="13" t="s">
        <v>4</v>
      </c>
      <c r="B1213" s="13" t="s">
        <v>2150</v>
      </c>
      <c r="C1213" s="13" t="n">
        <v>420</v>
      </c>
      <c r="D1213" s="13" t="s">
        <v>8720</v>
      </c>
      <c r="E1213" s="13" t="s">
        <v>14228</v>
      </c>
      <c r="F1213" s="13" t="s">
        <v>14229</v>
      </c>
      <c r="G1213" s="13" t="s">
        <v>11098</v>
      </c>
      <c r="H1213" s="13" t="s">
        <v>11099</v>
      </c>
      <c r="I1213" s="13" t="s">
        <v>8721</v>
      </c>
      <c r="J1213" s="13"/>
      <c r="K1213" s="13" t="s">
        <v>8723</v>
      </c>
      <c r="L1213" s="13" t="s">
        <v>8724</v>
      </c>
    </row>
    <row r="1214" customFormat="false" ht="35.05" hidden="false" customHeight="false" outlineLevel="0" collapsed="false">
      <c r="A1214" s="13" t="s">
        <v>4</v>
      </c>
      <c r="B1214" s="13" t="s">
        <v>2150</v>
      </c>
      <c r="C1214" s="13" t="n">
        <v>420</v>
      </c>
      <c r="D1214" s="13" t="s">
        <v>8725</v>
      </c>
      <c r="E1214" s="13" t="s">
        <v>14230</v>
      </c>
      <c r="F1214" s="13" t="s">
        <v>14231</v>
      </c>
      <c r="G1214" s="13" t="s">
        <v>11098</v>
      </c>
      <c r="H1214" s="13" t="s">
        <v>11099</v>
      </c>
      <c r="I1214" s="13" t="s">
        <v>14232</v>
      </c>
      <c r="J1214" s="13"/>
      <c r="K1214" s="13" t="s">
        <v>8729</v>
      </c>
      <c r="L1214" s="13" t="s">
        <v>8730</v>
      </c>
    </row>
    <row r="1215" customFormat="false" ht="35.05" hidden="false" customHeight="false" outlineLevel="0" collapsed="false">
      <c r="A1215" s="13" t="s">
        <v>4</v>
      </c>
      <c r="B1215" s="13" t="s">
        <v>2150</v>
      </c>
      <c r="C1215" s="13" t="n">
        <v>420</v>
      </c>
      <c r="D1215" s="13" t="s">
        <v>8737</v>
      </c>
      <c r="E1215" s="13" t="s">
        <v>14233</v>
      </c>
      <c r="F1215" s="13" t="s">
        <v>14234</v>
      </c>
      <c r="G1215" s="13" t="s">
        <v>11098</v>
      </c>
      <c r="H1215" s="13" t="s">
        <v>11099</v>
      </c>
      <c r="I1215" s="13" t="s">
        <v>14235</v>
      </c>
      <c r="J1215" s="13"/>
      <c r="K1215" s="13" t="s">
        <v>8740</v>
      </c>
      <c r="L1215" s="13" t="s">
        <v>8741</v>
      </c>
    </row>
    <row r="1216" customFormat="false" ht="23.85" hidden="false" customHeight="false" outlineLevel="0" collapsed="false">
      <c r="A1216" s="13" t="s">
        <v>4</v>
      </c>
      <c r="B1216" s="13" t="s">
        <v>2150</v>
      </c>
      <c r="C1216" s="13" t="n">
        <v>420</v>
      </c>
      <c r="D1216" s="13" t="s">
        <v>8745</v>
      </c>
      <c r="E1216" s="13" t="s">
        <v>14236</v>
      </c>
      <c r="F1216" s="13" t="s">
        <v>14237</v>
      </c>
      <c r="G1216" s="13" t="s">
        <v>11098</v>
      </c>
      <c r="H1216" s="13" t="s">
        <v>11099</v>
      </c>
      <c r="I1216" s="13" t="s">
        <v>14238</v>
      </c>
      <c r="J1216" s="13"/>
      <c r="K1216" s="13" t="s">
        <v>8748</v>
      </c>
      <c r="L1216" s="13" t="s">
        <v>8749</v>
      </c>
    </row>
    <row r="1217" customFormat="false" ht="35.05" hidden="false" customHeight="false" outlineLevel="0" collapsed="false">
      <c r="A1217" s="13" t="s">
        <v>4</v>
      </c>
      <c r="B1217" s="13" t="s">
        <v>2150</v>
      </c>
      <c r="C1217" s="13" t="n">
        <v>420</v>
      </c>
      <c r="D1217" s="13" t="s">
        <v>8752</v>
      </c>
      <c r="E1217" s="13" t="s">
        <v>14239</v>
      </c>
      <c r="F1217" s="13" t="s">
        <v>14240</v>
      </c>
      <c r="G1217" s="13" t="s">
        <v>11098</v>
      </c>
      <c r="H1217" s="13" t="s">
        <v>11099</v>
      </c>
      <c r="I1217" s="13" t="s">
        <v>8753</v>
      </c>
      <c r="J1217" s="13"/>
      <c r="K1217" s="13" t="s">
        <v>8757</v>
      </c>
      <c r="L1217" s="13" t="s">
        <v>8758</v>
      </c>
    </row>
    <row r="1218" customFormat="false" ht="35.05" hidden="false" customHeight="false" outlineLevel="0" collapsed="false">
      <c r="A1218" s="13" t="s">
        <v>4</v>
      </c>
      <c r="B1218" s="13" t="s">
        <v>2150</v>
      </c>
      <c r="C1218" s="13" t="n">
        <v>420</v>
      </c>
      <c r="D1218" s="13" t="s">
        <v>8752</v>
      </c>
      <c r="E1218" s="13" t="s">
        <v>14241</v>
      </c>
      <c r="F1218" s="13" t="s">
        <v>14242</v>
      </c>
      <c r="G1218" s="13" t="s">
        <v>11137</v>
      </c>
      <c r="H1218" s="13" t="s">
        <v>11099</v>
      </c>
      <c r="I1218" s="13" t="s">
        <v>8759</v>
      </c>
      <c r="J1218" s="13"/>
      <c r="K1218" s="13" t="s">
        <v>8757</v>
      </c>
      <c r="L1218" s="13" t="s">
        <v>8758</v>
      </c>
    </row>
    <row r="1219" customFormat="false" ht="23.85" hidden="false" customHeight="false" outlineLevel="0" collapsed="false">
      <c r="A1219" s="13" t="s">
        <v>4</v>
      </c>
      <c r="B1219" s="13" t="s">
        <v>2150</v>
      </c>
      <c r="C1219" s="13" t="n">
        <v>420</v>
      </c>
      <c r="D1219" s="13" t="s">
        <v>8764</v>
      </c>
      <c r="E1219" s="13" t="s">
        <v>14243</v>
      </c>
      <c r="F1219" s="13" t="s">
        <v>14244</v>
      </c>
      <c r="G1219" s="13" t="s">
        <v>11098</v>
      </c>
      <c r="H1219" s="13" t="s">
        <v>11099</v>
      </c>
      <c r="I1219" s="13" t="s">
        <v>8765</v>
      </c>
      <c r="J1219" s="13"/>
      <c r="K1219" s="13" t="s">
        <v>8767</v>
      </c>
      <c r="L1219" s="13" t="s">
        <v>8768</v>
      </c>
    </row>
    <row r="1220" customFormat="false" ht="35.05" hidden="false" customHeight="false" outlineLevel="0" collapsed="false">
      <c r="A1220" s="13" t="s">
        <v>4</v>
      </c>
      <c r="B1220" s="13" t="s">
        <v>2150</v>
      </c>
      <c r="C1220" s="13" t="n">
        <v>420</v>
      </c>
      <c r="D1220" s="13" t="s">
        <v>8769</v>
      </c>
      <c r="E1220" s="13" t="s">
        <v>14245</v>
      </c>
      <c r="F1220" s="13" t="s">
        <v>14246</v>
      </c>
      <c r="G1220" s="13" t="s">
        <v>11098</v>
      </c>
      <c r="H1220" s="13" t="s">
        <v>11099</v>
      </c>
      <c r="I1220" s="13" t="s">
        <v>14247</v>
      </c>
      <c r="J1220" s="13"/>
      <c r="K1220" s="13" t="s">
        <v>8773</v>
      </c>
      <c r="L1220" s="13" t="s">
        <v>8774</v>
      </c>
    </row>
    <row r="1221" customFormat="false" ht="46.25" hidden="false" customHeight="false" outlineLevel="0" collapsed="false">
      <c r="A1221" s="13" t="s">
        <v>4</v>
      </c>
      <c r="B1221" s="13" t="s">
        <v>2150</v>
      </c>
      <c r="C1221" s="13" t="n">
        <v>420</v>
      </c>
      <c r="D1221" s="13" t="s">
        <v>8777</v>
      </c>
      <c r="E1221" s="13" t="s">
        <v>14248</v>
      </c>
      <c r="F1221" s="13" t="s">
        <v>14249</v>
      </c>
      <c r="G1221" s="13" t="s">
        <v>11098</v>
      </c>
      <c r="H1221" s="13" t="s">
        <v>11099</v>
      </c>
      <c r="I1221" s="13" t="s">
        <v>14250</v>
      </c>
      <c r="J1221" s="13"/>
      <c r="K1221" s="13" t="s">
        <v>8780</v>
      </c>
      <c r="L1221" s="13" t="s">
        <v>8781</v>
      </c>
    </row>
    <row r="1222" customFormat="false" ht="35.05" hidden="false" customHeight="false" outlineLevel="0" collapsed="false">
      <c r="A1222" s="13" t="s">
        <v>4</v>
      </c>
      <c r="B1222" s="13" t="s">
        <v>2150</v>
      </c>
      <c r="C1222" s="13" t="n">
        <v>420</v>
      </c>
      <c r="D1222" s="13" t="s">
        <v>8783</v>
      </c>
      <c r="E1222" s="13" t="s">
        <v>14251</v>
      </c>
      <c r="F1222" s="13" t="s">
        <v>14252</v>
      </c>
      <c r="G1222" s="13" t="s">
        <v>11098</v>
      </c>
      <c r="H1222" s="13" t="s">
        <v>11099</v>
      </c>
      <c r="I1222" s="13" t="s">
        <v>8784</v>
      </c>
      <c r="J1222" s="13"/>
      <c r="K1222" s="13" t="s">
        <v>8788</v>
      </c>
      <c r="L1222" s="13" t="s">
        <v>8789</v>
      </c>
    </row>
    <row r="1223" customFormat="false" ht="23.85" hidden="false" customHeight="false" outlineLevel="0" collapsed="false">
      <c r="A1223" s="13" t="s">
        <v>4</v>
      </c>
      <c r="B1223" s="13" t="s">
        <v>2150</v>
      </c>
      <c r="C1223" s="13" t="n">
        <v>420</v>
      </c>
      <c r="D1223" s="13" t="s">
        <v>8790</v>
      </c>
      <c r="E1223" s="13" t="s">
        <v>14253</v>
      </c>
      <c r="F1223" s="13" t="s">
        <v>14254</v>
      </c>
      <c r="G1223" s="13" t="s">
        <v>11098</v>
      </c>
      <c r="H1223" s="13" t="s">
        <v>11099</v>
      </c>
      <c r="I1223" s="13" t="s">
        <v>8791</v>
      </c>
      <c r="J1223" s="13"/>
      <c r="K1223" s="13" t="s">
        <v>8794</v>
      </c>
      <c r="L1223" s="13" t="s">
        <v>8795</v>
      </c>
    </row>
    <row r="1224" customFormat="false" ht="23.85" hidden="false" customHeight="false" outlineLevel="0" collapsed="false">
      <c r="A1224" s="13" t="s">
        <v>4</v>
      </c>
      <c r="B1224" s="13" t="s">
        <v>2150</v>
      </c>
      <c r="C1224" s="13" t="n">
        <v>420</v>
      </c>
      <c r="D1224" s="13" t="s">
        <v>8796</v>
      </c>
      <c r="E1224" s="13" t="s">
        <v>14255</v>
      </c>
      <c r="F1224" s="13" t="s">
        <v>14256</v>
      </c>
      <c r="G1224" s="13" t="s">
        <v>11098</v>
      </c>
      <c r="H1224" s="13" t="s">
        <v>11099</v>
      </c>
      <c r="I1224" s="13" t="s">
        <v>14257</v>
      </c>
      <c r="J1224" s="13"/>
      <c r="K1224" s="13" t="s">
        <v>8800</v>
      </c>
      <c r="L1224" s="13" t="s">
        <v>8801</v>
      </c>
    </row>
    <row r="1225" customFormat="false" ht="35.05" hidden="false" customHeight="false" outlineLevel="0" collapsed="false">
      <c r="A1225" s="13" t="s">
        <v>4</v>
      </c>
      <c r="B1225" s="13" t="s">
        <v>2150</v>
      </c>
      <c r="C1225" s="13" t="n">
        <v>420</v>
      </c>
      <c r="D1225" s="13" t="s">
        <v>8806</v>
      </c>
      <c r="E1225" s="13" t="s">
        <v>14258</v>
      </c>
      <c r="F1225" s="13" t="s">
        <v>14259</v>
      </c>
      <c r="G1225" s="13" t="s">
        <v>11098</v>
      </c>
      <c r="H1225" s="13" t="s">
        <v>11099</v>
      </c>
      <c r="I1225" s="13" t="s">
        <v>14260</v>
      </c>
      <c r="J1225" s="13"/>
      <c r="K1225" s="13" t="s">
        <v>8809</v>
      </c>
      <c r="L1225" s="13" t="s">
        <v>8810</v>
      </c>
    </row>
    <row r="1226" customFormat="false" ht="91" hidden="false" customHeight="false" outlineLevel="0" collapsed="false">
      <c r="A1226" s="13" t="s">
        <v>4</v>
      </c>
      <c r="B1226" s="13" t="s">
        <v>4108</v>
      </c>
      <c r="C1226" s="13" t="n">
        <v>59</v>
      </c>
      <c r="D1226" s="13" t="s">
        <v>8813</v>
      </c>
      <c r="E1226" s="13" t="s">
        <v>14261</v>
      </c>
      <c r="F1226" s="13" t="s">
        <v>14262</v>
      </c>
      <c r="G1226" s="13" t="s">
        <v>11098</v>
      </c>
      <c r="H1226" s="13" t="s">
        <v>11099</v>
      </c>
      <c r="I1226" s="13" t="s">
        <v>14263</v>
      </c>
      <c r="J1226" s="13"/>
      <c r="K1226" s="13" t="s">
        <v>8817</v>
      </c>
      <c r="L1226" s="13" t="s">
        <v>8818</v>
      </c>
    </row>
    <row r="1227" customFormat="false" ht="68.65" hidden="false" customHeight="false" outlineLevel="0" collapsed="false">
      <c r="A1227" s="13" t="s">
        <v>4</v>
      </c>
      <c r="B1227" s="13" t="s">
        <v>4108</v>
      </c>
      <c r="C1227" s="13" t="n">
        <v>59</v>
      </c>
      <c r="D1227" s="13" t="s">
        <v>8836</v>
      </c>
      <c r="E1227" s="13" t="s">
        <v>14264</v>
      </c>
      <c r="F1227" s="13" t="s">
        <v>14265</v>
      </c>
      <c r="G1227" s="13" t="s">
        <v>11315</v>
      </c>
      <c r="H1227" s="13" t="s">
        <v>11099</v>
      </c>
      <c r="I1227" s="13" t="s">
        <v>14266</v>
      </c>
      <c r="J1227" s="13" t="s">
        <v>14267</v>
      </c>
      <c r="K1227" s="13" t="s">
        <v>8840</v>
      </c>
      <c r="L1227" s="13" t="s">
        <v>8841</v>
      </c>
    </row>
    <row r="1228" customFormat="false" ht="91" hidden="false" customHeight="false" outlineLevel="0" collapsed="false">
      <c r="A1228" s="13" t="s">
        <v>4</v>
      </c>
      <c r="B1228" s="13" t="s">
        <v>4108</v>
      </c>
      <c r="C1228" s="13" t="n">
        <v>59</v>
      </c>
      <c r="D1228" s="13" t="s">
        <v>8859</v>
      </c>
      <c r="E1228" s="13" t="s">
        <v>14268</v>
      </c>
      <c r="F1228" s="13" t="s">
        <v>14269</v>
      </c>
      <c r="G1228" s="13" t="s">
        <v>11098</v>
      </c>
      <c r="H1228" s="13" t="s">
        <v>11099</v>
      </c>
      <c r="I1228" s="13" t="s">
        <v>14270</v>
      </c>
      <c r="J1228" s="13"/>
      <c r="K1228" s="13" t="s">
        <v>8863</v>
      </c>
      <c r="L1228" s="13" t="s">
        <v>8864</v>
      </c>
    </row>
    <row r="1229" customFormat="false" ht="91" hidden="false" customHeight="false" outlineLevel="0" collapsed="false">
      <c r="A1229" s="13" t="s">
        <v>4</v>
      </c>
      <c r="B1229" s="13" t="s">
        <v>4108</v>
      </c>
      <c r="C1229" s="13" t="n">
        <v>59</v>
      </c>
      <c r="D1229" s="13" t="s">
        <v>8859</v>
      </c>
      <c r="E1229" s="13" t="s">
        <v>14271</v>
      </c>
      <c r="F1229" s="13" t="s">
        <v>14272</v>
      </c>
      <c r="G1229" s="13" t="s">
        <v>11098</v>
      </c>
      <c r="H1229" s="13" t="s">
        <v>11099</v>
      </c>
      <c r="I1229" s="13" t="s">
        <v>8877</v>
      </c>
      <c r="J1229" s="13"/>
      <c r="K1229" s="13" t="s">
        <v>8863</v>
      </c>
      <c r="L1229" s="13" t="s">
        <v>8864</v>
      </c>
    </row>
    <row r="1230" customFormat="false" ht="35.05" hidden="false" customHeight="false" outlineLevel="0" collapsed="false">
      <c r="A1230" s="13" t="s">
        <v>4</v>
      </c>
      <c r="B1230" s="13" t="s">
        <v>4108</v>
      </c>
      <c r="C1230" s="13" t="n">
        <v>59</v>
      </c>
      <c r="D1230" s="13" t="s">
        <v>8883</v>
      </c>
      <c r="E1230" s="13" t="s">
        <v>14273</v>
      </c>
      <c r="F1230" s="13" t="s">
        <v>14274</v>
      </c>
      <c r="G1230" s="13" t="s">
        <v>11098</v>
      </c>
      <c r="H1230" s="13" t="s">
        <v>11099</v>
      </c>
      <c r="I1230" s="13" t="s">
        <v>14275</v>
      </c>
      <c r="J1230" s="13"/>
      <c r="K1230" s="13" t="s">
        <v>8887</v>
      </c>
      <c r="L1230" s="13" t="s">
        <v>8888</v>
      </c>
    </row>
    <row r="1231" customFormat="false" ht="46.25" hidden="false" customHeight="false" outlineLevel="0" collapsed="false">
      <c r="A1231" s="13" t="s">
        <v>4</v>
      </c>
      <c r="B1231" s="13" t="s">
        <v>4108</v>
      </c>
      <c r="C1231" s="13" t="n">
        <v>59</v>
      </c>
      <c r="D1231" s="13" t="s">
        <v>8897</v>
      </c>
      <c r="E1231" s="13" t="s">
        <v>14276</v>
      </c>
      <c r="F1231" s="13" t="s">
        <v>14277</v>
      </c>
      <c r="G1231" s="13" t="s">
        <v>11098</v>
      </c>
      <c r="H1231" s="13" t="s">
        <v>11099</v>
      </c>
      <c r="I1231" s="13" t="s">
        <v>14278</v>
      </c>
      <c r="J1231" s="13"/>
      <c r="K1231" s="13" t="s">
        <v>8901</v>
      </c>
      <c r="L1231" s="13" t="s">
        <v>8902</v>
      </c>
    </row>
    <row r="1232" customFormat="false" ht="35.05" hidden="false" customHeight="false" outlineLevel="0" collapsed="false">
      <c r="A1232" s="13" t="s">
        <v>4</v>
      </c>
      <c r="B1232" s="13" t="s">
        <v>4108</v>
      </c>
      <c r="C1232" s="13" t="n">
        <v>59</v>
      </c>
      <c r="D1232" s="13" t="s">
        <v>8911</v>
      </c>
      <c r="E1232" s="13" t="s">
        <v>14279</v>
      </c>
      <c r="F1232" s="13" t="s">
        <v>14280</v>
      </c>
      <c r="G1232" s="13" t="s">
        <v>11098</v>
      </c>
      <c r="H1232" s="13" t="s">
        <v>11099</v>
      </c>
      <c r="I1232" s="13" t="s">
        <v>8912</v>
      </c>
      <c r="J1232" s="13"/>
      <c r="K1232" s="13" t="s">
        <v>8915</v>
      </c>
      <c r="L1232" s="13" t="s">
        <v>8916</v>
      </c>
    </row>
    <row r="1233" customFormat="false" ht="57.45" hidden="false" customHeight="false" outlineLevel="0" collapsed="false">
      <c r="A1233" s="13" t="s">
        <v>4</v>
      </c>
      <c r="B1233" s="13" t="s">
        <v>4108</v>
      </c>
      <c r="C1233" s="13" t="n">
        <v>59</v>
      </c>
      <c r="D1233" s="13" t="s">
        <v>8917</v>
      </c>
      <c r="E1233" s="13" t="s">
        <v>14281</v>
      </c>
      <c r="F1233" s="13" t="s">
        <v>14282</v>
      </c>
      <c r="G1233" s="13" t="s">
        <v>11098</v>
      </c>
      <c r="H1233" s="13" t="s">
        <v>11099</v>
      </c>
      <c r="I1233" s="13" t="s">
        <v>14283</v>
      </c>
      <c r="J1233" s="13"/>
      <c r="K1233" s="13" t="s">
        <v>8921</v>
      </c>
      <c r="L1233" s="13" t="s">
        <v>8922</v>
      </c>
    </row>
    <row r="1234" customFormat="false" ht="46.25" hidden="false" customHeight="false" outlineLevel="0" collapsed="false">
      <c r="A1234" s="13" t="s">
        <v>4</v>
      </c>
      <c r="B1234" s="13" t="s">
        <v>4108</v>
      </c>
      <c r="C1234" s="13" t="n">
        <v>59</v>
      </c>
      <c r="D1234" s="13" t="s">
        <v>8926</v>
      </c>
      <c r="E1234" s="13" t="s">
        <v>14284</v>
      </c>
      <c r="F1234" s="13" t="s">
        <v>14285</v>
      </c>
      <c r="G1234" s="13" t="s">
        <v>11098</v>
      </c>
      <c r="H1234" s="13" t="s">
        <v>11099</v>
      </c>
      <c r="I1234" s="13" t="s">
        <v>8927</v>
      </c>
      <c r="J1234" s="13"/>
      <c r="K1234" s="13" t="s">
        <v>8930</v>
      </c>
      <c r="L1234" s="13" t="s">
        <v>8931</v>
      </c>
    </row>
    <row r="1235" customFormat="false" ht="35.05" hidden="false" customHeight="false" outlineLevel="0" collapsed="false">
      <c r="A1235" s="13" t="s">
        <v>4</v>
      </c>
      <c r="B1235" s="13" t="s">
        <v>4108</v>
      </c>
      <c r="C1235" s="13" t="n">
        <v>59</v>
      </c>
      <c r="D1235" s="13" t="s">
        <v>8932</v>
      </c>
      <c r="E1235" s="13" t="s">
        <v>14286</v>
      </c>
      <c r="F1235" s="13" t="s">
        <v>14287</v>
      </c>
      <c r="G1235" s="13" t="s">
        <v>11098</v>
      </c>
      <c r="H1235" s="13" t="s">
        <v>11099</v>
      </c>
      <c r="I1235" s="13" t="s">
        <v>8933</v>
      </c>
      <c r="J1235" s="13"/>
      <c r="K1235" s="13" t="s">
        <v>8935</v>
      </c>
      <c r="L1235" s="13" t="s">
        <v>8936</v>
      </c>
    </row>
    <row r="1236" customFormat="false" ht="35.05" hidden="false" customHeight="false" outlineLevel="0" collapsed="false">
      <c r="A1236" s="13" t="s">
        <v>4</v>
      </c>
      <c r="B1236" s="13" t="s">
        <v>4108</v>
      </c>
      <c r="C1236" s="13" t="n">
        <v>59</v>
      </c>
      <c r="D1236" s="13" t="s">
        <v>8937</v>
      </c>
      <c r="E1236" s="13" t="s">
        <v>14288</v>
      </c>
      <c r="F1236" s="13" t="s">
        <v>14289</v>
      </c>
      <c r="G1236" s="13" t="s">
        <v>11098</v>
      </c>
      <c r="H1236" s="13" t="s">
        <v>11099</v>
      </c>
      <c r="I1236" s="13" t="s">
        <v>14290</v>
      </c>
      <c r="J1236" s="13"/>
      <c r="K1236" s="13" t="s">
        <v>8942</v>
      </c>
      <c r="L1236" s="13" t="s">
        <v>8943</v>
      </c>
    </row>
    <row r="1237" customFormat="false" ht="46.25" hidden="false" customHeight="false" outlineLevel="0" collapsed="false">
      <c r="A1237" s="13" t="s">
        <v>4</v>
      </c>
      <c r="B1237" s="13" t="s">
        <v>4108</v>
      </c>
      <c r="C1237" s="13" t="n">
        <v>59</v>
      </c>
      <c r="D1237" s="13" t="s">
        <v>8945</v>
      </c>
      <c r="E1237" s="13" t="s">
        <v>14291</v>
      </c>
      <c r="F1237" s="13" t="s">
        <v>14292</v>
      </c>
      <c r="G1237" s="13" t="s">
        <v>11098</v>
      </c>
      <c r="H1237" s="13" t="s">
        <v>11099</v>
      </c>
      <c r="I1237" s="13" t="s">
        <v>14293</v>
      </c>
      <c r="J1237" s="13"/>
      <c r="K1237" s="13" t="s">
        <v>8948</v>
      </c>
      <c r="L1237" s="13" t="s">
        <v>8949</v>
      </c>
    </row>
    <row r="1238" customFormat="false" ht="35.05" hidden="false" customHeight="false" outlineLevel="0" collapsed="false">
      <c r="A1238" s="13" t="s">
        <v>4</v>
      </c>
      <c r="B1238" s="13" t="s">
        <v>4108</v>
      </c>
      <c r="C1238" s="13" t="n">
        <v>59</v>
      </c>
      <c r="D1238" s="13" t="s">
        <v>8952</v>
      </c>
      <c r="E1238" s="13" t="s">
        <v>14294</v>
      </c>
      <c r="F1238" s="13" t="s">
        <v>14295</v>
      </c>
      <c r="G1238" s="13" t="s">
        <v>11098</v>
      </c>
      <c r="H1238" s="13" t="s">
        <v>11099</v>
      </c>
      <c r="I1238" s="13" t="s">
        <v>14296</v>
      </c>
      <c r="J1238" s="13"/>
      <c r="K1238" s="13" t="s">
        <v>8954</v>
      </c>
      <c r="L1238" s="13" t="s">
        <v>8955</v>
      </c>
    </row>
    <row r="1239" customFormat="false" ht="46.25" hidden="false" customHeight="false" outlineLevel="0" collapsed="false">
      <c r="A1239" s="13" t="s">
        <v>4</v>
      </c>
      <c r="B1239" s="13" t="s">
        <v>4108</v>
      </c>
      <c r="C1239" s="13" t="n">
        <v>68</v>
      </c>
      <c r="D1239" s="13" t="s">
        <v>8957</v>
      </c>
      <c r="E1239" s="13" t="s">
        <v>14297</v>
      </c>
      <c r="F1239" s="13" t="s">
        <v>14298</v>
      </c>
      <c r="G1239" s="13" t="s">
        <v>11128</v>
      </c>
      <c r="H1239" s="13" t="s">
        <v>11099</v>
      </c>
      <c r="I1239" s="13"/>
      <c r="J1239" s="13"/>
      <c r="K1239" s="13" t="s">
        <v>8961</v>
      </c>
      <c r="L1239" s="13" t="s">
        <v>8962</v>
      </c>
    </row>
    <row r="1240" customFormat="false" ht="46.25" hidden="false" customHeight="false" outlineLevel="0" collapsed="false">
      <c r="A1240" s="13" t="s">
        <v>4</v>
      </c>
      <c r="B1240" s="13" t="s">
        <v>4108</v>
      </c>
      <c r="C1240" s="13" t="n">
        <v>68</v>
      </c>
      <c r="D1240" s="13" t="s">
        <v>8957</v>
      </c>
      <c r="E1240" s="13" t="s">
        <v>14299</v>
      </c>
      <c r="F1240" s="13" t="s">
        <v>14300</v>
      </c>
      <c r="G1240" s="13" t="s">
        <v>11098</v>
      </c>
      <c r="H1240" s="13" t="s">
        <v>11099</v>
      </c>
      <c r="I1240" s="13" t="s">
        <v>14301</v>
      </c>
      <c r="J1240" s="13"/>
      <c r="K1240" s="13" t="s">
        <v>8961</v>
      </c>
      <c r="L1240" s="13" t="s">
        <v>8962</v>
      </c>
    </row>
    <row r="1241" customFormat="false" ht="46.25" hidden="false" customHeight="false" outlineLevel="0" collapsed="false">
      <c r="A1241" s="13" t="s">
        <v>4</v>
      </c>
      <c r="B1241" s="13" t="s">
        <v>4108</v>
      </c>
      <c r="C1241" s="13" t="n">
        <v>68</v>
      </c>
      <c r="D1241" s="13" t="s">
        <v>8969</v>
      </c>
      <c r="E1241" s="13" t="s">
        <v>14302</v>
      </c>
      <c r="F1241" s="13" t="s">
        <v>14303</v>
      </c>
      <c r="G1241" s="13" t="s">
        <v>11098</v>
      </c>
      <c r="H1241" s="13" t="s">
        <v>11099</v>
      </c>
      <c r="I1241" s="13" t="s">
        <v>14304</v>
      </c>
      <c r="J1241" s="13"/>
      <c r="K1241" s="13" t="s">
        <v>8972</v>
      </c>
      <c r="L1241" s="13" t="s">
        <v>8973</v>
      </c>
    </row>
    <row r="1242" customFormat="false" ht="23.85" hidden="false" customHeight="false" outlineLevel="0" collapsed="false">
      <c r="A1242" s="13" t="s">
        <v>4</v>
      </c>
      <c r="B1242" s="13" t="s">
        <v>4108</v>
      </c>
      <c r="C1242" s="13" t="n">
        <v>68</v>
      </c>
      <c r="D1242" s="13" t="s">
        <v>8977</v>
      </c>
      <c r="E1242" s="13" t="s">
        <v>14305</v>
      </c>
      <c r="F1242" s="13" t="s">
        <v>14306</v>
      </c>
      <c r="G1242" s="13" t="s">
        <v>11098</v>
      </c>
      <c r="H1242" s="13" t="s">
        <v>11099</v>
      </c>
      <c r="I1242" s="13" t="s">
        <v>14307</v>
      </c>
      <c r="J1242" s="13"/>
      <c r="K1242" s="13" t="s">
        <v>8982</v>
      </c>
      <c r="L1242" s="13" t="s">
        <v>8983</v>
      </c>
    </row>
    <row r="1243" customFormat="false" ht="46.25" hidden="false" customHeight="false" outlineLevel="0" collapsed="false">
      <c r="A1243" s="13" t="s">
        <v>4</v>
      </c>
      <c r="B1243" s="13" t="s">
        <v>4108</v>
      </c>
      <c r="C1243" s="13" t="n">
        <v>68</v>
      </c>
      <c r="D1243" s="13" t="s">
        <v>8987</v>
      </c>
      <c r="E1243" s="13" t="s">
        <v>14308</v>
      </c>
      <c r="F1243" s="13" t="s">
        <v>14309</v>
      </c>
      <c r="G1243" s="13" t="s">
        <v>11098</v>
      </c>
      <c r="H1243" s="13" t="s">
        <v>11099</v>
      </c>
      <c r="I1243" s="13" t="s">
        <v>14310</v>
      </c>
      <c r="J1243" s="13"/>
      <c r="K1243" s="13" t="s">
        <v>8992</v>
      </c>
      <c r="L1243" s="13" t="s">
        <v>8993</v>
      </c>
    </row>
    <row r="1244" customFormat="false" ht="158.2" hidden="false" customHeight="false" outlineLevel="0" collapsed="false">
      <c r="A1244" s="13" t="s">
        <v>4</v>
      </c>
      <c r="B1244" s="13" t="s">
        <v>4108</v>
      </c>
      <c r="C1244" s="13" t="n">
        <v>68</v>
      </c>
      <c r="D1244" s="13" t="s">
        <v>8998</v>
      </c>
      <c r="E1244" s="13" t="s">
        <v>14311</v>
      </c>
      <c r="F1244" s="13" t="s">
        <v>14312</v>
      </c>
      <c r="G1244" s="13" t="s">
        <v>11098</v>
      </c>
      <c r="H1244" s="13" t="s">
        <v>11099</v>
      </c>
      <c r="I1244" s="13" t="s">
        <v>14313</v>
      </c>
      <c r="J1244" s="13"/>
      <c r="K1244" s="13" t="s">
        <v>9002</v>
      </c>
      <c r="L1244" s="13" t="s">
        <v>9003</v>
      </c>
    </row>
    <row r="1245" customFormat="false" ht="158.2" hidden="false" customHeight="false" outlineLevel="0" collapsed="false">
      <c r="A1245" s="13" t="s">
        <v>4</v>
      </c>
      <c r="B1245" s="13" t="s">
        <v>4108</v>
      </c>
      <c r="C1245" s="13" t="n">
        <v>68</v>
      </c>
      <c r="D1245" s="13" t="s">
        <v>8998</v>
      </c>
      <c r="E1245" s="13" t="s">
        <v>14314</v>
      </c>
      <c r="F1245" s="13" t="s">
        <v>14315</v>
      </c>
      <c r="G1245" s="13" t="s">
        <v>11128</v>
      </c>
      <c r="H1245" s="13" t="s">
        <v>11099</v>
      </c>
      <c r="I1245" s="13"/>
      <c r="J1245" s="13"/>
      <c r="K1245" s="13" t="s">
        <v>9002</v>
      </c>
      <c r="L1245" s="13" t="s">
        <v>9003</v>
      </c>
    </row>
    <row r="1246" customFormat="false" ht="79.85" hidden="false" customHeight="false" outlineLevel="0" collapsed="false">
      <c r="A1246" s="13" t="s">
        <v>4</v>
      </c>
      <c r="B1246" s="13" t="s">
        <v>4108</v>
      </c>
      <c r="C1246" s="13" t="n">
        <v>68</v>
      </c>
      <c r="D1246" s="13" t="s">
        <v>9013</v>
      </c>
      <c r="E1246" s="13" t="s">
        <v>14316</v>
      </c>
      <c r="F1246" s="13" t="s">
        <v>14317</v>
      </c>
      <c r="G1246" s="13" t="s">
        <v>11098</v>
      </c>
      <c r="H1246" s="13" t="s">
        <v>11099</v>
      </c>
      <c r="I1246" s="13" t="s">
        <v>14318</v>
      </c>
      <c r="J1246" s="13"/>
      <c r="K1246" s="13" t="s">
        <v>9017</v>
      </c>
      <c r="L1246" s="13" t="s">
        <v>9018</v>
      </c>
    </row>
    <row r="1247" customFormat="false" ht="23.85" hidden="false" customHeight="false" outlineLevel="0" collapsed="false">
      <c r="A1247" s="13" t="s">
        <v>4</v>
      </c>
      <c r="B1247" s="13" t="s">
        <v>4108</v>
      </c>
      <c r="C1247" s="13" t="n">
        <v>68</v>
      </c>
      <c r="D1247" s="13" t="s">
        <v>9023</v>
      </c>
      <c r="E1247" s="13" t="s">
        <v>14319</v>
      </c>
      <c r="F1247" s="13" t="s">
        <v>14320</v>
      </c>
      <c r="G1247" s="13" t="s">
        <v>11098</v>
      </c>
      <c r="H1247" s="13" t="s">
        <v>11099</v>
      </c>
      <c r="I1247" s="13" t="s">
        <v>9024</v>
      </c>
      <c r="J1247" s="13"/>
      <c r="K1247" s="13" t="s">
        <v>9027</v>
      </c>
      <c r="L1247" s="13" t="s">
        <v>9028</v>
      </c>
    </row>
    <row r="1248" customFormat="false" ht="57.45" hidden="false" customHeight="false" outlineLevel="0" collapsed="false">
      <c r="A1248" s="13" t="s">
        <v>4</v>
      </c>
      <c r="B1248" s="13" t="s">
        <v>4108</v>
      </c>
      <c r="C1248" s="13" t="n">
        <v>68</v>
      </c>
      <c r="D1248" s="13" t="s">
        <v>9029</v>
      </c>
      <c r="E1248" s="13" t="s">
        <v>14321</v>
      </c>
      <c r="F1248" s="13" t="s">
        <v>14322</v>
      </c>
      <c r="G1248" s="13" t="s">
        <v>11098</v>
      </c>
      <c r="H1248" s="13" t="s">
        <v>11099</v>
      </c>
      <c r="I1248" s="13" t="s">
        <v>14323</v>
      </c>
      <c r="J1248" s="13"/>
      <c r="K1248" s="13" t="s">
        <v>9033</v>
      </c>
      <c r="L1248" s="13" t="s">
        <v>9034</v>
      </c>
    </row>
    <row r="1249" customFormat="false" ht="46.25" hidden="false" customHeight="false" outlineLevel="0" collapsed="false">
      <c r="A1249" s="13" t="s">
        <v>4</v>
      </c>
      <c r="B1249" s="13" t="s">
        <v>4108</v>
      </c>
      <c r="C1249" s="13" t="n">
        <v>68</v>
      </c>
      <c r="D1249" s="13" t="s">
        <v>9038</v>
      </c>
      <c r="E1249" s="13" t="s">
        <v>14324</v>
      </c>
      <c r="F1249" s="13" t="s">
        <v>14325</v>
      </c>
      <c r="G1249" s="13" t="s">
        <v>11098</v>
      </c>
      <c r="H1249" s="13" t="s">
        <v>11099</v>
      </c>
      <c r="I1249" s="13" t="s">
        <v>9039</v>
      </c>
      <c r="J1249" s="13"/>
      <c r="K1249" s="13" t="s">
        <v>9041</v>
      </c>
      <c r="L1249" s="13" t="s">
        <v>9042</v>
      </c>
    </row>
    <row r="1250" customFormat="false" ht="46.25" hidden="false" customHeight="false" outlineLevel="0" collapsed="false">
      <c r="A1250" s="13" t="s">
        <v>4</v>
      </c>
      <c r="B1250" s="13" t="s">
        <v>4108</v>
      </c>
      <c r="C1250" s="13" t="n">
        <v>68</v>
      </c>
      <c r="D1250" s="13" t="s">
        <v>9038</v>
      </c>
      <c r="E1250" s="13" t="s">
        <v>14326</v>
      </c>
      <c r="F1250" s="13" t="s">
        <v>14327</v>
      </c>
      <c r="G1250" s="13" t="s">
        <v>11098</v>
      </c>
      <c r="H1250" s="13" t="s">
        <v>11099</v>
      </c>
      <c r="I1250" s="13" t="s">
        <v>9043</v>
      </c>
      <c r="J1250" s="13"/>
      <c r="K1250" s="13" t="s">
        <v>9041</v>
      </c>
      <c r="L1250" s="13" t="s">
        <v>9042</v>
      </c>
    </row>
    <row r="1251" customFormat="false" ht="57.45" hidden="false" customHeight="false" outlineLevel="0" collapsed="false">
      <c r="A1251" s="13" t="s">
        <v>4</v>
      </c>
      <c r="B1251" s="13" t="s">
        <v>4108</v>
      </c>
      <c r="C1251" s="13" t="n">
        <v>68</v>
      </c>
      <c r="D1251" s="13" t="s">
        <v>9046</v>
      </c>
      <c r="E1251" s="13" t="s">
        <v>14328</v>
      </c>
      <c r="F1251" s="13" t="s">
        <v>14329</v>
      </c>
      <c r="G1251" s="13" t="s">
        <v>11098</v>
      </c>
      <c r="H1251" s="13" t="s">
        <v>11099</v>
      </c>
      <c r="I1251" s="13" t="s">
        <v>14330</v>
      </c>
      <c r="J1251" s="13"/>
      <c r="K1251" s="13" t="s">
        <v>9050</v>
      </c>
      <c r="L1251" s="13" t="s">
        <v>9051</v>
      </c>
    </row>
    <row r="1252" customFormat="false" ht="35.05" hidden="false" customHeight="false" outlineLevel="0" collapsed="false">
      <c r="A1252" s="13" t="s">
        <v>4</v>
      </c>
      <c r="B1252" s="13" t="s">
        <v>4108</v>
      </c>
      <c r="C1252" s="13" t="n">
        <v>105</v>
      </c>
      <c r="D1252" s="13" t="s">
        <v>9059</v>
      </c>
      <c r="E1252" s="13" t="s">
        <v>14331</v>
      </c>
      <c r="F1252" s="13" t="s">
        <v>14332</v>
      </c>
      <c r="G1252" s="13" t="s">
        <v>11098</v>
      </c>
      <c r="H1252" s="13" t="s">
        <v>11099</v>
      </c>
      <c r="I1252" s="13" t="s">
        <v>14333</v>
      </c>
      <c r="J1252" s="13"/>
      <c r="K1252" s="13" t="s">
        <v>9063</v>
      </c>
      <c r="L1252" s="13" t="s">
        <v>9064</v>
      </c>
    </row>
    <row r="1253" customFormat="false" ht="57.45" hidden="false" customHeight="false" outlineLevel="0" collapsed="false">
      <c r="A1253" s="13" t="s">
        <v>4</v>
      </c>
      <c r="B1253" s="13" t="s">
        <v>4108</v>
      </c>
      <c r="C1253" s="13" t="n">
        <v>105</v>
      </c>
      <c r="D1253" s="13" t="s">
        <v>9068</v>
      </c>
      <c r="E1253" s="13" t="s">
        <v>14334</v>
      </c>
      <c r="F1253" s="13" t="s">
        <v>14335</v>
      </c>
      <c r="G1253" s="13" t="s">
        <v>11098</v>
      </c>
      <c r="H1253" s="13" t="s">
        <v>11099</v>
      </c>
      <c r="I1253" s="13" t="s">
        <v>14336</v>
      </c>
      <c r="J1253" s="13"/>
      <c r="K1253" s="13" t="s">
        <v>9071</v>
      </c>
      <c r="L1253" s="13" t="s">
        <v>9072</v>
      </c>
    </row>
    <row r="1254" customFormat="false" ht="35.05" hidden="false" customHeight="false" outlineLevel="0" collapsed="false">
      <c r="A1254" s="13" t="s">
        <v>4</v>
      </c>
      <c r="B1254" s="13" t="s">
        <v>4108</v>
      </c>
      <c r="C1254" s="13" t="n">
        <v>105</v>
      </c>
      <c r="D1254" s="13" t="s">
        <v>9075</v>
      </c>
      <c r="E1254" s="13" t="s">
        <v>14337</v>
      </c>
      <c r="F1254" s="13" t="s">
        <v>14338</v>
      </c>
      <c r="G1254" s="13" t="s">
        <v>11098</v>
      </c>
      <c r="H1254" s="13" t="s">
        <v>11099</v>
      </c>
      <c r="I1254" s="13" t="s">
        <v>14339</v>
      </c>
      <c r="J1254" s="13"/>
      <c r="K1254" s="13" t="s">
        <v>9078</v>
      </c>
      <c r="L1254" s="13" t="s">
        <v>9079</v>
      </c>
    </row>
    <row r="1255" customFormat="false" ht="35.05" hidden="false" customHeight="false" outlineLevel="0" collapsed="false">
      <c r="A1255" s="13" t="s">
        <v>4</v>
      </c>
      <c r="B1255" s="13" t="s">
        <v>4108</v>
      </c>
      <c r="C1255" s="13" t="n">
        <v>105</v>
      </c>
      <c r="D1255" s="13" t="s">
        <v>9082</v>
      </c>
      <c r="E1255" s="13" t="s">
        <v>14340</v>
      </c>
      <c r="F1255" s="13" t="s">
        <v>14341</v>
      </c>
      <c r="G1255" s="13" t="s">
        <v>11098</v>
      </c>
      <c r="H1255" s="13" t="s">
        <v>11099</v>
      </c>
      <c r="I1255" s="13" t="s">
        <v>14342</v>
      </c>
      <c r="J1255" s="13"/>
      <c r="K1255" s="13" t="s">
        <v>9085</v>
      </c>
      <c r="L1255" s="13" t="s">
        <v>9086</v>
      </c>
    </row>
    <row r="1256" customFormat="false" ht="23.85" hidden="false" customHeight="false" outlineLevel="0" collapsed="false">
      <c r="A1256" s="13" t="s">
        <v>4</v>
      </c>
      <c r="B1256" s="13" t="s">
        <v>4108</v>
      </c>
      <c r="C1256" s="13" t="n">
        <v>105</v>
      </c>
      <c r="D1256" s="13" t="s">
        <v>9089</v>
      </c>
      <c r="E1256" s="13" t="s">
        <v>14343</v>
      </c>
      <c r="F1256" s="13" t="s">
        <v>14344</v>
      </c>
      <c r="G1256" s="13" t="s">
        <v>11098</v>
      </c>
      <c r="H1256" s="13" t="s">
        <v>11099</v>
      </c>
      <c r="I1256" s="13" t="s">
        <v>14345</v>
      </c>
      <c r="J1256" s="13"/>
      <c r="K1256" s="13" t="s">
        <v>9092</v>
      </c>
      <c r="L1256" s="13" t="s">
        <v>9093</v>
      </c>
    </row>
    <row r="1257" customFormat="false" ht="35.05" hidden="false" customHeight="false" outlineLevel="0" collapsed="false">
      <c r="A1257" s="13" t="s">
        <v>4</v>
      </c>
      <c r="B1257" s="13" t="s">
        <v>4108</v>
      </c>
      <c r="C1257" s="13" t="n">
        <v>105</v>
      </c>
      <c r="D1257" s="13" t="s">
        <v>9096</v>
      </c>
      <c r="E1257" s="13" t="s">
        <v>14346</v>
      </c>
      <c r="F1257" s="13" t="s">
        <v>14347</v>
      </c>
      <c r="G1257" s="13" t="s">
        <v>11098</v>
      </c>
      <c r="H1257" s="13" t="s">
        <v>11099</v>
      </c>
      <c r="I1257" s="13" t="s">
        <v>14348</v>
      </c>
      <c r="J1257" s="13"/>
      <c r="K1257" s="13" t="s">
        <v>9099</v>
      </c>
      <c r="L1257" s="13" t="s">
        <v>9100</v>
      </c>
    </row>
    <row r="1258" customFormat="false" ht="57.45" hidden="false" customHeight="false" outlineLevel="0" collapsed="false">
      <c r="A1258" s="13" t="s">
        <v>4</v>
      </c>
      <c r="B1258" s="13" t="s">
        <v>4108</v>
      </c>
      <c r="C1258" s="13" t="n">
        <v>105</v>
      </c>
      <c r="D1258" s="13" t="s">
        <v>9104</v>
      </c>
      <c r="E1258" s="13" t="s">
        <v>14349</v>
      </c>
      <c r="F1258" s="13" t="s">
        <v>14350</v>
      </c>
      <c r="G1258" s="13" t="s">
        <v>11098</v>
      </c>
      <c r="H1258" s="13" t="s">
        <v>11099</v>
      </c>
      <c r="I1258" s="13" t="s">
        <v>14351</v>
      </c>
      <c r="J1258" s="13"/>
      <c r="K1258" s="13" t="s">
        <v>9108</v>
      </c>
      <c r="L1258" s="13" t="s">
        <v>9109</v>
      </c>
    </row>
    <row r="1259" customFormat="false" ht="57.45" hidden="false" customHeight="false" outlineLevel="0" collapsed="false">
      <c r="A1259" s="13" t="s">
        <v>4</v>
      </c>
      <c r="B1259" s="13" t="s">
        <v>4108</v>
      </c>
      <c r="C1259" s="13" t="n">
        <v>105</v>
      </c>
      <c r="D1259" s="13" t="s">
        <v>9104</v>
      </c>
      <c r="E1259" s="13" t="s">
        <v>14352</v>
      </c>
      <c r="F1259" s="13" t="s">
        <v>14353</v>
      </c>
      <c r="G1259" s="13" t="s">
        <v>11128</v>
      </c>
      <c r="H1259" s="13" t="s">
        <v>11099</v>
      </c>
      <c r="I1259" s="13"/>
      <c r="J1259" s="13"/>
      <c r="K1259" s="13" t="s">
        <v>9108</v>
      </c>
      <c r="L1259" s="13" t="s">
        <v>9109</v>
      </c>
    </row>
    <row r="1260" customFormat="false" ht="46.25" hidden="false" customHeight="false" outlineLevel="0" collapsed="false">
      <c r="A1260" s="13" t="s">
        <v>4</v>
      </c>
      <c r="B1260" s="13" t="s">
        <v>4108</v>
      </c>
      <c r="C1260" s="13" t="n">
        <v>105</v>
      </c>
      <c r="D1260" s="13" t="s">
        <v>9113</v>
      </c>
      <c r="E1260" s="13" t="s">
        <v>14354</v>
      </c>
      <c r="F1260" s="13" t="s">
        <v>14355</v>
      </c>
      <c r="G1260" s="13" t="s">
        <v>11098</v>
      </c>
      <c r="H1260" s="13" t="s">
        <v>11099</v>
      </c>
      <c r="I1260" s="13" t="s">
        <v>9114</v>
      </c>
      <c r="J1260" s="13"/>
      <c r="K1260" s="13" t="s">
        <v>9117</v>
      </c>
      <c r="L1260" s="13" t="s">
        <v>9118</v>
      </c>
    </row>
    <row r="1261" customFormat="false" ht="46.25" hidden="false" customHeight="false" outlineLevel="0" collapsed="false">
      <c r="A1261" s="13" t="s">
        <v>4</v>
      </c>
      <c r="B1261" s="13" t="s">
        <v>4108</v>
      </c>
      <c r="C1261" s="13" t="n">
        <v>105</v>
      </c>
      <c r="D1261" s="13" t="s">
        <v>9113</v>
      </c>
      <c r="E1261" s="13" t="s">
        <v>14356</v>
      </c>
      <c r="F1261" s="13" t="s">
        <v>14357</v>
      </c>
      <c r="G1261" s="13" t="s">
        <v>11098</v>
      </c>
      <c r="H1261" s="13" t="s">
        <v>11099</v>
      </c>
      <c r="I1261" s="13" t="s">
        <v>9119</v>
      </c>
      <c r="J1261" s="13"/>
      <c r="K1261" s="13" t="s">
        <v>9117</v>
      </c>
      <c r="L1261" s="13" t="s">
        <v>9118</v>
      </c>
    </row>
    <row r="1262" customFormat="false" ht="46.25" hidden="false" customHeight="false" outlineLevel="0" collapsed="false">
      <c r="A1262" s="13" t="s">
        <v>4</v>
      </c>
      <c r="B1262" s="13" t="s">
        <v>4108</v>
      </c>
      <c r="C1262" s="13" t="n">
        <v>105</v>
      </c>
      <c r="D1262" s="13" t="s">
        <v>9122</v>
      </c>
      <c r="E1262" s="13" t="s">
        <v>14358</v>
      </c>
      <c r="F1262" s="13" t="s">
        <v>14359</v>
      </c>
      <c r="G1262" s="13" t="s">
        <v>11098</v>
      </c>
      <c r="H1262" s="13" t="s">
        <v>11099</v>
      </c>
      <c r="I1262" s="13" t="s">
        <v>14360</v>
      </c>
      <c r="J1262" s="13"/>
      <c r="K1262" s="13" t="s">
        <v>9125</v>
      </c>
      <c r="L1262" s="13" t="s">
        <v>9126</v>
      </c>
    </row>
    <row r="1263" customFormat="false" ht="35.05" hidden="false" customHeight="false" outlineLevel="0" collapsed="false">
      <c r="A1263" s="13" t="s">
        <v>4</v>
      </c>
      <c r="B1263" s="13" t="s">
        <v>4108</v>
      </c>
      <c r="C1263" s="13" t="n">
        <v>105</v>
      </c>
      <c r="D1263" s="13" t="s">
        <v>9130</v>
      </c>
      <c r="E1263" s="13" t="s">
        <v>14361</v>
      </c>
      <c r="F1263" s="13" t="s">
        <v>14362</v>
      </c>
      <c r="G1263" s="13" t="s">
        <v>11098</v>
      </c>
      <c r="H1263" s="13" t="s">
        <v>11099</v>
      </c>
      <c r="I1263" s="13" t="s">
        <v>9131</v>
      </c>
      <c r="J1263" s="13"/>
      <c r="K1263" s="13" t="s">
        <v>9133</v>
      </c>
      <c r="L1263" s="13" t="s">
        <v>9134</v>
      </c>
    </row>
    <row r="1264" customFormat="false" ht="35.05" hidden="false" customHeight="false" outlineLevel="0" collapsed="false">
      <c r="A1264" s="13" t="s">
        <v>4</v>
      </c>
      <c r="B1264" s="13" t="s">
        <v>4108</v>
      </c>
      <c r="C1264" s="13" t="n">
        <v>105</v>
      </c>
      <c r="D1264" s="13" t="s">
        <v>9135</v>
      </c>
      <c r="E1264" s="13" t="s">
        <v>14363</v>
      </c>
      <c r="F1264" s="13" t="s">
        <v>14364</v>
      </c>
      <c r="G1264" s="13" t="s">
        <v>11098</v>
      </c>
      <c r="H1264" s="13" t="s">
        <v>11099</v>
      </c>
      <c r="I1264" s="13" t="s">
        <v>14365</v>
      </c>
      <c r="J1264" s="13"/>
      <c r="K1264" s="13" t="s">
        <v>9139</v>
      </c>
      <c r="L1264" s="13" t="s">
        <v>9140</v>
      </c>
    </row>
    <row r="1265" customFormat="false" ht="393.25" hidden="false" customHeight="false" outlineLevel="0" collapsed="false">
      <c r="A1265" s="13" t="s">
        <v>4</v>
      </c>
      <c r="B1265" s="13" t="s">
        <v>4108</v>
      </c>
      <c r="C1265" s="13" t="n">
        <v>105</v>
      </c>
      <c r="D1265" s="13" t="s">
        <v>9144</v>
      </c>
      <c r="E1265" s="13" t="s">
        <v>14366</v>
      </c>
      <c r="F1265" s="13" t="s">
        <v>14367</v>
      </c>
      <c r="G1265" s="13" t="s">
        <v>11098</v>
      </c>
      <c r="H1265" s="13" t="s">
        <v>11099</v>
      </c>
      <c r="I1265" s="13" t="s">
        <v>9145</v>
      </c>
      <c r="J1265" s="13"/>
      <c r="K1265" s="13" t="s">
        <v>9147</v>
      </c>
      <c r="L1265" s="13" t="s">
        <v>9148</v>
      </c>
    </row>
    <row r="1266" customFormat="false" ht="393.25" hidden="false" customHeight="false" outlineLevel="0" collapsed="false">
      <c r="A1266" s="13" t="s">
        <v>4</v>
      </c>
      <c r="B1266" s="13" t="s">
        <v>4108</v>
      </c>
      <c r="C1266" s="13" t="n">
        <v>105</v>
      </c>
      <c r="D1266" s="13" t="s">
        <v>9144</v>
      </c>
      <c r="E1266" s="13" t="s">
        <v>14368</v>
      </c>
      <c r="F1266" s="13" t="s">
        <v>14369</v>
      </c>
      <c r="G1266" s="13" t="s">
        <v>11098</v>
      </c>
      <c r="H1266" s="13" t="s">
        <v>11099</v>
      </c>
      <c r="I1266" s="13" t="s">
        <v>14370</v>
      </c>
      <c r="J1266" s="13"/>
      <c r="K1266" s="13" t="s">
        <v>9147</v>
      </c>
      <c r="L1266" s="13" t="s">
        <v>9148</v>
      </c>
    </row>
    <row r="1267" customFormat="false" ht="46.25" hidden="false" customHeight="false" outlineLevel="0" collapsed="false">
      <c r="A1267" s="13" t="s">
        <v>4</v>
      </c>
      <c r="B1267" s="13" t="s">
        <v>4108</v>
      </c>
      <c r="C1267" s="13" t="n">
        <v>169</v>
      </c>
      <c r="D1267" s="13" t="s">
        <v>9160</v>
      </c>
      <c r="E1267" s="13" t="s">
        <v>14371</v>
      </c>
      <c r="F1267" s="13" t="s">
        <v>14372</v>
      </c>
      <c r="G1267" s="13" t="s">
        <v>11098</v>
      </c>
      <c r="H1267" s="13" t="s">
        <v>11099</v>
      </c>
      <c r="I1267" s="13" t="s">
        <v>14373</v>
      </c>
      <c r="J1267" s="13"/>
      <c r="K1267" s="13" t="s">
        <v>9164</v>
      </c>
      <c r="L1267" s="13" t="s">
        <v>9165</v>
      </c>
    </row>
    <row r="1268" customFormat="false" ht="35.05" hidden="false" customHeight="false" outlineLevel="0" collapsed="false">
      <c r="A1268" s="13" t="s">
        <v>4</v>
      </c>
      <c r="B1268" s="13" t="s">
        <v>4108</v>
      </c>
      <c r="C1268" s="13" t="n">
        <v>169</v>
      </c>
      <c r="D1268" s="13" t="s">
        <v>14374</v>
      </c>
      <c r="E1268" s="13" t="s">
        <v>14375</v>
      </c>
      <c r="F1268" s="13" t="s">
        <v>14376</v>
      </c>
      <c r="G1268" s="13" t="s">
        <v>11128</v>
      </c>
      <c r="H1268" s="13" t="s">
        <v>11099</v>
      </c>
      <c r="I1268" s="13"/>
      <c r="J1268" s="13" t="s">
        <v>14377</v>
      </c>
      <c r="K1268" s="13" t="s">
        <v>14378</v>
      </c>
      <c r="L1268" s="13" t="s">
        <v>14379</v>
      </c>
    </row>
    <row r="1269" customFormat="false" ht="135.8" hidden="false" customHeight="false" outlineLevel="0" collapsed="false">
      <c r="A1269" s="13" t="s">
        <v>4</v>
      </c>
      <c r="B1269" s="13" t="s">
        <v>4108</v>
      </c>
      <c r="C1269" s="13" t="n">
        <v>169</v>
      </c>
      <c r="D1269" s="13" t="s">
        <v>9169</v>
      </c>
      <c r="E1269" s="13" t="s">
        <v>14380</v>
      </c>
      <c r="F1269" s="13" t="s">
        <v>14381</v>
      </c>
      <c r="G1269" s="13" t="s">
        <v>11128</v>
      </c>
      <c r="H1269" s="13" t="s">
        <v>11099</v>
      </c>
      <c r="I1269" s="13"/>
      <c r="J1269" s="13" t="s">
        <v>14382</v>
      </c>
      <c r="K1269" s="13" t="s">
        <v>9173</v>
      </c>
      <c r="L1269" s="13" t="s">
        <v>9174</v>
      </c>
    </row>
    <row r="1270" customFormat="false" ht="135.8" hidden="false" customHeight="false" outlineLevel="0" collapsed="false">
      <c r="A1270" s="13" t="s">
        <v>4</v>
      </c>
      <c r="B1270" s="13" t="s">
        <v>4108</v>
      </c>
      <c r="C1270" s="13" t="n">
        <v>169</v>
      </c>
      <c r="D1270" s="13" t="s">
        <v>9169</v>
      </c>
      <c r="E1270" s="13" t="s">
        <v>14383</v>
      </c>
      <c r="F1270" s="13" t="s">
        <v>14384</v>
      </c>
      <c r="G1270" s="13" t="s">
        <v>11098</v>
      </c>
      <c r="H1270" s="13" t="s">
        <v>11099</v>
      </c>
      <c r="I1270" s="13" t="s">
        <v>9170</v>
      </c>
      <c r="J1270" s="13"/>
      <c r="K1270" s="13" t="s">
        <v>9173</v>
      </c>
      <c r="L1270" s="13" t="s">
        <v>9174</v>
      </c>
    </row>
    <row r="1271" customFormat="false" ht="135.8" hidden="false" customHeight="false" outlineLevel="0" collapsed="false">
      <c r="A1271" s="13" t="s">
        <v>4</v>
      </c>
      <c r="B1271" s="13" t="s">
        <v>4108</v>
      </c>
      <c r="C1271" s="13" t="n">
        <v>169</v>
      </c>
      <c r="D1271" s="13" t="s">
        <v>9169</v>
      </c>
      <c r="E1271" s="13" t="s">
        <v>14385</v>
      </c>
      <c r="F1271" s="13" t="s">
        <v>14386</v>
      </c>
      <c r="G1271" s="13" t="s">
        <v>11098</v>
      </c>
      <c r="H1271" s="13" t="s">
        <v>11099</v>
      </c>
      <c r="I1271" s="13" t="s">
        <v>14387</v>
      </c>
      <c r="J1271" s="13"/>
      <c r="K1271" s="13" t="s">
        <v>9173</v>
      </c>
      <c r="L1271" s="13" t="s">
        <v>9174</v>
      </c>
    </row>
    <row r="1272" customFormat="false" ht="135.8" hidden="false" customHeight="false" outlineLevel="0" collapsed="false">
      <c r="A1272" s="13" t="s">
        <v>4</v>
      </c>
      <c r="B1272" s="13" t="s">
        <v>4108</v>
      </c>
      <c r="C1272" s="13" t="n">
        <v>169</v>
      </c>
      <c r="D1272" s="13" t="s">
        <v>9181</v>
      </c>
      <c r="E1272" s="13" t="s">
        <v>14388</v>
      </c>
      <c r="F1272" s="13" t="s">
        <v>14389</v>
      </c>
      <c r="G1272" s="13" t="s">
        <v>11098</v>
      </c>
      <c r="H1272" s="13" t="s">
        <v>11099</v>
      </c>
      <c r="I1272" s="13" t="s">
        <v>14390</v>
      </c>
      <c r="J1272" s="13"/>
      <c r="K1272" s="13" t="s">
        <v>9185</v>
      </c>
      <c r="L1272" s="13" t="s">
        <v>9186</v>
      </c>
    </row>
    <row r="1273" customFormat="false" ht="35.05" hidden="false" customHeight="false" outlineLevel="0" collapsed="false">
      <c r="A1273" s="13" t="s">
        <v>4</v>
      </c>
      <c r="B1273" s="13" t="s">
        <v>4108</v>
      </c>
      <c r="C1273" s="13" t="n">
        <v>169</v>
      </c>
      <c r="D1273" s="13" t="s">
        <v>9193</v>
      </c>
      <c r="E1273" s="13" t="s">
        <v>14391</v>
      </c>
      <c r="F1273" s="13" t="s">
        <v>14392</v>
      </c>
      <c r="G1273" s="13" t="s">
        <v>11098</v>
      </c>
      <c r="H1273" s="13" t="s">
        <v>11099</v>
      </c>
      <c r="I1273" s="13" t="s">
        <v>14393</v>
      </c>
      <c r="J1273" s="13"/>
      <c r="K1273" s="13" t="s">
        <v>9197</v>
      </c>
      <c r="L1273" s="13" t="s">
        <v>9198</v>
      </c>
    </row>
    <row r="1274" customFormat="false" ht="35.05" hidden="false" customHeight="false" outlineLevel="0" collapsed="false">
      <c r="A1274" s="13" t="s">
        <v>4</v>
      </c>
      <c r="B1274" s="13" t="s">
        <v>4108</v>
      </c>
      <c r="C1274" s="13" t="n">
        <v>169</v>
      </c>
      <c r="D1274" s="13" t="s">
        <v>9201</v>
      </c>
      <c r="E1274" s="13" t="s">
        <v>14394</v>
      </c>
      <c r="F1274" s="13" t="s">
        <v>14395</v>
      </c>
      <c r="G1274" s="13" t="s">
        <v>11098</v>
      </c>
      <c r="H1274" s="13" t="s">
        <v>11099</v>
      </c>
      <c r="I1274" s="13" t="s">
        <v>9202</v>
      </c>
      <c r="J1274" s="13"/>
      <c r="K1274" s="13" t="s">
        <v>9204</v>
      </c>
      <c r="L1274" s="13" t="s">
        <v>9205</v>
      </c>
    </row>
    <row r="1275" customFormat="false" ht="35.05" hidden="false" customHeight="false" outlineLevel="0" collapsed="false">
      <c r="A1275" s="13" t="s">
        <v>4</v>
      </c>
      <c r="B1275" s="13" t="s">
        <v>4108</v>
      </c>
      <c r="C1275" s="13" t="n">
        <v>169</v>
      </c>
      <c r="D1275" s="13" t="s">
        <v>9206</v>
      </c>
      <c r="E1275" s="13" t="s">
        <v>14396</v>
      </c>
      <c r="F1275" s="13" t="s">
        <v>14397</v>
      </c>
      <c r="G1275" s="13" t="s">
        <v>11098</v>
      </c>
      <c r="H1275" s="13" t="s">
        <v>11099</v>
      </c>
      <c r="I1275" s="13" t="s">
        <v>9207</v>
      </c>
      <c r="J1275" s="13"/>
      <c r="K1275" s="13" t="s">
        <v>9209</v>
      </c>
      <c r="L1275" s="13" t="s">
        <v>9210</v>
      </c>
    </row>
    <row r="1276" customFormat="false" ht="35.05" hidden="false" customHeight="false" outlineLevel="0" collapsed="false">
      <c r="A1276" s="13" t="s">
        <v>4</v>
      </c>
      <c r="B1276" s="13" t="s">
        <v>4108</v>
      </c>
      <c r="C1276" s="13" t="n">
        <v>169</v>
      </c>
      <c r="D1276" s="13" t="s">
        <v>9211</v>
      </c>
      <c r="E1276" s="13" t="s">
        <v>14398</v>
      </c>
      <c r="F1276" s="13" t="s">
        <v>14399</v>
      </c>
      <c r="G1276" s="13" t="s">
        <v>11098</v>
      </c>
      <c r="H1276" s="13" t="s">
        <v>11099</v>
      </c>
      <c r="I1276" s="13" t="s">
        <v>14400</v>
      </c>
      <c r="J1276" s="13"/>
      <c r="K1276" s="13" t="s">
        <v>9214</v>
      </c>
      <c r="L1276" s="13" t="s">
        <v>9215</v>
      </c>
    </row>
    <row r="1277" customFormat="false" ht="102.2" hidden="false" customHeight="false" outlineLevel="0" collapsed="false">
      <c r="A1277" s="13" t="s">
        <v>4</v>
      </c>
      <c r="B1277" s="13" t="s">
        <v>4108</v>
      </c>
      <c r="C1277" s="13" t="n">
        <v>169</v>
      </c>
      <c r="D1277" s="13" t="s">
        <v>9219</v>
      </c>
      <c r="E1277" s="13" t="s">
        <v>14401</v>
      </c>
      <c r="F1277" s="13" t="s">
        <v>14402</v>
      </c>
      <c r="G1277" s="13" t="s">
        <v>11098</v>
      </c>
      <c r="H1277" s="13" t="s">
        <v>11099</v>
      </c>
      <c r="I1277" s="13" t="s">
        <v>14403</v>
      </c>
      <c r="J1277" s="13"/>
      <c r="K1277" s="13" t="s">
        <v>9224</v>
      </c>
      <c r="L1277" s="13" t="s">
        <v>9225</v>
      </c>
    </row>
    <row r="1278" customFormat="false" ht="102.2" hidden="false" customHeight="false" outlineLevel="0" collapsed="false">
      <c r="A1278" s="13" t="s">
        <v>4</v>
      </c>
      <c r="B1278" s="13" t="s">
        <v>4108</v>
      </c>
      <c r="C1278" s="13" t="n">
        <v>169</v>
      </c>
      <c r="D1278" s="13" t="s">
        <v>9219</v>
      </c>
      <c r="E1278" s="13" t="s">
        <v>14404</v>
      </c>
      <c r="F1278" s="13" t="s">
        <v>14405</v>
      </c>
      <c r="G1278" s="13" t="s">
        <v>11098</v>
      </c>
      <c r="H1278" s="13" t="s">
        <v>11099</v>
      </c>
      <c r="I1278" s="13" t="s">
        <v>9226</v>
      </c>
      <c r="J1278" s="13"/>
      <c r="K1278" s="13" t="s">
        <v>9224</v>
      </c>
      <c r="L1278" s="13" t="s">
        <v>9225</v>
      </c>
    </row>
    <row r="1279" customFormat="false" ht="91" hidden="false" customHeight="false" outlineLevel="0" collapsed="false">
      <c r="A1279" s="13" t="s">
        <v>4</v>
      </c>
      <c r="B1279" s="13" t="s">
        <v>4108</v>
      </c>
      <c r="C1279" s="13" t="n">
        <v>173</v>
      </c>
      <c r="D1279" s="13" t="s">
        <v>9229</v>
      </c>
      <c r="E1279" s="13" t="s">
        <v>14406</v>
      </c>
      <c r="F1279" s="13" t="s">
        <v>14407</v>
      </c>
      <c r="G1279" s="13" t="s">
        <v>11098</v>
      </c>
      <c r="H1279" s="13" t="s">
        <v>11099</v>
      </c>
      <c r="I1279" s="13" t="s">
        <v>14408</v>
      </c>
      <c r="J1279" s="13"/>
      <c r="K1279" s="13" t="s">
        <v>9232</v>
      </c>
      <c r="L1279" s="13" t="s">
        <v>9233</v>
      </c>
    </row>
    <row r="1280" customFormat="false" ht="23.85" hidden="false" customHeight="false" outlineLevel="0" collapsed="false">
      <c r="A1280" s="13" t="s">
        <v>4</v>
      </c>
      <c r="B1280" s="13" t="s">
        <v>4108</v>
      </c>
      <c r="C1280" s="13" t="n">
        <v>173</v>
      </c>
      <c r="D1280" s="13" t="s">
        <v>9250</v>
      </c>
      <c r="E1280" s="13" t="s">
        <v>14409</v>
      </c>
      <c r="F1280" s="13" t="s">
        <v>14410</v>
      </c>
      <c r="G1280" s="13" t="s">
        <v>11098</v>
      </c>
      <c r="H1280" s="13" t="s">
        <v>11099</v>
      </c>
      <c r="I1280" s="13" t="s">
        <v>9251</v>
      </c>
      <c r="J1280" s="13"/>
      <c r="K1280" s="13" t="s">
        <v>9254</v>
      </c>
      <c r="L1280" s="13" t="s">
        <v>9255</v>
      </c>
    </row>
    <row r="1281" customFormat="false" ht="135.8" hidden="false" customHeight="false" outlineLevel="0" collapsed="false">
      <c r="A1281" s="13" t="s">
        <v>4</v>
      </c>
      <c r="B1281" s="13" t="s">
        <v>4108</v>
      </c>
      <c r="C1281" s="13" t="n">
        <v>173</v>
      </c>
      <c r="D1281" s="13" t="s">
        <v>9256</v>
      </c>
      <c r="E1281" s="13" t="s">
        <v>14411</v>
      </c>
      <c r="F1281" s="13" t="s">
        <v>14412</v>
      </c>
      <c r="G1281" s="13" t="s">
        <v>11098</v>
      </c>
      <c r="H1281" s="13" t="s">
        <v>11099</v>
      </c>
      <c r="I1281" s="13" t="s">
        <v>14413</v>
      </c>
      <c r="J1281" s="13"/>
      <c r="K1281" s="13" t="s">
        <v>9260</v>
      </c>
      <c r="L1281" s="13" t="s">
        <v>9261</v>
      </c>
    </row>
    <row r="1282" customFormat="false" ht="147" hidden="false" customHeight="false" outlineLevel="0" collapsed="false">
      <c r="A1282" s="13" t="s">
        <v>4</v>
      </c>
      <c r="B1282" s="13" t="s">
        <v>4108</v>
      </c>
      <c r="C1282" s="13" t="n">
        <v>173</v>
      </c>
      <c r="D1282" s="13" t="s">
        <v>9284</v>
      </c>
      <c r="E1282" s="13" t="s">
        <v>14414</v>
      </c>
      <c r="F1282" s="13" t="s">
        <v>14415</v>
      </c>
      <c r="G1282" s="13" t="s">
        <v>11098</v>
      </c>
      <c r="H1282" s="13" t="s">
        <v>11099</v>
      </c>
      <c r="I1282" s="13" t="s">
        <v>14416</v>
      </c>
      <c r="J1282" s="13"/>
      <c r="K1282" s="13" t="s">
        <v>9287</v>
      </c>
      <c r="L1282" s="13" t="s">
        <v>9288</v>
      </c>
    </row>
    <row r="1283" customFormat="false" ht="23.85" hidden="false" customHeight="false" outlineLevel="0" collapsed="false">
      <c r="A1283" s="13" t="s">
        <v>4</v>
      </c>
      <c r="B1283" s="13" t="s">
        <v>4108</v>
      </c>
      <c r="C1283" s="13" t="n">
        <v>173</v>
      </c>
      <c r="D1283" s="13" t="s">
        <v>9313</v>
      </c>
      <c r="E1283" s="13" t="s">
        <v>14417</v>
      </c>
      <c r="F1283" s="13" t="s">
        <v>14418</v>
      </c>
      <c r="G1283" s="13" t="s">
        <v>11098</v>
      </c>
      <c r="H1283" s="13" t="s">
        <v>11099</v>
      </c>
      <c r="I1283" s="13" t="s">
        <v>9314</v>
      </c>
      <c r="J1283" s="13"/>
      <c r="K1283" s="13" t="s">
        <v>9317</v>
      </c>
      <c r="L1283" s="13" t="s">
        <v>9318</v>
      </c>
    </row>
    <row r="1284" customFormat="false" ht="15" hidden="false" customHeight="false" outlineLevel="0" collapsed="false">
      <c r="A1284" s="13" t="s">
        <v>4</v>
      </c>
      <c r="B1284" s="13" t="s">
        <v>4108</v>
      </c>
      <c r="C1284" s="13" t="n">
        <v>173</v>
      </c>
      <c r="D1284" s="13" t="s">
        <v>9319</v>
      </c>
      <c r="E1284" s="13" t="s">
        <v>14419</v>
      </c>
      <c r="F1284" s="13" t="s">
        <v>14420</v>
      </c>
      <c r="G1284" s="13" t="s">
        <v>11098</v>
      </c>
      <c r="H1284" s="13" t="s">
        <v>11099</v>
      </c>
      <c r="I1284" s="13" t="s">
        <v>9320</v>
      </c>
      <c r="J1284" s="13"/>
      <c r="K1284" s="13" t="s">
        <v>9323</v>
      </c>
      <c r="L1284" s="13" t="s">
        <v>9324</v>
      </c>
    </row>
    <row r="1285" customFormat="false" ht="147" hidden="false" customHeight="false" outlineLevel="0" collapsed="false">
      <c r="A1285" s="13" t="s">
        <v>4</v>
      </c>
      <c r="B1285" s="13" t="s">
        <v>4108</v>
      </c>
      <c r="C1285" s="13" t="n">
        <v>173</v>
      </c>
      <c r="D1285" s="13" t="s">
        <v>9325</v>
      </c>
      <c r="E1285" s="13" t="s">
        <v>14421</v>
      </c>
      <c r="F1285" s="13" t="s">
        <v>14422</v>
      </c>
      <c r="G1285" s="13" t="s">
        <v>11098</v>
      </c>
      <c r="H1285" s="13" t="s">
        <v>11099</v>
      </c>
      <c r="I1285" s="13" t="s">
        <v>9326</v>
      </c>
      <c r="J1285" s="13"/>
      <c r="K1285" s="13" t="s">
        <v>9332</v>
      </c>
      <c r="L1285" s="13" t="s">
        <v>9333</v>
      </c>
    </row>
    <row r="1286" customFormat="false" ht="147" hidden="false" customHeight="false" outlineLevel="0" collapsed="false">
      <c r="A1286" s="13" t="s">
        <v>4</v>
      </c>
      <c r="B1286" s="13" t="s">
        <v>4108</v>
      </c>
      <c r="C1286" s="13" t="n">
        <v>173</v>
      </c>
      <c r="D1286" s="13" t="s">
        <v>9325</v>
      </c>
      <c r="E1286" s="13" t="s">
        <v>14423</v>
      </c>
      <c r="F1286" s="13" t="s">
        <v>14424</v>
      </c>
      <c r="G1286" s="13" t="s">
        <v>11098</v>
      </c>
      <c r="H1286" s="13" t="s">
        <v>11099</v>
      </c>
      <c r="I1286" s="13" t="s">
        <v>14425</v>
      </c>
      <c r="J1286" s="13"/>
      <c r="K1286" s="13" t="s">
        <v>9332</v>
      </c>
      <c r="L1286" s="13" t="s">
        <v>9333</v>
      </c>
    </row>
    <row r="1287" customFormat="false" ht="147" hidden="false" customHeight="false" outlineLevel="0" collapsed="false">
      <c r="A1287" s="13" t="s">
        <v>4</v>
      </c>
      <c r="B1287" s="13" t="s">
        <v>4108</v>
      </c>
      <c r="C1287" s="13" t="n">
        <v>173</v>
      </c>
      <c r="D1287" s="13" t="s">
        <v>9325</v>
      </c>
      <c r="E1287" s="13" t="s">
        <v>14426</v>
      </c>
      <c r="F1287" s="13" t="s">
        <v>14427</v>
      </c>
      <c r="G1287" s="13" t="s">
        <v>11098</v>
      </c>
      <c r="H1287" s="13" t="s">
        <v>11099</v>
      </c>
      <c r="I1287" s="13" t="s">
        <v>9339</v>
      </c>
      <c r="J1287" s="13"/>
      <c r="K1287" s="13" t="s">
        <v>9332</v>
      </c>
      <c r="L1287" s="13" t="s">
        <v>9333</v>
      </c>
    </row>
    <row r="1288" customFormat="false" ht="46.25" hidden="false" customHeight="false" outlineLevel="0" collapsed="false">
      <c r="A1288" s="13" t="s">
        <v>4</v>
      </c>
      <c r="B1288" s="13" t="s">
        <v>4108</v>
      </c>
      <c r="C1288" s="13" t="n">
        <v>183</v>
      </c>
      <c r="D1288" s="13" t="s">
        <v>9345</v>
      </c>
      <c r="E1288" s="13" t="s">
        <v>14428</v>
      </c>
      <c r="F1288" s="13" t="s">
        <v>14429</v>
      </c>
      <c r="G1288" s="13" t="s">
        <v>11098</v>
      </c>
      <c r="H1288" s="13" t="s">
        <v>11099</v>
      </c>
      <c r="I1288" s="13" t="s">
        <v>9346</v>
      </c>
      <c r="J1288" s="13"/>
      <c r="K1288" s="13" t="s">
        <v>9349</v>
      </c>
      <c r="L1288" s="13" t="s">
        <v>9350</v>
      </c>
    </row>
    <row r="1289" customFormat="false" ht="68.65" hidden="false" customHeight="false" outlineLevel="0" collapsed="false">
      <c r="A1289" s="13" t="s">
        <v>4</v>
      </c>
      <c r="B1289" s="13" t="s">
        <v>4108</v>
      </c>
      <c r="C1289" s="13" t="n">
        <v>183</v>
      </c>
      <c r="D1289" s="13" t="s">
        <v>9351</v>
      </c>
      <c r="E1289" s="13" t="s">
        <v>14430</v>
      </c>
      <c r="F1289" s="13" t="s">
        <v>14431</v>
      </c>
      <c r="G1289" s="13" t="s">
        <v>11098</v>
      </c>
      <c r="H1289" s="13" t="s">
        <v>11099</v>
      </c>
      <c r="I1289" s="13" t="s">
        <v>14432</v>
      </c>
      <c r="J1289" s="13"/>
      <c r="K1289" s="13" t="s">
        <v>9354</v>
      </c>
      <c r="L1289" s="13" t="s">
        <v>9355</v>
      </c>
    </row>
    <row r="1290" customFormat="false" ht="23.85" hidden="false" customHeight="false" outlineLevel="0" collapsed="false">
      <c r="A1290" s="13" t="s">
        <v>4</v>
      </c>
      <c r="B1290" s="13" t="s">
        <v>4108</v>
      </c>
      <c r="C1290" s="13" t="n">
        <v>183</v>
      </c>
      <c r="D1290" s="13" t="s">
        <v>9359</v>
      </c>
      <c r="E1290" s="13" t="s">
        <v>14433</v>
      </c>
      <c r="F1290" s="13" t="s">
        <v>14434</v>
      </c>
      <c r="G1290" s="13" t="s">
        <v>11098</v>
      </c>
      <c r="H1290" s="13" t="s">
        <v>11099</v>
      </c>
      <c r="I1290" s="13" t="s">
        <v>14435</v>
      </c>
      <c r="J1290" s="13"/>
      <c r="K1290" s="13" t="s">
        <v>9364</v>
      </c>
      <c r="L1290" s="13" t="s">
        <v>9365</v>
      </c>
    </row>
    <row r="1291" customFormat="false" ht="57.45" hidden="false" customHeight="false" outlineLevel="0" collapsed="false">
      <c r="A1291" s="13" t="s">
        <v>4</v>
      </c>
      <c r="B1291" s="13" t="s">
        <v>4108</v>
      </c>
      <c r="C1291" s="13" t="n">
        <v>183</v>
      </c>
      <c r="D1291" s="13" t="s">
        <v>9367</v>
      </c>
      <c r="E1291" s="13" t="s">
        <v>14436</v>
      </c>
      <c r="F1291" s="13" t="s">
        <v>14437</v>
      </c>
      <c r="G1291" s="13" t="s">
        <v>11098</v>
      </c>
      <c r="H1291" s="13" t="s">
        <v>11099</v>
      </c>
      <c r="I1291" s="13" t="s">
        <v>9368</v>
      </c>
      <c r="J1291" s="13"/>
      <c r="K1291" s="13" t="s">
        <v>9373</v>
      </c>
      <c r="L1291" s="13" t="s">
        <v>9374</v>
      </c>
    </row>
    <row r="1292" customFormat="false" ht="102.2" hidden="false" customHeight="false" outlineLevel="0" collapsed="false">
      <c r="A1292" s="13" t="s">
        <v>4</v>
      </c>
      <c r="B1292" s="13" t="s">
        <v>4108</v>
      </c>
      <c r="C1292" s="13" t="n">
        <v>183</v>
      </c>
      <c r="D1292" s="13" t="s">
        <v>9375</v>
      </c>
      <c r="E1292" s="13" t="s">
        <v>14438</v>
      </c>
      <c r="F1292" s="13" t="s">
        <v>14439</v>
      </c>
      <c r="G1292" s="13" t="s">
        <v>11315</v>
      </c>
      <c r="H1292" s="13" t="s">
        <v>11099</v>
      </c>
      <c r="I1292" s="13" t="s">
        <v>14440</v>
      </c>
      <c r="J1292" s="13" t="s">
        <v>14441</v>
      </c>
      <c r="K1292" s="13" t="s">
        <v>9379</v>
      </c>
      <c r="L1292" s="13" t="s">
        <v>9380</v>
      </c>
    </row>
    <row r="1293" customFormat="false" ht="35.05" hidden="false" customHeight="false" outlineLevel="0" collapsed="false">
      <c r="A1293" s="13" t="s">
        <v>4</v>
      </c>
      <c r="B1293" s="13" t="s">
        <v>4108</v>
      </c>
      <c r="C1293" s="13" t="n">
        <v>183</v>
      </c>
      <c r="D1293" s="13" t="s">
        <v>9383</v>
      </c>
      <c r="E1293" s="13" t="s">
        <v>14442</v>
      </c>
      <c r="F1293" s="13" t="s">
        <v>14443</v>
      </c>
      <c r="G1293" s="13" t="s">
        <v>11098</v>
      </c>
      <c r="H1293" s="13" t="s">
        <v>11099</v>
      </c>
      <c r="I1293" s="13" t="s">
        <v>9384</v>
      </c>
      <c r="J1293" s="13"/>
      <c r="K1293" s="13" t="s">
        <v>9387</v>
      </c>
      <c r="L1293" s="13" t="s">
        <v>9388</v>
      </c>
    </row>
    <row r="1294" customFormat="false" ht="23.85" hidden="false" customHeight="false" outlineLevel="0" collapsed="false">
      <c r="A1294" s="13" t="s">
        <v>4</v>
      </c>
      <c r="B1294" s="13" t="s">
        <v>4108</v>
      </c>
      <c r="C1294" s="13" t="n">
        <v>183</v>
      </c>
      <c r="D1294" s="13" t="s">
        <v>9389</v>
      </c>
      <c r="E1294" s="13" t="s">
        <v>14444</v>
      </c>
      <c r="F1294" s="13" t="s">
        <v>14445</v>
      </c>
      <c r="G1294" s="13" t="s">
        <v>11098</v>
      </c>
      <c r="H1294" s="13" t="s">
        <v>11099</v>
      </c>
      <c r="I1294" s="13" t="s">
        <v>9390</v>
      </c>
      <c r="J1294" s="13"/>
      <c r="K1294" s="13" t="s">
        <v>9393</v>
      </c>
      <c r="L1294" s="13" t="s">
        <v>9394</v>
      </c>
    </row>
    <row r="1295" customFormat="false" ht="46.25" hidden="false" customHeight="false" outlineLevel="0" collapsed="false">
      <c r="A1295" s="13" t="s">
        <v>4</v>
      </c>
      <c r="B1295" s="13" t="s">
        <v>4108</v>
      </c>
      <c r="C1295" s="13" t="n">
        <v>183</v>
      </c>
      <c r="D1295" s="13" t="s">
        <v>9395</v>
      </c>
      <c r="E1295" s="13" t="s">
        <v>14446</v>
      </c>
      <c r="F1295" s="13" t="s">
        <v>14447</v>
      </c>
      <c r="G1295" s="13" t="s">
        <v>11098</v>
      </c>
      <c r="H1295" s="13" t="s">
        <v>11099</v>
      </c>
      <c r="I1295" s="13" t="s">
        <v>9396</v>
      </c>
      <c r="J1295" s="13" t="s">
        <v>14448</v>
      </c>
      <c r="K1295" s="13" t="s">
        <v>9400</v>
      </c>
      <c r="L1295" s="13" t="s">
        <v>9401</v>
      </c>
    </row>
    <row r="1296" customFormat="false" ht="23.85" hidden="false" customHeight="false" outlineLevel="0" collapsed="false">
      <c r="A1296" s="13" t="s">
        <v>4</v>
      </c>
      <c r="B1296" s="13" t="s">
        <v>4108</v>
      </c>
      <c r="C1296" s="13" t="n">
        <v>183</v>
      </c>
      <c r="D1296" s="13" t="s">
        <v>9402</v>
      </c>
      <c r="E1296" s="13" t="s">
        <v>14449</v>
      </c>
      <c r="F1296" s="13" t="s">
        <v>14450</v>
      </c>
      <c r="G1296" s="13" t="s">
        <v>11098</v>
      </c>
      <c r="H1296" s="13" t="s">
        <v>11099</v>
      </c>
      <c r="I1296" s="13" t="s">
        <v>9403</v>
      </c>
      <c r="J1296" s="13"/>
      <c r="K1296" s="13" t="s">
        <v>9406</v>
      </c>
      <c r="L1296" s="13" t="s">
        <v>9407</v>
      </c>
    </row>
    <row r="1297" customFormat="false" ht="35.05" hidden="false" customHeight="false" outlineLevel="0" collapsed="false">
      <c r="A1297" s="13" t="s">
        <v>4</v>
      </c>
      <c r="B1297" s="13" t="s">
        <v>4108</v>
      </c>
      <c r="C1297" s="13" t="n">
        <v>183</v>
      </c>
      <c r="D1297" s="13" t="s">
        <v>9408</v>
      </c>
      <c r="E1297" s="13" t="s">
        <v>14451</v>
      </c>
      <c r="F1297" s="13" t="s">
        <v>14452</v>
      </c>
      <c r="G1297" s="13" t="s">
        <v>11098</v>
      </c>
      <c r="H1297" s="13" t="s">
        <v>11099</v>
      </c>
      <c r="I1297" s="13" t="s">
        <v>9409</v>
      </c>
      <c r="J1297" s="13"/>
      <c r="K1297" s="13" t="s">
        <v>9413</v>
      </c>
      <c r="L1297" s="13" t="s">
        <v>9414</v>
      </c>
    </row>
    <row r="1298" customFormat="false" ht="46.25" hidden="false" customHeight="false" outlineLevel="0" collapsed="false">
      <c r="A1298" s="13" t="s">
        <v>4</v>
      </c>
      <c r="B1298" s="13" t="s">
        <v>4108</v>
      </c>
      <c r="C1298" s="13" t="n">
        <v>183</v>
      </c>
      <c r="D1298" s="13" t="s">
        <v>9415</v>
      </c>
      <c r="E1298" s="13" t="s">
        <v>14453</v>
      </c>
      <c r="F1298" s="13" t="s">
        <v>14454</v>
      </c>
      <c r="G1298" s="13" t="s">
        <v>11098</v>
      </c>
      <c r="H1298" s="13" t="s">
        <v>11099</v>
      </c>
      <c r="I1298" s="13" t="s">
        <v>14455</v>
      </c>
      <c r="J1298" s="13"/>
      <c r="K1298" s="13" t="s">
        <v>9418</v>
      </c>
      <c r="L1298" s="13" t="s">
        <v>9419</v>
      </c>
    </row>
    <row r="1299" customFormat="false" ht="35.05" hidden="false" customHeight="false" outlineLevel="0" collapsed="false">
      <c r="A1299" s="13" t="s">
        <v>4</v>
      </c>
      <c r="B1299" s="13" t="s">
        <v>4108</v>
      </c>
      <c r="C1299" s="13" t="n">
        <v>193</v>
      </c>
      <c r="D1299" s="13" t="s">
        <v>9428</v>
      </c>
      <c r="E1299" s="13" t="s">
        <v>14456</v>
      </c>
      <c r="F1299" s="13" t="s">
        <v>14457</v>
      </c>
      <c r="G1299" s="13" t="s">
        <v>11098</v>
      </c>
      <c r="H1299" s="13" t="s">
        <v>11099</v>
      </c>
      <c r="I1299" s="13" t="s">
        <v>14458</v>
      </c>
      <c r="J1299" s="13"/>
      <c r="K1299" s="13" t="s">
        <v>9432</v>
      </c>
      <c r="L1299" s="13" t="s">
        <v>9433</v>
      </c>
    </row>
    <row r="1300" customFormat="false" ht="191.75" hidden="false" customHeight="false" outlineLevel="0" collapsed="false">
      <c r="A1300" s="13" t="s">
        <v>4</v>
      </c>
      <c r="B1300" s="13" t="s">
        <v>4108</v>
      </c>
      <c r="C1300" s="13" t="n">
        <v>193</v>
      </c>
      <c r="D1300" s="13" t="s">
        <v>9437</v>
      </c>
      <c r="E1300" s="13" t="s">
        <v>14459</v>
      </c>
      <c r="F1300" s="13" t="s">
        <v>14460</v>
      </c>
      <c r="G1300" s="13" t="s">
        <v>11098</v>
      </c>
      <c r="H1300" s="13" t="s">
        <v>11099</v>
      </c>
      <c r="I1300" s="13" t="s">
        <v>14461</v>
      </c>
      <c r="J1300" s="13"/>
      <c r="K1300" s="13" t="s">
        <v>9441</v>
      </c>
      <c r="L1300" s="13" t="s">
        <v>9442</v>
      </c>
    </row>
    <row r="1301" customFormat="false" ht="191.75" hidden="false" customHeight="false" outlineLevel="0" collapsed="false">
      <c r="A1301" s="13" t="s">
        <v>4</v>
      </c>
      <c r="B1301" s="13" t="s">
        <v>4108</v>
      </c>
      <c r="C1301" s="13" t="n">
        <v>193</v>
      </c>
      <c r="D1301" s="13" t="s">
        <v>9437</v>
      </c>
      <c r="E1301" s="13" t="s">
        <v>14462</v>
      </c>
      <c r="F1301" s="13" t="s">
        <v>14463</v>
      </c>
      <c r="G1301" s="13" t="s">
        <v>11137</v>
      </c>
      <c r="H1301" s="13" t="s">
        <v>11099</v>
      </c>
      <c r="I1301" s="13" t="s">
        <v>9443</v>
      </c>
      <c r="J1301" s="13" t="s">
        <v>14464</v>
      </c>
      <c r="K1301" s="13" t="s">
        <v>9441</v>
      </c>
      <c r="L1301" s="13" t="s">
        <v>9442</v>
      </c>
    </row>
    <row r="1302" customFormat="false" ht="191.75" hidden="false" customHeight="false" outlineLevel="0" collapsed="false">
      <c r="A1302" s="13" t="s">
        <v>4</v>
      </c>
      <c r="B1302" s="13" t="s">
        <v>4108</v>
      </c>
      <c r="C1302" s="13" t="n">
        <v>193</v>
      </c>
      <c r="D1302" s="13" t="s">
        <v>9437</v>
      </c>
      <c r="E1302" s="13" t="s">
        <v>14465</v>
      </c>
      <c r="F1302" s="13" t="s">
        <v>14466</v>
      </c>
      <c r="G1302" s="13" t="s">
        <v>11098</v>
      </c>
      <c r="H1302" s="13" t="s">
        <v>11099</v>
      </c>
      <c r="I1302" s="13" t="s">
        <v>9446</v>
      </c>
      <c r="J1302" s="13"/>
      <c r="K1302" s="13" t="s">
        <v>9441</v>
      </c>
      <c r="L1302" s="13" t="s">
        <v>9442</v>
      </c>
    </row>
    <row r="1303" customFormat="false" ht="35.05" hidden="false" customHeight="false" outlineLevel="0" collapsed="false">
      <c r="A1303" s="13" t="s">
        <v>4</v>
      </c>
      <c r="B1303" s="13" t="s">
        <v>4108</v>
      </c>
      <c r="C1303" s="13" t="n">
        <v>193</v>
      </c>
      <c r="D1303" s="13" t="s">
        <v>9452</v>
      </c>
      <c r="E1303" s="13" t="s">
        <v>14467</v>
      </c>
      <c r="F1303" s="13" t="s">
        <v>14468</v>
      </c>
      <c r="G1303" s="13" t="s">
        <v>11098</v>
      </c>
      <c r="H1303" s="13" t="s">
        <v>11099</v>
      </c>
      <c r="I1303" s="13" t="s">
        <v>14469</v>
      </c>
      <c r="J1303" s="13"/>
      <c r="K1303" s="13" t="s">
        <v>9456</v>
      </c>
      <c r="L1303" s="13" t="s">
        <v>9457</v>
      </c>
    </row>
    <row r="1304" customFormat="false" ht="68.65" hidden="false" customHeight="false" outlineLevel="0" collapsed="false">
      <c r="A1304" s="13" t="s">
        <v>4</v>
      </c>
      <c r="B1304" s="13" t="s">
        <v>4108</v>
      </c>
      <c r="C1304" s="13" t="n">
        <v>193</v>
      </c>
      <c r="D1304" s="13" t="s">
        <v>9461</v>
      </c>
      <c r="E1304" s="13" t="s">
        <v>14470</v>
      </c>
      <c r="F1304" s="13" t="s">
        <v>14471</v>
      </c>
      <c r="G1304" s="13" t="s">
        <v>11098</v>
      </c>
      <c r="H1304" s="13" t="s">
        <v>11099</v>
      </c>
      <c r="I1304" s="13" t="s">
        <v>14472</v>
      </c>
      <c r="J1304" s="13"/>
      <c r="K1304" s="13" t="s">
        <v>9465</v>
      </c>
      <c r="L1304" s="13" t="s">
        <v>9466</v>
      </c>
    </row>
    <row r="1305" customFormat="false" ht="68.65" hidden="false" customHeight="false" outlineLevel="0" collapsed="false">
      <c r="A1305" s="13" t="s">
        <v>4</v>
      </c>
      <c r="B1305" s="13" t="s">
        <v>4108</v>
      </c>
      <c r="C1305" s="13" t="n">
        <v>193</v>
      </c>
      <c r="D1305" s="13" t="s">
        <v>9461</v>
      </c>
      <c r="E1305" s="13" t="s">
        <v>14473</v>
      </c>
      <c r="F1305" s="13" t="s">
        <v>14474</v>
      </c>
      <c r="G1305" s="13" t="s">
        <v>11098</v>
      </c>
      <c r="H1305" s="13" t="s">
        <v>11099</v>
      </c>
      <c r="I1305" s="13" t="s">
        <v>9467</v>
      </c>
      <c r="J1305" s="13"/>
      <c r="K1305" s="13" t="s">
        <v>9465</v>
      </c>
      <c r="L1305" s="13" t="s">
        <v>9466</v>
      </c>
    </row>
    <row r="1306" customFormat="false" ht="46.25" hidden="false" customHeight="false" outlineLevel="0" collapsed="false">
      <c r="A1306" s="13" t="s">
        <v>4</v>
      </c>
      <c r="B1306" s="13" t="s">
        <v>4108</v>
      </c>
      <c r="C1306" s="13" t="n">
        <v>193</v>
      </c>
      <c r="D1306" s="13" t="s">
        <v>9473</v>
      </c>
      <c r="E1306" s="13" t="s">
        <v>14475</v>
      </c>
      <c r="F1306" s="13" t="s">
        <v>14476</v>
      </c>
      <c r="G1306" s="13" t="s">
        <v>11098</v>
      </c>
      <c r="H1306" s="13" t="s">
        <v>11099</v>
      </c>
      <c r="I1306" s="13" t="s">
        <v>14477</v>
      </c>
      <c r="J1306" s="13"/>
      <c r="K1306" s="13" t="s">
        <v>9479</v>
      </c>
      <c r="L1306" s="13" t="s">
        <v>9480</v>
      </c>
    </row>
    <row r="1307" customFormat="false" ht="147" hidden="false" customHeight="false" outlineLevel="0" collapsed="false">
      <c r="A1307" s="13" t="s">
        <v>4</v>
      </c>
      <c r="B1307" s="13" t="s">
        <v>4108</v>
      </c>
      <c r="C1307" s="13" t="n">
        <v>234</v>
      </c>
      <c r="D1307" s="13" t="s">
        <v>9485</v>
      </c>
      <c r="E1307" s="13" t="s">
        <v>14478</v>
      </c>
      <c r="F1307" s="13" t="s">
        <v>14479</v>
      </c>
      <c r="G1307" s="13" t="s">
        <v>11098</v>
      </c>
      <c r="H1307" s="13" t="s">
        <v>11099</v>
      </c>
      <c r="I1307" s="13" t="s">
        <v>14480</v>
      </c>
      <c r="J1307" s="13" t="s">
        <v>14481</v>
      </c>
      <c r="K1307" s="13" t="s">
        <v>9488</v>
      </c>
      <c r="L1307" s="13" t="s">
        <v>9489</v>
      </c>
    </row>
    <row r="1308" customFormat="false" ht="35.05" hidden="false" customHeight="false" outlineLevel="0" collapsed="false">
      <c r="A1308" s="13" t="s">
        <v>4</v>
      </c>
      <c r="B1308" s="13" t="s">
        <v>4108</v>
      </c>
      <c r="C1308" s="13" t="n">
        <v>234</v>
      </c>
      <c r="D1308" s="13" t="s">
        <v>9498</v>
      </c>
      <c r="E1308" s="13" t="s">
        <v>14482</v>
      </c>
      <c r="F1308" s="13" t="s">
        <v>14483</v>
      </c>
      <c r="G1308" s="13" t="s">
        <v>11098</v>
      </c>
      <c r="H1308" s="13" t="s">
        <v>11099</v>
      </c>
      <c r="I1308" s="13" t="s">
        <v>14484</v>
      </c>
      <c r="J1308" s="13"/>
      <c r="K1308" s="13" t="s">
        <v>9503</v>
      </c>
      <c r="L1308" s="13" t="s">
        <v>9504</v>
      </c>
    </row>
    <row r="1309" customFormat="false" ht="46.25" hidden="false" customHeight="false" outlineLevel="0" collapsed="false">
      <c r="A1309" s="13" t="s">
        <v>4</v>
      </c>
      <c r="B1309" s="13" t="s">
        <v>4108</v>
      </c>
      <c r="C1309" s="13" t="n">
        <v>234</v>
      </c>
      <c r="D1309" s="13" t="s">
        <v>9506</v>
      </c>
      <c r="E1309" s="13" t="s">
        <v>14485</v>
      </c>
      <c r="F1309" s="13" t="s">
        <v>14486</v>
      </c>
      <c r="G1309" s="13" t="s">
        <v>11098</v>
      </c>
      <c r="H1309" s="13" t="s">
        <v>11099</v>
      </c>
      <c r="I1309" s="13" t="s">
        <v>14487</v>
      </c>
      <c r="J1309" s="13"/>
      <c r="K1309" s="13" t="s">
        <v>9510</v>
      </c>
      <c r="L1309" s="13" t="s">
        <v>9511</v>
      </c>
    </row>
    <row r="1310" customFormat="false" ht="135.8" hidden="false" customHeight="false" outlineLevel="0" collapsed="false">
      <c r="A1310" s="13" t="s">
        <v>4</v>
      </c>
      <c r="B1310" s="13" t="s">
        <v>4108</v>
      </c>
      <c r="C1310" s="13" t="n">
        <v>234</v>
      </c>
      <c r="D1310" s="13" t="s">
        <v>9514</v>
      </c>
      <c r="E1310" s="13" t="s">
        <v>14488</v>
      </c>
      <c r="F1310" s="13" t="s">
        <v>14489</v>
      </c>
      <c r="G1310" s="13" t="s">
        <v>11098</v>
      </c>
      <c r="H1310" s="13" t="s">
        <v>11099</v>
      </c>
      <c r="I1310" s="13" t="s">
        <v>9515</v>
      </c>
      <c r="J1310" s="13"/>
      <c r="K1310" s="13" t="s">
        <v>9519</v>
      </c>
      <c r="L1310" s="13" t="s">
        <v>9520</v>
      </c>
    </row>
    <row r="1311" customFormat="false" ht="135.8" hidden="false" customHeight="false" outlineLevel="0" collapsed="false">
      <c r="A1311" s="13" t="s">
        <v>4</v>
      </c>
      <c r="B1311" s="13" t="s">
        <v>4108</v>
      </c>
      <c r="C1311" s="13" t="n">
        <v>234</v>
      </c>
      <c r="D1311" s="13" t="s">
        <v>9514</v>
      </c>
      <c r="E1311" s="13" t="s">
        <v>14490</v>
      </c>
      <c r="F1311" s="13" t="s">
        <v>14491</v>
      </c>
      <c r="G1311" s="13" t="s">
        <v>11128</v>
      </c>
      <c r="H1311" s="13" t="s">
        <v>11099</v>
      </c>
      <c r="I1311" s="13"/>
      <c r="J1311" s="13"/>
      <c r="K1311" s="13" t="s">
        <v>9519</v>
      </c>
      <c r="L1311" s="13" t="s">
        <v>9520</v>
      </c>
    </row>
    <row r="1312" customFormat="false" ht="135.8" hidden="false" customHeight="false" outlineLevel="0" collapsed="false">
      <c r="A1312" s="13" t="s">
        <v>4</v>
      </c>
      <c r="B1312" s="13" t="s">
        <v>4108</v>
      </c>
      <c r="C1312" s="13" t="n">
        <v>234</v>
      </c>
      <c r="D1312" s="13" t="s">
        <v>9514</v>
      </c>
      <c r="E1312" s="13" t="s">
        <v>14492</v>
      </c>
      <c r="F1312" s="13" t="s">
        <v>14493</v>
      </c>
      <c r="G1312" s="13" t="s">
        <v>11098</v>
      </c>
      <c r="H1312" s="13" t="s">
        <v>11099</v>
      </c>
      <c r="I1312" s="13" t="s">
        <v>14494</v>
      </c>
      <c r="J1312" s="13"/>
      <c r="K1312" s="13" t="s">
        <v>9519</v>
      </c>
      <c r="L1312" s="13" t="s">
        <v>9520</v>
      </c>
    </row>
    <row r="1313" customFormat="false" ht="135.8" hidden="false" customHeight="false" outlineLevel="0" collapsed="false">
      <c r="A1313" s="13" t="s">
        <v>4</v>
      </c>
      <c r="B1313" s="13" t="s">
        <v>4108</v>
      </c>
      <c r="C1313" s="13" t="n">
        <v>234</v>
      </c>
      <c r="D1313" s="13" t="s">
        <v>9514</v>
      </c>
      <c r="E1313" s="13" t="s">
        <v>14495</v>
      </c>
      <c r="F1313" s="13" t="s">
        <v>14496</v>
      </c>
      <c r="G1313" s="13" t="s">
        <v>11098</v>
      </c>
      <c r="H1313" s="13" t="s">
        <v>11099</v>
      </c>
      <c r="I1313" s="13" t="s">
        <v>14497</v>
      </c>
      <c r="J1313" s="13"/>
      <c r="K1313" s="13" t="s">
        <v>9519</v>
      </c>
      <c r="L1313" s="13" t="s">
        <v>9520</v>
      </c>
    </row>
    <row r="1314" customFormat="false" ht="46.25" hidden="false" customHeight="false" outlineLevel="0" collapsed="false">
      <c r="A1314" s="13" t="s">
        <v>4</v>
      </c>
      <c r="B1314" s="13" t="s">
        <v>4108</v>
      </c>
      <c r="C1314" s="13" t="n">
        <v>234</v>
      </c>
      <c r="D1314" s="13" t="s">
        <v>9535</v>
      </c>
      <c r="E1314" s="13" t="s">
        <v>14498</v>
      </c>
      <c r="F1314" s="13" t="s">
        <v>14499</v>
      </c>
      <c r="G1314" s="13" t="s">
        <v>11098</v>
      </c>
      <c r="H1314" s="13" t="s">
        <v>11099</v>
      </c>
      <c r="I1314" s="13" t="s">
        <v>14500</v>
      </c>
      <c r="J1314" s="13"/>
      <c r="K1314" s="13" t="s">
        <v>9539</v>
      </c>
      <c r="L1314" s="13" t="s">
        <v>9540</v>
      </c>
    </row>
    <row r="1315" customFormat="false" ht="46.25" hidden="false" customHeight="false" outlineLevel="0" collapsed="false">
      <c r="A1315" s="13" t="s">
        <v>4</v>
      </c>
      <c r="B1315" s="13" t="s">
        <v>4108</v>
      </c>
      <c r="C1315" s="13" t="n">
        <v>234</v>
      </c>
      <c r="D1315" s="13" t="s">
        <v>9535</v>
      </c>
      <c r="E1315" s="13" t="s">
        <v>14501</v>
      </c>
      <c r="F1315" s="13" t="s">
        <v>14502</v>
      </c>
      <c r="G1315" s="13" t="s">
        <v>11098</v>
      </c>
      <c r="H1315" s="13" t="s">
        <v>11099</v>
      </c>
      <c r="I1315" s="13" t="s">
        <v>9545</v>
      </c>
      <c r="J1315" s="13"/>
      <c r="K1315" s="13" t="s">
        <v>9539</v>
      </c>
      <c r="L1315" s="13" t="s">
        <v>9540</v>
      </c>
    </row>
    <row r="1316" customFormat="false" ht="23.85" hidden="false" customHeight="false" outlineLevel="0" collapsed="false">
      <c r="A1316" s="13" t="s">
        <v>4</v>
      </c>
      <c r="B1316" s="13" t="s">
        <v>4108</v>
      </c>
      <c r="C1316" s="13" t="n">
        <v>234</v>
      </c>
      <c r="D1316" s="13" t="s">
        <v>9546</v>
      </c>
      <c r="E1316" s="13" t="s">
        <v>14503</v>
      </c>
      <c r="F1316" s="13" t="s">
        <v>14504</v>
      </c>
      <c r="G1316" s="13" t="s">
        <v>11098</v>
      </c>
      <c r="H1316" s="13" t="s">
        <v>11099</v>
      </c>
      <c r="I1316" s="13" t="s">
        <v>9547</v>
      </c>
      <c r="J1316" s="13"/>
      <c r="K1316" s="13" t="s">
        <v>9550</v>
      </c>
      <c r="L1316" s="13" t="s">
        <v>9551</v>
      </c>
    </row>
    <row r="1317" customFormat="false" ht="57.45" hidden="false" customHeight="false" outlineLevel="0" collapsed="false">
      <c r="A1317" s="13" t="s">
        <v>4</v>
      </c>
      <c r="B1317" s="13" t="s">
        <v>4108</v>
      </c>
      <c r="C1317" s="13" t="n">
        <v>234</v>
      </c>
      <c r="D1317" s="13" t="s">
        <v>9552</v>
      </c>
      <c r="E1317" s="13" t="s">
        <v>14505</v>
      </c>
      <c r="F1317" s="13" t="s">
        <v>14506</v>
      </c>
      <c r="G1317" s="13" t="s">
        <v>11137</v>
      </c>
      <c r="H1317" s="13" t="s">
        <v>11099</v>
      </c>
      <c r="I1317" s="13" t="s">
        <v>14507</v>
      </c>
      <c r="J1317" s="13"/>
      <c r="K1317" s="13" t="s">
        <v>9559</v>
      </c>
      <c r="L1317" s="13" t="s">
        <v>9560</v>
      </c>
    </row>
    <row r="1318" customFormat="false" ht="57.45" hidden="false" customHeight="false" outlineLevel="0" collapsed="false">
      <c r="A1318" s="13" t="s">
        <v>4</v>
      </c>
      <c r="B1318" s="13" t="s">
        <v>4108</v>
      </c>
      <c r="C1318" s="13" t="n">
        <v>234</v>
      </c>
      <c r="D1318" s="13" t="s">
        <v>9552</v>
      </c>
      <c r="E1318" s="13" t="s">
        <v>14508</v>
      </c>
      <c r="F1318" s="13" t="s">
        <v>14509</v>
      </c>
      <c r="G1318" s="13" t="s">
        <v>11098</v>
      </c>
      <c r="H1318" s="13" t="s">
        <v>11099</v>
      </c>
      <c r="I1318" s="13" t="s">
        <v>9565</v>
      </c>
      <c r="J1318" s="13"/>
      <c r="K1318" s="13" t="s">
        <v>9559</v>
      </c>
      <c r="L1318" s="13" t="s">
        <v>9560</v>
      </c>
    </row>
    <row r="1319" customFormat="false" ht="57.45" hidden="false" customHeight="false" outlineLevel="0" collapsed="false">
      <c r="A1319" s="13" t="s">
        <v>4</v>
      </c>
      <c r="B1319" s="13" t="s">
        <v>4108</v>
      </c>
      <c r="C1319" s="13" t="n">
        <v>234</v>
      </c>
      <c r="D1319" s="13" t="s">
        <v>9568</v>
      </c>
      <c r="E1319" s="13" t="s">
        <v>14510</v>
      </c>
      <c r="F1319" s="13" t="s">
        <v>14511</v>
      </c>
      <c r="G1319" s="13" t="s">
        <v>11098</v>
      </c>
      <c r="H1319" s="13" t="s">
        <v>11099</v>
      </c>
      <c r="I1319" s="13" t="s">
        <v>9569</v>
      </c>
      <c r="J1319" s="13"/>
      <c r="K1319" s="13" t="s">
        <v>9572</v>
      </c>
      <c r="L1319" s="13" t="s">
        <v>9573</v>
      </c>
    </row>
    <row r="1320" customFormat="false" ht="57.45" hidden="false" customHeight="false" outlineLevel="0" collapsed="false">
      <c r="A1320" s="13" t="s">
        <v>4</v>
      </c>
      <c r="B1320" s="13" t="s">
        <v>4108</v>
      </c>
      <c r="C1320" s="13" t="n">
        <v>234</v>
      </c>
      <c r="D1320" s="13" t="s">
        <v>9568</v>
      </c>
      <c r="E1320" s="13" t="s">
        <v>14512</v>
      </c>
      <c r="F1320" s="13" t="s">
        <v>14513</v>
      </c>
      <c r="G1320" s="13" t="s">
        <v>11137</v>
      </c>
      <c r="H1320" s="13" t="s">
        <v>11099</v>
      </c>
      <c r="I1320" s="13" t="s">
        <v>9574</v>
      </c>
      <c r="J1320" s="13"/>
      <c r="K1320" s="13" t="s">
        <v>9572</v>
      </c>
      <c r="L1320" s="13" t="s">
        <v>9573</v>
      </c>
    </row>
    <row r="1321" customFormat="false" ht="57.45" hidden="false" customHeight="false" outlineLevel="0" collapsed="false">
      <c r="A1321" s="13" t="s">
        <v>4</v>
      </c>
      <c r="B1321" s="13" t="s">
        <v>4108</v>
      </c>
      <c r="C1321" s="13" t="n">
        <v>234</v>
      </c>
      <c r="D1321" s="13" t="s">
        <v>9568</v>
      </c>
      <c r="E1321" s="13" t="s">
        <v>14514</v>
      </c>
      <c r="F1321" s="13" t="s">
        <v>14515</v>
      </c>
      <c r="G1321" s="13" t="s">
        <v>11098</v>
      </c>
      <c r="H1321" s="13" t="s">
        <v>11099</v>
      </c>
      <c r="I1321" s="13" t="s">
        <v>9578</v>
      </c>
      <c r="J1321" s="13"/>
      <c r="K1321" s="13" t="s">
        <v>9572</v>
      </c>
      <c r="L1321" s="13" t="s">
        <v>9573</v>
      </c>
    </row>
    <row r="1322" customFormat="false" ht="57.45" hidden="false" customHeight="false" outlineLevel="0" collapsed="false">
      <c r="A1322" s="13" t="s">
        <v>4</v>
      </c>
      <c r="B1322" s="13" t="s">
        <v>4108</v>
      </c>
      <c r="C1322" s="13" t="n">
        <v>238</v>
      </c>
      <c r="D1322" s="13" t="s">
        <v>14516</v>
      </c>
      <c r="E1322" s="13" t="s">
        <v>14517</v>
      </c>
      <c r="F1322" s="13" t="s">
        <v>14518</v>
      </c>
      <c r="G1322" s="13" t="s">
        <v>11098</v>
      </c>
      <c r="H1322" s="13" t="s">
        <v>11099</v>
      </c>
      <c r="I1322" s="13" t="s">
        <v>9581</v>
      </c>
      <c r="J1322" s="13" t="s">
        <v>14519</v>
      </c>
      <c r="K1322" s="13" t="s">
        <v>14520</v>
      </c>
      <c r="L1322" s="13" t="s">
        <v>14521</v>
      </c>
    </row>
    <row r="1323" customFormat="false" ht="35.05" hidden="false" customHeight="false" outlineLevel="0" collapsed="false">
      <c r="A1323" s="13" t="s">
        <v>4</v>
      </c>
      <c r="B1323" s="13" t="s">
        <v>4108</v>
      </c>
      <c r="C1323" s="13" t="n">
        <v>238</v>
      </c>
      <c r="D1323" s="13" t="s">
        <v>9587</v>
      </c>
      <c r="E1323" s="13" t="s">
        <v>14522</v>
      </c>
      <c r="F1323" s="13" t="s">
        <v>14523</v>
      </c>
      <c r="G1323" s="13" t="s">
        <v>11098</v>
      </c>
      <c r="H1323" s="13" t="s">
        <v>11099</v>
      </c>
      <c r="I1323" s="13" t="s">
        <v>9588</v>
      </c>
      <c r="J1323" s="13"/>
      <c r="K1323" s="13" t="s">
        <v>9590</v>
      </c>
      <c r="L1323" s="13" t="s">
        <v>9591</v>
      </c>
    </row>
    <row r="1324" customFormat="false" ht="46.25" hidden="false" customHeight="false" outlineLevel="0" collapsed="false">
      <c r="A1324" s="13" t="s">
        <v>4</v>
      </c>
      <c r="B1324" s="13" t="s">
        <v>4108</v>
      </c>
      <c r="C1324" s="13" t="n">
        <v>238</v>
      </c>
      <c r="D1324" s="13" t="s">
        <v>9592</v>
      </c>
      <c r="E1324" s="13" t="s">
        <v>14524</v>
      </c>
      <c r="F1324" s="13" t="s">
        <v>14525</v>
      </c>
      <c r="G1324" s="13" t="s">
        <v>11098</v>
      </c>
      <c r="H1324" s="13" t="s">
        <v>11099</v>
      </c>
      <c r="I1324" s="13" t="s">
        <v>9593</v>
      </c>
      <c r="J1324" s="13"/>
      <c r="K1324" s="13" t="s">
        <v>9598</v>
      </c>
      <c r="L1324" s="13" t="s">
        <v>9599</v>
      </c>
    </row>
    <row r="1325" customFormat="false" ht="23.85" hidden="false" customHeight="false" outlineLevel="0" collapsed="false">
      <c r="A1325" s="13" t="s">
        <v>4</v>
      </c>
      <c r="B1325" s="13" t="s">
        <v>4108</v>
      </c>
      <c r="C1325" s="13" t="n">
        <v>238</v>
      </c>
      <c r="D1325" s="13" t="s">
        <v>9600</v>
      </c>
      <c r="E1325" s="13" t="s">
        <v>14526</v>
      </c>
      <c r="F1325" s="13" t="s">
        <v>14527</v>
      </c>
      <c r="G1325" s="13" t="s">
        <v>11098</v>
      </c>
      <c r="H1325" s="13" t="s">
        <v>11099</v>
      </c>
      <c r="I1325" s="13" t="s">
        <v>9601</v>
      </c>
      <c r="J1325" s="13"/>
      <c r="K1325" s="13" t="s">
        <v>9604</v>
      </c>
      <c r="L1325" s="13" t="s">
        <v>9605</v>
      </c>
    </row>
    <row r="1326" customFormat="false" ht="79.85" hidden="false" customHeight="false" outlineLevel="0" collapsed="false">
      <c r="A1326" s="13" t="s">
        <v>4</v>
      </c>
      <c r="B1326" s="13" t="s">
        <v>4108</v>
      </c>
      <c r="C1326" s="13" t="n">
        <v>238</v>
      </c>
      <c r="D1326" s="13" t="s">
        <v>9606</v>
      </c>
      <c r="E1326" s="13" t="s">
        <v>14528</v>
      </c>
      <c r="F1326" s="13" t="s">
        <v>14529</v>
      </c>
      <c r="G1326" s="13" t="s">
        <v>11098</v>
      </c>
      <c r="H1326" s="13" t="s">
        <v>11099</v>
      </c>
      <c r="I1326" s="13" t="s">
        <v>14530</v>
      </c>
      <c r="J1326" s="13"/>
      <c r="K1326" s="13" t="s">
        <v>9610</v>
      </c>
      <c r="L1326" s="13" t="s">
        <v>9611</v>
      </c>
    </row>
    <row r="1327" customFormat="false" ht="79.85" hidden="false" customHeight="false" outlineLevel="0" collapsed="false">
      <c r="A1327" s="13" t="s">
        <v>4</v>
      </c>
      <c r="B1327" s="13" t="s">
        <v>4108</v>
      </c>
      <c r="C1327" s="13" t="n">
        <v>238</v>
      </c>
      <c r="D1327" s="13" t="s">
        <v>9606</v>
      </c>
      <c r="E1327" s="13" t="s">
        <v>14531</v>
      </c>
      <c r="F1327" s="13" t="s">
        <v>14532</v>
      </c>
      <c r="G1327" s="13" t="s">
        <v>11098</v>
      </c>
      <c r="H1327" s="13" t="s">
        <v>11099</v>
      </c>
      <c r="I1327" s="13" t="s">
        <v>9612</v>
      </c>
      <c r="J1327" s="13"/>
      <c r="K1327" s="13" t="s">
        <v>9610</v>
      </c>
      <c r="L1327" s="13" t="s">
        <v>9611</v>
      </c>
    </row>
    <row r="1328" customFormat="false" ht="57.45" hidden="false" customHeight="false" outlineLevel="0" collapsed="false">
      <c r="A1328" s="13" t="s">
        <v>4</v>
      </c>
      <c r="B1328" s="13" t="s">
        <v>4108</v>
      </c>
      <c r="C1328" s="13" t="n">
        <v>238</v>
      </c>
      <c r="D1328" s="13" t="s">
        <v>9618</v>
      </c>
      <c r="E1328" s="13" t="s">
        <v>14533</v>
      </c>
      <c r="F1328" s="13" t="s">
        <v>14534</v>
      </c>
      <c r="G1328" s="13" t="s">
        <v>11098</v>
      </c>
      <c r="H1328" s="13" t="s">
        <v>11099</v>
      </c>
      <c r="I1328" s="13" t="s">
        <v>9619</v>
      </c>
      <c r="J1328" s="13"/>
      <c r="K1328" s="13" t="s">
        <v>9623</v>
      </c>
      <c r="L1328" s="13" t="s">
        <v>9624</v>
      </c>
    </row>
    <row r="1329" customFormat="false" ht="57.45" hidden="false" customHeight="false" outlineLevel="0" collapsed="false">
      <c r="A1329" s="13" t="s">
        <v>4</v>
      </c>
      <c r="B1329" s="13" t="s">
        <v>4108</v>
      </c>
      <c r="C1329" s="13" t="n">
        <v>238</v>
      </c>
      <c r="D1329" s="13" t="s">
        <v>9618</v>
      </c>
      <c r="E1329" s="13" t="s">
        <v>14535</v>
      </c>
      <c r="F1329" s="13" t="s">
        <v>14536</v>
      </c>
      <c r="G1329" s="13" t="s">
        <v>11098</v>
      </c>
      <c r="H1329" s="13" t="s">
        <v>11099</v>
      </c>
      <c r="I1329" s="13" t="s">
        <v>9625</v>
      </c>
      <c r="J1329" s="13"/>
      <c r="K1329" s="13" t="s">
        <v>9623</v>
      </c>
      <c r="L1329" s="13" t="s">
        <v>9624</v>
      </c>
    </row>
    <row r="1330" customFormat="false" ht="23.85" hidden="false" customHeight="false" outlineLevel="0" collapsed="false">
      <c r="A1330" s="13" t="s">
        <v>4</v>
      </c>
      <c r="B1330" s="13" t="s">
        <v>4108</v>
      </c>
      <c r="C1330" s="13" t="n">
        <v>238</v>
      </c>
      <c r="D1330" s="13" t="s">
        <v>9628</v>
      </c>
      <c r="E1330" s="13" t="s">
        <v>14537</v>
      </c>
      <c r="F1330" s="13" t="s">
        <v>14538</v>
      </c>
      <c r="G1330" s="13" t="s">
        <v>11098</v>
      </c>
      <c r="H1330" s="13" t="s">
        <v>11099</v>
      </c>
      <c r="I1330" s="13" t="s">
        <v>9629</v>
      </c>
      <c r="J1330" s="13" t="s">
        <v>14539</v>
      </c>
      <c r="K1330" s="13" t="s">
        <v>9633</v>
      </c>
      <c r="L1330" s="13" t="s">
        <v>9634</v>
      </c>
    </row>
    <row r="1331" customFormat="false" ht="23.85" hidden="false" customHeight="false" outlineLevel="0" collapsed="false">
      <c r="A1331" s="13" t="s">
        <v>4</v>
      </c>
      <c r="B1331" s="13" t="s">
        <v>4108</v>
      </c>
      <c r="C1331" s="13" t="n">
        <v>238</v>
      </c>
      <c r="D1331" s="13" t="s">
        <v>9635</v>
      </c>
      <c r="E1331" s="13" t="s">
        <v>14540</v>
      </c>
      <c r="F1331" s="13" t="s">
        <v>14541</v>
      </c>
      <c r="G1331" s="13" t="s">
        <v>11098</v>
      </c>
      <c r="H1331" s="13" t="s">
        <v>11099</v>
      </c>
      <c r="I1331" s="13" t="s">
        <v>9636</v>
      </c>
      <c r="J1331" s="13"/>
      <c r="K1331" s="13" t="s">
        <v>9639</v>
      </c>
      <c r="L1331" s="13" t="s">
        <v>9640</v>
      </c>
    </row>
    <row r="1332" customFormat="false" ht="23.85" hidden="false" customHeight="false" outlineLevel="0" collapsed="false">
      <c r="A1332" s="13" t="s">
        <v>4</v>
      </c>
      <c r="B1332" s="13" t="s">
        <v>4108</v>
      </c>
      <c r="C1332" s="13" t="n">
        <v>238</v>
      </c>
      <c r="D1332" s="13" t="s">
        <v>9641</v>
      </c>
      <c r="E1332" s="13" t="s">
        <v>14542</v>
      </c>
      <c r="F1332" s="13" t="s">
        <v>14543</v>
      </c>
      <c r="G1332" s="13" t="s">
        <v>11098</v>
      </c>
      <c r="H1332" s="13" t="s">
        <v>11099</v>
      </c>
      <c r="I1332" s="13" t="s">
        <v>9642</v>
      </c>
      <c r="J1332" s="13"/>
      <c r="K1332" s="13" t="s">
        <v>9645</v>
      </c>
      <c r="L1332" s="13" t="s">
        <v>9646</v>
      </c>
    </row>
    <row r="1333" customFormat="false" ht="35.05" hidden="false" customHeight="false" outlineLevel="0" collapsed="false">
      <c r="A1333" s="13" t="s">
        <v>4</v>
      </c>
      <c r="B1333" s="13" t="s">
        <v>4108</v>
      </c>
      <c r="C1333" s="13" t="n">
        <v>238</v>
      </c>
      <c r="D1333" s="13" t="s">
        <v>9647</v>
      </c>
      <c r="E1333" s="13" t="s">
        <v>14544</v>
      </c>
      <c r="F1333" s="13" t="s">
        <v>14545</v>
      </c>
      <c r="G1333" s="13" t="s">
        <v>11098</v>
      </c>
      <c r="H1333" s="13" t="s">
        <v>11099</v>
      </c>
      <c r="I1333" s="13" t="s">
        <v>9648</v>
      </c>
      <c r="J1333" s="13"/>
      <c r="K1333" s="13" t="s">
        <v>9651</v>
      </c>
      <c r="L1333" s="13" t="s">
        <v>9652</v>
      </c>
    </row>
    <row r="1334" customFormat="false" ht="46.25" hidden="false" customHeight="false" outlineLevel="0" collapsed="false">
      <c r="A1334" s="13" t="s">
        <v>4</v>
      </c>
      <c r="B1334" s="13" t="s">
        <v>4108</v>
      </c>
      <c r="C1334" s="13" t="n">
        <v>258</v>
      </c>
      <c r="D1334" s="13" t="s">
        <v>9653</v>
      </c>
      <c r="E1334" s="13" t="s">
        <v>14546</v>
      </c>
      <c r="F1334" s="13" t="s">
        <v>14547</v>
      </c>
      <c r="G1334" s="13" t="s">
        <v>11098</v>
      </c>
      <c r="H1334" s="13" t="s">
        <v>11099</v>
      </c>
      <c r="I1334" s="13" t="s">
        <v>14548</v>
      </c>
      <c r="J1334" s="13"/>
      <c r="K1334" s="13" t="s">
        <v>9657</v>
      </c>
      <c r="L1334" s="13" t="s">
        <v>9658</v>
      </c>
    </row>
    <row r="1335" customFormat="false" ht="158.2" hidden="false" customHeight="false" outlineLevel="0" collapsed="false">
      <c r="A1335" s="13" t="s">
        <v>4</v>
      </c>
      <c r="B1335" s="13" t="s">
        <v>4108</v>
      </c>
      <c r="C1335" s="13" t="n">
        <v>258</v>
      </c>
      <c r="D1335" s="13" t="s">
        <v>9664</v>
      </c>
      <c r="E1335" s="13" t="s">
        <v>14549</v>
      </c>
      <c r="F1335" s="13" t="s">
        <v>14550</v>
      </c>
      <c r="G1335" s="13" t="s">
        <v>11098</v>
      </c>
      <c r="H1335" s="13" t="s">
        <v>11099</v>
      </c>
      <c r="I1335" s="13" t="s">
        <v>9672</v>
      </c>
      <c r="J1335" s="13"/>
      <c r="K1335" s="13" t="s">
        <v>9668</v>
      </c>
      <c r="L1335" s="13" t="s">
        <v>9669</v>
      </c>
    </row>
    <row r="1336" customFormat="false" ht="158.2" hidden="false" customHeight="false" outlineLevel="0" collapsed="false">
      <c r="A1336" s="13" t="s">
        <v>4</v>
      </c>
      <c r="B1336" s="13" t="s">
        <v>4108</v>
      </c>
      <c r="C1336" s="13" t="n">
        <v>258</v>
      </c>
      <c r="D1336" s="13" t="s">
        <v>9664</v>
      </c>
      <c r="E1336" s="13" t="s">
        <v>14551</v>
      </c>
      <c r="F1336" s="13" t="s">
        <v>14552</v>
      </c>
      <c r="G1336" s="13" t="s">
        <v>11098</v>
      </c>
      <c r="H1336" s="13" t="s">
        <v>11099</v>
      </c>
      <c r="I1336" s="13" t="s">
        <v>14553</v>
      </c>
      <c r="J1336" s="13"/>
      <c r="K1336" s="13" t="s">
        <v>9668</v>
      </c>
      <c r="L1336" s="13" t="s">
        <v>9669</v>
      </c>
    </row>
    <row r="1337" customFormat="false" ht="91" hidden="false" customHeight="false" outlineLevel="0" collapsed="false">
      <c r="A1337" s="13" t="s">
        <v>4</v>
      </c>
      <c r="B1337" s="13" t="s">
        <v>4108</v>
      </c>
      <c r="C1337" s="13" t="n">
        <v>258</v>
      </c>
      <c r="D1337" s="13" t="s">
        <v>9679</v>
      </c>
      <c r="E1337" s="13" t="s">
        <v>14554</v>
      </c>
      <c r="F1337" s="13" t="s">
        <v>14555</v>
      </c>
      <c r="G1337" s="13" t="s">
        <v>11098</v>
      </c>
      <c r="H1337" s="13" t="s">
        <v>11099</v>
      </c>
      <c r="I1337" s="13" t="s">
        <v>14556</v>
      </c>
      <c r="J1337" s="13"/>
      <c r="K1337" s="13" t="s">
        <v>9684</v>
      </c>
      <c r="L1337" s="13" t="s">
        <v>9685</v>
      </c>
    </row>
    <row r="1338" customFormat="false" ht="91" hidden="false" customHeight="false" outlineLevel="0" collapsed="false">
      <c r="A1338" s="13" t="s">
        <v>4</v>
      </c>
      <c r="B1338" s="13" t="s">
        <v>4108</v>
      </c>
      <c r="C1338" s="13" t="n">
        <v>258</v>
      </c>
      <c r="D1338" s="13" t="s">
        <v>9679</v>
      </c>
      <c r="E1338" s="13" t="s">
        <v>14557</v>
      </c>
      <c r="F1338" s="13" t="s">
        <v>14558</v>
      </c>
      <c r="G1338" s="13" t="s">
        <v>11098</v>
      </c>
      <c r="H1338" s="13" t="s">
        <v>11099</v>
      </c>
      <c r="I1338" s="13" t="s">
        <v>14559</v>
      </c>
      <c r="J1338" s="13"/>
      <c r="K1338" s="13" t="s">
        <v>9684</v>
      </c>
      <c r="L1338" s="13" t="s">
        <v>9685</v>
      </c>
    </row>
    <row r="1339" customFormat="false" ht="46.25" hidden="false" customHeight="false" outlineLevel="0" collapsed="false">
      <c r="A1339" s="13" t="s">
        <v>4</v>
      </c>
      <c r="B1339" s="13" t="s">
        <v>4108</v>
      </c>
      <c r="C1339" s="13" t="n">
        <v>258</v>
      </c>
      <c r="D1339" s="13" t="s">
        <v>9695</v>
      </c>
      <c r="E1339" s="13" t="s">
        <v>14560</v>
      </c>
      <c r="F1339" s="13" t="s">
        <v>14561</v>
      </c>
      <c r="G1339" s="13" t="s">
        <v>11098</v>
      </c>
      <c r="H1339" s="13" t="s">
        <v>11099</v>
      </c>
      <c r="I1339" s="13" t="s">
        <v>14562</v>
      </c>
      <c r="J1339" s="13" t="s">
        <v>14563</v>
      </c>
      <c r="K1339" s="13" t="s">
        <v>9700</v>
      </c>
      <c r="L1339" s="13" t="s">
        <v>9701</v>
      </c>
    </row>
    <row r="1340" customFormat="false" ht="124.6" hidden="false" customHeight="false" outlineLevel="0" collapsed="false">
      <c r="A1340" s="13" t="s">
        <v>4</v>
      </c>
      <c r="B1340" s="13" t="s">
        <v>4108</v>
      </c>
      <c r="C1340" s="13" t="n">
        <v>258</v>
      </c>
      <c r="D1340" s="13" t="s">
        <v>9705</v>
      </c>
      <c r="E1340" s="13" t="s">
        <v>14564</v>
      </c>
      <c r="F1340" s="13" t="s">
        <v>14565</v>
      </c>
      <c r="G1340" s="13" t="s">
        <v>11098</v>
      </c>
      <c r="H1340" s="13" t="s">
        <v>11099</v>
      </c>
      <c r="I1340" s="13" t="s">
        <v>9706</v>
      </c>
      <c r="J1340" s="13"/>
      <c r="K1340" s="13" t="s">
        <v>9708</v>
      </c>
      <c r="L1340" s="13" t="s">
        <v>9709</v>
      </c>
    </row>
    <row r="1341" customFormat="false" ht="124.6" hidden="false" customHeight="false" outlineLevel="0" collapsed="false">
      <c r="A1341" s="13" t="s">
        <v>4</v>
      </c>
      <c r="B1341" s="13" t="s">
        <v>4108</v>
      </c>
      <c r="C1341" s="13" t="n">
        <v>258</v>
      </c>
      <c r="D1341" s="13" t="s">
        <v>9705</v>
      </c>
      <c r="E1341" s="13" t="s">
        <v>14566</v>
      </c>
      <c r="F1341" s="13" t="s">
        <v>14567</v>
      </c>
      <c r="G1341" s="13" t="s">
        <v>11098</v>
      </c>
      <c r="H1341" s="13" t="s">
        <v>11099</v>
      </c>
      <c r="I1341" s="13" t="s">
        <v>14568</v>
      </c>
      <c r="J1341" s="13"/>
      <c r="K1341" s="13" t="s">
        <v>9708</v>
      </c>
      <c r="L1341" s="13" t="s">
        <v>9709</v>
      </c>
    </row>
    <row r="1342" customFormat="false" ht="124.6" hidden="false" customHeight="false" outlineLevel="0" collapsed="false">
      <c r="A1342" s="13" t="s">
        <v>4</v>
      </c>
      <c r="B1342" s="13" t="s">
        <v>4108</v>
      </c>
      <c r="C1342" s="13" t="n">
        <v>258</v>
      </c>
      <c r="D1342" s="13" t="s">
        <v>9705</v>
      </c>
      <c r="E1342" s="13" t="s">
        <v>14569</v>
      </c>
      <c r="F1342" s="13" t="s">
        <v>14570</v>
      </c>
      <c r="G1342" s="13" t="s">
        <v>11098</v>
      </c>
      <c r="H1342" s="13" t="s">
        <v>11099</v>
      </c>
      <c r="I1342" s="13" t="s">
        <v>14571</v>
      </c>
      <c r="J1342" s="13"/>
      <c r="K1342" s="13" t="s">
        <v>9708</v>
      </c>
      <c r="L1342" s="13" t="s">
        <v>9709</v>
      </c>
    </row>
    <row r="1343" customFormat="false" ht="124.6" hidden="false" customHeight="false" outlineLevel="0" collapsed="false">
      <c r="A1343" s="13" t="s">
        <v>4</v>
      </c>
      <c r="B1343" s="13" t="s">
        <v>4108</v>
      </c>
      <c r="C1343" s="13" t="n">
        <v>258</v>
      </c>
      <c r="D1343" s="13" t="s">
        <v>9705</v>
      </c>
      <c r="E1343" s="13" t="s">
        <v>14572</v>
      </c>
      <c r="F1343" s="13" t="s">
        <v>14573</v>
      </c>
      <c r="G1343" s="13" t="s">
        <v>11128</v>
      </c>
      <c r="H1343" s="13" t="s">
        <v>11099</v>
      </c>
      <c r="I1343" s="13"/>
      <c r="J1343" s="13"/>
      <c r="K1343" s="13" t="s">
        <v>9708</v>
      </c>
      <c r="L1343" s="13" t="s">
        <v>9709</v>
      </c>
    </row>
    <row r="1344" customFormat="false" ht="68.65" hidden="false" customHeight="false" outlineLevel="0" collapsed="false">
      <c r="A1344" s="13" t="s">
        <v>4</v>
      </c>
      <c r="B1344" s="13" t="s">
        <v>4108</v>
      </c>
      <c r="C1344" s="13" t="n">
        <v>258</v>
      </c>
      <c r="D1344" s="13" t="s">
        <v>9718</v>
      </c>
      <c r="E1344" s="13" t="s">
        <v>14574</v>
      </c>
      <c r="F1344" s="13" t="s">
        <v>14575</v>
      </c>
      <c r="G1344" s="13" t="s">
        <v>11098</v>
      </c>
      <c r="H1344" s="13" t="s">
        <v>11099</v>
      </c>
      <c r="I1344" s="13" t="s">
        <v>14576</v>
      </c>
      <c r="J1344" s="13"/>
      <c r="K1344" s="13" t="s">
        <v>9721</v>
      </c>
      <c r="L1344" s="13" t="s">
        <v>9722</v>
      </c>
    </row>
    <row r="1345" customFormat="false" ht="46.25" hidden="false" customHeight="false" outlineLevel="0" collapsed="false">
      <c r="A1345" s="13" t="s">
        <v>4</v>
      </c>
      <c r="B1345" s="13" t="s">
        <v>4108</v>
      </c>
      <c r="C1345" s="13" t="n">
        <v>258</v>
      </c>
      <c r="D1345" s="13" t="s">
        <v>9730</v>
      </c>
      <c r="E1345" s="13" t="s">
        <v>14577</v>
      </c>
      <c r="F1345" s="13" t="s">
        <v>14578</v>
      </c>
      <c r="G1345" s="13" t="s">
        <v>11098</v>
      </c>
      <c r="H1345" s="13" t="s">
        <v>11099</v>
      </c>
      <c r="I1345" s="13" t="s">
        <v>14579</v>
      </c>
      <c r="J1345" s="13"/>
      <c r="K1345" s="13" t="s">
        <v>9733</v>
      </c>
      <c r="L1345" s="13" t="s">
        <v>9734</v>
      </c>
    </row>
    <row r="1346" customFormat="false" ht="15" hidden="false" customHeight="false" outlineLevel="0" collapsed="false">
      <c r="A1346" s="13" t="s">
        <v>4</v>
      </c>
      <c r="B1346" s="13" t="s">
        <v>4108</v>
      </c>
      <c r="C1346" s="13" t="n">
        <v>271</v>
      </c>
      <c r="D1346" s="13" t="s">
        <v>9737</v>
      </c>
      <c r="E1346" s="13" t="s">
        <v>14580</v>
      </c>
      <c r="F1346" s="13" t="s">
        <v>14581</v>
      </c>
      <c r="G1346" s="13" t="s">
        <v>11137</v>
      </c>
      <c r="H1346" s="13" t="s">
        <v>11099</v>
      </c>
      <c r="I1346" s="13" t="s">
        <v>9738</v>
      </c>
      <c r="J1346" s="13"/>
      <c r="K1346" s="13" t="s">
        <v>9741</v>
      </c>
      <c r="L1346" s="13" t="s">
        <v>9742</v>
      </c>
    </row>
    <row r="1347" customFormat="false" ht="15" hidden="false" customHeight="false" outlineLevel="0" collapsed="false">
      <c r="A1347" s="13" t="s">
        <v>4</v>
      </c>
      <c r="B1347" s="13" t="s">
        <v>4108</v>
      </c>
      <c r="C1347" s="13" t="n">
        <v>271</v>
      </c>
      <c r="D1347" s="13" t="s">
        <v>9743</v>
      </c>
      <c r="E1347" s="13" t="s">
        <v>14582</v>
      </c>
      <c r="F1347" s="13" t="s">
        <v>14583</v>
      </c>
      <c r="G1347" s="13" t="s">
        <v>11137</v>
      </c>
      <c r="H1347" s="13" t="s">
        <v>11099</v>
      </c>
      <c r="I1347" s="13" t="s">
        <v>9744</v>
      </c>
      <c r="J1347" s="13"/>
      <c r="K1347" s="13" t="s">
        <v>9749</v>
      </c>
      <c r="L1347" s="13" t="s">
        <v>9750</v>
      </c>
    </row>
    <row r="1348" customFormat="false" ht="23.85" hidden="false" customHeight="false" outlineLevel="0" collapsed="false">
      <c r="A1348" s="13" t="s">
        <v>4</v>
      </c>
      <c r="B1348" s="13" t="s">
        <v>4108</v>
      </c>
      <c r="C1348" s="13" t="n">
        <v>271</v>
      </c>
      <c r="D1348" s="13" t="s">
        <v>9751</v>
      </c>
      <c r="E1348" s="13" t="s">
        <v>14584</v>
      </c>
      <c r="F1348" s="13" t="s">
        <v>14585</v>
      </c>
      <c r="G1348" s="13" t="s">
        <v>11137</v>
      </c>
      <c r="H1348" s="13" t="s">
        <v>11099</v>
      </c>
      <c r="I1348" s="13" t="s">
        <v>9752</v>
      </c>
      <c r="J1348" s="13"/>
      <c r="K1348" s="13" t="s">
        <v>9757</v>
      </c>
      <c r="L1348" s="13" t="s">
        <v>9758</v>
      </c>
    </row>
    <row r="1349" customFormat="false" ht="35.05" hidden="false" customHeight="false" outlineLevel="0" collapsed="false">
      <c r="A1349" s="13" t="s">
        <v>4</v>
      </c>
      <c r="B1349" s="13" t="s">
        <v>4108</v>
      </c>
      <c r="C1349" s="13" t="n">
        <v>271</v>
      </c>
      <c r="D1349" s="13" t="s">
        <v>9759</v>
      </c>
      <c r="E1349" s="13" t="s">
        <v>14586</v>
      </c>
      <c r="F1349" s="13" t="s">
        <v>14587</v>
      </c>
      <c r="G1349" s="13" t="s">
        <v>11098</v>
      </c>
      <c r="H1349" s="13" t="s">
        <v>11099</v>
      </c>
      <c r="I1349" s="13" t="s">
        <v>9760</v>
      </c>
      <c r="J1349" s="13"/>
      <c r="K1349" s="13" t="s">
        <v>9764</v>
      </c>
      <c r="L1349" s="13" t="s">
        <v>9765</v>
      </c>
    </row>
    <row r="1350" customFormat="false" ht="35.05" hidden="false" customHeight="false" outlineLevel="0" collapsed="false">
      <c r="A1350" s="13" t="s">
        <v>4</v>
      </c>
      <c r="B1350" s="13" t="s">
        <v>4108</v>
      </c>
      <c r="C1350" s="13" t="n">
        <v>271</v>
      </c>
      <c r="D1350" s="13" t="s">
        <v>9759</v>
      </c>
      <c r="E1350" s="13" t="s">
        <v>14588</v>
      </c>
      <c r="F1350" s="13" t="s">
        <v>14589</v>
      </c>
      <c r="G1350" s="13" t="s">
        <v>11128</v>
      </c>
      <c r="H1350" s="13" t="s">
        <v>11099</v>
      </c>
      <c r="I1350" s="13"/>
      <c r="J1350" s="13" t="s">
        <v>14590</v>
      </c>
      <c r="K1350" s="13" t="s">
        <v>9764</v>
      </c>
      <c r="L1350" s="13" t="s">
        <v>9765</v>
      </c>
    </row>
    <row r="1351" customFormat="false" ht="91" hidden="false" customHeight="false" outlineLevel="0" collapsed="false">
      <c r="A1351" s="13" t="s">
        <v>4</v>
      </c>
      <c r="B1351" s="13" t="s">
        <v>4108</v>
      </c>
      <c r="C1351" s="13" t="n">
        <v>271</v>
      </c>
      <c r="D1351" s="13" t="s">
        <v>9766</v>
      </c>
      <c r="E1351" s="13" t="s">
        <v>14591</v>
      </c>
      <c r="F1351" s="13" t="s">
        <v>14592</v>
      </c>
      <c r="G1351" s="13" t="s">
        <v>11315</v>
      </c>
      <c r="H1351" s="13" t="s">
        <v>11099</v>
      </c>
      <c r="I1351" s="13" t="s">
        <v>14593</v>
      </c>
      <c r="J1351" s="13" t="s">
        <v>14594</v>
      </c>
      <c r="K1351" s="13" t="s">
        <v>9770</v>
      </c>
      <c r="L1351" s="13" t="s">
        <v>9771</v>
      </c>
    </row>
    <row r="1352" customFormat="false" ht="91" hidden="false" customHeight="false" outlineLevel="0" collapsed="false">
      <c r="A1352" s="13" t="s">
        <v>4</v>
      </c>
      <c r="B1352" s="13" t="s">
        <v>4108</v>
      </c>
      <c r="C1352" s="13" t="n">
        <v>271</v>
      </c>
      <c r="D1352" s="13" t="s">
        <v>9766</v>
      </c>
      <c r="E1352" s="13" t="s">
        <v>14595</v>
      </c>
      <c r="F1352" s="13" t="s">
        <v>14596</v>
      </c>
      <c r="G1352" s="13" t="s">
        <v>11137</v>
      </c>
      <c r="H1352" s="13" t="s">
        <v>11099</v>
      </c>
      <c r="I1352" s="13" t="s">
        <v>9772</v>
      </c>
      <c r="J1352" s="13" t="s">
        <v>14597</v>
      </c>
      <c r="K1352" s="13" t="s">
        <v>9770</v>
      </c>
      <c r="L1352" s="13" t="s">
        <v>9771</v>
      </c>
    </row>
    <row r="1353" customFormat="false" ht="91" hidden="false" customHeight="false" outlineLevel="0" collapsed="false">
      <c r="A1353" s="13" t="s">
        <v>4</v>
      </c>
      <c r="B1353" s="13" t="s">
        <v>4108</v>
      </c>
      <c r="C1353" s="13" t="n">
        <v>271</v>
      </c>
      <c r="D1353" s="13" t="s">
        <v>9766</v>
      </c>
      <c r="E1353" s="13" t="s">
        <v>14598</v>
      </c>
      <c r="F1353" s="13" t="s">
        <v>14599</v>
      </c>
      <c r="G1353" s="13" t="s">
        <v>11098</v>
      </c>
      <c r="H1353" s="13" t="s">
        <v>11099</v>
      </c>
      <c r="I1353" s="13" t="s">
        <v>14600</v>
      </c>
      <c r="J1353" s="13"/>
      <c r="K1353" s="13" t="s">
        <v>9770</v>
      </c>
      <c r="L1353" s="13" t="s">
        <v>9771</v>
      </c>
    </row>
    <row r="1354" customFormat="false" ht="57.45" hidden="false" customHeight="false" outlineLevel="0" collapsed="false">
      <c r="A1354" s="13" t="s">
        <v>4</v>
      </c>
      <c r="B1354" s="13" t="s">
        <v>4108</v>
      </c>
      <c r="C1354" s="13" t="n">
        <v>271</v>
      </c>
      <c r="D1354" s="13" t="s">
        <v>9784</v>
      </c>
      <c r="E1354" s="13" t="s">
        <v>14601</v>
      </c>
      <c r="F1354" s="13" t="s">
        <v>14602</v>
      </c>
      <c r="G1354" s="13" t="s">
        <v>11137</v>
      </c>
      <c r="H1354" s="13" t="s">
        <v>11099</v>
      </c>
      <c r="I1354" s="13" t="s">
        <v>14603</v>
      </c>
      <c r="J1354" s="13"/>
      <c r="K1354" s="13" t="s">
        <v>9789</v>
      </c>
      <c r="L1354" s="13" t="s">
        <v>9790</v>
      </c>
    </row>
    <row r="1355" customFormat="false" ht="57.45" hidden="false" customHeight="false" outlineLevel="0" collapsed="false">
      <c r="A1355" s="13" t="s">
        <v>4</v>
      </c>
      <c r="B1355" s="13" t="s">
        <v>4108</v>
      </c>
      <c r="C1355" s="13" t="n">
        <v>271</v>
      </c>
      <c r="D1355" s="13" t="s">
        <v>9795</v>
      </c>
      <c r="E1355" s="13" t="s">
        <v>14604</v>
      </c>
      <c r="F1355" s="13" t="s">
        <v>14605</v>
      </c>
      <c r="G1355" s="13" t="s">
        <v>11098</v>
      </c>
      <c r="H1355" s="13" t="s">
        <v>11099</v>
      </c>
      <c r="I1355" s="13" t="s">
        <v>9796</v>
      </c>
      <c r="J1355" s="13"/>
      <c r="K1355" s="13" t="s">
        <v>9799</v>
      </c>
      <c r="L1355" s="13" t="s">
        <v>9800</v>
      </c>
    </row>
    <row r="1356" customFormat="false" ht="57.45" hidden="false" customHeight="false" outlineLevel="0" collapsed="false">
      <c r="A1356" s="13" t="s">
        <v>4</v>
      </c>
      <c r="B1356" s="13" t="s">
        <v>4108</v>
      </c>
      <c r="C1356" s="13" t="n">
        <v>271</v>
      </c>
      <c r="D1356" s="13" t="s">
        <v>9795</v>
      </c>
      <c r="E1356" s="13" t="s">
        <v>14606</v>
      </c>
      <c r="F1356" s="13" t="s">
        <v>14607</v>
      </c>
      <c r="G1356" s="13" t="s">
        <v>11098</v>
      </c>
      <c r="H1356" s="13" t="s">
        <v>11099</v>
      </c>
      <c r="I1356" s="13" t="s">
        <v>9802</v>
      </c>
      <c r="J1356" s="13" t="s">
        <v>14608</v>
      </c>
      <c r="K1356" s="13" t="s">
        <v>9799</v>
      </c>
      <c r="L1356" s="13" t="s">
        <v>9800</v>
      </c>
    </row>
    <row r="1357" customFormat="false" ht="46.25" hidden="false" customHeight="false" outlineLevel="0" collapsed="false">
      <c r="A1357" s="13" t="s">
        <v>4</v>
      </c>
      <c r="B1357" s="13" t="s">
        <v>4108</v>
      </c>
      <c r="C1357" s="13" t="n">
        <v>271</v>
      </c>
      <c r="D1357" s="13" t="s">
        <v>9815</v>
      </c>
      <c r="E1357" s="13" t="s">
        <v>14609</v>
      </c>
      <c r="F1357" s="13" t="s">
        <v>14610</v>
      </c>
      <c r="G1357" s="13" t="s">
        <v>11098</v>
      </c>
      <c r="H1357" s="13" t="s">
        <v>11099</v>
      </c>
      <c r="I1357" s="13" t="s">
        <v>14611</v>
      </c>
      <c r="J1357" s="13"/>
      <c r="K1357" s="13" t="s">
        <v>9818</v>
      </c>
      <c r="L1357" s="13" t="s">
        <v>9819</v>
      </c>
    </row>
    <row r="1358" customFormat="false" ht="23.85" hidden="false" customHeight="false" outlineLevel="0" collapsed="false">
      <c r="A1358" s="13" t="s">
        <v>4</v>
      </c>
      <c r="B1358" s="13" t="s">
        <v>4108</v>
      </c>
      <c r="C1358" s="13" t="n">
        <v>271</v>
      </c>
      <c r="D1358" s="13" t="s">
        <v>9839</v>
      </c>
      <c r="E1358" s="13" t="s">
        <v>14612</v>
      </c>
      <c r="F1358" s="13" t="s">
        <v>14613</v>
      </c>
      <c r="G1358" s="13" t="s">
        <v>11098</v>
      </c>
      <c r="H1358" s="13" t="s">
        <v>11099</v>
      </c>
      <c r="I1358" s="13" t="s">
        <v>9840</v>
      </c>
      <c r="J1358" s="13"/>
      <c r="K1358" s="13" t="s">
        <v>9842</v>
      </c>
      <c r="L1358" s="13" t="s">
        <v>9843</v>
      </c>
    </row>
    <row r="1359" customFormat="false" ht="46.25" hidden="false" customHeight="false" outlineLevel="0" collapsed="false">
      <c r="A1359" s="13" t="s">
        <v>4</v>
      </c>
      <c r="B1359" s="13" t="s">
        <v>4108</v>
      </c>
      <c r="C1359" s="13" t="n">
        <v>271</v>
      </c>
      <c r="D1359" s="13" t="s">
        <v>9844</v>
      </c>
      <c r="E1359" s="13" t="s">
        <v>14614</v>
      </c>
      <c r="F1359" s="13" t="s">
        <v>14615</v>
      </c>
      <c r="G1359" s="13" t="s">
        <v>11098</v>
      </c>
      <c r="H1359" s="13" t="s">
        <v>11099</v>
      </c>
      <c r="I1359" s="13" t="s">
        <v>14616</v>
      </c>
      <c r="J1359" s="13"/>
      <c r="K1359" s="13" t="s">
        <v>9847</v>
      </c>
      <c r="L1359" s="13" t="s">
        <v>9848</v>
      </c>
    </row>
    <row r="1360" customFormat="false" ht="79.85" hidden="false" customHeight="false" outlineLevel="0" collapsed="false">
      <c r="A1360" s="13" t="s">
        <v>4</v>
      </c>
      <c r="B1360" s="13" t="s">
        <v>4108</v>
      </c>
      <c r="C1360" s="13" t="n">
        <v>321</v>
      </c>
      <c r="D1360" s="13" t="s">
        <v>9851</v>
      </c>
      <c r="E1360" s="13" t="s">
        <v>14617</v>
      </c>
      <c r="F1360" s="13" t="s">
        <v>14618</v>
      </c>
      <c r="G1360" s="13" t="s">
        <v>11098</v>
      </c>
      <c r="H1360" s="13" t="s">
        <v>11099</v>
      </c>
      <c r="I1360" s="13" t="s">
        <v>14619</v>
      </c>
      <c r="J1360" s="13"/>
      <c r="K1360" s="13" t="s">
        <v>9856</v>
      </c>
      <c r="L1360" s="13" t="s">
        <v>9857</v>
      </c>
    </row>
    <row r="1361" customFormat="false" ht="79.85" hidden="false" customHeight="false" outlineLevel="0" collapsed="false">
      <c r="A1361" s="13" t="s">
        <v>4</v>
      </c>
      <c r="B1361" s="13" t="s">
        <v>4108</v>
      </c>
      <c r="C1361" s="13" t="n">
        <v>321</v>
      </c>
      <c r="D1361" s="13" t="s">
        <v>9864</v>
      </c>
      <c r="E1361" s="13" t="s">
        <v>14620</v>
      </c>
      <c r="F1361" s="13" t="s">
        <v>14621</v>
      </c>
      <c r="G1361" s="13" t="s">
        <v>11098</v>
      </c>
      <c r="H1361" s="13" t="s">
        <v>11099</v>
      </c>
      <c r="I1361" s="13" t="s">
        <v>14622</v>
      </c>
      <c r="J1361" s="13"/>
      <c r="K1361" s="13" t="s">
        <v>9868</v>
      </c>
      <c r="L1361" s="13" t="s">
        <v>9869</v>
      </c>
    </row>
    <row r="1362" customFormat="false" ht="169.4" hidden="false" customHeight="false" outlineLevel="0" collapsed="false">
      <c r="A1362" s="13" t="s">
        <v>4</v>
      </c>
      <c r="B1362" s="13" t="s">
        <v>4108</v>
      </c>
      <c r="C1362" s="13" t="n">
        <v>321</v>
      </c>
      <c r="D1362" s="13" t="s">
        <v>9878</v>
      </c>
      <c r="E1362" s="13" t="s">
        <v>14623</v>
      </c>
      <c r="F1362" s="13" t="s">
        <v>14624</v>
      </c>
      <c r="G1362" s="13" t="s">
        <v>11098</v>
      </c>
      <c r="H1362" s="13" t="s">
        <v>11099</v>
      </c>
      <c r="I1362" s="13" t="s">
        <v>9883</v>
      </c>
      <c r="J1362" s="13"/>
      <c r="K1362" s="13" t="s">
        <v>9881</v>
      </c>
      <c r="L1362" s="13" t="s">
        <v>9882</v>
      </c>
    </row>
    <row r="1363" customFormat="false" ht="169.4" hidden="false" customHeight="false" outlineLevel="0" collapsed="false">
      <c r="A1363" s="13" t="s">
        <v>4</v>
      </c>
      <c r="B1363" s="13" t="s">
        <v>4108</v>
      </c>
      <c r="C1363" s="13" t="n">
        <v>321</v>
      </c>
      <c r="D1363" s="13" t="s">
        <v>9878</v>
      </c>
      <c r="E1363" s="13" t="s">
        <v>14625</v>
      </c>
      <c r="F1363" s="13" t="s">
        <v>14626</v>
      </c>
      <c r="G1363" s="13" t="s">
        <v>11098</v>
      </c>
      <c r="H1363" s="13" t="s">
        <v>11099</v>
      </c>
      <c r="I1363" s="13" t="s">
        <v>14627</v>
      </c>
      <c r="J1363" s="13"/>
      <c r="K1363" s="13" t="s">
        <v>9881</v>
      </c>
      <c r="L1363" s="13" t="s">
        <v>9882</v>
      </c>
    </row>
    <row r="1364" customFormat="false" ht="169.4" hidden="false" customHeight="false" outlineLevel="0" collapsed="false">
      <c r="A1364" s="13" t="s">
        <v>4</v>
      </c>
      <c r="B1364" s="13" t="s">
        <v>4108</v>
      </c>
      <c r="C1364" s="13" t="n">
        <v>321</v>
      </c>
      <c r="D1364" s="13" t="s">
        <v>9878</v>
      </c>
      <c r="E1364" s="13" t="s">
        <v>14628</v>
      </c>
      <c r="F1364" s="13" t="s">
        <v>14629</v>
      </c>
      <c r="G1364" s="13" t="s">
        <v>11098</v>
      </c>
      <c r="H1364" s="13" t="s">
        <v>11099</v>
      </c>
      <c r="I1364" s="13" t="s">
        <v>14630</v>
      </c>
      <c r="J1364" s="13"/>
      <c r="K1364" s="13" t="s">
        <v>9881</v>
      </c>
      <c r="L1364" s="13" t="s">
        <v>9882</v>
      </c>
    </row>
    <row r="1365" customFormat="false" ht="124.6" hidden="false" customHeight="false" outlineLevel="0" collapsed="false">
      <c r="A1365" s="13" t="s">
        <v>4</v>
      </c>
      <c r="B1365" s="13" t="s">
        <v>4108</v>
      </c>
      <c r="C1365" s="13" t="n">
        <v>321</v>
      </c>
      <c r="D1365" s="13" t="s">
        <v>9890</v>
      </c>
      <c r="E1365" s="13" t="s">
        <v>14631</v>
      </c>
      <c r="F1365" s="13" t="s">
        <v>14632</v>
      </c>
      <c r="G1365" s="13" t="s">
        <v>11098</v>
      </c>
      <c r="H1365" s="13" t="s">
        <v>11099</v>
      </c>
      <c r="I1365" s="13" t="s">
        <v>14633</v>
      </c>
      <c r="J1365" s="13"/>
      <c r="K1365" s="13" t="s">
        <v>9893</v>
      </c>
      <c r="L1365" s="13" t="s">
        <v>9894</v>
      </c>
    </row>
    <row r="1366" customFormat="false" ht="124.6" hidden="false" customHeight="false" outlineLevel="0" collapsed="false">
      <c r="A1366" s="13" t="s">
        <v>4</v>
      </c>
      <c r="B1366" s="13" t="s">
        <v>4108</v>
      </c>
      <c r="C1366" s="13" t="n">
        <v>321</v>
      </c>
      <c r="D1366" s="13" t="s">
        <v>9890</v>
      </c>
      <c r="E1366" s="13" t="s">
        <v>14634</v>
      </c>
      <c r="F1366" s="13" t="s">
        <v>14635</v>
      </c>
      <c r="G1366" s="13" t="s">
        <v>11098</v>
      </c>
      <c r="H1366" s="13" t="s">
        <v>11099</v>
      </c>
      <c r="I1366" s="13" t="s">
        <v>9897</v>
      </c>
      <c r="J1366" s="13"/>
      <c r="K1366" s="13" t="s">
        <v>9893</v>
      </c>
      <c r="L1366" s="13" t="s">
        <v>9894</v>
      </c>
    </row>
    <row r="1367" customFormat="false" ht="124.6" hidden="false" customHeight="false" outlineLevel="0" collapsed="false">
      <c r="A1367" s="13" t="s">
        <v>4</v>
      </c>
      <c r="B1367" s="13" t="s">
        <v>4108</v>
      </c>
      <c r="C1367" s="13" t="n">
        <v>321</v>
      </c>
      <c r="D1367" s="13" t="s">
        <v>9890</v>
      </c>
      <c r="E1367" s="13" t="s">
        <v>14636</v>
      </c>
      <c r="F1367" s="13" t="s">
        <v>14637</v>
      </c>
      <c r="G1367" s="13" t="s">
        <v>11098</v>
      </c>
      <c r="H1367" s="13" t="s">
        <v>11099</v>
      </c>
      <c r="I1367" s="13" t="s">
        <v>14638</v>
      </c>
      <c r="J1367" s="13"/>
      <c r="K1367" s="13" t="s">
        <v>9893</v>
      </c>
      <c r="L1367" s="13" t="s">
        <v>9894</v>
      </c>
    </row>
    <row r="1368" customFormat="false" ht="169.4" hidden="false" customHeight="false" outlineLevel="0" collapsed="false">
      <c r="A1368" s="13" t="s">
        <v>4</v>
      </c>
      <c r="B1368" s="13" t="s">
        <v>4108</v>
      </c>
      <c r="C1368" s="13" t="n">
        <v>323</v>
      </c>
      <c r="D1368" s="13" t="s">
        <v>9906</v>
      </c>
      <c r="E1368" s="13" t="s">
        <v>14639</v>
      </c>
      <c r="F1368" s="13" t="s">
        <v>14640</v>
      </c>
      <c r="G1368" s="13" t="s">
        <v>11098</v>
      </c>
      <c r="H1368" s="13" t="s">
        <v>11099</v>
      </c>
      <c r="I1368" s="13" t="s">
        <v>14641</v>
      </c>
      <c r="J1368" s="13"/>
      <c r="K1368" s="13" t="s">
        <v>9909</v>
      </c>
      <c r="L1368" s="13" t="s">
        <v>9910</v>
      </c>
    </row>
    <row r="1369" customFormat="false" ht="169.4" hidden="false" customHeight="false" outlineLevel="0" collapsed="false">
      <c r="A1369" s="13" t="s">
        <v>4</v>
      </c>
      <c r="B1369" s="13" t="s">
        <v>4108</v>
      </c>
      <c r="C1369" s="13" t="n">
        <v>323</v>
      </c>
      <c r="D1369" s="13" t="s">
        <v>9906</v>
      </c>
      <c r="E1369" s="13" t="s">
        <v>14642</v>
      </c>
      <c r="F1369" s="13" t="s">
        <v>14643</v>
      </c>
      <c r="G1369" s="13" t="s">
        <v>11098</v>
      </c>
      <c r="H1369" s="13" t="s">
        <v>11099</v>
      </c>
      <c r="I1369" s="13" t="s">
        <v>9914</v>
      </c>
      <c r="J1369" s="13"/>
      <c r="K1369" s="13" t="s">
        <v>9909</v>
      </c>
      <c r="L1369" s="13" t="s">
        <v>9910</v>
      </c>
    </row>
    <row r="1370" customFormat="false" ht="169.4" hidden="false" customHeight="false" outlineLevel="0" collapsed="false">
      <c r="A1370" s="13" t="s">
        <v>4</v>
      </c>
      <c r="B1370" s="13" t="s">
        <v>4108</v>
      </c>
      <c r="C1370" s="13" t="n">
        <v>323</v>
      </c>
      <c r="D1370" s="13" t="s">
        <v>9906</v>
      </c>
      <c r="E1370" s="13" t="s">
        <v>14644</v>
      </c>
      <c r="F1370" s="13" t="s">
        <v>14645</v>
      </c>
      <c r="G1370" s="13" t="s">
        <v>11098</v>
      </c>
      <c r="H1370" s="13" t="s">
        <v>11099</v>
      </c>
      <c r="I1370" s="13" t="s">
        <v>9915</v>
      </c>
      <c r="J1370" s="13"/>
      <c r="K1370" s="13" t="s">
        <v>9909</v>
      </c>
      <c r="L1370" s="13" t="s">
        <v>9910</v>
      </c>
    </row>
    <row r="1371" customFormat="false" ht="169.4" hidden="false" customHeight="false" outlineLevel="0" collapsed="false">
      <c r="A1371" s="13" t="s">
        <v>4</v>
      </c>
      <c r="B1371" s="13" t="s">
        <v>4108</v>
      </c>
      <c r="C1371" s="13" t="n">
        <v>323</v>
      </c>
      <c r="D1371" s="13" t="s">
        <v>9906</v>
      </c>
      <c r="E1371" s="13" t="s">
        <v>14646</v>
      </c>
      <c r="F1371" s="13" t="s">
        <v>14647</v>
      </c>
      <c r="G1371" s="13" t="s">
        <v>11098</v>
      </c>
      <c r="H1371" s="13" t="s">
        <v>11099</v>
      </c>
      <c r="I1371" s="13" t="s">
        <v>14648</v>
      </c>
      <c r="J1371" s="13"/>
      <c r="K1371" s="13" t="s">
        <v>9909</v>
      </c>
      <c r="L1371" s="13" t="s">
        <v>9910</v>
      </c>
    </row>
    <row r="1372" customFormat="false" ht="102.2" hidden="false" customHeight="false" outlineLevel="0" collapsed="false">
      <c r="A1372" s="13" t="s">
        <v>4</v>
      </c>
      <c r="B1372" s="13" t="s">
        <v>4108</v>
      </c>
      <c r="C1372" s="13" t="n">
        <v>323</v>
      </c>
      <c r="D1372" s="13" t="s">
        <v>9922</v>
      </c>
      <c r="E1372" s="13" t="s">
        <v>14649</v>
      </c>
      <c r="F1372" s="13" t="s">
        <v>14650</v>
      </c>
      <c r="G1372" s="13" t="s">
        <v>11098</v>
      </c>
      <c r="H1372" s="13" t="s">
        <v>11099</v>
      </c>
      <c r="I1372" s="13" t="s">
        <v>9923</v>
      </c>
      <c r="J1372" s="13"/>
      <c r="K1372" s="13" t="s">
        <v>9926</v>
      </c>
      <c r="L1372" s="13" t="s">
        <v>9927</v>
      </c>
    </row>
    <row r="1373" customFormat="false" ht="102.2" hidden="false" customHeight="false" outlineLevel="0" collapsed="false">
      <c r="A1373" s="13" t="s">
        <v>4</v>
      </c>
      <c r="B1373" s="13" t="s">
        <v>4108</v>
      </c>
      <c r="C1373" s="13" t="n">
        <v>323</v>
      </c>
      <c r="D1373" s="13" t="s">
        <v>9922</v>
      </c>
      <c r="E1373" s="13" t="s">
        <v>14651</v>
      </c>
      <c r="F1373" s="13" t="s">
        <v>14652</v>
      </c>
      <c r="G1373" s="13" t="s">
        <v>11098</v>
      </c>
      <c r="H1373" s="13" t="s">
        <v>11099</v>
      </c>
      <c r="I1373" s="13" t="s">
        <v>14653</v>
      </c>
      <c r="J1373" s="13" t="s">
        <v>14654</v>
      </c>
      <c r="K1373" s="13" t="s">
        <v>9926</v>
      </c>
      <c r="L1373" s="13" t="s">
        <v>9927</v>
      </c>
    </row>
    <row r="1374" customFormat="false" ht="46.25" hidden="false" customHeight="false" outlineLevel="0" collapsed="false">
      <c r="A1374" s="13" t="s">
        <v>4</v>
      </c>
      <c r="B1374" s="13" t="s">
        <v>4108</v>
      </c>
      <c r="C1374" s="13" t="n">
        <v>323</v>
      </c>
      <c r="D1374" s="13" t="s">
        <v>9939</v>
      </c>
      <c r="E1374" s="13" t="s">
        <v>14655</v>
      </c>
      <c r="F1374" s="13" t="s">
        <v>14656</v>
      </c>
      <c r="G1374" s="13" t="s">
        <v>11098</v>
      </c>
      <c r="H1374" s="13" t="s">
        <v>11099</v>
      </c>
      <c r="I1374" s="13" t="s">
        <v>14657</v>
      </c>
      <c r="J1374" s="13"/>
      <c r="K1374" s="13" t="s">
        <v>9944</v>
      </c>
      <c r="L1374" s="13" t="s">
        <v>9945</v>
      </c>
    </row>
    <row r="1375" customFormat="false" ht="135.8" hidden="false" customHeight="false" outlineLevel="0" collapsed="false">
      <c r="A1375" s="13" t="s">
        <v>4</v>
      </c>
      <c r="B1375" s="13" t="s">
        <v>4108</v>
      </c>
      <c r="C1375" s="13" t="n">
        <v>323</v>
      </c>
      <c r="D1375" s="13" t="s">
        <v>9955</v>
      </c>
      <c r="E1375" s="13" t="s">
        <v>14658</v>
      </c>
      <c r="F1375" s="13" t="s">
        <v>14659</v>
      </c>
      <c r="G1375" s="13" t="s">
        <v>11098</v>
      </c>
      <c r="H1375" s="13" t="s">
        <v>11099</v>
      </c>
      <c r="I1375" s="13" t="s">
        <v>14660</v>
      </c>
      <c r="J1375" s="13"/>
      <c r="K1375" s="13" t="s">
        <v>9958</v>
      </c>
      <c r="L1375" s="13" t="s">
        <v>9959</v>
      </c>
    </row>
    <row r="1376" customFormat="false" ht="91" hidden="false" customHeight="false" outlineLevel="0" collapsed="false">
      <c r="A1376" s="13" t="s">
        <v>4</v>
      </c>
      <c r="B1376" s="13" t="s">
        <v>4108</v>
      </c>
      <c r="C1376" s="13" t="n">
        <v>323</v>
      </c>
      <c r="D1376" s="13" t="s">
        <v>9970</v>
      </c>
      <c r="E1376" s="13" t="s">
        <v>14661</v>
      </c>
      <c r="F1376" s="13" t="s">
        <v>14662</v>
      </c>
      <c r="G1376" s="13" t="s">
        <v>11098</v>
      </c>
      <c r="H1376" s="13" t="s">
        <v>11099</v>
      </c>
      <c r="I1376" s="13" t="s">
        <v>14663</v>
      </c>
      <c r="J1376" s="13"/>
      <c r="K1376" s="13" t="s">
        <v>9973</v>
      </c>
      <c r="L1376" s="13" t="s">
        <v>9974</v>
      </c>
    </row>
    <row r="1377" customFormat="false" ht="91" hidden="false" customHeight="false" outlineLevel="0" collapsed="false">
      <c r="A1377" s="13" t="s">
        <v>4</v>
      </c>
      <c r="B1377" s="13" t="s">
        <v>4108</v>
      </c>
      <c r="C1377" s="13" t="n">
        <v>323</v>
      </c>
      <c r="D1377" s="13" t="s">
        <v>9970</v>
      </c>
      <c r="E1377" s="13" t="s">
        <v>14664</v>
      </c>
      <c r="F1377" s="13" t="s">
        <v>14665</v>
      </c>
      <c r="G1377" s="13" t="s">
        <v>11098</v>
      </c>
      <c r="H1377" s="13" t="s">
        <v>11099</v>
      </c>
      <c r="I1377" s="13" t="s">
        <v>14666</v>
      </c>
      <c r="J1377" s="13"/>
      <c r="K1377" s="13" t="s">
        <v>9973</v>
      </c>
      <c r="L1377" s="13" t="s">
        <v>9974</v>
      </c>
    </row>
    <row r="1378" customFormat="false" ht="35.05" hidden="false" customHeight="false" outlineLevel="0" collapsed="false">
      <c r="A1378" s="13" t="s">
        <v>4</v>
      </c>
      <c r="B1378" s="13" t="s">
        <v>4108</v>
      </c>
      <c r="C1378" s="13" t="n">
        <v>327</v>
      </c>
      <c r="D1378" s="13" t="s">
        <v>9984</v>
      </c>
      <c r="E1378" s="13" t="s">
        <v>14667</v>
      </c>
      <c r="F1378" s="13" t="s">
        <v>14668</v>
      </c>
      <c r="G1378" s="13" t="s">
        <v>11098</v>
      </c>
      <c r="H1378" s="13" t="s">
        <v>11099</v>
      </c>
      <c r="I1378" s="13" t="s">
        <v>14669</v>
      </c>
      <c r="J1378" s="13"/>
      <c r="K1378" s="13" t="s">
        <v>9987</v>
      </c>
      <c r="L1378" s="13" t="s">
        <v>9988</v>
      </c>
    </row>
    <row r="1379" customFormat="false" ht="35.05" hidden="false" customHeight="false" outlineLevel="0" collapsed="false">
      <c r="A1379" s="13" t="s">
        <v>4</v>
      </c>
      <c r="B1379" s="13" t="s">
        <v>4108</v>
      </c>
      <c r="C1379" s="13" t="n">
        <v>327</v>
      </c>
      <c r="D1379" s="13" t="s">
        <v>9994</v>
      </c>
      <c r="E1379" s="13" t="s">
        <v>14670</v>
      </c>
      <c r="F1379" s="13" t="s">
        <v>14671</v>
      </c>
      <c r="G1379" s="13" t="s">
        <v>11098</v>
      </c>
      <c r="H1379" s="13" t="s">
        <v>11099</v>
      </c>
      <c r="I1379" s="13" t="s">
        <v>14672</v>
      </c>
      <c r="J1379" s="13"/>
      <c r="K1379" s="13" t="s">
        <v>9996</v>
      </c>
      <c r="L1379" s="13" t="s">
        <v>9997</v>
      </c>
    </row>
    <row r="1380" customFormat="false" ht="35.05" hidden="false" customHeight="false" outlineLevel="0" collapsed="false">
      <c r="A1380" s="13" t="s">
        <v>4</v>
      </c>
      <c r="B1380" s="13" t="s">
        <v>4108</v>
      </c>
      <c r="C1380" s="13" t="n">
        <v>327</v>
      </c>
      <c r="D1380" s="13" t="s">
        <v>10001</v>
      </c>
      <c r="E1380" s="13" t="s">
        <v>14673</v>
      </c>
      <c r="F1380" s="13" t="s">
        <v>14674</v>
      </c>
      <c r="G1380" s="13" t="s">
        <v>11098</v>
      </c>
      <c r="H1380" s="13" t="s">
        <v>11099</v>
      </c>
      <c r="I1380" s="13" t="s">
        <v>14675</v>
      </c>
      <c r="J1380" s="13"/>
      <c r="K1380" s="13" t="s">
        <v>10004</v>
      </c>
      <c r="L1380" s="13" t="s">
        <v>10005</v>
      </c>
    </row>
    <row r="1381" customFormat="false" ht="46.25" hidden="false" customHeight="false" outlineLevel="0" collapsed="false">
      <c r="A1381" s="13" t="s">
        <v>4</v>
      </c>
      <c r="B1381" s="13" t="s">
        <v>4108</v>
      </c>
      <c r="C1381" s="13" t="n">
        <v>327</v>
      </c>
      <c r="D1381" s="13" t="s">
        <v>10008</v>
      </c>
      <c r="E1381" s="13" t="s">
        <v>14676</v>
      </c>
      <c r="F1381" s="13" t="s">
        <v>14677</v>
      </c>
      <c r="G1381" s="13" t="s">
        <v>11098</v>
      </c>
      <c r="H1381" s="13" t="s">
        <v>11099</v>
      </c>
      <c r="I1381" s="13" t="s">
        <v>14678</v>
      </c>
      <c r="J1381" s="13"/>
      <c r="K1381" s="13" t="s">
        <v>10011</v>
      </c>
      <c r="L1381" s="13" t="s">
        <v>10012</v>
      </c>
    </row>
    <row r="1382" customFormat="false" ht="46.25" hidden="false" customHeight="false" outlineLevel="0" collapsed="false">
      <c r="A1382" s="13" t="s">
        <v>4</v>
      </c>
      <c r="B1382" s="13" t="s">
        <v>4108</v>
      </c>
      <c r="C1382" s="13" t="n">
        <v>327</v>
      </c>
      <c r="D1382" s="13" t="s">
        <v>10008</v>
      </c>
      <c r="E1382" s="13" t="s">
        <v>14679</v>
      </c>
      <c r="F1382" s="13" t="s">
        <v>14680</v>
      </c>
      <c r="G1382" s="13" t="s">
        <v>11098</v>
      </c>
      <c r="H1382" s="13" t="s">
        <v>11099</v>
      </c>
      <c r="I1382" s="13" t="s">
        <v>10017</v>
      </c>
      <c r="J1382" s="13"/>
      <c r="K1382" s="13" t="s">
        <v>10011</v>
      </c>
      <c r="L1382" s="13" t="s">
        <v>10012</v>
      </c>
    </row>
    <row r="1383" customFormat="false" ht="79.85" hidden="false" customHeight="false" outlineLevel="0" collapsed="false">
      <c r="A1383" s="13" t="s">
        <v>4</v>
      </c>
      <c r="B1383" s="13" t="s">
        <v>4108</v>
      </c>
      <c r="C1383" s="13" t="n">
        <v>327</v>
      </c>
      <c r="D1383" s="13" t="s">
        <v>10018</v>
      </c>
      <c r="E1383" s="13" t="s">
        <v>14681</v>
      </c>
      <c r="F1383" s="13" t="s">
        <v>14682</v>
      </c>
      <c r="G1383" s="13" t="s">
        <v>11098</v>
      </c>
      <c r="H1383" s="13" t="s">
        <v>11099</v>
      </c>
      <c r="I1383" s="13" t="s">
        <v>14683</v>
      </c>
      <c r="J1383" s="13"/>
      <c r="K1383" s="13" t="s">
        <v>10021</v>
      </c>
      <c r="L1383" s="13" t="s">
        <v>10022</v>
      </c>
    </row>
    <row r="1384" customFormat="false" ht="57.45" hidden="false" customHeight="false" outlineLevel="0" collapsed="false">
      <c r="A1384" s="13" t="s">
        <v>4</v>
      </c>
      <c r="B1384" s="13" t="s">
        <v>4108</v>
      </c>
      <c r="C1384" s="13" t="n">
        <v>327</v>
      </c>
      <c r="D1384" s="13" t="s">
        <v>10030</v>
      </c>
      <c r="E1384" s="13" t="s">
        <v>14684</v>
      </c>
      <c r="F1384" s="13" t="s">
        <v>14685</v>
      </c>
      <c r="G1384" s="13" t="s">
        <v>11098</v>
      </c>
      <c r="H1384" s="13" t="s">
        <v>11099</v>
      </c>
      <c r="I1384" s="13" t="s">
        <v>14686</v>
      </c>
      <c r="J1384" s="13"/>
      <c r="K1384" s="13" t="s">
        <v>10033</v>
      </c>
      <c r="L1384" s="13" t="s">
        <v>10034</v>
      </c>
    </row>
    <row r="1385" customFormat="false" ht="35.05" hidden="false" customHeight="false" outlineLevel="0" collapsed="false">
      <c r="A1385" s="13" t="s">
        <v>4</v>
      </c>
      <c r="B1385" s="13" t="s">
        <v>4108</v>
      </c>
      <c r="C1385" s="13" t="n">
        <v>327</v>
      </c>
      <c r="D1385" s="13" t="s">
        <v>10039</v>
      </c>
      <c r="E1385" s="13" t="s">
        <v>14687</v>
      </c>
      <c r="F1385" s="13" t="s">
        <v>14688</v>
      </c>
      <c r="G1385" s="13" t="s">
        <v>11098</v>
      </c>
      <c r="H1385" s="13" t="s">
        <v>11099</v>
      </c>
      <c r="I1385" s="13" t="s">
        <v>14689</v>
      </c>
      <c r="J1385" s="13"/>
      <c r="K1385" s="13" t="s">
        <v>10043</v>
      </c>
      <c r="L1385" s="13" t="s">
        <v>10044</v>
      </c>
    </row>
    <row r="1386" customFormat="false" ht="23.85" hidden="false" customHeight="false" outlineLevel="0" collapsed="false">
      <c r="A1386" s="13" t="s">
        <v>4</v>
      </c>
      <c r="B1386" s="13" t="s">
        <v>4108</v>
      </c>
      <c r="C1386" s="13" t="n">
        <v>327</v>
      </c>
      <c r="D1386" s="13" t="s">
        <v>10048</v>
      </c>
      <c r="E1386" s="13" t="s">
        <v>14690</v>
      </c>
      <c r="F1386" s="13" t="s">
        <v>14691</v>
      </c>
      <c r="G1386" s="13" t="s">
        <v>11098</v>
      </c>
      <c r="H1386" s="13" t="s">
        <v>11099</v>
      </c>
      <c r="I1386" s="13" t="s">
        <v>14692</v>
      </c>
      <c r="J1386" s="13"/>
      <c r="K1386" s="13" t="s">
        <v>10051</v>
      </c>
      <c r="L1386" s="13" t="s">
        <v>10052</v>
      </c>
    </row>
    <row r="1387" customFormat="false" ht="46.25" hidden="false" customHeight="false" outlineLevel="0" collapsed="false">
      <c r="A1387" s="13" t="s">
        <v>4</v>
      </c>
      <c r="B1387" s="13" t="s">
        <v>4108</v>
      </c>
      <c r="C1387" s="13" t="n">
        <v>327</v>
      </c>
      <c r="D1387" s="13" t="s">
        <v>10055</v>
      </c>
      <c r="E1387" s="13" t="s">
        <v>14693</v>
      </c>
      <c r="F1387" s="13" t="s">
        <v>14694</v>
      </c>
      <c r="G1387" s="13" t="s">
        <v>11098</v>
      </c>
      <c r="H1387" s="13" t="s">
        <v>11099</v>
      </c>
      <c r="I1387" s="13" t="s">
        <v>14695</v>
      </c>
      <c r="J1387" s="13"/>
      <c r="K1387" s="13" t="s">
        <v>10059</v>
      </c>
      <c r="L1387" s="13" t="s">
        <v>10060</v>
      </c>
    </row>
    <row r="1388" customFormat="false" ht="35.05" hidden="false" customHeight="false" outlineLevel="0" collapsed="false">
      <c r="A1388" s="13" t="s">
        <v>4</v>
      </c>
      <c r="B1388" s="13" t="s">
        <v>4108</v>
      </c>
      <c r="C1388" s="13" t="n">
        <v>327</v>
      </c>
      <c r="D1388" s="13" t="s">
        <v>10067</v>
      </c>
      <c r="E1388" s="13" t="s">
        <v>14696</v>
      </c>
      <c r="F1388" s="13" t="s">
        <v>14697</v>
      </c>
      <c r="G1388" s="13" t="s">
        <v>11098</v>
      </c>
      <c r="H1388" s="13" t="s">
        <v>11099</v>
      </c>
      <c r="I1388" s="13" t="s">
        <v>10068</v>
      </c>
      <c r="J1388" s="13"/>
      <c r="K1388" s="13" t="s">
        <v>10070</v>
      </c>
      <c r="L1388" s="13" t="s">
        <v>10071</v>
      </c>
    </row>
    <row r="1389" customFormat="false" ht="57.45" hidden="false" customHeight="false" outlineLevel="0" collapsed="false">
      <c r="A1389" s="13" t="s">
        <v>4</v>
      </c>
      <c r="B1389" s="13" t="s">
        <v>4108</v>
      </c>
      <c r="C1389" s="13" t="n">
        <v>327</v>
      </c>
      <c r="D1389" s="13" t="s">
        <v>10072</v>
      </c>
      <c r="E1389" s="13" t="s">
        <v>14698</v>
      </c>
      <c r="F1389" s="13" t="s">
        <v>14699</v>
      </c>
      <c r="G1389" s="13" t="s">
        <v>11098</v>
      </c>
      <c r="H1389" s="13" t="s">
        <v>11099</v>
      </c>
      <c r="I1389" s="13" t="s">
        <v>14700</v>
      </c>
      <c r="J1389" s="13"/>
      <c r="K1389" s="13" t="s">
        <v>10076</v>
      </c>
      <c r="L1389" s="13" t="s">
        <v>10077</v>
      </c>
    </row>
    <row r="1390" customFormat="false" ht="46.25" hidden="false" customHeight="false" outlineLevel="0" collapsed="false">
      <c r="A1390" s="13" t="s">
        <v>4</v>
      </c>
      <c r="B1390" s="13" t="s">
        <v>4108</v>
      </c>
      <c r="C1390" s="13" t="n">
        <v>327</v>
      </c>
      <c r="D1390" s="13" t="s">
        <v>10081</v>
      </c>
      <c r="E1390" s="13" t="s">
        <v>14701</v>
      </c>
      <c r="F1390" s="13" t="s">
        <v>14702</v>
      </c>
      <c r="G1390" s="13" t="s">
        <v>11098</v>
      </c>
      <c r="H1390" s="13" t="s">
        <v>11099</v>
      </c>
      <c r="I1390" s="13" t="s">
        <v>14703</v>
      </c>
      <c r="J1390" s="13"/>
      <c r="K1390" s="13" t="s">
        <v>10085</v>
      </c>
      <c r="L1390" s="13" t="s">
        <v>10086</v>
      </c>
    </row>
    <row r="1391" customFormat="false" ht="57.45" hidden="false" customHeight="false" outlineLevel="0" collapsed="false">
      <c r="A1391" s="13" t="s">
        <v>4</v>
      </c>
      <c r="B1391" s="13" t="s">
        <v>4108</v>
      </c>
      <c r="C1391" s="13" t="n">
        <v>327</v>
      </c>
      <c r="D1391" s="13" t="s">
        <v>10089</v>
      </c>
      <c r="E1391" s="13" t="s">
        <v>14704</v>
      </c>
      <c r="F1391" s="13" t="s">
        <v>14705</v>
      </c>
      <c r="G1391" s="13" t="s">
        <v>11098</v>
      </c>
      <c r="H1391" s="13" t="s">
        <v>11099</v>
      </c>
      <c r="I1391" s="13" t="s">
        <v>14706</v>
      </c>
      <c r="J1391" s="13"/>
      <c r="K1391" s="13" t="s">
        <v>10092</v>
      </c>
      <c r="L1391" s="13" t="s">
        <v>10093</v>
      </c>
    </row>
    <row r="1392" customFormat="false" ht="23.85" hidden="false" customHeight="false" outlineLevel="0" collapsed="false">
      <c r="A1392" s="13" t="s">
        <v>4</v>
      </c>
      <c r="B1392" s="13" t="s">
        <v>4108</v>
      </c>
      <c r="C1392" s="13" t="n">
        <v>327</v>
      </c>
      <c r="D1392" s="13" t="s">
        <v>10098</v>
      </c>
      <c r="E1392" s="13" t="s">
        <v>14707</v>
      </c>
      <c r="F1392" s="13" t="s">
        <v>14708</v>
      </c>
      <c r="G1392" s="13" t="s">
        <v>11098</v>
      </c>
      <c r="H1392" s="13" t="s">
        <v>11099</v>
      </c>
      <c r="I1392" s="13" t="s">
        <v>14709</v>
      </c>
      <c r="J1392" s="13"/>
      <c r="K1392" s="13" t="s">
        <v>10101</v>
      </c>
      <c r="L1392" s="13" t="s">
        <v>10102</v>
      </c>
    </row>
    <row r="1393" customFormat="false" ht="35.05" hidden="false" customHeight="false" outlineLevel="0" collapsed="false">
      <c r="A1393" s="13" t="s">
        <v>4</v>
      </c>
      <c r="B1393" s="13" t="s">
        <v>4108</v>
      </c>
      <c r="C1393" s="13" t="n">
        <v>329</v>
      </c>
      <c r="D1393" s="13" t="s">
        <v>10105</v>
      </c>
      <c r="E1393" s="13" t="s">
        <v>14710</v>
      </c>
      <c r="F1393" s="13" t="s">
        <v>14711</v>
      </c>
      <c r="G1393" s="13" t="s">
        <v>11098</v>
      </c>
      <c r="H1393" s="13" t="s">
        <v>11099</v>
      </c>
      <c r="I1393" s="13" t="s">
        <v>10106</v>
      </c>
      <c r="J1393" s="13"/>
      <c r="K1393" s="13" t="s">
        <v>10109</v>
      </c>
      <c r="L1393" s="13" t="s">
        <v>10110</v>
      </c>
    </row>
    <row r="1394" customFormat="false" ht="35.05" hidden="false" customHeight="false" outlineLevel="0" collapsed="false">
      <c r="A1394" s="13" t="s">
        <v>4</v>
      </c>
      <c r="B1394" s="13" t="s">
        <v>4108</v>
      </c>
      <c r="C1394" s="13" t="n">
        <v>329</v>
      </c>
      <c r="D1394" s="13" t="s">
        <v>10111</v>
      </c>
      <c r="E1394" s="13" t="s">
        <v>14712</v>
      </c>
      <c r="F1394" s="13" t="s">
        <v>14713</v>
      </c>
      <c r="G1394" s="13" t="s">
        <v>11098</v>
      </c>
      <c r="H1394" s="13" t="s">
        <v>11099</v>
      </c>
      <c r="I1394" s="13" t="s">
        <v>14714</v>
      </c>
      <c r="J1394" s="13"/>
      <c r="K1394" s="13" t="s">
        <v>10115</v>
      </c>
      <c r="L1394" s="13" t="s">
        <v>10116</v>
      </c>
    </row>
    <row r="1395" customFormat="false" ht="46.25" hidden="false" customHeight="false" outlineLevel="0" collapsed="false">
      <c r="A1395" s="13" t="s">
        <v>4</v>
      </c>
      <c r="B1395" s="13" t="s">
        <v>4108</v>
      </c>
      <c r="C1395" s="13" t="n">
        <v>329</v>
      </c>
      <c r="D1395" s="13" t="s">
        <v>10120</v>
      </c>
      <c r="E1395" s="13" t="s">
        <v>14715</v>
      </c>
      <c r="F1395" s="13" t="s">
        <v>14716</v>
      </c>
      <c r="G1395" s="13" t="s">
        <v>11098</v>
      </c>
      <c r="H1395" s="13" t="s">
        <v>11099</v>
      </c>
      <c r="I1395" s="13" t="s">
        <v>10121</v>
      </c>
      <c r="J1395" s="13"/>
      <c r="K1395" s="13" t="s">
        <v>10127</v>
      </c>
      <c r="L1395" s="13" t="s">
        <v>10128</v>
      </c>
    </row>
    <row r="1396" customFormat="false" ht="57.45" hidden="false" customHeight="false" outlineLevel="0" collapsed="false">
      <c r="A1396" s="13" t="s">
        <v>4</v>
      </c>
      <c r="B1396" s="13" t="s">
        <v>4108</v>
      </c>
      <c r="C1396" s="13" t="n">
        <v>329</v>
      </c>
      <c r="D1396" s="13" t="s">
        <v>10129</v>
      </c>
      <c r="E1396" s="13" t="s">
        <v>14717</v>
      </c>
      <c r="F1396" s="13" t="s">
        <v>14718</v>
      </c>
      <c r="G1396" s="13" t="s">
        <v>11098</v>
      </c>
      <c r="H1396" s="13" t="s">
        <v>11099</v>
      </c>
      <c r="I1396" s="13" t="s">
        <v>14719</v>
      </c>
      <c r="J1396" s="13"/>
      <c r="K1396" s="13" t="s">
        <v>10133</v>
      </c>
      <c r="L1396" s="13" t="s">
        <v>10134</v>
      </c>
    </row>
    <row r="1397" customFormat="false" ht="57.45" hidden="false" customHeight="false" outlineLevel="0" collapsed="false">
      <c r="A1397" s="13" t="s">
        <v>4</v>
      </c>
      <c r="B1397" s="13" t="s">
        <v>4108</v>
      </c>
      <c r="C1397" s="13" t="n">
        <v>329</v>
      </c>
      <c r="D1397" s="13" t="s">
        <v>10138</v>
      </c>
      <c r="E1397" s="13" t="s">
        <v>14720</v>
      </c>
      <c r="F1397" s="13" t="s">
        <v>14721</v>
      </c>
      <c r="G1397" s="13" t="s">
        <v>11098</v>
      </c>
      <c r="H1397" s="13" t="s">
        <v>11099</v>
      </c>
      <c r="I1397" s="13" t="s">
        <v>10139</v>
      </c>
      <c r="J1397" s="13"/>
      <c r="K1397" s="13" t="s">
        <v>10142</v>
      </c>
      <c r="L1397" s="13" t="s">
        <v>10143</v>
      </c>
    </row>
    <row r="1398" customFormat="false" ht="68.65" hidden="false" customHeight="false" outlineLevel="0" collapsed="false">
      <c r="A1398" s="13" t="s">
        <v>4</v>
      </c>
      <c r="B1398" s="13" t="s">
        <v>4108</v>
      </c>
      <c r="C1398" s="13" t="n">
        <v>329</v>
      </c>
      <c r="D1398" s="13" t="s">
        <v>10144</v>
      </c>
      <c r="E1398" s="13" t="s">
        <v>14722</v>
      </c>
      <c r="F1398" s="13" t="s">
        <v>14723</v>
      </c>
      <c r="G1398" s="13" t="s">
        <v>11315</v>
      </c>
      <c r="H1398" s="13" t="s">
        <v>11099</v>
      </c>
      <c r="I1398" s="13" t="s">
        <v>14724</v>
      </c>
      <c r="J1398" s="13" t="s">
        <v>14725</v>
      </c>
      <c r="K1398" s="13" t="s">
        <v>10150</v>
      </c>
      <c r="L1398" s="13" t="s">
        <v>10151</v>
      </c>
    </row>
    <row r="1399" customFormat="false" ht="91" hidden="false" customHeight="false" outlineLevel="0" collapsed="false">
      <c r="A1399" s="13" t="s">
        <v>4</v>
      </c>
      <c r="B1399" s="13" t="s">
        <v>4108</v>
      </c>
      <c r="C1399" s="13" t="n">
        <v>329</v>
      </c>
      <c r="D1399" s="13" t="s">
        <v>10154</v>
      </c>
      <c r="E1399" s="13" t="s">
        <v>14726</v>
      </c>
      <c r="F1399" s="13" t="s">
        <v>14727</v>
      </c>
      <c r="G1399" s="13" t="s">
        <v>11137</v>
      </c>
      <c r="H1399" s="13" t="s">
        <v>11099</v>
      </c>
      <c r="I1399" s="13" t="s">
        <v>10155</v>
      </c>
      <c r="J1399" s="13"/>
      <c r="K1399" s="13" t="s">
        <v>10160</v>
      </c>
      <c r="L1399" s="13" t="s">
        <v>10161</v>
      </c>
    </row>
    <row r="1400" customFormat="false" ht="91" hidden="false" customHeight="false" outlineLevel="0" collapsed="false">
      <c r="A1400" s="13" t="s">
        <v>4</v>
      </c>
      <c r="B1400" s="13" t="s">
        <v>4108</v>
      </c>
      <c r="C1400" s="13" t="n">
        <v>329</v>
      </c>
      <c r="D1400" s="13" t="s">
        <v>10154</v>
      </c>
      <c r="E1400" s="13" t="s">
        <v>14728</v>
      </c>
      <c r="F1400" s="13" t="s">
        <v>14729</v>
      </c>
      <c r="G1400" s="13" t="s">
        <v>11098</v>
      </c>
      <c r="H1400" s="13" t="s">
        <v>11099</v>
      </c>
      <c r="I1400" s="13" t="s">
        <v>10164</v>
      </c>
      <c r="J1400" s="13"/>
      <c r="K1400" s="13" t="s">
        <v>10160</v>
      </c>
      <c r="L1400" s="13" t="s">
        <v>10161</v>
      </c>
    </row>
    <row r="1401" customFormat="false" ht="35.05" hidden="false" customHeight="false" outlineLevel="0" collapsed="false">
      <c r="A1401" s="13" t="s">
        <v>4</v>
      </c>
      <c r="B1401" s="13" t="s">
        <v>4108</v>
      </c>
      <c r="C1401" s="13" t="n">
        <v>329</v>
      </c>
      <c r="D1401" s="13" t="s">
        <v>10167</v>
      </c>
      <c r="E1401" s="13" t="s">
        <v>14730</v>
      </c>
      <c r="F1401" s="13" t="s">
        <v>14731</v>
      </c>
      <c r="G1401" s="13" t="s">
        <v>11098</v>
      </c>
      <c r="H1401" s="13" t="s">
        <v>11099</v>
      </c>
      <c r="I1401" s="13" t="s">
        <v>14732</v>
      </c>
      <c r="J1401" s="13"/>
      <c r="K1401" s="13" t="s">
        <v>10171</v>
      </c>
      <c r="L1401" s="13" t="s">
        <v>10172</v>
      </c>
    </row>
    <row r="1402" customFormat="false" ht="15" hidden="false" customHeight="false" outlineLevel="0" collapsed="false">
      <c r="A1402" s="13" t="s">
        <v>4</v>
      </c>
      <c r="B1402" s="13" t="s">
        <v>4108</v>
      </c>
      <c r="C1402" s="13" t="n">
        <v>329</v>
      </c>
      <c r="D1402" s="13" t="s">
        <v>10175</v>
      </c>
      <c r="E1402" s="13" t="s">
        <v>14733</v>
      </c>
      <c r="F1402" s="13" t="s">
        <v>14734</v>
      </c>
      <c r="G1402" s="13" t="s">
        <v>11098</v>
      </c>
      <c r="H1402" s="13" t="s">
        <v>11099</v>
      </c>
      <c r="I1402" s="13" t="s">
        <v>10176</v>
      </c>
      <c r="J1402" s="13"/>
      <c r="K1402" s="13" t="s">
        <v>10179</v>
      </c>
      <c r="L1402" s="13" t="s">
        <v>10180</v>
      </c>
    </row>
    <row r="1403" customFormat="false" ht="46.25" hidden="false" customHeight="false" outlineLevel="0" collapsed="false">
      <c r="A1403" s="13" t="s">
        <v>4</v>
      </c>
      <c r="B1403" s="13" t="s">
        <v>4108</v>
      </c>
      <c r="C1403" s="13" t="n">
        <v>329</v>
      </c>
      <c r="D1403" s="13" t="s">
        <v>10181</v>
      </c>
      <c r="E1403" s="13" t="s">
        <v>14735</v>
      </c>
      <c r="F1403" s="13" t="s">
        <v>14736</v>
      </c>
      <c r="G1403" s="13" t="s">
        <v>11098</v>
      </c>
      <c r="H1403" s="13" t="s">
        <v>11099</v>
      </c>
      <c r="I1403" s="13" t="s">
        <v>10182</v>
      </c>
      <c r="J1403" s="13"/>
      <c r="K1403" s="13" t="s">
        <v>10185</v>
      </c>
      <c r="L1403" s="13" t="s">
        <v>10186</v>
      </c>
    </row>
    <row r="1404" customFormat="false" ht="23.85" hidden="false" customHeight="false" outlineLevel="0" collapsed="false">
      <c r="A1404" s="13" t="s">
        <v>4</v>
      </c>
      <c r="B1404" s="13" t="s">
        <v>4108</v>
      </c>
      <c r="C1404" s="13" t="n">
        <v>329</v>
      </c>
      <c r="D1404" s="13" t="s">
        <v>10187</v>
      </c>
      <c r="E1404" s="13" t="s">
        <v>14737</v>
      </c>
      <c r="F1404" s="13" t="s">
        <v>14738</v>
      </c>
      <c r="G1404" s="13" t="s">
        <v>11098</v>
      </c>
      <c r="H1404" s="13" t="s">
        <v>11099</v>
      </c>
      <c r="I1404" s="13" t="s">
        <v>10188</v>
      </c>
      <c r="J1404" s="13"/>
      <c r="K1404" s="13" t="s">
        <v>10190</v>
      </c>
      <c r="L1404" s="13" t="s">
        <v>10191</v>
      </c>
    </row>
    <row r="1405" customFormat="false" ht="46.25" hidden="false" customHeight="false" outlineLevel="0" collapsed="false">
      <c r="A1405" s="13" t="s">
        <v>4</v>
      </c>
      <c r="B1405" s="13" t="s">
        <v>4108</v>
      </c>
      <c r="C1405" s="13" t="n">
        <v>339</v>
      </c>
      <c r="D1405" s="13" t="s">
        <v>10192</v>
      </c>
      <c r="E1405" s="13" t="s">
        <v>14739</v>
      </c>
      <c r="F1405" s="13" t="s">
        <v>14740</v>
      </c>
      <c r="G1405" s="13" t="s">
        <v>11098</v>
      </c>
      <c r="H1405" s="13" t="s">
        <v>11099</v>
      </c>
      <c r="I1405" s="13" t="s">
        <v>14741</v>
      </c>
      <c r="J1405" s="13"/>
      <c r="K1405" s="13" t="s">
        <v>10196</v>
      </c>
      <c r="L1405" s="13" t="s">
        <v>10197</v>
      </c>
    </row>
    <row r="1406" customFormat="false" ht="35.05" hidden="false" customHeight="false" outlineLevel="0" collapsed="false">
      <c r="A1406" s="13" t="s">
        <v>4</v>
      </c>
      <c r="B1406" s="13" t="s">
        <v>4108</v>
      </c>
      <c r="C1406" s="13" t="n">
        <v>339</v>
      </c>
      <c r="D1406" s="13" t="s">
        <v>10204</v>
      </c>
      <c r="E1406" s="13" t="s">
        <v>14742</v>
      </c>
      <c r="F1406" s="13" t="s">
        <v>14743</v>
      </c>
      <c r="G1406" s="13" t="s">
        <v>11098</v>
      </c>
      <c r="H1406" s="13" t="s">
        <v>11099</v>
      </c>
      <c r="I1406" s="13" t="s">
        <v>14744</v>
      </c>
      <c r="J1406" s="13"/>
      <c r="K1406" s="13" t="s">
        <v>10207</v>
      </c>
      <c r="L1406" s="13" t="s">
        <v>10208</v>
      </c>
    </row>
    <row r="1407" customFormat="false" ht="46.25" hidden="false" customHeight="false" outlineLevel="0" collapsed="false">
      <c r="A1407" s="13" t="s">
        <v>4</v>
      </c>
      <c r="B1407" s="13" t="s">
        <v>4108</v>
      </c>
      <c r="C1407" s="13" t="n">
        <v>339</v>
      </c>
      <c r="D1407" s="13" t="s">
        <v>10214</v>
      </c>
      <c r="E1407" s="13" t="s">
        <v>14745</v>
      </c>
      <c r="F1407" s="13" t="s">
        <v>14746</v>
      </c>
      <c r="G1407" s="13" t="s">
        <v>11098</v>
      </c>
      <c r="H1407" s="13" t="s">
        <v>11099</v>
      </c>
      <c r="I1407" s="13" t="s">
        <v>14747</v>
      </c>
      <c r="J1407" s="13"/>
      <c r="K1407" s="13" t="s">
        <v>10218</v>
      </c>
      <c r="L1407" s="13" t="s">
        <v>10219</v>
      </c>
    </row>
    <row r="1408" customFormat="false" ht="46.25" hidden="false" customHeight="false" outlineLevel="0" collapsed="false">
      <c r="A1408" s="13" t="s">
        <v>4</v>
      </c>
      <c r="B1408" s="13" t="s">
        <v>4108</v>
      </c>
      <c r="C1408" s="13" t="n">
        <v>339</v>
      </c>
      <c r="D1408" s="13" t="s">
        <v>10224</v>
      </c>
      <c r="E1408" s="13" t="s">
        <v>14748</v>
      </c>
      <c r="F1408" s="13" t="s">
        <v>14749</v>
      </c>
      <c r="G1408" s="13" t="s">
        <v>11098</v>
      </c>
      <c r="H1408" s="13" t="s">
        <v>11099</v>
      </c>
      <c r="I1408" s="13" t="s">
        <v>14750</v>
      </c>
      <c r="J1408" s="13"/>
      <c r="K1408" s="13" t="s">
        <v>10228</v>
      </c>
      <c r="L1408" s="13" t="s">
        <v>10229</v>
      </c>
    </row>
    <row r="1409" customFormat="false" ht="23.85" hidden="false" customHeight="false" outlineLevel="0" collapsed="false">
      <c r="A1409" s="13" t="s">
        <v>4</v>
      </c>
      <c r="B1409" s="13" t="s">
        <v>4108</v>
      </c>
      <c r="C1409" s="13" t="n">
        <v>339</v>
      </c>
      <c r="D1409" s="13" t="s">
        <v>10235</v>
      </c>
      <c r="E1409" s="13" t="s">
        <v>14751</v>
      </c>
      <c r="F1409" s="13" t="s">
        <v>14752</v>
      </c>
      <c r="G1409" s="13" t="s">
        <v>11098</v>
      </c>
      <c r="H1409" s="13" t="s">
        <v>11099</v>
      </c>
      <c r="I1409" s="13" t="s">
        <v>10236</v>
      </c>
      <c r="J1409" s="13"/>
      <c r="K1409" s="13" t="s">
        <v>10239</v>
      </c>
      <c r="L1409" s="13" t="s">
        <v>10240</v>
      </c>
    </row>
    <row r="1410" customFormat="false" ht="23.85" hidden="false" customHeight="false" outlineLevel="0" collapsed="false">
      <c r="A1410" s="13" t="s">
        <v>4</v>
      </c>
      <c r="B1410" s="13" t="s">
        <v>4108</v>
      </c>
      <c r="C1410" s="13" t="n">
        <v>339</v>
      </c>
      <c r="D1410" s="13" t="s">
        <v>10241</v>
      </c>
      <c r="E1410" s="13" t="s">
        <v>14753</v>
      </c>
      <c r="F1410" s="13" t="s">
        <v>14754</v>
      </c>
      <c r="G1410" s="13" t="s">
        <v>11098</v>
      </c>
      <c r="H1410" s="13" t="s">
        <v>11099</v>
      </c>
      <c r="I1410" s="13" t="s">
        <v>10242</v>
      </c>
      <c r="J1410" s="13"/>
      <c r="K1410" s="13" t="s">
        <v>10245</v>
      </c>
      <c r="L1410" s="13" t="s">
        <v>10246</v>
      </c>
    </row>
    <row r="1411" customFormat="false" ht="147" hidden="false" customHeight="false" outlineLevel="0" collapsed="false">
      <c r="A1411" s="13" t="s">
        <v>4</v>
      </c>
      <c r="B1411" s="13" t="s">
        <v>4108</v>
      </c>
      <c r="C1411" s="13" t="n">
        <v>339</v>
      </c>
      <c r="D1411" s="13" t="s">
        <v>10247</v>
      </c>
      <c r="E1411" s="13" t="s">
        <v>14755</v>
      </c>
      <c r="F1411" s="13" t="s">
        <v>14756</v>
      </c>
      <c r="G1411" s="13" t="s">
        <v>11098</v>
      </c>
      <c r="H1411" s="13" t="s">
        <v>11099</v>
      </c>
      <c r="I1411" s="13" t="s">
        <v>10248</v>
      </c>
      <c r="J1411" s="13"/>
      <c r="K1411" s="13" t="s">
        <v>10250</v>
      </c>
      <c r="L1411" s="13" t="s">
        <v>10251</v>
      </c>
    </row>
    <row r="1412" customFormat="false" ht="147" hidden="false" customHeight="false" outlineLevel="0" collapsed="false">
      <c r="A1412" s="13" t="s">
        <v>4</v>
      </c>
      <c r="B1412" s="13" t="s">
        <v>4108</v>
      </c>
      <c r="C1412" s="13" t="n">
        <v>339</v>
      </c>
      <c r="D1412" s="13" t="s">
        <v>10247</v>
      </c>
      <c r="E1412" s="13" t="s">
        <v>14757</v>
      </c>
      <c r="F1412" s="13" t="s">
        <v>14758</v>
      </c>
      <c r="G1412" s="13" t="s">
        <v>11098</v>
      </c>
      <c r="H1412" s="13" t="s">
        <v>11099</v>
      </c>
      <c r="I1412" s="13" t="s">
        <v>10252</v>
      </c>
      <c r="J1412" s="13"/>
      <c r="K1412" s="13" t="s">
        <v>10250</v>
      </c>
      <c r="L1412" s="13" t="s">
        <v>10251</v>
      </c>
    </row>
    <row r="1413" customFormat="false" ht="147" hidden="false" customHeight="false" outlineLevel="0" collapsed="false">
      <c r="A1413" s="13" t="s">
        <v>4</v>
      </c>
      <c r="B1413" s="13" t="s">
        <v>4108</v>
      </c>
      <c r="C1413" s="13" t="n">
        <v>339</v>
      </c>
      <c r="D1413" s="13" t="s">
        <v>10247</v>
      </c>
      <c r="E1413" s="13" t="s">
        <v>14759</v>
      </c>
      <c r="F1413" s="13" t="s">
        <v>14760</v>
      </c>
      <c r="G1413" s="13" t="s">
        <v>11137</v>
      </c>
      <c r="H1413" s="13" t="s">
        <v>11099</v>
      </c>
      <c r="I1413" s="13" t="s">
        <v>10255</v>
      </c>
      <c r="J1413" s="13"/>
      <c r="K1413" s="13" t="s">
        <v>10250</v>
      </c>
      <c r="L1413" s="13" t="s">
        <v>10251</v>
      </c>
    </row>
    <row r="1414" customFormat="false" ht="214.15" hidden="false" customHeight="false" outlineLevel="0" collapsed="false">
      <c r="A1414" s="13" t="s">
        <v>4</v>
      </c>
      <c r="B1414" s="13" t="s">
        <v>4108</v>
      </c>
      <c r="C1414" s="13" t="n">
        <v>339</v>
      </c>
      <c r="D1414" s="13" t="s">
        <v>10260</v>
      </c>
      <c r="E1414" s="13" t="s">
        <v>14761</v>
      </c>
      <c r="F1414" s="13" t="s">
        <v>14762</v>
      </c>
      <c r="G1414" s="13" t="s">
        <v>11098</v>
      </c>
      <c r="H1414" s="13" t="s">
        <v>11099</v>
      </c>
      <c r="I1414" s="13" t="s">
        <v>14763</v>
      </c>
      <c r="J1414" s="13"/>
      <c r="K1414" s="13" t="s">
        <v>10264</v>
      </c>
      <c r="L1414" s="13" t="s">
        <v>10265</v>
      </c>
    </row>
    <row r="1415" customFormat="false" ht="214.15" hidden="false" customHeight="false" outlineLevel="0" collapsed="false">
      <c r="A1415" s="13" t="s">
        <v>4</v>
      </c>
      <c r="B1415" s="13" t="s">
        <v>4108</v>
      </c>
      <c r="C1415" s="13" t="n">
        <v>339</v>
      </c>
      <c r="D1415" s="13" t="s">
        <v>10260</v>
      </c>
      <c r="E1415" s="13" t="s">
        <v>14764</v>
      </c>
      <c r="F1415" s="13" t="s">
        <v>14765</v>
      </c>
      <c r="G1415" s="13" t="s">
        <v>11098</v>
      </c>
      <c r="H1415" s="13" t="s">
        <v>11099</v>
      </c>
      <c r="I1415" s="13" t="s">
        <v>10269</v>
      </c>
      <c r="J1415" s="13"/>
      <c r="K1415" s="13" t="s">
        <v>10264</v>
      </c>
      <c r="L1415" s="13" t="s">
        <v>10265</v>
      </c>
    </row>
    <row r="1416" customFormat="false" ht="214.15" hidden="false" customHeight="false" outlineLevel="0" collapsed="false">
      <c r="A1416" s="13" t="s">
        <v>4</v>
      </c>
      <c r="B1416" s="13" t="s">
        <v>4108</v>
      </c>
      <c r="C1416" s="13" t="n">
        <v>339</v>
      </c>
      <c r="D1416" s="13" t="s">
        <v>10260</v>
      </c>
      <c r="E1416" s="13" t="s">
        <v>14766</v>
      </c>
      <c r="F1416" s="13" t="s">
        <v>14767</v>
      </c>
      <c r="G1416" s="13" t="s">
        <v>11098</v>
      </c>
      <c r="H1416" s="13" t="s">
        <v>11099</v>
      </c>
      <c r="I1416" s="13" t="s">
        <v>10272</v>
      </c>
      <c r="J1416" s="13"/>
      <c r="K1416" s="13" t="s">
        <v>10264</v>
      </c>
      <c r="L1416" s="13" t="s">
        <v>10265</v>
      </c>
    </row>
    <row r="1417" customFormat="false" ht="214.15" hidden="false" customHeight="false" outlineLevel="0" collapsed="false">
      <c r="A1417" s="13" t="s">
        <v>4</v>
      </c>
      <c r="B1417" s="13" t="s">
        <v>4108</v>
      </c>
      <c r="C1417" s="13" t="n">
        <v>339</v>
      </c>
      <c r="D1417" s="13" t="s">
        <v>10260</v>
      </c>
      <c r="E1417" s="13" t="s">
        <v>14768</v>
      </c>
      <c r="F1417" s="13" t="s">
        <v>14769</v>
      </c>
      <c r="G1417" s="13" t="s">
        <v>11098</v>
      </c>
      <c r="H1417" s="13" t="s">
        <v>11099</v>
      </c>
      <c r="I1417" s="13" t="s">
        <v>10275</v>
      </c>
      <c r="J1417" s="13"/>
      <c r="K1417" s="13" t="s">
        <v>10264</v>
      </c>
      <c r="L1417" s="13" t="s">
        <v>10265</v>
      </c>
    </row>
    <row r="1418" customFormat="false" ht="214.15" hidden="false" customHeight="false" outlineLevel="0" collapsed="false">
      <c r="A1418" s="13" t="s">
        <v>4</v>
      </c>
      <c r="B1418" s="13" t="s">
        <v>4108</v>
      </c>
      <c r="C1418" s="13" t="n">
        <v>339</v>
      </c>
      <c r="D1418" s="13" t="s">
        <v>10260</v>
      </c>
      <c r="E1418" s="13" t="s">
        <v>14770</v>
      </c>
      <c r="F1418" s="13" t="s">
        <v>14771</v>
      </c>
      <c r="G1418" s="13" t="s">
        <v>11315</v>
      </c>
      <c r="H1418" s="13" t="s">
        <v>11099</v>
      </c>
      <c r="I1418" s="13" t="s">
        <v>10277</v>
      </c>
      <c r="J1418" s="13" t="s">
        <v>14772</v>
      </c>
      <c r="K1418" s="13" t="s">
        <v>10264</v>
      </c>
      <c r="L1418" s="13" t="s">
        <v>10265</v>
      </c>
    </row>
    <row r="1419" customFormat="false" ht="214.15" hidden="false" customHeight="false" outlineLevel="0" collapsed="false">
      <c r="A1419" s="13" t="s">
        <v>4</v>
      </c>
      <c r="B1419" s="13" t="s">
        <v>4108</v>
      </c>
      <c r="C1419" s="13" t="n">
        <v>339</v>
      </c>
      <c r="D1419" s="13" t="s">
        <v>10260</v>
      </c>
      <c r="E1419" s="13" t="s">
        <v>14773</v>
      </c>
      <c r="F1419" s="13" t="s">
        <v>14774</v>
      </c>
      <c r="G1419" s="13" t="s">
        <v>11098</v>
      </c>
      <c r="H1419" s="13" t="s">
        <v>11099</v>
      </c>
      <c r="I1419" s="13" t="s">
        <v>14775</v>
      </c>
      <c r="J1419" s="13"/>
      <c r="K1419" s="13" t="s">
        <v>10264</v>
      </c>
      <c r="L1419" s="13" t="s">
        <v>10265</v>
      </c>
    </row>
    <row r="1420" customFormat="false" ht="35.05" hidden="false" customHeight="false" outlineLevel="0" collapsed="false">
      <c r="A1420" s="13" t="s">
        <v>4</v>
      </c>
      <c r="B1420" s="13" t="s">
        <v>4108</v>
      </c>
      <c r="C1420" s="13" t="n">
        <v>366</v>
      </c>
      <c r="D1420" s="13" t="s">
        <v>10286</v>
      </c>
      <c r="E1420" s="13" t="s">
        <v>14776</v>
      </c>
      <c r="F1420" s="13" t="s">
        <v>14777</v>
      </c>
      <c r="G1420" s="13" t="s">
        <v>11098</v>
      </c>
      <c r="H1420" s="13" t="s">
        <v>11099</v>
      </c>
      <c r="I1420" s="13" t="s">
        <v>10287</v>
      </c>
      <c r="J1420" s="13"/>
      <c r="K1420" s="13" t="s">
        <v>10290</v>
      </c>
      <c r="L1420" s="13" t="s">
        <v>10291</v>
      </c>
    </row>
    <row r="1421" customFormat="false" ht="102.2" hidden="false" customHeight="false" outlineLevel="0" collapsed="false">
      <c r="A1421" s="13" t="s">
        <v>4</v>
      </c>
      <c r="B1421" s="13" t="s">
        <v>4108</v>
      </c>
      <c r="C1421" s="13" t="n">
        <v>366</v>
      </c>
      <c r="D1421" s="13" t="s">
        <v>10292</v>
      </c>
      <c r="E1421" s="13" t="s">
        <v>14778</v>
      </c>
      <c r="F1421" s="13" t="s">
        <v>14779</v>
      </c>
      <c r="G1421" s="13" t="s">
        <v>11098</v>
      </c>
      <c r="H1421" s="13" t="s">
        <v>11099</v>
      </c>
      <c r="I1421" s="13" t="s">
        <v>14780</v>
      </c>
      <c r="J1421" s="13"/>
      <c r="K1421" s="13" t="s">
        <v>10296</v>
      </c>
      <c r="L1421" s="13" t="s">
        <v>10297</v>
      </c>
    </row>
    <row r="1422" customFormat="false" ht="46.25" hidden="false" customHeight="false" outlineLevel="0" collapsed="false">
      <c r="A1422" s="13" t="s">
        <v>4</v>
      </c>
      <c r="B1422" s="13" t="s">
        <v>4108</v>
      </c>
      <c r="C1422" s="13" t="n">
        <v>366</v>
      </c>
      <c r="D1422" s="13" t="s">
        <v>10301</v>
      </c>
      <c r="E1422" s="13" t="s">
        <v>14781</v>
      </c>
      <c r="F1422" s="13" t="s">
        <v>14782</v>
      </c>
      <c r="G1422" s="13" t="s">
        <v>11098</v>
      </c>
      <c r="H1422" s="13" t="s">
        <v>11099</v>
      </c>
      <c r="I1422" s="13" t="s">
        <v>14783</v>
      </c>
      <c r="J1422" s="13"/>
      <c r="K1422" s="13" t="s">
        <v>10305</v>
      </c>
      <c r="L1422" s="13" t="s">
        <v>10306</v>
      </c>
    </row>
    <row r="1423" customFormat="false" ht="79.85" hidden="false" customHeight="false" outlineLevel="0" collapsed="false">
      <c r="A1423" s="13" t="s">
        <v>4</v>
      </c>
      <c r="B1423" s="13" t="s">
        <v>4108</v>
      </c>
      <c r="C1423" s="13" t="n">
        <v>366</v>
      </c>
      <c r="D1423" s="13" t="s">
        <v>10309</v>
      </c>
      <c r="E1423" s="13" t="s">
        <v>14784</v>
      </c>
      <c r="F1423" s="13" t="s">
        <v>14785</v>
      </c>
      <c r="G1423" s="13" t="s">
        <v>11137</v>
      </c>
      <c r="H1423" s="13" t="s">
        <v>11099</v>
      </c>
      <c r="I1423" s="13" t="s">
        <v>10310</v>
      </c>
      <c r="J1423" s="13" t="s">
        <v>14786</v>
      </c>
      <c r="K1423" s="13" t="s">
        <v>10315</v>
      </c>
      <c r="L1423" s="13" t="s">
        <v>10316</v>
      </c>
    </row>
    <row r="1424" customFormat="false" ht="79.85" hidden="false" customHeight="false" outlineLevel="0" collapsed="false">
      <c r="A1424" s="13" t="s">
        <v>4</v>
      </c>
      <c r="B1424" s="13" t="s">
        <v>4108</v>
      </c>
      <c r="C1424" s="13" t="n">
        <v>366</v>
      </c>
      <c r="D1424" s="13" t="s">
        <v>10309</v>
      </c>
      <c r="E1424" s="13" t="s">
        <v>14787</v>
      </c>
      <c r="F1424" s="13" t="s">
        <v>14788</v>
      </c>
      <c r="G1424" s="13" t="s">
        <v>11098</v>
      </c>
      <c r="H1424" s="13" t="s">
        <v>11099</v>
      </c>
      <c r="I1424" s="13" t="s">
        <v>10317</v>
      </c>
      <c r="J1424" s="13"/>
      <c r="K1424" s="13" t="s">
        <v>10315</v>
      </c>
      <c r="L1424" s="13" t="s">
        <v>10316</v>
      </c>
    </row>
    <row r="1425" customFormat="false" ht="124.6" hidden="false" customHeight="false" outlineLevel="0" collapsed="false">
      <c r="A1425" s="13" t="s">
        <v>4</v>
      </c>
      <c r="B1425" s="13" t="s">
        <v>4108</v>
      </c>
      <c r="C1425" s="13" t="n">
        <v>366</v>
      </c>
      <c r="D1425" s="13" t="s">
        <v>10319</v>
      </c>
      <c r="E1425" s="13" t="s">
        <v>14789</v>
      </c>
      <c r="F1425" s="13" t="s">
        <v>14790</v>
      </c>
      <c r="G1425" s="13" t="s">
        <v>11098</v>
      </c>
      <c r="H1425" s="13" t="s">
        <v>11099</v>
      </c>
      <c r="I1425" s="13" t="s">
        <v>14791</v>
      </c>
      <c r="J1425" s="13"/>
      <c r="K1425" s="13" t="s">
        <v>10322</v>
      </c>
      <c r="L1425" s="13" t="s">
        <v>10323</v>
      </c>
    </row>
    <row r="1426" customFormat="false" ht="35.05" hidden="false" customHeight="false" outlineLevel="0" collapsed="false">
      <c r="A1426" s="13" t="s">
        <v>4</v>
      </c>
      <c r="B1426" s="13" t="s">
        <v>4108</v>
      </c>
      <c r="C1426" s="13" t="n">
        <v>366</v>
      </c>
      <c r="D1426" s="13" t="s">
        <v>10347</v>
      </c>
      <c r="E1426" s="13" t="s">
        <v>14792</v>
      </c>
      <c r="F1426" s="13" t="s">
        <v>14793</v>
      </c>
      <c r="G1426" s="13" t="s">
        <v>11315</v>
      </c>
      <c r="H1426" s="13" t="s">
        <v>11099</v>
      </c>
      <c r="I1426" s="13" t="s">
        <v>14794</v>
      </c>
      <c r="J1426" s="13" t="s">
        <v>14795</v>
      </c>
      <c r="K1426" s="13" t="s">
        <v>10350</v>
      </c>
      <c r="L1426" s="13" t="s">
        <v>10351</v>
      </c>
    </row>
    <row r="1427" customFormat="false" ht="35.05" hidden="false" customHeight="false" outlineLevel="0" collapsed="false">
      <c r="A1427" s="13" t="s">
        <v>4</v>
      </c>
      <c r="B1427" s="13" t="s">
        <v>4108</v>
      </c>
      <c r="C1427" s="13" t="n">
        <v>366</v>
      </c>
      <c r="D1427" s="13" t="s">
        <v>10356</v>
      </c>
      <c r="E1427" s="13" t="s">
        <v>14796</v>
      </c>
      <c r="F1427" s="13" t="s">
        <v>14797</v>
      </c>
      <c r="G1427" s="13" t="s">
        <v>11098</v>
      </c>
      <c r="H1427" s="13" t="s">
        <v>11099</v>
      </c>
      <c r="I1427" s="13" t="s">
        <v>10357</v>
      </c>
      <c r="J1427" s="13"/>
      <c r="K1427" s="13" t="s">
        <v>10360</v>
      </c>
      <c r="L1427" s="13" t="s">
        <v>10361</v>
      </c>
    </row>
    <row r="1428" customFormat="false" ht="270.1" hidden="false" customHeight="false" outlineLevel="0" collapsed="false">
      <c r="A1428" s="13" t="s">
        <v>4</v>
      </c>
      <c r="B1428" s="13" t="s">
        <v>4108</v>
      </c>
      <c r="C1428" s="13" t="n">
        <v>366</v>
      </c>
      <c r="D1428" s="13" t="s">
        <v>10362</v>
      </c>
      <c r="E1428" s="13" t="s">
        <v>14798</v>
      </c>
      <c r="F1428" s="13" t="s">
        <v>14799</v>
      </c>
      <c r="G1428" s="13" t="s">
        <v>11098</v>
      </c>
      <c r="H1428" s="13" t="s">
        <v>11099</v>
      </c>
      <c r="I1428" s="13" t="s">
        <v>10363</v>
      </c>
      <c r="J1428" s="13"/>
      <c r="K1428" s="13" t="s">
        <v>10366</v>
      </c>
      <c r="L1428" s="13" t="s">
        <v>10367</v>
      </c>
    </row>
    <row r="1429" customFormat="false" ht="270.1" hidden="false" customHeight="false" outlineLevel="0" collapsed="false">
      <c r="A1429" s="13" t="s">
        <v>4</v>
      </c>
      <c r="B1429" s="13" t="s">
        <v>4108</v>
      </c>
      <c r="C1429" s="13" t="n">
        <v>366</v>
      </c>
      <c r="D1429" s="13" t="s">
        <v>10362</v>
      </c>
      <c r="E1429" s="13" t="s">
        <v>14800</v>
      </c>
      <c r="F1429" s="13" t="s">
        <v>14801</v>
      </c>
      <c r="G1429" s="13" t="s">
        <v>11098</v>
      </c>
      <c r="H1429" s="13" t="s">
        <v>11099</v>
      </c>
      <c r="I1429" s="13" t="s">
        <v>10368</v>
      </c>
      <c r="J1429" s="13"/>
      <c r="K1429" s="13" t="s">
        <v>10366</v>
      </c>
      <c r="L1429" s="13" t="s">
        <v>10367</v>
      </c>
    </row>
    <row r="1430" customFormat="false" ht="270.1" hidden="false" customHeight="false" outlineLevel="0" collapsed="false">
      <c r="A1430" s="13" t="s">
        <v>4</v>
      </c>
      <c r="B1430" s="13" t="s">
        <v>4108</v>
      </c>
      <c r="C1430" s="13" t="n">
        <v>366</v>
      </c>
      <c r="D1430" s="13" t="s">
        <v>10362</v>
      </c>
      <c r="E1430" s="13" t="s">
        <v>14802</v>
      </c>
      <c r="F1430" s="13" t="s">
        <v>14803</v>
      </c>
      <c r="G1430" s="13" t="s">
        <v>11128</v>
      </c>
      <c r="H1430" s="13" t="s">
        <v>11099</v>
      </c>
      <c r="I1430" s="13"/>
      <c r="J1430" s="13"/>
      <c r="K1430" s="13" t="s">
        <v>10366</v>
      </c>
      <c r="L1430" s="13" t="s">
        <v>10367</v>
      </c>
    </row>
    <row r="1431" customFormat="false" ht="270.1" hidden="false" customHeight="false" outlineLevel="0" collapsed="false">
      <c r="A1431" s="13" t="s">
        <v>4</v>
      </c>
      <c r="B1431" s="13" t="s">
        <v>4108</v>
      </c>
      <c r="C1431" s="13" t="n">
        <v>366</v>
      </c>
      <c r="D1431" s="13" t="s">
        <v>10362</v>
      </c>
      <c r="E1431" s="13" t="s">
        <v>14804</v>
      </c>
      <c r="F1431" s="13" t="s">
        <v>14805</v>
      </c>
      <c r="G1431" s="13" t="s">
        <v>11098</v>
      </c>
      <c r="H1431" s="13" t="s">
        <v>11099</v>
      </c>
      <c r="I1431" s="13" t="s">
        <v>10371</v>
      </c>
      <c r="J1431" s="13"/>
      <c r="K1431" s="13" t="s">
        <v>10366</v>
      </c>
      <c r="L1431" s="13" t="s">
        <v>10367</v>
      </c>
    </row>
    <row r="1432" customFormat="false" ht="270.1" hidden="false" customHeight="false" outlineLevel="0" collapsed="false">
      <c r="A1432" s="13" t="s">
        <v>4</v>
      </c>
      <c r="B1432" s="13" t="s">
        <v>4108</v>
      </c>
      <c r="C1432" s="13" t="n">
        <v>366</v>
      </c>
      <c r="D1432" s="13" t="s">
        <v>10362</v>
      </c>
      <c r="E1432" s="13" t="s">
        <v>14806</v>
      </c>
      <c r="F1432" s="13" t="s">
        <v>14807</v>
      </c>
      <c r="G1432" s="13" t="s">
        <v>11128</v>
      </c>
      <c r="H1432" s="13" t="s">
        <v>11099</v>
      </c>
      <c r="I1432" s="13"/>
      <c r="J1432" s="13"/>
      <c r="K1432" s="13" t="s">
        <v>10366</v>
      </c>
      <c r="L1432" s="13" t="s">
        <v>10367</v>
      </c>
    </row>
    <row r="1433" customFormat="false" ht="270.1" hidden="false" customHeight="false" outlineLevel="0" collapsed="false">
      <c r="A1433" s="13" t="s">
        <v>4</v>
      </c>
      <c r="B1433" s="13" t="s">
        <v>4108</v>
      </c>
      <c r="C1433" s="13" t="n">
        <v>366</v>
      </c>
      <c r="D1433" s="13" t="s">
        <v>10362</v>
      </c>
      <c r="E1433" s="13" t="s">
        <v>14808</v>
      </c>
      <c r="F1433" s="13" t="s">
        <v>14809</v>
      </c>
      <c r="G1433" s="13" t="s">
        <v>11098</v>
      </c>
      <c r="H1433" s="13" t="s">
        <v>11099</v>
      </c>
      <c r="I1433" s="13" t="s">
        <v>10374</v>
      </c>
      <c r="J1433" s="13"/>
      <c r="K1433" s="13" t="s">
        <v>10366</v>
      </c>
      <c r="L1433" s="13" t="s">
        <v>10367</v>
      </c>
    </row>
    <row r="1434" customFormat="false" ht="158.2" hidden="false" customHeight="false" outlineLevel="0" collapsed="false">
      <c r="A1434" s="13" t="s">
        <v>4</v>
      </c>
      <c r="B1434" s="13" t="s">
        <v>4108</v>
      </c>
      <c r="C1434" s="13" t="n">
        <v>380</v>
      </c>
      <c r="D1434" s="13" t="s">
        <v>10377</v>
      </c>
      <c r="E1434" s="13" t="s">
        <v>14810</v>
      </c>
      <c r="F1434" s="13" t="s">
        <v>14811</v>
      </c>
      <c r="G1434" s="13" t="s">
        <v>11098</v>
      </c>
      <c r="H1434" s="13" t="s">
        <v>11099</v>
      </c>
      <c r="I1434" s="13" t="s">
        <v>14812</v>
      </c>
      <c r="J1434" s="13"/>
      <c r="K1434" s="13" t="s">
        <v>10381</v>
      </c>
      <c r="L1434" s="13" t="s">
        <v>10382</v>
      </c>
    </row>
    <row r="1435" customFormat="false" ht="158.2" hidden="false" customHeight="false" outlineLevel="0" collapsed="false">
      <c r="A1435" s="13" t="s">
        <v>4</v>
      </c>
      <c r="B1435" s="13" t="s">
        <v>4108</v>
      </c>
      <c r="C1435" s="13" t="n">
        <v>380</v>
      </c>
      <c r="D1435" s="13" t="s">
        <v>10377</v>
      </c>
      <c r="E1435" s="13" t="s">
        <v>14813</v>
      </c>
      <c r="F1435" s="13" t="s">
        <v>14814</v>
      </c>
      <c r="G1435" s="13" t="s">
        <v>11128</v>
      </c>
      <c r="H1435" s="13" t="s">
        <v>11099</v>
      </c>
      <c r="I1435" s="13"/>
      <c r="J1435" s="13" t="s">
        <v>14815</v>
      </c>
      <c r="K1435" s="13" t="s">
        <v>10381</v>
      </c>
      <c r="L1435" s="13" t="s">
        <v>10382</v>
      </c>
    </row>
    <row r="1436" customFormat="false" ht="158.2" hidden="false" customHeight="false" outlineLevel="0" collapsed="false">
      <c r="A1436" s="13" t="s">
        <v>4</v>
      </c>
      <c r="B1436" s="13" t="s">
        <v>4108</v>
      </c>
      <c r="C1436" s="13" t="n">
        <v>380</v>
      </c>
      <c r="D1436" s="13" t="s">
        <v>10377</v>
      </c>
      <c r="E1436" s="13" t="s">
        <v>14816</v>
      </c>
      <c r="F1436" s="13" t="s">
        <v>14817</v>
      </c>
      <c r="G1436" s="13" t="s">
        <v>11098</v>
      </c>
      <c r="H1436" s="13" t="s">
        <v>11099</v>
      </c>
      <c r="I1436" s="13" t="s">
        <v>10386</v>
      </c>
      <c r="J1436" s="13"/>
      <c r="K1436" s="13" t="s">
        <v>10381</v>
      </c>
      <c r="L1436" s="13" t="s">
        <v>10382</v>
      </c>
    </row>
    <row r="1437" customFormat="false" ht="46.25" hidden="false" customHeight="false" outlineLevel="0" collapsed="false">
      <c r="A1437" s="13" t="s">
        <v>4</v>
      </c>
      <c r="B1437" s="13" t="s">
        <v>4108</v>
      </c>
      <c r="C1437" s="13" t="n">
        <v>380</v>
      </c>
      <c r="D1437" s="13" t="s">
        <v>10388</v>
      </c>
      <c r="E1437" s="13" t="s">
        <v>14818</v>
      </c>
      <c r="F1437" s="13" t="s">
        <v>14819</v>
      </c>
      <c r="G1437" s="13" t="s">
        <v>11098</v>
      </c>
      <c r="H1437" s="13" t="s">
        <v>11099</v>
      </c>
      <c r="I1437" s="13" t="s">
        <v>14820</v>
      </c>
      <c r="J1437" s="13"/>
      <c r="K1437" s="13" t="s">
        <v>10393</v>
      </c>
      <c r="L1437" s="13" t="s">
        <v>10394</v>
      </c>
    </row>
    <row r="1438" customFormat="false" ht="35.05" hidden="false" customHeight="false" outlineLevel="0" collapsed="false">
      <c r="A1438" s="13" t="s">
        <v>4</v>
      </c>
      <c r="B1438" s="13" t="s">
        <v>4108</v>
      </c>
      <c r="C1438" s="13" t="n">
        <v>380</v>
      </c>
      <c r="D1438" s="13" t="s">
        <v>10398</v>
      </c>
      <c r="E1438" s="13" t="s">
        <v>14821</v>
      </c>
      <c r="F1438" s="13" t="s">
        <v>14822</v>
      </c>
      <c r="G1438" s="13" t="s">
        <v>11098</v>
      </c>
      <c r="H1438" s="13" t="s">
        <v>11099</v>
      </c>
      <c r="I1438" s="13" t="s">
        <v>14823</v>
      </c>
      <c r="J1438" s="13"/>
      <c r="K1438" s="13" t="s">
        <v>10401</v>
      </c>
      <c r="L1438" s="13" t="s">
        <v>10402</v>
      </c>
    </row>
    <row r="1439" customFormat="false" ht="23.85" hidden="false" customHeight="false" outlineLevel="0" collapsed="false">
      <c r="A1439" s="13" t="s">
        <v>4</v>
      </c>
      <c r="B1439" s="13" t="s">
        <v>4108</v>
      </c>
      <c r="C1439" s="13" t="n">
        <v>380</v>
      </c>
      <c r="D1439" s="13" t="s">
        <v>10405</v>
      </c>
      <c r="E1439" s="13" t="s">
        <v>14824</v>
      </c>
      <c r="F1439" s="13" t="s">
        <v>14825</v>
      </c>
      <c r="G1439" s="13" t="s">
        <v>11098</v>
      </c>
      <c r="H1439" s="13" t="s">
        <v>11099</v>
      </c>
      <c r="I1439" s="13" t="s">
        <v>10406</v>
      </c>
      <c r="J1439" s="13"/>
      <c r="K1439" s="13" t="s">
        <v>10409</v>
      </c>
      <c r="L1439" s="13" t="s">
        <v>10410</v>
      </c>
    </row>
    <row r="1440" customFormat="false" ht="124.6" hidden="false" customHeight="false" outlineLevel="0" collapsed="false">
      <c r="A1440" s="13" t="s">
        <v>4</v>
      </c>
      <c r="B1440" s="13" t="s">
        <v>4108</v>
      </c>
      <c r="C1440" s="13" t="n">
        <v>380</v>
      </c>
      <c r="D1440" s="13" t="s">
        <v>10411</v>
      </c>
      <c r="E1440" s="13" t="s">
        <v>14826</v>
      </c>
      <c r="F1440" s="13" t="s">
        <v>14827</v>
      </c>
      <c r="G1440" s="13" t="s">
        <v>11098</v>
      </c>
      <c r="H1440" s="13" t="s">
        <v>11099</v>
      </c>
      <c r="I1440" s="13" t="s">
        <v>14828</v>
      </c>
      <c r="J1440" s="13"/>
      <c r="K1440" s="13" t="s">
        <v>10415</v>
      </c>
      <c r="L1440" s="13" t="s">
        <v>10416</v>
      </c>
    </row>
    <row r="1441" customFormat="false" ht="191.75" hidden="false" customHeight="false" outlineLevel="0" collapsed="false">
      <c r="A1441" s="13" t="s">
        <v>4</v>
      </c>
      <c r="B1441" s="13" t="s">
        <v>4108</v>
      </c>
      <c r="C1441" s="13" t="n">
        <v>380</v>
      </c>
      <c r="D1441" s="13" t="s">
        <v>10424</v>
      </c>
      <c r="E1441" s="13" t="s">
        <v>14829</v>
      </c>
      <c r="F1441" s="13" t="s">
        <v>14830</v>
      </c>
      <c r="G1441" s="13" t="s">
        <v>11098</v>
      </c>
      <c r="H1441" s="13" t="s">
        <v>11099</v>
      </c>
      <c r="I1441" s="13" t="s">
        <v>14831</v>
      </c>
      <c r="J1441" s="13" t="s">
        <v>14832</v>
      </c>
      <c r="K1441" s="13" t="s">
        <v>10428</v>
      </c>
      <c r="L1441" s="13" t="s">
        <v>10429</v>
      </c>
    </row>
    <row r="1442" customFormat="false" ht="135.8" hidden="false" customHeight="false" outlineLevel="0" collapsed="false">
      <c r="A1442" s="13" t="s">
        <v>4</v>
      </c>
      <c r="B1442" s="13" t="s">
        <v>4108</v>
      </c>
      <c r="C1442" s="13" t="n">
        <v>388</v>
      </c>
      <c r="D1442" s="13" t="s">
        <v>10436</v>
      </c>
      <c r="E1442" s="13" t="s">
        <v>14833</v>
      </c>
      <c r="F1442" s="13" t="s">
        <v>14834</v>
      </c>
      <c r="G1442" s="13" t="s">
        <v>11315</v>
      </c>
      <c r="H1442" s="13" t="s">
        <v>11099</v>
      </c>
      <c r="I1442" s="13" t="s">
        <v>14835</v>
      </c>
      <c r="J1442" s="13" t="s">
        <v>14836</v>
      </c>
      <c r="K1442" s="13" t="s">
        <v>10440</v>
      </c>
      <c r="L1442" s="13" t="s">
        <v>10441</v>
      </c>
    </row>
    <row r="1443" customFormat="false" ht="135.8" hidden="false" customHeight="false" outlineLevel="0" collapsed="false">
      <c r="A1443" s="13" t="s">
        <v>4</v>
      </c>
      <c r="B1443" s="13" t="s">
        <v>4108</v>
      </c>
      <c r="C1443" s="13" t="n">
        <v>388</v>
      </c>
      <c r="D1443" s="13" t="s">
        <v>10436</v>
      </c>
      <c r="E1443" s="13" t="s">
        <v>14837</v>
      </c>
      <c r="F1443" s="13" t="s">
        <v>14838</v>
      </c>
      <c r="G1443" s="13" t="s">
        <v>11098</v>
      </c>
      <c r="H1443" s="13" t="s">
        <v>11099</v>
      </c>
      <c r="I1443" s="13" t="s">
        <v>10442</v>
      </c>
      <c r="J1443" s="13"/>
      <c r="K1443" s="13" t="s">
        <v>10440</v>
      </c>
      <c r="L1443" s="13" t="s">
        <v>10441</v>
      </c>
    </row>
    <row r="1444" customFormat="false" ht="46.25" hidden="false" customHeight="false" outlineLevel="0" collapsed="false">
      <c r="A1444" s="13" t="s">
        <v>4</v>
      </c>
      <c r="B1444" s="13" t="s">
        <v>4108</v>
      </c>
      <c r="C1444" s="13" t="n">
        <v>388</v>
      </c>
      <c r="D1444" s="13" t="s">
        <v>10454</v>
      </c>
      <c r="E1444" s="13" t="s">
        <v>14839</v>
      </c>
      <c r="F1444" s="13" t="s">
        <v>14840</v>
      </c>
      <c r="G1444" s="13" t="s">
        <v>11098</v>
      </c>
      <c r="H1444" s="13" t="s">
        <v>11099</v>
      </c>
      <c r="I1444" s="13" t="s">
        <v>14841</v>
      </c>
      <c r="J1444" s="13"/>
      <c r="K1444" s="13" t="s">
        <v>10458</v>
      </c>
      <c r="L1444" s="13" t="s">
        <v>10459</v>
      </c>
    </row>
    <row r="1445" customFormat="false" ht="35.05" hidden="false" customHeight="false" outlineLevel="0" collapsed="false">
      <c r="A1445" s="13" t="s">
        <v>4</v>
      </c>
      <c r="B1445" s="13" t="s">
        <v>4108</v>
      </c>
      <c r="C1445" s="13" t="n">
        <v>388</v>
      </c>
      <c r="D1445" s="13" t="s">
        <v>10465</v>
      </c>
      <c r="E1445" s="13" t="s">
        <v>14842</v>
      </c>
      <c r="F1445" s="13" t="s">
        <v>14843</v>
      </c>
      <c r="G1445" s="13" t="s">
        <v>11098</v>
      </c>
      <c r="H1445" s="13" t="s">
        <v>11099</v>
      </c>
      <c r="I1445" s="13" t="s">
        <v>14844</v>
      </c>
      <c r="J1445" s="13" t="s">
        <v>14845</v>
      </c>
      <c r="K1445" s="13" t="s">
        <v>10469</v>
      </c>
      <c r="L1445" s="13" t="s">
        <v>10470</v>
      </c>
    </row>
    <row r="1446" customFormat="false" ht="35.05" hidden="false" customHeight="false" outlineLevel="0" collapsed="false">
      <c r="A1446" s="13" t="s">
        <v>4</v>
      </c>
      <c r="B1446" s="13" t="s">
        <v>4108</v>
      </c>
      <c r="C1446" s="13" t="n">
        <v>388</v>
      </c>
      <c r="D1446" s="13" t="s">
        <v>10472</v>
      </c>
      <c r="E1446" s="13" t="s">
        <v>14846</v>
      </c>
      <c r="F1446" s="13" t="s">
        <v>14847</v>
      </c>
      <c r="G1446" s="13" t="s">
        <v>11098</v>
      </c>
      <c r="H1446" s="13" t="s">
        <v>11099</v>
      </c>
      <c r="I1446" s="13" t="s">
        <v>14848</v>
      </c>
      <c r="J1446" s="13"/>
      <c r="K1446" s="13" t="s">
        <v>10476</v>
      </c>
      <c r="L1446" s="13" t="s">
        <v>10477</v>
      </c>
    </row>
    <row r="1447" customFormat="false" ht="57.45" hidden="false" customHeight="false" outlineLevel="0" collapsed="false">
      <c r="A1447" s="13" t="s">
        <v>4</v>
      </c>
      <c r="B1447" s="13" t="s">
        <v>4108</v>
      </c>
      <c r="C1447" s="13" t="n">
        <v>388</v>
      </c>
      <c r="D1447" s="13" t="s">
        <v>10483</v>
      </c>
      <c r="E1447" s="13" t="s">
        <v>14849</v>
      </c>
      <c r="F1447" s="13" t="s">
        <v>14850</v>
      </c>
      <c r="G1447" s="13" t="s">
        <v>11098</v>
      </c>
      <c r="H1447" s="13" t="s">
        <v>11099</v>
      </c>
      <c r="I1447" s="13" t="s">
        <v>14851</v>
      </c>
      <c r="J1447" s="13" t="s">
        <v>14852</v>
      </c>
      <c r="K1447" s="13" t="s">
        <v>10487</v>
      </c>
      <c r="L1447" s="13" t="s">
        <v>10488</v>
      </c>
    </row>
    <row r="1448" customFormat="false" ht="68.65" hidden="false" customHeight="false" outlineLevel="0" collapsed="false">
      <c r="A1448" s="13" t="s">
        <v>4</v>
      </c>
      <c r="B1448" s="13" t="s">
        <v>4108</v>
      </c>
      <c r="C1448" s="13" t="n">
        <v>388</v>
      </c>
      <c r="D1448" s="13" t="s">
        <v>10496</v>
      </c>
      <c r="E1448" s="13" t="s">
        <v>14853</v>
      </c>
      <c r="F1448" s="13" t="s">
        <v>14854</v>
      </c>
      <c r="G1448" s="13" t="s">
        <v>11315</v>
      </c>
      <c r="H1448" s="13" t="s">
        <v>11099</v>
      </c>
      <c r="I1448" s="13" t="s">
        <v>14855</v>
      </c>
      <c r="J1448" s="13" t="s">
        <v>14856</v>
      </c>
      <c r="K1448" s="13" t="s">
        <v>10499</v>
      </c>
      <c r="L1448" s="13" t="s">
        <v>10500</v>
      </c>
    </row>
    <row r="1449" customFormat="false" ht="57.45" hidden="false" customHeight="false" outlineLevel="0" collapsed="false">
      <c r="A1449" s="13" t="s">
        <v>4</v>
      </c>
      <c r="B1449" s="13" t="s">
        <v>4108</v>
      </c>
      <c r="C1449" s="13" t="n">
        <v>442</v>
      </c>
      <c r="D1449" s="13" t="s">
        <v>10507</v>
      </c>
      <c r="E1449" s="13" t="s">
        <v>14857</v>
      </c>
      <c r="F1449" s="13" t="s">
        <v>14858</v>
      </c>
      <c r="G1449" s="13" t="s">
        <v>11098</v>
      </c>
      <c r="H1449" s="13" t="s">
        <v>11099</v>
      </c>
      <c r="I1449" s="13" t="s">
        <v>10508</v>
      </c>
      <c r="J1449" s="13"/>
      <c r="K1449" s="13" t="s">
        <v>10512</v>
      </c>
      <c r="L1449" s="13" t="s">
        <v>10513</v>
      </c>
    </row>
    <row r="1450" customFormat="false" ht="57.45" hidden="false" customHeight="false" outlineLevel="0" collapsed="false">
      <c r="A1450" s="13" t="s">
        <v>4</v>
      </c>
      <c r="B1450" s="13" t="s">
        <v>4108</v>
      </c>
      <c r="C1450" s="13" t="n">
        <v>442</v>
      </c>
      <c r="D1450" s="13" t="s">
        <v>10507</v>
      </c>
      <c r="E1450" s="13" t="s">
        <v>14859</v>
      </c>
      <c r="F1450" s="13" t="s">
        <v>14860</v>
      </c>
      <c r="G1450" s="13" t="s">
        <v>11098</v>
      </c>
      <c r="H1450" s="13" t="s">
        <v>11099</v>
      </c>
      <c r="I1450" s="13" t="s">
        <v>14861</v>
      </c>
      <c r="J1450" s="13"/>
      <c r="K1450" s="13" t="s">
        <v>10512</v>
      </c>
      <c r="L1450" s="13" t="s">
        <v>10513</v>
      </c>
    </row>
    <row r="1451" customFormat="false" ht="35.05" hidden="false" customHeight="false" outlineLevel="0" collapsed="false">
      <c r="A1451" s="13" t="s">
        <v>4</v>
      </c>
      <c r="B1451" s="13" t="s">
        <v>4108</v>
      </c>
      <c r="C1451" s="13" t="n">
        <v>442</v>
      </c>
      <c r="D1451" s="13" t="s">
        <v>10522</v>
      </c>
      <c r="E1451" s="13" t="s">
        <v>14862</v>
      </c>
      <c r="F1451" s="13" t="s">
        <v>14863</v>
      </c>
      <c r="G1451" s="13" t="s">
        <v>11098</v>
      </c>
      <c r="H1451" s="13" t="s">
        <v>11099</v>
      </c>
      <c r="I1451" s="13" t="s">
        <v>14864</v>
      </c>
      <c r="J1451" s="13"/>
      <c r="K1451" s="13" t="s">
        <v>10526</v>
      </c>
      <c r="L1451" s="13" t="s">
        <v>10527</v>
      </c>
    </row>
    <row r="1452" customFormat="false" ht="46.25" hidden="false" customHeight="false" outlineLevel="0" collapsed="false">
      <c r="A1452" s="13" t="s">
        <v>4</v>
      </c>
      <c r="B1452" s="13" t="s">
        <v>4108</v>
      </c>
      <c r="C1452" s="13" t="n">
        <v>442</v>
      </c>
      <c r="D1452" s="13" t="s">
        <v>10531</v>
      </c>
      <c r="E1452" s="13" t="s">
        <v>14865</v>
      </c>
      <c r="F1452" s="13" t="s">
        <v>14866</v>
      </c>
      <c r="G1452" s="13" t="s">
        <v>11098</v>
      </c>
      <c r="H1452" s="13" t="s">
        <v>11099</v>
      </c>
      <c r="I1452" s="13" t="s">
        <v>14867</v>
      </c>
      <c r="J1452" s="13"/>
      <c r="K1452" s="13" t="s">
        <v>10536</v>
      </c>
      <c r="L1452" s="13" t="s">
        <v>10537</v>
      </c>
    </row>
    <row r="1453" customFormat="false" ht="35.05" hidden="false" customHeight="false" outlineLevel="0" collapsed="false">
      <c r="A1453" s="13" t="s">
        <v>4</v>
      </c>
      <c r="B1453" s="13" t="s">
        <v>4108</v>
      </c>
      <c r="C1453" s="13" t="n">
        <v>442</v>
      </c>
      <c r="D1453" s="13" t="s">
        <v>10543</v>
      </c>
      <c r="E1453" s="13" t="s">
        <v>14868</v>
      </c>
      <c r="F1453" s="13" t="s">
        <v>14869</v>
      </c>
      <c r="G1453" s="13" t="s">
        <v>11098</v>
      </c>
      <c r="H1453" s="13" t="s">
        <v>11099</v>
      </c>
      <c r="I1453" s="13" t="s">
        <v>14870</v>
      </c>
      <c r="J1453" s="13"/>
      <c r="K1453" s="13" t="s">
        <v>10546</v>
      </c>
      <c r="L1453" s="13" t="s">
        <v>10547</v>
      </c>
    </row>
    <row r="1454" customFormat="false" ht="46.25" hidden="false" customHeight="false" outlineLevel="0" collapsed="false">
      <c r="A1454" s="13" t="s">
        <v>4</v>
      </c>
      <c r="B1454" s="13" t="s">
        <v>4108</v>
      </c>
      <c r="C1454" s="13" t="n">
        <v>442</v>
      </c>
      <c r="D1454" s="13" t="s">
        <v>10552</v>
      </c>
      <c r="E1454" s="13" t="s">
        <v>14871</v>
      </c>
      <c r="F1454" s="13" t="s">
        <v>14872</v>
      </c>
      <c r="G1454" s="13" t="s">
        <v>11098</v>
      </c>
      <c r="H1454" s="13" t="s">
        <v>11099</v>
      </c>
      <c r="I1454" s="13" t="s">
        <v>14873</v>
      </c>
      <c r="J1454" s="13"/>
      <c r="K1454" s="13" t="s">
        <v>10556</v>
      </c>
      <c r="L1454" s="13" t="s">
        <v>10557</v>
      </c>
    </row>
    <row r="1455" customFormat="false" ht="113.4" hidden="false" customHeight="false" outlineLevel="0" collapsed="false">
      <c r="A1455" s="13" t="s">
        <v>4</v>
      </c>
      <c r="B1455" s="13" t="s">
        <v>4108</v>
      </c>
      <c r="C1455" s="13" t="n">
        <v>442</v>
      </c>
      <c r="D1455" s="13" t="s">
        <v>10560</v>
      </c>
      <c r="E1455" s="13" t="s">
        <v>14874</v>
      </c>
      <c r="F1455" s="13" t="s">
        <v>14875</v>
      </c>
      <c r="G1455" s="13" t="s">
        <v>11098</v>
      </c>
      <c r="H1455" s="13" t="s">
        <v>11099</v>
      </c>
      <c r="I1455" s="13" t="s">
        <v>14876</v>
      </c>
      <c r="J1455" s="13" t="s">
        <v>14877</v>
      </c>
      <c r="K1455" s="13" t="s">
        <v>10564</v>
      </c>
      <c r="L1455" s="13" t="s">
        <v>10565</v>
      </c>
    </row>
    <row r="1456" customFormat="false" ht="35.05" hidden="false" customHeight="false" outlineLevel="0" collapsed="false">
      <c r="A1456" s="13" t="s">
        <v>4</v>
      </c>
      <c r="B1456" s="13" t="s">
        <v>4108</v>
      </c>
      <c r="C1456" s="13" t="n">
        <v>442</v>
      </c>
      <c r="D1456" s="13" t="s">
        <v>10580</v>
      </c>
      <c r="E1456" s="13" t="s">
        <v>14878</v>
      </c>
      <c r="F1456" s="13" t="s">
        <v>14879</v>
      </c>
      <c r="G1456" s="13" t="s">
        <v>11098</v>
      </c>
      <c r="H1456" s="13" t="s">
        <v>11099</v>
      </c>
      <c r="I1456" s="13" t="s">
        <v>10581</v>
      </c>
      <c r="J1456" s="13" t="s">
        <v>14880</v>
      </c>
      <c r="K1456" s="13" t="s">
        <v>10583</v>
      </c>
      <c r="L1456" s="13" t="s">
        <v>10584</v>
      </c>
    </row>
    <row r="1457" customFormat="false" ht="35.05" hidden="false" customHeight="false" outlineLevel="0" collapsed="false">
      <c r="A1457" s="13" t="s">
        <v>4</v>
      </c>
      <c r="B1457" s="13" t="s">
        <v>4108</v>
      </c>
      <c r="C1457" s="13" t="n">
        <v>442</v>
      </c>
      <c r="D1457" s="13" t="s">
        <v>10585</v>
      </c>
      <c r="E1457" s="13" t="s">
        <v>14881</v>
      </c>
      <c r="F1457" s="13" t="s">
        <v>14882</v>
      </c>
      <c r="G1457" s="13" t="s">
        <v>11098</v>
      </c>
      <c r="H1457" s="13" t="s">
        <v>11099</v>
      </c>
      <c r="I1457" s="13" t="s">
        <v>14883</v>
      </c>
      <c r="J1457" s="13"/>
      <c r="K1457" s="13" t="s">
        <v>10587</v>
      </c>
      <c r="L1457" s="13" t="s">
        <v>10588</v>
      </c>
    </row>
    <row r="1458" customFormat="false" ht="35.05" hidden="false" customHeight="false" outlineLevel="0" collapsed="false">
      <c r="A1458" s="13" t="s">
        <v>4</v>
      </c>
      <c r="B1458" s="13" t="s">
        <v>4108</v>
      </c>
      <c r="C1458" s="13" t="n">
        <v>442</v>
      </c>
      <c r="D1458" s="13" t="s">
        <v>10585</v>
      </c>
      <c r="E1458" s="13" t="s">
        <v>14884</v>
      </c>
      <c r="F1458" s="13" t="s">
        <v>14885</v>
      </c>
      <c r="G1458" s="13" t="s">
        <v>11098</v>
      </c>
      <c r="H1458" s="13" t="s">
        <v>11099</v>
      </c>
      <c r="I1458" s="13" t="s">
        <v>10591</v>
      </c>
      <c r="J1458" s="13"/>
      <c r="K1458" s="13" t="s">
        <v>10587</v>
      </c>
      <c r="L1458" s="13" t="s">
        <v>10588</v>
      </c>
    </row>
    <row r="1459" customFormat="false" ht="191.75" hidden="false" customHeight="false" outlineLevel="0" collapsed="false">
      <c r="A1459" s="13" t="s">
        <v>4</v>
      </c>
      <c r="B1459" s="13" t="s">
        <v>4108</v>
      </c>
      <c r="C1459" s="13" t="n">
        <v>442</v>
      </c>
      <c r="D1459" s="13" t="s">
        <v>10596</v>
      </c>
      <c r="E1459" s="13" t="s">
        <v>14886</v>
      </c>
      <c r="F1459" s="13" t="s">
        <v>14887</v>
      </c>
      <c r="G1459" s="13" t="s">
        <v>11098</v>
      </c>
      <c r="H1459" s="13" t="s">
        <v>11099</v>
      </c>
      <c r="I1459" s="13" t="s">
        <v>14888</v>
      </c>
      <c r="J1459" s="13"/>
      <c r="K1459" s="13" t="s">
        <v>10600</v>
      </c>
      <c r="L1459" s="13" t="s">
        <v>10601</v>
      </c>
    </row>
    <row r="1460" customFormat="false" ht="191.75" hidden="false" customHeight="false" outlineLevel="0" collapsed="false">
      <c r="A1460" s="13" t="s">
        <v>4</v>
      </c>
      <c r="B1460" s="13" t="s">
        <v>4108</v>
      </c>
      <c r="C1460" s="13" t="n">
        <v>442</v>
      </c>
      <c r="D1460" s="13" t="s">
        <v>10596</v>
      </c>
      <c r="E1460" s="13" t="s">
        <v>14889</v>
      </c>
      <c r="F1460" s="13" t="s">
        <v>14890</v>
      </c>
      <c r="G1460" s="13" t="s">
        <v>11098</v>
      </c>
      <c r="H1460" s="13" t="s">
        <v>11099</v>
      </c>
      <c r="I1460" s="13" t="s">
        <v>14891</v>
      </c>
      <c r="J1460" s="13"/>
      <c r="K1460" s="13" t="s">
        <v>10600</v>
      </c>
      <c r="L1460" s="13" t="s">
        <v>10601</v>
      </c>
    </row>
    <row r="1461" customFormat="false" ht="79.85" hidden="false" customHeight="false" outlineLevel="0" collapsed="false">
      <c r="A1461" s="13" t="s">
        <v>4</v>
      </c>
      <c r="B1461" s="13" t="s">
        <v>4108</v>
      </c>
      <c r="C1461" s="13" t="n">
        <v>444</v>
      </c>
      <c r="D1461" s="13" t="s">
        <v>10612</v>
      </c>
      <c r="E1461" s="13" t="s">
        <v>14892</v>
      </c>
      <c r="F1461" s="13" t="s">
        <v>14893</v>
      </c>
      <c r="G1461" s="13" t="s">
        <v>11098</v>
      </c>
      <c r="H1461" s="13" t="s">
        <v>11099</v>
      </c>
      <c r="I1461" s="13" t="s">
        <v>14894</v>
      </c>
      <c r="J1461" s="13"/>
      <c r="K1461" s="13" t="s">
        <v>10615</v>
      </c>
      <c r="L1461" s="13" t="s">
        <v>10616</v>
      </c>
    </row>
    <row r="1462" customFormat="false" ht="57.45" hidden="false" customHeight="false" outlineLevel="0" collapsed="false">
      <c r="A1462" s="13" t="s">
        <v>4</v>
      </c>
      <c r="B1462" s="13" t="s">
        <v>4108</v>
      </c>
      <c r="C1462" s="13" t="n">
        <v>444</v>
      </c>
      <c r="D1462" s="13" t="s">
        <v>10624</v>
      </c>
      <c r="E1462" s="13" t="s">
        <v>14895</v>
      </c>
      <c r="F1462" s="13" t="s">
        <v>14896</v>
      </c>
      <c r="G1462" s="13" t="s">
        <v>11098</v>
      </c>
      <c r="H1462" s="13" t="s">
        <v>11099</v>
      </c>
      <c r="I1462" s="13" t="s">
        <v>10625</v>
      </c>
      <c r="J1462" s="13"/>
      <c r="K1462" s="13" t="s">
        <v>10628</v>
      </c>
      <c r="L1462" s="13" t="s">
        <v>10629</v>
      </c>
    </row>
    <row r="1463" customFormat="false" ht="57.45" hidden="false" customHeight="false" outlineLevel="0" collapsed="false">
      <c r="A1463" s="13" t="s">
        <v>4</v>
      </c>
      <c r="B1463" s="13" t="s">
        <v>4108</v>
      </c>
      <c r="C1463" s="13" t="n">
        <v>444</v>
      </c>
      <c r="D1463" s="13" t="s">
        <v>10624</v>
      </c>
      <c r="E1463" s="13" t="s">
        <v>14897</v>
      </c>
      <c r="F1463" s="13" t="s">
        <v>14898</v>
      </c>
      <c r="G1463" s="13" t="s">
        <v>11098</v>
      </c>
      <c r="H1463" s="13" t="s">
        <v>11099</v>
      </c>
      <c r="I1463" s="13" t="s">
        <v>10630</v>
      </c>
      <c r="J1463" s="13"/>
      <c r="K1463" s="13" t="s">
        <v>10628</v>
      </c>
      <c r="L1463" s="13" t="s">
        <v>10629</v>
      </c>
    </row>
    <row r="1464" customFormat="false" ht="35.05" hidden="false" customHeight="false" outlineLevel="0" collapsed="false">
      <c r="A1464" s="13" t="s">
        <v>4</v>
      </c>
      <c r="B1464" s="13" t="s">
        <v>4108</v>
      </c>
      <c r="C1464" s="13" t="n">
        <v>444</v>
      </c>
      <c r="D1464" s="13" t="s">
        <v>10632</v>
      </c>
      <c r="E1464" s="13" t="s">
        <v>14899</v>
      </c>
      <c r="F1464" s="13" t="s">
        <v>14900</v>
      </c>
      <c r="G1464" s="13" t="s">
        <v>11098</v>
      </c>
      <c r="H1464" s="13" t="s">
        <v>11099</v>
      </c>
      <c r="I1464" s="13" t="s">
        <v>14901</v>
      </c>
      <c r="J1464" s="13"/>
      <c r="K1464" s="13" t="s">
        <v>10636</v>
      </c>
      <c r="L1464" s="13" t="s">
        <v>10637</v>
      </c>
    </row>
    <row r="1465" customFormat="false" ht="23.85" hidden="false" customHeight="false" outlineLevel="0" collapsed="false">
      <c r="A1465" s="13" t="s">
        <v>4</v>
      </c>
      <c r="B1465" s="13" t="s">
        <v>4108</v>
      </c>
      <c r="C1465" s="13" t="n">
        <v>444</v>
      </c>
      <c r="D1465" s="13" t="s">
        <v>10641</v>
      </c>
      <c r="E1465" s="13" t="s">
        <v>14902</v>
      </c>
      <c r="F1465" s="13" t="s">
        <v>14903</v>
      </c>
      <c r="G1465" s="13" t="s">
        <v>11098</v>
      </c>
      <c r="H1465" s="13" t="s">
        <v>11099</v>
      </c>
      <c r="I1465" s="13" t="s">
        <v>10642</v>
      </c>
      <c r="J1465" s="13"/>
      <c r="K1465" s="13" t="s">
        <v>10645</v>
      </c>
      <c r="L1465" s="13" t="s">
        <v>10646</v>
      </c>
    </row>
    <row r="1466" customFormat="false" ht="35.05" hidden="false" customHeight="false" outlineLevel="0" collapsed="false">
      <c r="A1466" s="13" t="s">
        <v>4</v>
      </c>
      <c r="B1466" s="13" t="s">
        <v>4108</v>
      </c>
      <c r="C1466" s="13" t="n">
        <v>444</v>
      </c>
      <c r="D1466" s="13" t="s">
        <v>10647</v>
      </c>
      <c r="E1466" s="13" t="s">
        <v>14904</v>
      </c>
      <c r="F1466" s="13" t="s">
        <v>14905</v>
      </c>
      <c r="G1466" s="13" t="s">
        <v>11098</v>
      </c>
      <c r="H1466" s="13" t="s">
        <v>11099</v>
      </c>
      <c r="I1466" s="13" t="s">
        <v>14906</v>
      </c>
      <c r="J1466" s="13"/>
      <c r="K1466" s="13" t="s">
        <v>10650</v>
      </c>
      <c r="L1466" s="13" t="s">
        <v>10651</v>
      </c>
    </row>
    <row r="1467" customFormat="false" ht="68.65" hidden="false" customHeight="false" outlineLevel="0" collapsed="false">
      <c r="A1467" s="13" t="s">
        <v>4</v>
      </c>
      <c r="B1467" s="13" t="s">
        <v>4108</v>
      </c>
      <c r="C1467" s="13" t="n">
        <v>444</v>
      </c>
      <c r="D1467" s="13" t="s">
        <v>10655</v>
      </c>
      <c r="E1467" s="13" t="s">
        <v>14907</v>
      </c>
      <c r="F1467" s="13" t="s">
        <v>14908</v>
      </c>
      <c r="G1467" s="13" t="s">
        <v>11098</v>
      </c>
      <c r="H1467" s="13" t="s">
        <v>11099</v>
      </c>
      <c r="I1467" s="13" t="s">
        <v>14909</v>
      </c>
      <c r="J1467" s="13"/>
      <c r="K1467" s="13" t="s">
        <v>10658</v>
      </c>
      <c r="L1467" s="13" t="s">
        <v>10659</v>
      </c>
    </row>
    <row r="1468" customFormat="false" ht="68.65" hidden="false" customHeight="false" outlineLevel="0" collapsed="false">
      <c r="A1468" s="13" t="s">
        <v>4</v>
      </c>
      <c r="B1468" s="13" t="s">
        <v>4108</v>
      </c>
      <c r="C1468" s="13" t="n">
        <v>444</v>
      </c>
      <c r="D1468" s="13" t="s">
        <v>10666</v>
      </c>
      <c r="E1468" s="13" t="s">
        <v>14910</v>
      </c>
      <c r="F1468" s="13" t="s">
        <v>14911</v>
      </c>
      <c r="G1468" s="13" t="s">
        <v>11098</v>
      </c>
      <c r="H1468" s="13" t="s">
        <v>11099</v>
      </c>
      <c r="I1468" s="13" t="s">
        <v>14912</v>
      </c>
      <c r="J1468" s="13"/>
      <c r="K1468" s="13" t="s">
        <v>10670</v>
      </c>
      <c r="L1468" s="13" t="s">
        <v>10671</v>
      </c>
    </row>
    <row r="1469" customFormat="false" ht="35.05" hidden="false" customHeight="false" outlineLevel="0" collapsed="false">
      <c r="A1469" s="13" t="s">
        <v>4</v>
      </c>
      <c r="B1469" s="13" t="s">
        <v>4108</v>
      </c>
      <c r="C1469" s="13" t="n">
        <v>444</v>
      </c>
      <c r="D1469" s="13" t="s">
        <v>10675</v>
      </c>
      <c r="E1469" s="13" t="s">
        <v>14913</v>
      </c>
      <c r="F1469" s="13" t="s">
        <v>14914</v>
      </c>
      <c r="G1469" s="13" t="s">
        <v>11098</v>
      </c>
      <c r="H1469" s="13" t="s">
        <v>11099</v>
      </c>
      <c r="I1469" s="13" t="s">
        <v>10676</v>
      </c>
      <c r="J1469" s="13"/>
      <c r="K1469" s="13" t="s">
        <v>10679</v>
      </c>
      <c r="L1469" s="13" t="s">
        <v>10680</v>
      </c>
    </row>
    <row r="1470" customFormat="false" ht="382.05" hidden="false" customHeight="false" outlineLevel="0" collapsed="false">
      <c r="A1470" s="13" t="s">
        <v>4</v>
      </c>
      <c r="B1470" s="13" t="s">
        <v>4108</v>
      </c>
      <c r="C1470" s="13" t="n">
        <v>444</v>
      </c>
      <c r="D1470" s="13" t="s">
        <v>10681</v>
      </c>
      <c r="E1470" s="13" t="s">
        <v>14915</v>
      </c>
      <c r="F1470" s="13" t="s">
        <v>14916</v>
      </c>
      <c r="G1470" s="13" t="s">
        <v>11098</v>
      </c>
      <c r="H1470" s="13" t="s">
        <v>11099</v>
      </c>
      <c r="I1470" s="13" t="s">
        <v>14917</v>
      </c>
      <c r="J1470" s="13"/>
      <c r="K1470" s="13" t="s">
        <v>10685</v>
      </c>
      <c r="L1470" s="13" t="s">
        <v>10686</v>
      </c>
    </row>
    <row r="1471" customFormat="false" ht="382.05" hidden="false" customHeight="false" outlineLevel="0" collapsed="false">
      <c r="A1471" s="13" t="s">
        <v>4</v>
      </c>
      <c r="B1471" s="13" t="s">
        <v>4108</v>
      </c>
      <c r="C1471" s="13" t="n">
        <v>444</v>
      </c>
      <c r="D1471" s="13" t="s">
        <v>10681</v>
      </c>
      <c r="E1471" s="13" t="s">
        <v>14918</v>
      </c>
      <c r="F1471" s="13" t="s">
        <v>14919</v>
      </c>
      <c r="G1471" s="13" t="s">
        <v>11098</v>
      </c>
      <c r="H1471" s="13" t="s">
        <v>11099</v>
      </c>
      <c r="I1471" s="13" t="s">
        <v>14920</v>
      </c>
      <c r="J1471" s="13"/>
      <c r="K1471" s="13" t="s">
        <v>10685</v>
      </c>
      <c r="L1471" s="13" t="s">
        <v>10686</v>
      </c>
    </row>
    <row r="1472" customFormat="false" ht="382.05" hidden="false" customHeight="false" outlineLevel="0" collapsed="false">
      <c r="A1472" s="13" t="s">
        <v>4</v>
      </c>
      <c r="B1472" s="13" t="s">
        <v>4108</v>
      </c>
      <c r="C1472" s="13" t="n">
        <v>444</v>
      </c>
      <c r="D1472" s="13" t="s">
        <v>10681</v>
      </c>
      <c r="E1472" s="13" t="s">
        <v>14921</v>
      </c>
      <c r="F1472" s="13" t="s">
        <v>14922</v>
      </c>
      <c r="G1472" s="13" t="s">
        <v>11098</v>
      </c>
      <c r="H1472" s="13" t="s">
        <v>11099</v>
      </c>
      <c r="I1472" s="13" t="s">
        <v>10697</v>
      </c>
      <c r="J1472" s="13"/>
      <c r="K1472" s="13" t="s">
        <v>10685</v>
      </c>
      <c r="L1472" s="13" t="s">
        <v>10686</v>
      </c>
    </row>
    <row r="1473" customFormat="false" ht="135.8" hidden="false" customHeight="false" outlineLevel="0" collapsed="false">
      <c r="A1473" s="13" t="s">
        <v>4</v>
      </c>
      <c r="B1473" s="13" t="s">
        <v>4108</v>
      </c>
      <c r="C1473" s="13" t="n">
        <v>452</v>
      </c>
      <c r="D1473" s="13" t="s">
        <v>10699</v>
      </c>
      <c r="E1473" s="13" t="s">
        <v>14923</v>
      </c>
      <c r="F1473" s="13" t="s">
        <v>14924</v>
      </c>
      <c r="G1473" s="13" t="s">
        <v>11098</v>
      </c>
      <c r="H1473" s="13" t="s">
        <v>11099</v>
      </c>
      <c r="I1473" s="13" t="s">
        <v>14925</v>
      </c>
      <c r="J1473" s="13"/>
      <c r="K1473" s="13" t="s">
        <v>10706</v>
      </c>
      <c r="L1473" s="13" t="s">
        <v>10707</v>
      </c>
    </row>
    <row r="1474" customFormat="false" ht="124.6" hidden="false" customHeight="false" outlineLevel="0" collapsed="false">
      <c r="A1474" s="13" t="s">
        <v>4</v>
      </c>
      <c r="B1474" s="13" t="s">
        <v>4108</v>
      </c>
      <c r="C1474" s="13" t="n">
        <v>452</v>
      </c>
      <c r="D1474" s="13" t="s">
        <v>10716</v>
      </c>
      <c r="E1474" s="13" t="s">
        <v>14926</v>
      </c>
      <c r="F1474" s="13" t="s">
        <v>14927</v>
      </c>
      <c r="G1474" s="13" t="s">
        <v>11098</v>
      </c>
      <c r="H1474" s="13" t="s">
        <v>11099</v>
      </c>
      <c r="I1474" s="13" t="s">
        <v>10717</v>
      </c>
      <c r="J1474" s="13"/>
      <c r="K1474" s="13" t="s">
        <v>10720</v>
      </c>
      <c r="L1474" s="13" t="s">
        <v>10721</v>
      </c>
    </row>
    <row r="1475" customFormat="false" ht="124.6" hidden="false" customHeight="false" outlineLevel="0" collapsed="false">
      <c r="A1475" s="13" t="s">
        <v>4</v>
      </c>
      <c r="B1475" s="13" t="s">
        <v>4108</v>
      </c>
      <c r="C1475" s="13" t="n">
        <v>452</v>
      </c>
      <c r="D1475" s="13" t="s">
        <v>10716</v>
      </c>
      <c r="E1475" s="13" t="s">
        <v>14928</v>
      </c>
      <c r="F1475" s="13" t="s">
        <v>14929</v>
      </c>
      <c r="G1475" s="13" t="s">
        <v>11098</v>
      </c>
      <c r="H1475" s="13" t="s">
        <v>11099</v>
      </c>
      <c r="I1475" s="13" t="s">
        <v>14930</v>
      </c>
      <c r="J1475" s="13"/>
      <c r="K1475" s="13" t="s">
        <v>10720</v>
      </c>
      <c r="L1475" s="13" t="s">
        <v>10721</v>
      </c>
    </row>
    <row r="1476" customFormat="false" ht="46.25" hidden="false" customHeight="false" outlineLevel="0" collapsed="false">
      <c r="A1476" s="13" t="s">
        <v>4</v>
      </c>
      <c r="B1476" s="13" t="s">
        <v>4108</v>
      </c>
      <c r="C1476" s="13" t="n">
        <v>452</v>
      </c>
      <c r="D1476" s="13" t="s">
        <v>10734</v>
      </c>
      <c r="E1476" s="13" t="s">
        <v>14931</v>
      </c>
      <c r="F1476" s="13" t="s">
        <v>14932</v>
      </c>
      <c r="G1476" s="13" t="s">
        <v>11098</v>
      </c>
      <c r="H1476" s="13" t="s">
        <v>11099</v>
      </c>
      <c r="I1476" s="13" t="s">
        <v>14933</v>
      </c>
      <c r="J1476" s="13"/>
      <c r="K1476" s="13" t="s">
        <v>10737</v>
      </c>
      <c r="L1476" s="13" t="s">
        <v>10738</v>
      </c>
    </row>
    <row r="1477" customFormat="false" ht="57.45" hidden="false" customHeight="false" outlineLevel="0" collapsed="false">
      <c r="A1477" s="13" t="s">
        <v>4</v>
      </c>
      <c r="B1477" s="13" t="s">
        <v>4108</v>
      </c>
      <c r="C1477" s="13" t="n">
        <v>452</v>
      </c>
      <c r="D1477" s="13" t="s">
        <v>10741</v>
      </c>
      <c r="E1477" s="13" t="s">
        <v>14934</v>
      </c>
      <c r="F1477" s="13" t="s">
        <v>14935</v>
      </c>
      <c r="G1477" s="13" t="s">
        <v>11098</v>
      </c>
      <c r="H1477" s="13" t="s">
        <v>11099</v>
      </c>
      <c r="I1477" s="13" t="s">
        <v>10749</v>
      </c>
      <c r="J1477" s="13" t="s">
        <v>14936</v>
      </c>
      <c r="K1477" s="13" t="s">
        <v>10747</v>
      </c>
      <c r="L1477" s="13" t="s">
        <v>10748</v>
      </c>
    </row>
    <row r="1478" customFormat="false" ht="35.05" hidden="false" customHeight="false" outlineLevel="0" collapsed="false">
      <c r="A1478" s="13" t="s">
        <v>4</v>
      </c>
      <c r="B1478" s="13" t="s">
        <v>4108</v>
      </c>
      <c r="C1478" s="13" t="n">
        <v>452</v>
      </c>
      <c r="D1478" s="13" t="s">
        <v>10754</v>
      </c>
      <c r="E1478" s="13" t="s">
        <v>14937</v>
      </c>
      <c r="F1478" s="13" t="s">
        <v>14938</v>
      </c>
      <c r="G1478" s="13" t="s">
        <v>11098</v>
      </c>
      <c r="H1478" s="13" t="s">
        <v>11099</v>
      </c>
      <c r="I1478" s="13" t="s">
        <v>10755</v>
      </c>
      <c r="J1478" s="13"/>
      <c r="K1478" s="13" t="s">
        <v>10758</v>
      </c>
      <c r="L1478" s="13" t="s">
        <v>10759</v>
      </c>
    </row>
    <row r="1479" customFormat="false" ht="35.05" hidden="false" customHeight="false" outlineLevel="0" collapsed="false">
      <c r="A1479" s="13" t="s">
        <v>4</v>
      </c>
      <c r="B1479" s="13" t="s">
        <v>4108</v>
      </c>
      <c r="C1479" s="13" t="n">
        <v>452</v>
      </c>
      <c r="D1479" s="13" t="s">
        <v>10760</v>
      </c>
      <c r="E1479" s="13" t="s">
        <v>14939</v>
      </c>
      <c r="F1479" s="13" t="s">
        <v>14940</v>
      </c>
      <c r="G1479" s="13" t="s">
        <v>11098</v>
      </c>
      <c r="H1479" s="13" t="s">
        <v>11099</v>
      </c>
      <c r="I1479" s="13" t="s">
        <v>14941</v>
      </c>
      <c r="J1479" s="13"/>
      <c r="K1479" s="13" t="s">
        <v>10764</v>
      </c>
      <c r="L1479" s="13" t="s">
        <v>10765</v>
      </c>
    </row>
    <row r="1480" customFormat="false" ht="147" hidden="false" customHeight="false" outlineLevel="0" collapsed="false">
      <c r="A1480" s="13" t="s">
        <v>4</v>
      </c>
      <c r="B1480" s="13" t="s">
        <v>4108</v>
      </c>
      <c r="C1480" s="13" t="n">
        <v>452</v>
      </c>
      <c r="D1480" s="13" t="s">
        <v>10768</v>
      </c>
      <c r="E1480" s="13" t="s">
        <v>14942</v>
      </c>
      <c r="F1480" s="13" t="s">
        <v>14943</v>
      </c>
      <c r="G1480" s="13" t="s">
        <v>11098</v>
      </c>
      <c r="H1480" s="13" t="s">
        <v>11099</v>
      </c>
      <c r="I1480" s="13" t="s">
        <v>14944</v>
      </c>
      <c r="J1480" s="13"/>
      <c r="K1480" s="13" t="s">
        <v>10771</v>
      </c>
      <c r="L1480" s="13" t="s">
        <v>10772</v>
      </c>
    </row>
    <row r="1481" customFormat="false" ht="79.85" hidden="false" customHeight="false" outlineLevel="0" collapsed="false">
      <c r="A1481" s="13" t="s">
        <v>4</v>
      </c>
      <c r="B1481" s="13" t="s">
        <v>4108</v>
      </c>
      <c r="C1481" s="13" t="n">
        <v>454</v>
      </c>
      <c r="D1481" s="13" t="s">
        <v>10780</v>
      </c>
      <c r="E1481" s="13" t="s">
        <v>14945</v>
      </c>
      <c r="F1481" s="13" t="s">
        <v>14946</v>
      </c>
      <c r="G1481" s="13" t="s">
        <v>11098</v>
      </c>
      <c r="H1481" s="13" t="s">
        <v>11099</v>
      </c>
      <c r="I1481" s="13" t="s">
        <v>14947</v>
      </c>
      <c r="J1481" s="13"/>
      <c r="K1481" s="13" t="s">
        <v>10784</v>
      </c>
      <c r="L1481" s="13" t="s">
        <v>10785</v>
      </c>
    </row>
    <row r="1482" customFormat="false" ht="46.25" hidden="false" customHeight="false" outlineLevel="0" collapsed="false">
      <c r="A1482" s="13" t="s">
        <v>4</v>
      </c>
      <c r="B1482" s="13" t="s">
        <v>4108</v>
      </c>
      <c r="C1482" s="13" t="n">
        <v>454</v>
      </c>
      <c r="D1482" s="13" t="s">
        <v>10797</v>
      </c>
      <c r="E1482" s="13" t="s">
        <v>14948</v>
      </c>
      <c r="F1482" s="13" t="s">
        <v>14949</v>
      </c>
      <c r="G1482" s="13" t="s">
        <v>11315</v>
      </c>
      <c r="H1482" s="13" t="s">
        <v>11099</v>
      </c>
      <c r="I1482" s="13" t="s">
        <v>14950</v>
      </c>
      <c r="J1482" s="13" t="s">
        <v>14951</v>
      </c>
      <c r="K1482" s="13" t="s">
        <v>10803</v>
      </c>
      <c r="L1482" s="13" t="s">
        <v>10804</v>
      </c>
    </row>
    <row r="1483" customFormat="false" ht="35.05" hidden="false" customHeight="false" outlineLevel="0" collapsed="false">
      <c r="A1483" s="13" t="s">
        <v>4</v>
      </c>
      <c r="B1483" s="13" t="s">
        <v>4108</v>
      </c>
      <c r="C1483" s="13" t="n">
        <v>454</v>
      </c>
      <c r="D1483" s="13" t="s">
        <v>10812</v>
      </c>
      <c r="E1483" s="13" t="s">
        <v>14952</v>
      </c>
      <c r="F1483" s="13" t="s">
        <v>14953</v>
      </c>
      <c r="G1483" s="13" t="s">
        <v>11098</v>
      </c>
      <c r="H1483" s="13" t="s">
        <v>11099</v>
      </c>
      <c r="I1483" s="13" t="s">
        <v>14954</v>
      </c>
      <c r="J1483" s="13"/>
      <c r="K1483" s="13" t="s">
        <v>10817</v>
      </c>
      <c r="L1483" s="13" t="s">
        <v>10818</v>
      </c>
    </row>
    <row r="1484" customFormat="false" ht="57.45" hidden="false" customHeight="false" outlineLevel="0" collapsed="false">
      <c r="A1484" s="13" t="s">
        <v>4</v>
      </c>
      <c r="B1484" s="13" t="s">
        <v>4108</v>
      </c>
      <c r="C1484" s="13" t="n">
        <v>454</v>
      </c>
      <c r="D1484" s="13" t="s">
        <v>10825</v>
      </c>
      <c r="E1484" s="13" t="s">
        <v>14955</v>
      </c>
      <c r="F1484" s="13" t="s">
        <v>14956</v>
      </c>
      <c r="G1484" s="13" t="s">
        <v>11098</v>
      </c>
      <c r="H1484" s="13" t="s">
        <v>11099</v>
      </c>
      <c r="I1484" s="13" t="s">
        <v>14957</v>
      </c>
      <c r="J1484" s="13" t="s">
        <v>14958</v>
      </c>
      <c r="K1484" s="13" t="s">
        <v>10829</v>
      </c>
      <c r="L1484" s="13" t="s">
        <v>10830</v>
      </c>
    </row>
    <row r="1485" customFormat="false" ht="68.65" hidden="false" customHeight="false" outlineLevel="0" collapsed="false">
      <c r="A1485" s="13" t="s">
        <v>4</v>
      </c>
      <c r="B1485" s="13" t="s">
        <v>4108</v>
      </c>
      <c r="C1485" s="13" t="n">
        <v>454</v>
      </c>
      <c r="D1485" s="13" t="s">
        <v>10838</v>
      </c>
      <c r="E1485" s="13" t="s">
        <v>14959</v>
      </c>
      <c r="F1485" s="13" t="s">
        <v>14960</v>
      </c>
      <c r="G1485" s="13" t="s">
        <v>11098</v>
      </c>
      <c r="H1485" s="13" t="s">
        <v>11099</v>
      </c>
      <c r="I1485" s="13" t="s">
        <v>14961</v>
      </c>
      <c r="J1485" s="13"/>
      <c r="K1485" s="13" t="s">
        <v>10843</v>
      </c>
      <c r="L1485" s="13" t="s">
        <v>10844</v>
      </c>
    </row>
    <row r="1486" customFormat="false" ht="57.45" hidden="false" customHeight="false" outlineLevel="0" collapsed="false">
      <c r="A1486" s="13" t="s">
        <v>4</v>
      </c>
      <c r="B1486" s="13" t="s">
        <v>4108</v>
      </c>
      <c r="C1486" s="13" t="n">
        <v>454</v>
      </c>
      <c r="D1486" s="13" t="s">
        <v>10850</v>
      </c>
      <c r="E1486" s="13" t="s">
        <v>14962</v>
      </c>
      <c r="F1486" s="13" t="s">
        <v>14963</v>
      </c>
      <c r="G1486" s="13" t="s">
        <v>11098</v>
      </c>
      <c r="H1486" s="13" t="s">
        <v>11099</v>
      </c>
      <c r="I1486" s="13" t="s">
        <v>14964</v>
      </c>
      <c r="J1486" s="13"/>
      <c r="K1486" s="13" t="s">
        <v>10854</v>
      </c>
      <c r="L1486" s="13" t="s">
        <v>10855</v>
      </c>
    </row>
    <row r="1487" customFormat="false" ht="68.65" hidden="false" customHeight="false" outlineLevel="0" collapsed="false">
      <c r="A1487" s="13" t="s">
        <v>4</v>
      </c>
      <c r="B1487" s="13" t="s">
        <v>4108</v>
      </c>
      <c r="C1487" s="13" t="n">
        <v>454</v>
      </c>
      <c r="D1487" s="13" t="s">
        <v>10861</v>
      </c>
      <c r="E1487" s="13" t="s">
        <v>14965</v>
      </c>
      <c r="F1487" s="13" t="s">
        <v>14966</v>
      </c>
      <c r="G1487" s="13" t="s">
        <v>11315</v>
      </c>
      <c r="H1487" s="13" t="s">
        <v>11099</v>
      </c>
      <c r="I1487" s="13" t="s">
        <v>14967</v>
      </c>
      <c r="J1487" s="13" t="s">
        <v>14968</v>
      </c>
      <c r="K1487" s="13" t="s">
        <v>10864</v>
      </c>
      <c r="L1487" s="13" t="s">
        <v>10865</v>
      </c>
    </row>
    <row r="1488" customFormat="false" ht="68.65" hidden="false" customHeight="false" outlineLevel="0" collapsed="false">
      <c r="A1488" s="13" t="s">
        <v>4</v>
      </c>
      <c r="B1488" s="13" t="s">
        <v>4108</v>
      </c>
      <c r="C1488" s="13" t="n">
        <v>454</v>
      </c>
      <c r="D1488" s="13" t="s">
        <v>10869</v>
      </c>
      <c r="E1488" s="13" t="s">
        <v>14969</v>
      </c>
      <c r="F1488" s="13" t="s">
        <v>14970</v>
      </c>
      <c r="G1488" s="13" t="s">
        <v>11098</v>
      </c>
      <c r="H1488" s="13" t="s">
        <v>11099</v>
      </c>
      <c r="I1488" s="13" t="s">
        <v>14971</v>
      </c>
      <c r="J1488" s="13"/>
      <c r="K1488" s="13" t="s">
        <v>10873</v>
      </c>
      <c r="L1488" s="13" t="s">
        <v>10874</v>
      </c>
    </row>
    <row r="1489" customFormat="false" ht="57.45" hidden="false" customHeight="false" outlineLevel="0" collapsed="false">
      <c r="A1489" s="13" t="s">
        <v>4</v>
      </c>
      <c r="B1489" s="13" t="s">
        <v>4108</v>
      </c>
      <c r="C1489" s="13" t="n">
        <v>454</v>
      </c>
      <c r="D1489" s="13" t="s">
        <v>10881</v>
      </c>
      <c r="E1489" s="13" t="s">
        <v>14972</v>
      </c>
      <c r="F1489" s="13" t="s">
        <v>14973</v>
      </c>
      <c r="G1489" s="13" t="s">
        <v>11098</v>
      </c>
      <c r="H1489" s="13" t="s">
        <v>11099</v>
      </c>
      <c r="I1489" s="13" t="s">
        <v>14974</v>
      </c>
      <c r="J1489" s="13" t="s">
        <v>14975</v>
      </c>
      <c r="K1489" s="13" t="s">
        <v>10885</v>
      </c>
      <c r="L1489" s="13" t="s">
        <v>10886</v>
      </c>
    </row>
    <row r="1490" customFormat="false" ht="23.85" hidden="false" customHeight="false" outlineLevel="0" collapsed="false">
      <c r="A1490" s="13" t="s">
        <v>4</v>
      </c>
      <c r="B1490" s="13" t="s">
        <v>4108</v>
      </c>
      <c r="C1490" s="13" t="n">
        <v>466</v>
      </c>
      <c r="D1490" s="13" t="s">
        <v>10893</v>
      </c>
      <c r="E1490" s="13" t="s">
        <v>14976</v>
      </c>
      <c r="F1490" s="13" t="s">
        <v>14977</v>
      </c>
      <c r="G1490" s="13" t="s">
        <v>11098</v>
      </c>
      <c r="H1490" s="13" t="s">
        <v>11099</v>
      </c>
      <c r="I1490" s="13" t="s">
        <v>14978</v>
      </c>
      <c r="J1490" s="13"/>
      <c r="K1490" s="13" t="s">
        <v>10897</v>
      </c>
      <c r="L1490" s="13" t="s">
        <v>10898</v>
      </c>
    </row>
    <row r="1491" customFormat="false" ht="23.85" hidden="false" customHeight="false" outlineLevel="0" collapsed="false">
      <c r="A1491" s="13" t="s">
        <v>4</v>
      </c>
      <c r="B1491" s="13" t="s">
        <v>4108</v>
      </c>
      <c r="C1491" s="13" t="n">
        <v>466</v>
      </c>
      <c r="D1491" s="13" t="s">
        <v>10901</v>
      </c>
      <c r="E1491" s="13" t="s">
        <v>14979</v>
      </c>
      <c r="F1491" s="13" t="s">
        <v>14980</v>
      </c>
      <c r="G1491" s="13" t="s">
        <v>11098</v>
      </c>
      <c r="H1491" s="13" t="s">
        <v>11099</v>
      </c>
      <c r="I1491" s="13" t="s">
        <v>14981</v>
      </c>
      <c r="J1491" s="13"/>
      <c r="K1491" s="13" t="s">
        <v>10904</v>
      </c>
      <c r="L1491" s="13" t="s">
        <v>10905</v>
      </c>
    </row>
    <row r="1492" customFormat="false" ht="23.85" hidden="false" customHeight="false" outlineLevel="0" collapsed="false">
      <c r="A1492" s="13" t="s">
        <v>4</v>
      </c>
      <c r="B1492" s="13" t="s">
        <v>4108</v>
      </c>
      <c r="C1492" s="13" t="n">
        <v>466</v>
      </c>
      <c r="D1492" s="13" t="s">
        <v>10908</v>
      </c>
      <c r="E1492" s="13" t="s">
        <v>14982</v>
      </c>
      <c r="F1492" s="13" t="s">
        <v>14983</v>
      </c>
      <c r="G1492" s="13" t="s">
        <v>11098</v>
      </c>
      <c r="H1492" s="13" t="s">
        <v>11099</v>
      </c>
      <c r="I1492" s="13" t="s">
        <v>14984</v>
      </c>
      <c r="J1492" s="13"/>
      <c r="K1492" s="13" t="s">
        <v>10911</v>
      </c>
      <c r="L1492" s="13" t="s">
        <v>10912</v>
      </c>
    </row>
    <row r="1493" customFormat="false" ht="23.85" hidden="false" customHeight="false" outlineLevel="0" collapsed="false">
      <c r="A1493" s="13" t="s">
        <v>4</v>
      </c>
      <c r="B1493" s="13" t="s">
        <v>4108</v>
      </c>
      <c r="C1493" s="13" t="n">
        <v>466</v>
      </c>
      <c r="D1493" s="13" t="s">
        <v>10915</v>
      </c>
      <c r="E1493" s="13" t="s">
        <v>14985</v>
      </c>
      <c r="F1493" s="13" t="s">
        <v>14986</v>
      </c>
      <c r="G1493" s="13" t="s">
        <v>11098</v>
      </c>
      <c r="H1493" s="13" t="s">
        <v>11099</v>
      </c>
      <c r="I1493" s="13" t="s">
        <v>14987</v>
      </c>
      <c r="J1493" s="13"/>
      <c r="K1493" s="13" t="s">
        <v>10918</v>
      </c>
      <c r="L1493" s="13" t="s">
        <v>10919</v>
      </c>
    </row>
    <row r="1494" customFormat="false" ht="23.85" hidden="false" customHeight="false" outlineLevel="0" collapsed="false">
      <c r="A1494" s="13" t="s">
        <v>4</v>
      </c>
      <c r="B1494" s="13" t="s">
        <v>4108</v>
      </c>
      <c r="C1494" s="13" t="n">
        <v>466</v>
      </c>
      <c r="D1494" s="13" t="s">
        <v>10922</v>
      </c>
      <c r="E1494" s="13" t="s">
        <v>14988</v>
      </c>
      <c r="F1494" s="13" t="s">
        <v>14989</v>
      </c>
      <c r="G1494" s="13" t="s">
        <v>11098</v>
      </c>
      <c r="H1494" s="13" t="s">
        <v>11099</v>
      </c>
      <c r="I1494" s="13" t="s">
        <v>14990</v>
      </c>
      <c r="J1494" s="13"/>
      <c r="K1494" s="13" t="s">
        <v>10925</v>
      </c>
      <c r="L1494" s="13" t="s">
        <v>10926</v>
      </c>
    </row>
    <row r="1495" customFormat="false" ht="23.85" hidden="false" customHeight="false" outlineLevel="0" collapsed="false">
      <c r="A1495" s="13" t="s">
        <v>4</v>
      </c>
      <c r="B1495" s="13" t="s">
        <v>4108</v>
      </c>
      <c r="C1495" s="13" t="n">
        <v>466</v>
      </c>
      <c r="D1495" s="13" t="s">
        <v>10929</v>
      </c>
      <c r="E1495" s="13" t="s">
        <v>14991</v>
      </c>
      <c r="F1495" s="13" t="s">
        <v>14992</v>
      </c>
      <c r="G1495" s="13" t="s">
        <v>11098</v>
      </c>
      <c r="H1495" s="13" t="s">
        <v>11099</v>
      </c>
      <c r="I1495" s="13" t="s">
        <v>14993</v>
      </c>
      <c r="J1495" s="13"/>
      <c r="K1495" s="13" t="s">
        <v>10932</v>
      </c>
      <c r="L1495" s="13" t="s">
        <v>10933</v>
      </c>
    </row>
    <row r="1496" customFormat="false" ht="23.85" hidden="false" customHeight="false" outlineLevel="0" collapsed="false">
      <c r="A1496" s="13" t="s">
        <v>4</v>
      </c>
      <c r="B1496" s="13" t="s">
        <v>4108</v>
      </c>
      <c r="C1496" s="13" t="n">
        <v>466</v>
      </c>
      <c r="D1496" s="13" t="s">
        <v>10936</v>
      </c>
      <c r="E1496" s="13" t="s">
        <v>14994</v>
      </c>
      <c r="F1496" s="13" t="s">
        <v>14995</v>
      </c>
      <c r="G1496" s="13" t="s">
        <v>11098</v>
      </c>
      <c r="H1496" s="13" t="s">
        <v>11099</v>
      </c>
      <c r="I1496" s="13" t="s">
        <v>14996</v>
      </c>
      <c r="J1496" s="13"/>
      <c r="K1496" s="13" t="s">
        <v>10939</v>
      </c>
      <c r="L1496" s="13" t="s">
        <v>10940</v>
      </c>
    </row>
    <row r="1497" customFormat="false" ht="23.85" hidden="false" customHeight="false" outlineLevel="0" collapsed="false">
      <c r="A1497" s="13" t="s">
        <v>4</v>
      </c>
      <c r="B1497" s="13" t="s">
        <v>4108</v>
      </c>
      <c r="C1497" s="13" t="n">
        <v>466</v>
      </c>
      <c r="D1497" s="13" t="s">
        <v>10943</v>
      </c>
      <c r="E1497" s="13" t="s">
        <v>14997</v>
      </c>
      <c r="F1497" s="13" t="s">
        <v>14998</v>
      </c>
      <c r="G1497" s="13" t="s">
        <v>11098</v>
      </c>
      <c r="H1497" s="13" t="s">
        <v>11099</v>
      </c>
      <c r="I1497" s="13" t="s">
        <v>14999</v>
      </c>
      <c r="J1497" s="13"/>
      <c r="K1497" s="13" t="s">
        <v>10946</v>
      </c>
      <c r="L1497" s="13" t="s">
        <v>10947</v>
      </c>
    </row>
    <row r="1498" customFormat="false" ht="23.85" hidden="false" customHeight="false" outlineLevel="0" collapsed="false">
      <c r="A1498" s="13" t="s">
        <v>4</v>
      </c>
      <c r="B1498" s="13" t="s">
        <v>4108</v>
      </c>
      <c r="C1498" s="13" t="n">
        <v>466</v>
      </c>
      <c r="D1498" s="13" t="s">
        <v>10950</v>
      </c>
      <c r="E1498" s="13" t="s">
        <v>15000</v>
      </c>
      <c r="F1498" s="13" t="s">
        <v>15001</v>
      </c>
      <c r="G1498" s="13" t="s">
        <v>11098</v>
      </c>
      <c r="H1498" s="13" t="s">
        <v>11099</v>
      </c>
      <c r="I1498" s="13" t="s">
        <v>15002</v>
      </c>
      <c r="J1498" s="13"/>
      <c r="K1498" s="13" t="s">
        <v>10953</v>
      </c>
      <c r="L1498" s="13" t="s">
        <v>10954</v>
      </c>
    </row>
    <row r="1499" customFormat="false" ht="23.85" hidden="false" customHeight="false" outlineLevel="0" collapsed="false">
      <c r="A1499" s="13" t="s">
        <v>4</v>
      </c>
      <c r="B1499" s="13" t="s">
        <v>4108</v>
      </c>
      <c r="C1499" s="13" t="n">
        <v>466</v>
      </c>
      <c r="D1499" s="13" t="s">
        <v>10957</v>
      </c>
      <c r="E1499" s="13" t="s">
        <v>15003</v>
      </c>
      <c r="F1499" s="13" t="s">
        <v>15004</v>
      </c>
      <c r="G1499" s="13" t="s">
        <v>11098</v>
      </c>
      <c r="H1499" s="13" t="s">
        <v>11099</v>
      </c>
      <c r="I1499" s="13" t="s">
        <v>15005</v>
      </c>
      <c r="J1499" s="13"/>
      <c r="K1499" s="13" t="s">
        <v>10960</v>
      </c>
      <c r="L1499" s="13" t="s">
        <v>10961</v>
      </c>
    </row>
    <row r="1500" customFormat="false" ht="23.85" hidden="false" customHeight="false" outlineLevel="0" collapsed="false">
      <c r="A1500" s="13" t="s">
        <v>4</v>
      </c>
      <c r="B1500" s="13" t="s">
        <v>4108</v>
      </c>
      <c r="C1500" s="13" t="n">
        <v>466</v>
      </c>
      <c r="D1500" s="13" t="s">
        <v>10964</v>
      </c>
      <c r="E1500" s="13" t="s">
        <v>15006</v>
      </c>
      <c r="F1500" s="13" t="s">
        <v>15007</v>
      </c>
      <c r="G1500" s="13" t="s">
        <v>11098</v>
      </c>
      <c r="H1500" s="13" t="s">
        <v>11099</v>
      </c>
      <c r="I1500" s="13" t="s">
        <v>15008</v>
      </c>
      <c r="J1500" s="13"/>
      <c r="K1500" s="13" t="s">
        <v>10967</v>
      </c>
      <c r="L1500" s="13" t="s">
        <v>10968</v>
      </c>
    </row>
    <row r="1501" customFormat="false" ht="23.85" hidden="false" customHeight="false" outlineLevel="0" collapsed="false">
      <c r="A1501" s="13" t="s">
        <v>4</v>
      </c>
      <c r="B1501" s="13" t="s">
        <v>4108</v>
      </c>
      <c r="C1501" s="13" t="n">
        <v>466</v>
      </c>
      <c r="D1501" s="13" t="s">
        <v>10971</v>
      </c>
      <c r="E1501" s="13" t="s">
        <v>15009</v>
      </c>
      <c r="F1501" s="13" t="s">
        <v>15010</v>
      </c>
      <c r="G1501" s="13" t="s">
        <v>11098</v>
      </c>
      <c r="H1501" s="13" t="s">
        <v>11099</v>
      </c>
      <c r="I1501" s="13" t="s">
        <v>15011</v>
      </c>
      <c r="J1501" s="13"/>
      <c r="K1501" s="13" t="s">
        <v>10974</v>
      </c>
      <c r="L1501" s="13" t="s">
        <v>10975</v>
      </c>
    </row>
    <row r="1502" customFormat="false" ht="23.85" hidden="false" customHeight="false" outlineLevel="0" collapsed="false">
      <c r="A1502" s="13" t="s">
        <v>4</v>
      </c>
      <c r="B1502" s="13" t="s">
        <v>4108</v>
      </c>
      <c r="C1502" s="13" t="n">
        <v>466</v>
      </c>
      <c r="D1502" s="13" t="s">
        <v>10978</v>
      </c>
      <c r="E1502" s="13" t="s">
        <v>15012</v>
      </c>
      <c r="F1502" s="13" t="s">
        <v>15013</v>
      </c>
      <c r="G1502" s="13" t="s">
        <v>11098</v>
      </c>
      <c r="H1502" s="13" t="s">
        <v>11099</v>
      </c>
      <c r="I1502" s="13" t="s">
        <v>15014</v>
      </c>
      <c r="J1502" s="13"/>
      <c r="K1502" s="13" t="s">
        <v>10981</v>
      </c>
      <c r="L1502" s="13" t="s">
        <v>10982</v>
      </c>
    </row>
    <row r="1503" customFormat="false" ht="23.85" hidden="false" customHeight="false" outlineLevel="0" collapsed="false">
      <c r="A1503" s="13" t="s">
        <v>4</v>
      </c>
      <c r="B1503" s="13" t="s">
        <v>4108</v>
      </c>
      <c r="C1503" s="13" t="n">
        <v>466</v>
      </c>
      <c r="D1503" s="13" t="s">
        <v>10985</v>
      </c>
      <c r="E1503" s="13" t="s">
        <v>15015</v>
      </c>
      <c r="F1503" s="13" t="s">
        <v>15016</v>
      </c>
      <c r="G1503" s="13" t="s">
        <v>11098</v>
      </c>
      <c r="H1503" s="13" t="s">
        <v>11099</v>
      </c>
      <c r="I1503" s="13" t="s">
        <v>15017</v>
      </c>
      <c r="J1503" s="13"/>
      <c r="K1503" s="13" t="s">
        <v>10988</v>
      </c>
      <c r="L1503" s="13" t="s">
        <v>10989</v>
      </c>
    </row>
    <row r="1504" customFormat="false" ht="23.85" hidden="false" customHeight="false" outlineLevel="0" collapsed="false">
      <c r="A1504" s="13" t="s">
        <v>4</v>
      </c>
      <c r="B1504" s="13" t="s">
        <v>4108</v>
      </c>
      <c r="C1504" s="13" t="n">
        <v>466</v>
      </c>
      <c r="D1504" s="13" t="s">
        <v>10992</v>
      </c>
      <c r="E1504" s="13" t="s">
        <v>15018</v>
      </c>
      <c r="F1504" s="13" t="s">
        <v>15019</v>
      </c>
      <c r="G1504" s="13" t="s">
        <v>11098</v>
      </c>
      <c r="H1504" s="13" t="s">
        <v>11099</v>
      </c>
      <c r="I1504" s="13" t="s">
        <v>15020</v>
      </c>
      <c r="J1504" s="13"/>
      <c r="K1504" s="13" t="s">
        <v>10995</v>
      </c>
      <c r="L1504" s="13" t="s">
        <v>10996</v>
      </c>
    </row>
    <row r="1505" customFormat="false" ht="46.25" hidden="false" customHeight="false" outlineLevel="0" collapsed="false">
      <c r="A1505" s="13" t="s">
        <v>4</v>
      </c>
      <c r="B1505" s="13" t="s">
        <v>4108</v>
      </c>
      <c r="C1505" s="13" t="n">
        <v>502</v>
      </c>
      <c r="D1505" s="13" t="s">
        <v>10999</v>
      </c>
      <c r="E1505" s="13" t="s">
        <v>15021</v>
      </c>
      <c r="F1505" s="13" t="s">
        <v>15022</v>
      </c>
      <c r="G1505" s="13" t="s">
        <v>11098</v>
      </c>
      <c r="H1505" s="13" t="s">
        <v>11099</v>
      </c>
      <c r="I1505" s="13" t="s">
        <v>15023</v>
      </c>
      <c r="J1505" s="13"/>
      <c r="K1505" s="13" t="s">
        <v>11002</v>
      </c>
      <c r="L1505" s="13" t="s">
        <v>11003</v>
      </c>
    </row>
    <row r="1506" customFormat="false" ht="91" hidden="false" customHeight="false" outlineLevel="0" collapsed="false">
      <c r="A1506" s="13" t="s">
        <v>4</v>
      </c>
      <c r="B1506" s="13" t="s">
        <v>4108</v>
      </c>
      <c r="C1506" s="13" t="n">
        <v>502</v>
      </c>
      <c r="D1506" s="13" t="s">
        <v>11010</v>
      </c>
      <c r="E1506" s="13" t="s">
        <v>15024</v>
      </c>
      <c r="F1506" s="13" t="s">
        <v>15025</v>
      </c>
      <c r="G1506" s="13" t="s">
        <v>11315</v>
      </c>
      <c r="H1506" s="13" t="s">
        <v>11099</v>
      </c>
      <c r="I1506" s="13" t="s">
        <v>15026</v>
      </c>
      <c r="J1506" s="13" t="s">
        <v>15027</v>
      </c>
      <c r="K1506" s="13" t="s">
        <v>11014</v>
      </c>
      <c r="L1506" s="13" t="s">
        <v>11015</v>
      </c>
    </row>
    <row r="1507" customFormat="false" ht="91" hidden="false" customHeight="false" outlineLevel="0" collapsed="false">
      <c r="A1507" s="13" t="s">
        <v>4</v>
      </c>
      <c r="B1507" s="13" t="s">
        <v>4108</v>
      </c>
      <c r="C1507" s="13" t="n">
        <v>502</v>
      </c>
      <c r="D1507" s="13" t="s">
        <v>11010</v>
      </c>
      <c r="E1507" s="13" t="s">
        <v>15028</v>
      </c>
      <c r="F1507" s="13" t="s">
        <v>15029</v>
      </c>
      <c r="G1507" s="13" t="s">
        <v>11315</v>
      </c>
      <c r="H1507" s="13" t="s">
        <v>11099</v>
      </c>
      <c r="I1507" s="13" t="s">
        <v>15030</v>
      </c>
      <c r="J1507" s="13" t="s">
        <v>15031</v>
      </c>
      <c r="K1507" s="13" t="s">
        <v>11014</v>
      </c>
      <c r="L1507" s="13" t="s">
        <v>11015</v>
      </c>
    </row>
    <row r="1508" customFormat="false" ht="113.4" hidden="false" customHeight="false" outlineLevel="0" collapsed="false">
      <c r="A1508" s="13" t="s">
        <v>4</v>
      </c>
      <c r="B1508" s="13" t="s">
        <v>4108</v>
      </c>
      <c r="C1508" s="13" t="n">
        <v>502</v>
      </c>
      <c r="D1508" s="13" t="s">
        <v>11028</v>
      </c>
      <c r="E1508" s="13" t="s">
        <v>15032</v>
      </c>
      <c r="F1508" s="13" t="s">
        <v>15033</v>
      </c>
      <c r="G1508" s="13" t="s">
        <v>11098</v>
      </c>
      <c r="H1508" s="13" t="s">
        <v>11099</v>
      </c>
      <c r="I1508" s="13" t="s">
        <v>11029</v>
      </c>
      <c r="J1508" s="13"/>
      <c r="K1508" s="13" t="s">
        <v>11031</v>
      </c>
      <c r="L1508" s="13" t="s">
        <v>11032</v>
      </c>
    </row>
    <row r="1509" customFormat="false" ht="113.4" hidden="false" customHeight="false" outlineLevel="0" collapsed="false">
      <c r="A1509" s="13" t="s">
        <v>4</v>
      </c>
      <c r="B1509" s="13" t="s">
        <v>4108</v>
      </c>
      <c r="C1509" s="13" t="n">
        <v>502</v>
      </c>
      <c r="D1509" s="13" t="s">
        <v>11028</v>
      </c>
      <c r="E1509" s="13" t="s">
        <v>15034</v>
      </c>
      <c r="F1509" s="13" t="s">
        <v>15035</v>
      </c>
      <c r="G1509" s="13" t="s">
        <v>11098</v>
      </c>
      <c r="H1509" s="13" t="s">
        <v>11099</v>
      </c>
      <c r="I1509" s="13" t="s">
        <v>15036</v>
      </c>
      <c r="J1509" s="13" t="s">
        <v>15037</v>
      </c>
      <c r="K1509" s="13" t="s">
        <v>11031</v>
      </c>
      <c r="L1509" s="13" t="s">
        <v>11032</v>
      </c>
    </row>
    <row r="1510" customFormat="false" ht="79.85" hidden="false" customHeight="false" outlineLevel="0" collapsed="false">
      <c r="A1510" s="13" t="s">
        <v>4</v>
      </c>
      <c r="B1510" s="13" t="s">
        <v>4108</v>
      </c>
      <c r="C1510" s="13" t="n">
        <v>502</v>
      </c>
      <c r="D1510" s="13" t="s">
        <v>11047</v>
      </c>
      <c r="E1510" s="13" t="s">
        <v>15038</v>
      </c>
      <c r="F1510" s="13" t="s">
        <v>15039</v>
      </c>
      <c r="G1510" s="13" t="s">
        <v>11098</v>
      </c>
      <c r="H1510" s="13" t="s">
        <v>11099</v>
      </c>
      <c r="I1510" s="13" t="s">
        <v>15040</v>
      </c>
      <c r="J1510" s="13"/>
      <c r="K1510" s="13" t="s">
        <v>11052</v>
      </c>
      <c r="L1510" s="13" t="s">
        <v>11053</v>
      </c>
    </row>
    <row r="1511" customFormat="false" ht="79.85" hidden="false" customHeight="false" outlineLevel="0" collapsed="false">
      <c r="A1511" s="13" t="s">
        <v>4</v>
      </c>
      <c r="B1511" s="13" t="s">
        <v>4108</v>
      </c>
      <c r="C1511" s="13" t="n">
        <v>502</v>
      </c>
      <c r="D1511" s="13" t="s">
        <v>11047</v>
      </c>
      <c r="E1511" s="13" t="s">
        <v>15041</v>
      </c>
      <c r="F1511" s="13" t="s">
        <v>15042</v>
      </c>
      <c r="G1511" s="13" t="s">
        <v>11098</v>
      </c>
      <c r="H1511" s="13" t="s">
        <v>11099</v>
      </c>
      <c r="I1511" s="13" t="s">
        <v>11058</v>
      </c>
      <c r="J1511" s="13"/>
      <c r="K1511" s="13" t="s">
        <v>11052</v>
      </c>
      <c r="L1511" s="13" t="s">
        <v>11053</v>
      </c>
    </row>
    <row r="1512" customFormat="false" ht="91" hidden="false" customHeight="false" outlineLevel="0" collapsed="false">
      <c r="A1512" s="13" t="s">
        <v>4</v>
      </c>
      <c r="B1512" s="13" t="s">
        <v>4108</v>
      </c>
      <c r="C1512" s="13" t="n">
        <v>502</v>
      </c>
      <c r="D1512" s="13" t="s">
        <v>11062</v>
      </c>
      <c r="E1512" s="13" t="s">
        <v>15043</v>
      </c>
      <c r="F1512" s="13" t="s">
        <v>15044</v>
      </c>
      <c r="G1512" s="13" t="s">
        <v>11098</v>
      </c>
      <c r="H1512" s="13" t="s">
        <v>11099</v>
      </c>
      <c r="I1512" s="13" t="s">
        <v>11063</v>
      </c>
      <c r="J1512" s="13"/>
      <c r="K1512" s="13" t="s">
        <v>11067</v>
      </c>
      <c r="L1512" s="13" t="s">
        <v>11068</v>
      </c>
    </row>
    <row r="1513" customFormat="false" ht="91" hidden="false" customHeight="false" outlineLevel="0" collapsed="false">
      <c r="A1513" s="13" t="s">
        <v>4</v>
      </c>
      <c r="B1513" s="13" t="s">
        <v>4108</v>
      </c>
      <c r="C1513" s="13" t="n">
        <v>502</v>
      </c>
      <c r="D1513" s="13" t="s">
        <v>11062</v>
      </c>
      <c r="E1513" s="13" t="s">
        <v>15045</v>
      </c>
      <c r="F1513" s="13" t="s">
        <v>15046</v>
      </c>
      <c r="G1513" s="13" t="s">
        <v>11098</v>
      </c>
      <c r="H1513" s="13" t="s">
        <v>11099</v>
      </c>
      <c r="I1513" s="13" t="s">
        <v>15047</v>
      </c>
      <c r="J1513" s="13" t="s">
        <v>15048</v>
      </c>
      <c r="K1513" s="13" t="s">
        <v>11067</v>
      </c>
      <c r="L1513" s="13" t="s">
        <v>11068</v>
      </c>
    </row>
    <row r="1514" customFormat="false" ht="68.65" hidden="false" customHeight="false" outlineLevel="0" collapsed="false">
      <c r="A1514" s="13" t="s">
        <v>4</v>
      </c>
      <c r="B1514" s="13" t="s">
        <v>4108</v>
      </c>
      <c r="C1514" s="13" t="n">
        <v>502</v>
      </c>
      <c r="D1514" s="13" t="s">
        <v>11073</v>
      </c>
      <c r="E1514" s="13" t="s">
        <v>15049</v>
      </c>
      <c r="F1514" s="13" t="s">
        <v>15050</v>
      </c>
      <c r="G1514" s="13" t="s">
        <v>11098</v>
      </c>
      <c r="H1514" s="13" t="s">
        <v>11099</v>
      </c>
      <c r="I1514" s="13" t="s">
        <v>15051</v>
      </c>
      <c r="J1514" s="13"/>
      <c r="K1514" s="13" t="s">
        <v>11077</v>
      </c>
      <c r="L1514" s="13" t="s">
        <v>11078</v>
      </c>
    </row>
    <row r="1515" customFormat="false" ht="68.65" hidden="false" customHeight="false" outlineLevel="0" collapsed="false">
      <c r="A1515" s="13" t="s">
        <v>4</v>
      </c>
      <c r="B1515" s="13" t="s">
        <v>4108</v>
      </c>
      <c r="C1515" s="13" t="n">
        <v>502</v>
      </c>
      <c r="D1515" s="13" t="s">
        <v>11073</v>
      </c>
      <c r="E1515" s="13" t="s">
        <v>15052</v>
      </c>
      <c r="F1515" s="13" t="s">
        <v>15053</v>
      </c>
      <c r="G1515" s="13" t="s">
        <v>11098</v>
      </c>
      <c r="H1515" s="13" t="s">
        <v>11099</v>
      </c>
      <c r="I1515" s="13" t="s">
        <v>15054</v>
      </c>
      <c r="J1515" s="13" t="s">
        <v>15055</v>
      </c>
      <c r="K1515" s="13" t="s">
        <v>11077</v>
      </c>
      <c r="L1515" s="13" t="s">
        <v>11078</v>
      </c>
    </row>
    <row r="1516" customFormat="false" ht="57.45" hidden="false" customHeight="false" outlineLevel="0" collapsed="false">
      <c r="A1516" s="13" t="s">
        <v>4</v>
      </c>
      <c r="B1516" s="13" t="s">
        <v>4108</v>
      </c>
      <c r="C1516" s="13" t="n">
        <v>511</v>
      </c>
      <c r="D1516" s="13" t="s">
        <v>15056</v>
      </c>
      <c r="E1516" s="13" t="s">
        <v>15057</v>
      </c>
      <c r="F1516" s="13" t="s">
        <v>15058</v>
      </c>
      <c r="G1516" s="13" t="s">
        <v>11128</v>
      </c>
      <c r="H1516" s="13" t="s">
        <v>15059</v>
      </c>
      <c r="I1516" s="13"/>
      <c r="J1516" s="13" t="s">
        <v>15060</v>
      </c>
      <c r="K1516" s="13" t="s">
        <v>15061</v>
      </c>
      <c r="L1516" s="13" t="s">
        <v>15062</v>
      </c>
    </row>
    <row r="1517" customFormat="false" ht="35.05" hidden="false" customHeight="false" outlineLevel="0" collapsed="false">
      <c r="A1517" s="13" t="s">
        <v>4</v>
      </c>
      <c r="B1517" s="13" t="s">
        <v>4108</v>
      </c>
      <c r="C1517" s="13" t="n">
        <v>511</v>
      </c>
      <c r="D1517" s="13" t="s">
        <v>15063</v>
      </c>
      <c r="E1517" s="13" t="s">
        <v>15064</v>
      </c>
      <c r="F1517" s="13" t="s">
        <v>15065</v>
      </c>
      <c r="G1517" s="13" t="s">
        <v>11128</v>
      </c>
      <c r="H1517" s="13" t="s">
        <v>15059</v>
      </c>
      <c r="I1517" s="13"/>
      <c r="J1517" s="13" t="s">
        <v>15066</v>
      </c>
      <c r="K1517" s="13" t="s">
        <v>15067</v>
      </c>
      <c r="L1517" s="13" t="s">
        <v>15068</v>
      </c>
    </row>
    <row r="1518" customFormat="false" ht="79.85" hidden="false" customHeight="false" outlineLevel="0" collapsed="false">
      <c r="A1518" s="13" t="s">
        <v>4</v>
      </c>
      <c r="B1518" s="13" t="s">
        <v>4108</v>
      </c>
      <c r="C1518" s="13" t="n">
        <v>511</v>
      </c>
      <c r="D1518" s="13" t="s">
        <v>15069</v>
      </c>
      <c r="E1518" s="13" t="s">
        <v>15070</v>
      </c>
      <c r="F1518" s="13" t="s">
        <v>15071</v>
      </c>
      <c r="G1518" s="13" t="s">
        <v>11128</v>
      </c>
      <c r="H1518" s="13" t="s">
        <v>15059</v>
      </c>
      <c r="I1518" s="13"/>
      <c r="J1518" s="13" t="s">
        <v>15072</v>
      </c>
      <c r="K1518" s="13" t="s">
        <v>15073</v>
      </c>
      <c r="L1518" s="13" t="s">
        <v>15074</v>
      </c>
    </row>
    <row r="1519" customFormat="false" ht="135.8" hidden="false" customHeight="false" outlineLevel="0" collapsed="false">
      <c r="A1519" s="13" t="s">
        <v>4</v>
      </c>
      <c r="B1519" s="13" t="s">
        <v>4108</v>
      </c>
      <c r="C1519" s="13" t="n">
        <v>511</v>
      </c>
      <c r="D1519" s="13" t="s">
        <v>15075</v>
      </c>
      <c r="E1519" s="13" t="s">
        <v>15076</v>
      </c>
      <c r="F1519" s="13" t="s">
        <v>15077</v>
      </c>
      <c r="G1519" s="13" t="s">
        <v>11128</v>
      </c>
      <c r="H1519" s="13" t="s">
        <v>15059</v>
      </c>
      <c r="I1519" s="13"/>
      <c r="J1519" s="13"/>
      <c r="K1519" s="13" t="s">
        <v>15078</v>
      </c>
      <c r="L1519" s="13" t="s">
        <v>15079</v>
      </c>
    </row>
    <row r="1520" customFormat="false" ht="135.8" hidden="false" customHeight="false" outlineLevel="0" collapsed="false">
      <c r="A1520" s="13" t="s">
        <v>4</v>
      </c>
      <c r="B1520" s="13" t="s">
        <v>4108</v>
      </c>
      <c r="C1520" s="13" t="n">
        <v>511</v>
      </c>
      <c r="D1520" s="13" t="s">
        <v>15075</v>
      </c>
      <c r="E1520" s="13" t="s">
        <v>15080</v>
      </c>
      <c r="F1520" s="13" t="s">
        <v>15081</v>
      </c>
      <c r="G1520" s="13" t="s">
        <v>11128</v>
      </c>
      <c r="H1520" s="13" t="s">
        <v>15059</v>
      </c>
      <c r="I1520" s="13"/>
      <c r="J1520" s="13"/>
      <c r="K1520" s="13" t="s">
        <v>15078</v>
      </c>
      <c r="L1520" s="13" t="s">
        <v>15079</v>
      </c>
    </row>
    <row r="1521" customFormat="false" ht="135.8" hidden="false" customHeight="false" outlineLevel="0" collapsed="false">
      <c r="A1521" s="13" t="s">
        <v>4</v>
      </c>
      <c r="B1521" s="13" t="s">
        <v>4108</v>
      </c>
      <c r="C1521" s="13" t="n">
        <v>511</v>
      </c>
      <c r="D1521" s="13" t="s">
        <v>15075</v>
      </c>
      <c r="E1521" s="13" t="s">
        <v>15082</v>
      </c>
      <c r="F1521" s="13" t="s">
        <v>15083</v>
      </c>
      <c r="G1521" s="13" t="s">
        <v>11128</v>
      </c>
      <c r="H1521" s="13" t="s">
        <v>15059</v>
      </c>
      <c r="I1521" s="13"/>
      <c r="J1521" s="13"/>
      <c r="K1521" s="13" t="s">
        <v>15078</v>
      </c>
      <c r="L1521" s="13" t="s">
        <v>15079</v>
      </c>
    </row>
    <row r="1522" customFormat="false" ht="135.8" hidden="false" customHeight="false" outlineLevel="0" collapsed="false">
      <c r="A1522" s="13" t="s">
        <v>4</v>
      </c>
      <c r="B1522" s="13" t="s">
        <v>4108</v>
      </c>
      <c r="C1522" s="13" t="n">
        <v>511</v>
      </c>
      <c r="D1522" s="13" t="s">
        <v>15075</v>
      </c>
      <c r="E1522" s="13" t="s">
        <v>15084</v>
      </c>
      <c r="F1522" s="13" t="s">
        <v>15085</v>
      </c>
      <c r="G1522" s="13" t="s">
        <v>11128</v>
      </c>
      <c r="H1522" s="13" t="s">
        <v>15059</v>
      </c>
      <c r="I1522" s="13"/>
      <c r="J1522" s="13"/>
      <c r="K1522" s="13" t="s">
        <v>15078</v>
      </c>
      <c r="L1522" s="13" t="s">
        <v>15079</v>
      </c>
    </row>
    <row r="1523" customFormat="false" ht="35.05" hidden="false" customHeight="false" outlineLevel="0" collapsed="false">
      <c r="A1523" s="13" t="s">
        <v>4</v>
      </c>
      <c r="B1523" s="13" t="s">
        <v>4108</v>
      </c>
      <c r="C1523" s="13" t="n">
        <v>511</v>
      </c>
      <c r="D1523" s="13" t="s">
        <v>15086</v>
      </c>
      <c r="E1523" s="13" t="s">
        <v>15087</v>
      </c>
      <c r="F1523" s="13" t="s">
        <v>15088</v>
      </c>
      <c r="G1523" s="13" t="s">
        <v>11128</v>
      </c>
      <c r="H1523" s="13" t="s">
        <v>15059</v>
      </c>
      <c r="I1523" s="13"/>
      <c r="J1523" s="13"/>
      <c r="K1523" s="13" t="s">
        <v>15089</v>
      </c>
      <c r="L1523" s="13" t="s">
        <v>15090</v>
      </c>
    </row>
  </sheetData>
  <autoFilter ref="A1:L152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20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8"/>
    <col collapsed="false" customWidth="true" hidden="false" outlineLevel="0" max="3" min="3" style="0" width="7"/>
    <col collapsed="false" customWidth="true" hidden="false" outlineLevel="0" max="4" min="4" style="0" width="15"/>
    <col collapsed="false" customWidth="true" hidden="false" outlineLevel="0" max="5" min="5" style="0" width="9"/>
    <col collapsed="false" customWidth="true" hidden="false" outlineLevel="0" max="6" min="6" style="0" width="11"/>
    <col collapsed="false" customWidth="true" hidden="false" outlineLevel="0" max="7" min="7" style="0" width="15"/>
    <col collapsed="false" customWidth="true" hidden="false" outlineLevel="0" max="9" min="8" style="0" width="80"/>
  </cols>
  <sheetData>
    <row r="1" customFormat="false" ht="52.2" hidden="false" customHeight="false" outlineLevel="0" collapsed="false">
      <c r="A1" s="12" t="s">
        <v>55</v>
      </c>
      <c r="B1" s="12" t="s">
        <v>56</v>
      </c>
      <c r="C1" s="12" t="s">
        <v>57</v>
      </c>
      <c r="D1" s="12" t="s">
        <v>58</v>
      </c>
      <c r="E1" s="12" t="s">
        <v>15091</v>
      </c>
      <c r="F1" s="12" t="s">
        <v>15092</v>
      </c>
      <c r="G1" s="12" t="s">
        <v>15093</v>
      </c>
      <c r="H1" s="12" t="s">
        <v>66</v>
      </c>
      <c r="I1" s="12" t="s">
        <v>67</v>
      </c>
    </row>
    <row r="2" customFormat="false" ht="113.4" hidden="false" customHeight="false" outlineLevel="0" collapsed="false">
      <c r="A2" s="13" t="s">
        <v>3</v>
      </c>
      <c r="B2" s="13" t="s">
        <v>68</v>
      </c>
      <c r="C2" s="13" t="n">
        <v>71</v>
      </c>
      <c r="D2" s="13" t="s">
        <v>69</v>
      </c>
      <c r="E2" s="13" t="n">
        <v>6</v>
      </c>
      <c r="F2" s="13" t="s">
        <v>15094</v>
      </c>
      <c r="G2" s="13" t="s">
        <v>15095</v>
      </c>
      <c r="H2" s="13" t="s">
        <v>77</v>
      </c>
      <c r="I2" s="13" t="s">
        <v>78</v>
      </c>
    </row>
    <row r="3" customFormat="false" ht="124.6" hidden="false" customHeight="false" outlineLevel="0" collapsed="false">
      <c r="A3" s="13" t="s">
        <v>3</v>
      </c>
      <c r="B3" s="13" t="s">
        <v>68</v>
      </c>
      <c r="C3" s="13" t="n">
        <v>71</v>
      </c>
      <c r="D3" s="13" t="s">
        <v>96</v>
      </c>
      <c r="E3" s="13" t="n">
        <v>6</v>
      </c>
      <c r="F3" s="13" t="s">
        <v>15094</v>
      </c>
      <c r="G3" s="13" t="s">
        <v>15095</v>
      </c>
      <c r="H3" s="13" t="s">
        <v>100</v>
      </c>
      <c r="I3" s="13" t="s">
        <v>101</v>
      </c>
    </row>
    <row r="4" customFormat="false" ht="57.45" hidden="false" customHeight="false" outlineLevel="0" collapsed="false">
      <c r="A4" s="13" t="s">
        <v>3</v>
      </c>
      <c r="B4" s="13" t="s">
        <v>68</v>
      </c>
      <c r="C4" s="13" t="n">
        <v>71</v>
      </c>
      <c r="D4" s="13" t="s">
        <v>120</v>
      </c>
      <c r="E4" s="13" t="n">
        <v>3</v>
      </c>
      <c r="F4" s="13" t="s">
        <v>15094</v>
      </c>
      <c r="G4" s="13" t="s">
        <v>15095</v>
      </c>
      <c r="H4" s="13" t="s">
        <v>124</v>
      </c>
      <c r="I4" s="13" t="s">
        <v>125</v>
      </c>
    </row>
    <row r="5" customFormat="false" ht="102.2" hidden="false" customHeight="false" outlineLevel="0" collapsed="false">
      <c r="A5" s="13" t="s">
        <v>3</v>
      </c>
      <c r="B5" s="13" t="s">
        <v>68</v>
      </c>
      <c r="C5" s="13" t="n">
        <v>71</v>
      </c>
      <c r="D5" s="13" t="s">
        <v>133</v>
      </c>
      <c r="E5" s="13" t="n">
        <v>5</v>
      </c>
      <c r="F5" s="13" t="s">
        <v>15094</v>
      </c>
      <c r="G5" s="13" t="s">
        <v>15095</v>
      </c>
      <c r="H5" s="13" t="s">
        <v>137</v>
      </c>
      <c r="I5" s="13" t="s">
        <v>138</v>
      </c>
    </row>
    <row r="6" customFormat="false" ht="23.85" hidden="false" customHeight="false" outlineLevel="0" collapsed="false">
      <c r="A6" s="13" t="s">
        <v>3</v>
      </c>
      <c r="B6" s="13" t="s">
        <v>68</v>
      </c>
      <c r="C6" s="13" t="n">
        <v>71</v>
      </c>
      <c r="D6" s="13" t="s">
        <v>151</v>
      </c>
      <c r="E6" s="13" t="n">
        <v>2</v>
      </c>
      <c r="F6" s="13" t="s">
        <v>15094</v>
      </c>
      <c r="G6" s="13" t="s">
        <v>15095</v>
      </c>
      <c r="H6" s="13" t="s">
        <v>156</v>
      </c>
      <c r="I6" s="13" t="s">
        <v>157</v>
      </c>
    </row>
    <row r="7" customFormat="false" ht="46.25" hidden="false" customHeight="false" outlineLevel="0" collapsed="false">
      <c r="A7" s="13" t="s">
        <v>3</v>
      </c>
      <c r="B7" s="13" t="s">
        <v>68</v>
      </c>
      <c r="C7" s="13" t="n">
        <v>71</v>
      </c>
      <c r="D7" s="13" t="s">
        <v>160</v>
      </c>
      <c r="E7" s="13" t="n">
        <v>3</v>
      </c>
      <c r="F7" s="13" t="s">
        <v>15094</v>
      </c>
      <c r="G7" s="13" t="s">
        <v>15095</v>
      </c>
      <c r="H7" s="13" t="s">
        <v>165</v>
      </c>
      <c r="I7" s="13" t="s">
        <v>166</v>
      </c>
    </row>
    <row r="8" customFormat="false" ht="46.25" hidden="false" customHeight="false" outlineLevel="0" collapsed="false">
      <c r="A8" s="13" t="s">
        <v>3</v>
      </c>
      <c r="B8" s="13" t="s">
        <v>68</v>
      </c>
      <c r="C8" s="13" t="n">
        <v>77</v>
      </c>
      <c r="D8" s="13" t="s">
        <v>171</v>
      </c>
      <c r="E8" s="13" t="n">
        <v>3</v>
      </c>
      <c r="F8" s="13" t="s">
        <v>15094</v>
      </c>
      <c r="G8" s="13" t="s">
        <v>15095</v>
      </c>
      <c r="H8" s="13" t="s">
        <v>176</v>
      </c>
      <c r="I8" s="13" t="s">
        <v>177</v>
      </c>
    </row>
    <row r="9" customFormat="false" ht="68.65" hidden="false" customHeight="false" outlineLevel="0" collapsed="false">
      <c r="A9" s="13" t="s">
        <v>3</v>
      </c>
      <c r="B9" s="13" t="s">
        <v>68</v>
      </c>
      <c r="C9" s="13" t="n">
        <v>77</v>
      </c>
      <c r="D9" s="13" t="s">
        <v>185</v>
      </c>
      <c r="E9" s="13" t="n">
        <v>4</v>
      </c>
      <c r="F9" s="13" t="s">
        <v>15094</v>
      </c>
      <c r="G9" s="13" t="s">
        <v>15095</v>
      </c>
      <c r="H9" s="13" t="s">
        <v>190</v>
      </c>
      <c r="I9" s="13" t="s">
        <v>191</v>
      </c>
    </row>
    <row r="10" customFormat="false" ht="102.2" hidden="false" customHeight="false" outlineLevel="0" collapsed="false">
      <c r="A10" s="13" t="s">
        <v>3</v>
      </c>
      <c r="B10" s="13" t="s">
        <v>68</v>
      </c>
      <c r="C10" s="13" t="n">
        <v>77</v>
      </c>
      <c r="D10" s="13" t="s">
        <v>203</v>
      </c>
      <c r="E10" s="13" t="n">
        <v>3</v>
      </c>
      <c r="F10" s="13" t="s">
        <v>15094</v>
      </c>
      <c r="G10" s="13" t="s">
        <v>15095</v>
      </c>
      <c r="H10" s="13" t="s">
        <v>207</v>
      </c>
      <c r="I10" s="13" t="s">
        <v>208</v>
      </c>
    </row>
    <row r="11" customFormat="false" ht="15" hidden="false" customHeight="false" outlineLevel="0" collapsed="false">
      <c r="A11" s="13" t="s">
        <v>3</v>
      </c>
      <c r="B11" s="13" t="s">
        <v>68</v>
      </c>
      <c r="C11" s="13" t="n">
        <v>77</v>
      </c>
      <c r="D11" s="13" t="s">
        <v>218</v>
      </c>
      <c r="E11" s="13" t="n">
        <v>1</v>
      </c>
      <c r="F11" s="13" t="s">
        <v>15094</v>
      </c>
      <c r="G11" s="13" t="s">
        <v>15095</v>
      </c>
      <c r="H11" s="13" t="s">
        <v>222</v>
      </c>
      <c r="I11" s="13" t="s">
        <v>223</v>
      </c>
    </row>
    <row r="12" customFormat="false" ht="23.85" hidden="false" customHeight="false" outlineLevel="0" collapsed="false">
      <c r="A12" s="13" t="s">
        <v>3</v>
      </c>
      <c r="B12" s="13" t="s">
        <v>68</v>
      </c>
      <c r="C12" s="13" t="n">
        <v>77</v>
      </c>
      <c r="D12" s="13" t="s">
        <v>224</v>
      </c>
      <c r="E12" s="13" t="n">
        <v>2</v>
      </c>
      <c r="F12" s="13" t="s">
        <v>15094</v>
      </c>
      <c r="G12" s="13" t="s">
        <v>15095</v>
      </c>
      <c r="H12" s="13" t="s">
        <v>228</v>
      </c>
      <c r="I12" s="13" t="s">
        <v>229</v>
      </c>
    </row>
    <row r="13" customFormat="false" ht="46.25" hidden="false" customHeight="false" outlineLevel="0" collapsed="false">
      <c r="A13" s="13" t="s">
        <v>3</v>
      </c>
      <c r="B13" s="13" t="s">
        <v>68</v>
      </c>
      <c r="C13" s="13" t="n">
        <v>77</v>
      </c>
      <c r="D13" s="13" t="s">
        <v>233</v>
      </c>
      <c r="E13" s="13" t="n">
        <v>2</v>
      </c>
      <c r="F13" s="13" t="s">
        <v>15094</v>
      </c>
      <c r="G13" s="13" t="s">
        <v>15095</v>
      </c>
      <c r="H13" s="13" t="s">
        <v>237</v>
      </c>
      <c r="I13" s="13" t="s">
        <v>238</v>
      </c>
    </row>
    <row r="14" customFormat="false" ht="147" hidden="false" customHeight="false" outlineLevel="0" collapsed="false">
      <c r="A14" s="13" t="s">
        <v>3</v>
      </c>
      <c r="B14" s="13" t="s">
        <v>68</v>
      </c>
      <c r="C14" s="13" t="n">
        <v>77</v>
      </c>
      <c r="D14" s="13" t="s">
        <v>242</v>
      </c>
      <c r="E14" s="13" t="n">
        <v>5</v>
      </c>
      <c r="F14" s="13" t="s">
        <v>15094</v>
      </c>
      <c r="G14" s="13" t="s">
        <v>15095</v>
      </c>
      <c r="H14" s="13" t="s">
        <v>246</v>
      </c>
      <c r="I14" s="13" t="s">
        <v>247</v>
      </c>
    </row>
    <row r="15" customFormat="false" ht="15" hidden="false" customHeight="false" outlineLevel="0" collapsed="false">
      <c r="A15" s="13" t="s">
        <v>3</v>
      </c>
      <c r="B15" s="13" t="s">
        <v>68</v>
      </c>
      <c r="C15" s="13" t="n">
        <v>77</v>
      </c>
      <c r="D15" s="13" t="s">
        <v>259</v>
      </c>
      <c r="E15" s="13" t="n">
        <v>2</v>
      </c>
      <c r="F15" s="13" t="s">
        <v>15094</v>
      </c>
      <c r="G15" s="13" t="s">
        <v>15095</v>
      </c>
      <c r="H15" s="13" t="s">
        <v>262</v>
      </c>
      <c r="I15" s="13" t="s">
        <v>263</v>
      </c>
    </row>
    <row r="16" customFormat="false" ht="23.85" hidden="false" customHeight="false" outlineLevel="0" collapsed="false">
      <c r="A16" s="13" t="s">
        <v>3</v>
      </c>
      <c r="B16" s="13" t="s">
        <v>68</v>
      </c>
      <c r="C16" s="13" t="n">
        <v>77</v>
      </c>
      <c r="D16" s="13" t="s">
        <v>267</v>
      </c>
      <c r="E16" s="13" t="n">
        <v>1</v>
      </c>
      <c r="F16" s="13" t="s">
        <v>15094</v>
      </c>
      <c r="G16" s="13" t="s">
        <v>15095</v>
      </c>
      <c r="H16" s="13" t="s">
        <v>270</v>
      </c>
      <c r="I16" s="13" t="s">
        <v>271</v>
      </c>
    </row>
    <row r="17" customFormat="false" ht="23.85" hidden="false" customHeight="false" outlineLevel="0" collapsed="false">
      <c r="A17" s="13" t="s">
        <v>3</v>
      </c>
      <c r="B17" s="13" t="s">
        <v>68</v>
      </c>
      <c r="C17" s="13" t="n">
        <v>77</v>
      </c>
      <c r="D17" s="13" t="s">
        <v>272</v>
      </c>
      <c r="E17" s="13" t="n">
        <v>1</v>
      </c>
      <c r="F17" s="13" t="s">
        <v>15094</v>
      </c>
      <c r="G17" s="13" t="s">
        <v>15095</v>
      </c>
      <c r="H17" s="13" t="s">
        <v>275</v>
      </c>
      <c r="I17" s="13" t="s">
        <v>276</v>
      </c>
    </row>
    <row r="18" customFormat="false" ht="23.85" hidden="false" customHeight="false" outlineLevel="0" collapsed="false">
      <c r="A18" s="13" t="s">
        <v>3</v>
      </c>
      <c r="B18" s="13" t="s">
        <v>68</v>
      </c>
      <c r="C18" s="13" t="n">
        <v>77</v>
      </c>
      <c r="D18" s="13" t="s">
        <v>277</v>
      </c>
      <c r="E18" s="13" t="n">
        <v>1</v>
      </c>
      <c r="F18" s="13" t="s">
        <v>15094</v>
      </c>
      <c r="G18" s="13" t="s">
        <v>15095</v>
      </c>
      <c r="H18" s="13" t="s">
        <v>280</v>
      </c>
      <c r="I18" s="13" t="s">
        <v>281</v>
      </c>
    </row>
    <row r="19" customFormat="false" ht="23.85" hidden="false" customHeight="false" outlineLevel="0" collapsed="false">
      <c r="A19" s="13" t="s">
        <v>3</v>
      </c>
      <c r="B19" s="13" t="s">
        <v>68</v>
      </c>
      <c r="C19" s="13" t="n">
        <v>77</v>
      </c>
      <c r="D19" s="13" t="s">
        <v>282</v>
      </c>
      <c r="E19" s="13" t="n">
        <v>1</v>
      </c>
      <c r="F19" s="13" t="s">
        <v>15094</v>
      </c>
      <c r="G19" s="13" t="s">
        <v>15095</v>
      </c>
      <c r="H19" s="13" t="s">
        <v>286</v>
      </c>
      <c r="I19" s="13" t="s">
        <v>287</v>
      </c>
    </row>
    <row r="20" customFormat="false" ht="23.85" hidden="false" customHeight="false" outlineLevel="0" collapsed="false">
      <c r="A20" s="13" t="s">
        <v>3</v>
      </c>
      <c r="B20" s="13" t="s">
        <v>68</v>
      </c>
      <c r="C20" s="13" t="n">
        <v>77</v>
      </c>
      <c r="D20" s="13" t="s">
        <v>288</v>
      </c>
      <c r="E20" s="13" t="n">
        <v>2</v>
      </c>
      <c r="F20" s="13" t="s">
        <v>15094</v>
      </c>
      <c r="G20" s="13" t="s">
        <v>15095</v>
      </c>
      <c r="H20" s="13" t="s">
        <v>292</v>
      </c>
      <c r="I20" s="13" t="s">
        <v>293</v>
      </c>
    </row>
    <row r="21" customFormat="false" ht="35.05" hidden="false" customHeight="false" outlineLevel="0" collapsed="false">
      <c r="A21" s="13" t="s">
        <v>3</v>
      </c>
      <c r="B21" s="13" t="s">
        <v>68</v>
      </c>
      <c r="C21" s="13" t="n">
        <v>85</v>
      </c>
      <c r="D21" s="13" t="s">
        <v>297</v>
      </c>
      <c r="E21" s="13" t="n">
        <v>2</v>
      </c>
      <c r="F21" s="13" t="s">
        <v>15094</v>
      </c>
      <c r="G21" s="13" t="s">
        <v>15095</v>
      </c>
      <c r="H21" s="13" t="s">
        <v>302</v>
      </c>
      <c r="I21" s="13" t="s">
        <v>303</v>
      </c>
    </row>
    <row r="22" customFormat="false" ht="46.25" hidden="false" customHeight="false" outlineLevel="0" collapsed="false">
      <c r="A22" s="13" t="s">
        <v>3</v>
      </c>
      <c r="B22" s="13" t="s">
        <v>68</v>
      </c>
      <c r="C22" s="13" t="n">
        <v>85</v>
      </c>
      <c r="D22" s="13" t="s">
        <v>307</v>
      </c>
      <c r="E22" s="13" t="n">
        <v>3</v>
      </c>
      <c r="F22" s="13" t="s">
        <v>15094</v>
      </c>
      <c r="G22" s="13" t="s">
        <v>15095</v>
      </c>
      <c r="H22" s="13" t="s">
        <v>311</v>
      </c>
      <c r="I22" s="13" t="s">
        <v>312</v>
      </c>
    </row>
    <row r="23" customFormat="false" ht="57.45" hidden="false" customHeight="false" outlineLevel="0" collapsed="false">
      <c r="A23" s="13" t="s">
        <v>3</v>
      </c>
      <c r="B23" s="13" t="s">
        <v>68</v>
      </c>
      <c r="C23" s="13" t="n">
        <v>85</v>
      </c>
      <c r="D23" s="13" t="s">
        <v>320</v>
      </c>
      <c r="E23" s="13" t="n">
        <v>2</v>
      </c>
      <c r="F23" s="13" t="s">
        <v>15094</v>
      </c>
      <c r="G23" s="13" t="s">
        <v>15095</v>
      </c>
      <c r="H23" s="13" t="s">
        <v>323</v>
      </c>
      <c r="I23" s="13" t="s">
        <v>324</v>
      </c>
    </row>
    <row r="24" customFormat="false" ht="15" hidden="false" customHeight="false" outlineLevel="0" collapsed="false">
      <c r="A24" s="13" t="s">
        <v>3</v>
      </c>
      <c r="B24" s="13" t="s">
        <v>68</v>
      </c>
      <c r="C24" s="13" t="n">
        <v>85</v>
      </c>
      <c r="D24" s="13" t="s">
        <v>329</v>
      </c>
      <c r="E24" s="13" t="n">
        <v>1</v>
      </c>
      <c r="F24" s="13" t="s">
        <v>15094</v>
      </c>
      <c r="G24" s="13" t="s">
        <v>15095</v>
      </c>
      <c r="H24" s="13" t="s">
        <v>333</v>
      </c>
      <c r="I24" s="13" t="s">
        <v>334</v>
      </c>
    </row>
    <row r="25" customFormat="false" ht="102.2" hidden="false" customHeight="false" outlineLevel="0" collapsed="false">
      <c r="A25" s="13" t="s">
        <v>3</v>
      </c>
      <c r="B25" s="13" t="s">
        <v>68</v>
      </c>
      <c r="C25" s="13" t="n">
        <v>85</v>
      </c>
      <c r="D25" s="13" t="s">
        <v>335</v>
      </c>
      <c r="E25" s="13" t="n">
        <v>2</v>
      </c>
      <c r="F25" s="13" t="s">
        <v>15094</v>
      </c>
      <c r="G25" s="13" t="s">
        <v>15095</v>
      </c>
      <c r="H25" s="13" t="s">
        <v>339</v>
      </c>
      <c r="I25" s="13" t="s">
        <v>340</v>
      </c>
    </row>
    <row r="26" customFormat="false" ht="23.85" hidden="false" customHeight="false" outlineLevel="0" collapsed="false">
      <c r="A26" s="13" t="s">
        <v>3</v>
      </c>
      <c r="B26" s="13" t="s">
        <v>68</v>
      </c>
      <c r="C26" s="13" t="n">
        <v>85</v>
      </c>
      <c r="D26" s="13" t="s">
        <v>344</v>
      </c>
      <c r="E26" s="13" t="n">
        <v>2</v>
      </c>
      <c r="F26" s="13" t="s">
        <v>15094</v>
      </c>
      <c r="G26" s="13" t="s">
        <v>15095</v>
      </c>
      <c r="H26" s="13" t="s">
        <v>349</v>
      </c>
      <c r="I26" s="13" t="s">
        <v>350</v>
      </c>
    </row>
    <row r="27" customFormat="false" ht="57.45" hidden="false" customHeight="false" outlineLevel="0" collapsed="false">
      <c r="A27" s="13" t="s">
        <v>3</v>
      </c>
      <c r="B27" s="13" t="s">
        <v>68</v>
      </c>
      <c r="C27" s="13" t="n">
        <v>85</v>
      </c>
      <c r="D27" s="13" t="s">
        <v>354</v>
      </c>
      <c r="E27" s="13" t="n">
        <v>2</v>
      </c>
      <c r="F27" s="13" t="s">
        <v>15094</v>
      </c>
      <c r="G27" s="13" t="s">
        <v>15095</v>
      </c>
      <c r="H27" s="13" t="s">
        <v>358</v>
      </c>
      <c r="I27" s="13" t="s">
        <v>359</v>
      </c>
    </row>
    <row r="28" customFormat="false" ht="147" hidden="false" customHeight="false" outlineLevel="0" collapsed="false">
      <c r="A28" s="13" t="s">
        <v>3</v>
      </c>
      <c r="B28" s="13" t="s">
        <v>68</v>
      </c>
      <c r="C28" s="13" t="n">
        <v>85</v>
      </c>
      <c r="D28" s="13" t="s">
        <v>363</v>
      </c>
      <c r="E28" s="13" t="n">
        <v>3</v>
      </c>
      <c r="F28" s="13" t="s">
        <v>15094</v>
      </c>
      <c r="G28" s="13" t="s">
        <v>15095</v>
      </c>
      <c r="H28" s="13" t="s">
        <v>366</v>
      </c>
      <c r="I28" s="13" t="s">
        <v>367</v>
      </c>
    </row>
    <row r="29" customFormat="false" ht="68.65" hidden="false" customHeight="false" outlineLevel="0" collapsed="false">
      <c r="A29" s="13" t="s">
        <v>3</v>
      </c>
      <c r="B29" s="13" t="s">
        <v>68</v>
      </c>
      <c r="C29" s="13" t="n">
        <v>108</v>
      </c>
      <c r="D29" s="13" t="s">
        <v>372</v>
      </c>
      <c r="E29" s="13" t="n">
        <v>2</v>
      </c>
      <c r="F29" s="13" t="s">
        <v>15094</v>
      </c>
      <c r="G29" s="13" t="s">
        <v>15095</v>
      </c>
      <c r="H29" s="13" t="s">
        <v>377</v>
      </c>
      <c r="I29" s="13" t="s">
        <v>378</v>
      </c>
    </row>
    <row r="30" customFormat="false" ht="35.05" hidden="false" customHeight="false" outlineLevel="0" collapsed="false">
      <c r="A30" s="13" t="s">
        <v>3</v>
      </c>
      <c r="B30" s="13" t="s">
        <v>68</v>
      </c>
      <c r="C30" s="13" t="n">
        <v>108</v>
      </c>
      <c r="D30" s="13" t="s">
        <v>381</v>
      </c>
      <c r="E30" s="13" t="n">
        <v>2</v>
      </c>
      <c r="F30" s="13" t="s">
        <v>15094</v>
      </c>
      <c r="G30" s="13" t="s">
        <v>15095</v>
      </c>
      <c r="H30" s="13" t="s">
        <v>384</v>
      </c>
      <c r="I30" s="13" t="s">
        <v>385</v>
      </c>
    </row>
    <row r="31" customFormat="false" ht="15" hidden="false" customHeight="false" outlineLevel="0" collapsed="false">
      <c r="A31" s="13" t="s">
        <v>3</v>
      </c>
      <c r="B31" s="13" t="s">
        <v>68</v>
      </c>
      <c r="C31" s="13" t="n">
        <v>108</v>
      </c>
      <c r="D31" s="13" t="s">
        <v>389</v>
      </c>
      <c r="E31" s="13" t="n">
        <v>1</v>
      </c>
      <c r="F31" s="13" t="s">
        <v>15094</v>
      </c>
      <c r="G31" s="13" t="s">
        <v>15095</v>
      </c>
      <c r="H31" s="13" t="s">
        <v>393</v>
      </c>
      <c r="I31" s="13" t="s">
        <v>394</v>
      </c>
    </row>
    <row r="32" customFormat="false" ht="15" hidden="false" customHeight="false" outlineLevel="0" collapsed="false">
      <c r="A32" s="13" t="s">
        <v>3</v>
      </c>
      <c r="B32" s="13" t="s">
        <v>68</v>
      </c>
      <c r="C32" s="13" t="n">
        <v>108</v>
      </c>
      <c r="D32" s="13" t="s">
        <v>395</v>
      </c>
      <c r="E32" s="13" t="n">
        <v>1</v>
      </c>
      <c r="F32" s="13" t="s">
        <v>15094</v>
      </c>
      <c r="G32" s="13" t="s">
        <v>15095</v>
      </c>
      <c r="H32" s="13" t="s">
        <v>400</v>
      </c>
      <c r="I32" s="13" t="s">
        <v>401</v>
      </c>
    </row>
    <row r="33" customFormat="false" ht="35.05" hidden="false" customHeight="false" outlineLevel="0" collapsed="false">
      <c r="A33" s="13" t="s">
        <v>3</v>
      </c>
      <c r="B33" s="13" t="s">
        <v>68</v>
      </c>
      <c r="C33" s="13" t="n">
        <v>108</v>
      </c>
      <c r="D33" s="13" t="s">
        <v>402</v>
      </c>
      <c r="E33" s="13" t="n">
        <v>2</v>
      </c>
      <c r="F33" s="13" t="s">
        <v>15094</v>
      </c>
      <c r="G33" s="13" t="s">
        <v>15095</v>
      </c>
      <c r="H33" s="13" t="s">
        <v>408</v>
      </c>
      <c r="I33" s="13" t="s">
        <v>409</v>
      </c>
    </row>
    <row r="34" customFormat="false" ht="79.85" hidden="false" customHeight="false" outlineLevel="0" collapsed="false">
      <c r="A34" s="13" t="s">
        <v>3</v>
      </c>
      <c r="B34" s="13" t="s">
        <v>68</v>
      </c>
      <c r="C34" s="13" t="n">
        <v>108</v>
      </c>
      <c r="D34" s="13" t="s">
        <v>414</v>
      </c>
      <c r="E34" s="13" t="n">
        <v>3</v>
      </c>
      <c r="F34" s="13" t="s">
        <v>15094</v>
      </c>
      <c r="G34" s="13" t="s">
        <v>15095</v>
      </c>
      <c r="H34" s="13" t="s">
        <v>418</v>
      </c>
      <c r="I34" s="13" t="s">
        <v>419</v>
      </c>
    </row>
    <row r="35" customFormat="false" ht="91" hidden="false" customHeight="false" outlineLevel="0" collapsed="false">
      <c r="A35" s="13" t="s">
        <v>3</v>
      </c>
      <c r="B35" s="13" t="s">
        <v>68</v>
      </c>
      <c r="C35" s="13" t="n">
        <v>132</v>
      </c>
      <c r="D35" s="13" t="s">
        <v>426</v>
      </c>
      <c r="E35" s="13" t="n">
        <v>4</v>
      </c>
      <c r="F35" s="13" t="s">
        <v>15094</v>
      </c>
      <c r="G35" s="13" t="s">
        <v>15095</v>
      </c>
      <c r="H35" s="13" t="s">
        <v>431</v>
      </c>
      <c r="I35" s="13" t="s">
        <v>432</v>
      </c>
    </row>
    <row r="36" customFormat="false" ht="23.85" hidden="false" customHeight="false" outlineLevel="0" collapsed="false">
      <c r="A36" s="13" t="s">
        <v>3</v>
      </c>
      <c r="B36" s="13" t="s">
        <v>68</v>
      </c>
      <c r="C36" s="13" t="n">
        <v>132</v>
      </c>
      <c r="D36" s="13" t="s">
        <v>441</v>
      </c>
      <c r="E36" s="13" t="n">
        <v>1</v>
      </c>
      <c r="F36" s="13" t="s">
        <v>15094</v>
      </c>
      <c r="G36" s="13" t="s">
        <v>15095</v>
      </c>
      <c r="H36" s="13" t="s">
        <v>446</v>
      </c>
      <c r="I36" s="13" t="s">
        <v>447</v>
      </c>
    </row>
    <row r="37" customFormat="false" ht="57.45" hidden="false" customHeight="false" outlineLevel="0" collapsed="false">
      <c r="A37" s="13" t="s">
        <v>3</v>
      </c>
      <c r="B37" s="13" t="s">
        <v>68</v>
      </c>
      <c r="C37" s="13" t="n">
        <v>132</v>
      </c>
      <c r="D37" s="13" t="s">
        <v>448</v>
      </c>
      <c r="E37" s="13" t="n">
        <v>3</v>
      </c>
      <c r="F37" s="13" t="s">
        <v>15094</v>
      </c>
      <c r="G37" s="13" t="s">
        <v>15095</v>
      </c>
      <c r="H37" s="13" t="s">
        <v>451</v>
      </c>
      <c r="I37" s="13" t="s">
        <v>452</v>
      </c>
    </row>
    <row r="38" customFormat="false" ht="35.05" hidden="false" customHeight="false" outlineLevel="0" collapsed="false">
      <c r="A38" s="13" t="s">
        <v>3</v>
      </c>
      <c r="B38" s="13" t="s">
        <v>68</v>
      </c>
      <c r="C38" s="13" t="n">
        <v>132</v>
      </c>
      <c r="D38" s="13" t="s">
        <v>458</v>
      </c>
      <c r="E38" s="13" t="n">
        <v>2</v>
      </c>
      <c r="F38" s="13" t="s">
        <v>15094</v>
      </c>
      <c r="G38" s="13" t="s">
        <v>15095</v>
      </c>
      <c r="H38" s="13" t="s">
        <v>462</v>
      </c>
      <c r="I38" s="13" t="s">
        <v>463</v>
      </c>
    </row>
    <row r="39" customFormat="false" ht="46.25" hidden="false" customHeight="false" outlineLevel="0" collapsed="false">
      <c r="A39" s="13" t="s">
        <v>3</v>
      </c>
      <c r="B39" s="13" t="s">
        <v>68</v>
      </c>
      <c r="C39" s="13" t="n">
        <v>132</v>
      </c>
      <c r="D39" s="13" t="s">
        <v>468</v>
      </c>
      <c r="E39" s="13" t="n">
        <v>3</v>
      </c>
      <c r="F39" s="13" t="s">
        <v>15094</v>
      </c>
      <c r="G39" s="13" t="s">
        <v>15095</v>
      </c>
      <c r="H39" s="13" t="s">
        <v>470</v>
      </c>
      <c r="I39" s="13" t="s">
        <v>471</v>
      </c>
    </row>
    <row r="40" customFormat="false" ht="68.65" hidden="false" customHeight="false" outlineLevel="0" collapsed="false">
      <c r="A40" s="13" t="s">
        <v>3</v>
      </c>
      <c r="B40" s="13" t="s">
        <v>68</v>
      </c>
      <c r="C40" s="13" t="n">
        <v>132</v>
      </c>
      <c r="D40" s="13" t="s">
        <v>478</v>
      </c>
      <c r="E40" s="13" t="n">
        <v>2</v>
      </c>
      <c r="F40" s="13" t="s">
        <v>15094</v>
      </c>
      <c r="G40" s="13" t="s">
        <v>15095</v>
      </c>
      <c r="H40" s="13" t="s">
        <v>482</v>
      </c>
      <c r="I40" s="13" t="s">
        <v>483</v>
      </c>
    </row>
    <row r="41" customFormat="false" ht="23.85" hidden="false" customHeight="false" outlineLevel="0" collapsed="false">
      <c r="A41" s="13" t="s">
        <v>3</v>
      </c>
      <c r="B41" s="13" t="s">
        <v>68</v>
      </c>
      <c r="C41" s="13" t="n">
        <v>132</v>
      </c>
      <c r="D41" s="13" t="s">
        <v>487</v>
      </c>
      <c r="E41" s="13" t="n">
        <v>1</v>
      </c>
      <c r="F41" s="13" t="s">
        <v>15094</v>
      </c>
      <c r="G41" s="13" t="s">
        <v>15095</v>
      </c>
      <c r="H41" s="13" t="s">
        <v>490</v>
      </c>
      <c r="I41" s="13" t="s">
        <v>491</v>
      </c>
    </row>
    <row r="42" customFormat="false" ht="46.25" hidden="false" customHeight="false" outlineLevel="0" collapsed="false">
      <c r="A42" s="13" t="s">
        <v>3</v>
      </c>
      <c r="B42" s="13" t="s">
        <v>68</v>
      </c>
      <c r="C42" s="13" t="n">
        <v>132</v>
      </c>
      <c r="D42" s="13" t="s">
        <v>492</v>
      </c>
      <c r="E42" s="13" t="n">
        <v>1</v>
      </c>
      <c r="F42" s="13" t="s">
        <v>15094</v>
      </c>
      <c r="G42" s="13" t="s">
        <v>15095</v>
      </c>
      <c r="H42" s="13" t="s">
        <v>495</v>
      </c>
      <c r="I42" s="13" t="s">
        <v>496</v>
      </c>
    </row>
    <row r="43" customFormat="false" ht="15" hidden="false" customHeight="false" outlineLevel="0" collapsed="false">
      <c r="A43" s="13" t="s">
        <v>3</v>
      </c>
      <c r="B43" s="13" t="s">
        <v>68</v>
      </c>
      <c r="C43" s="13" t="n">
        <v>132</v>
      </c>
      <c r="D43" s="13" t="s">
        <v>15096</v>
      </c>
      <c r="E43" s="13" t="n">
        <v>0</v>
      </c>
      <c r="F43" s="13" t="s">
        <v>15097</v>
      </c>
      <c r="G43" s="13" t="s">
        <v>15095</v>
      </c>
      <c r="H43" s="13" t="s">
        <v>15098</v>
      </c>
      <c r="I43" s="13" t="s">
        <v>15099</v>
      </c>
    </row>
    <row r="44" customFormat="false" ht="15" hidden="false" customHeight="false" outlineLevel="0" collapsed="false">
      <c r="A44" s="13" t="s">
        <v>3</v>
      </c>
      <c r="B44" s="13" t="s">
        <v>68</v>
      </c>
      <c r="C44" s="13" t="n">
        <v>132</v>
      </c>
      <c r="D44" s="13" t="s">
        <v>497</v>
      </c>
      <c r="E44" s="13" t="n">
        <v>1</v>
      </c>
      <c r="F44" s="13" t="s">
        <v>15094</v>
      </c>
      <c r="G44" s="13" t="s">
        <v>15095</v>
      </c>
      <c r="H44" s="13" t="s">
        <v>500</v>
      </c>
      <c r="I44" s="13" t="s">
        <v>501</v>
      </c>
    </row>
    <row r="45" customFormat="false" ht="102.2" hidden="false" customHeight="false" outlineLevel="0" collapsed="false">
      <c r="A45" s="13" t="s">
        <v>3</v>
      </c>
      <c r="B45" s="13" t="s">
        <v>68</v>
      </c>
      <c r="C45" s="13" t="n">
        <v>132</v>
      </c>
      <c r="D45" s="13" t="s">
        <v>502</v>
      </c>
      <c r="E45" s="13" t="n">
        <v>6</v>
      </c>
      <c r="F45" s="13" t="s">
        <v>15094</v>
      </c>
      <c r="G45" s="13" t="s">
        <v>15095</v>
      </c>
      <c r="H45" s="13" t="s">
        <v>506</v>
      </c>
      <c r="I45" s="13" t="s">
        <v>507</v>
      </c>
    </row>
    <row r="46" customFormat="false" ht="68.65" hidden="false" customHeight="false" outlineLevel="0" collapsed="false">
      <c r="A46" s="13" t="s">
        <v>3</v>
      </c>
      <c r="B46" s="13" t="s">
        <v>68</v>
      </c>
      <c r="C46" s="13" t="n">
        <v>167</v>
      </c>
      <c r="D46" s="13" t="s">
        <v>524</v>
      </c>
      <c r="E46" s="13" t="n">
        <v>6</v>
      </c>
      <c r="F46" s="13" t="s">
        <v>15094</v>
      </c>
      <c r="G46" s="13" t="s">
        <v>15095</v>
      </c>
      <c r="H46" s="13" t="s">
        <v>528</v>
      </c>
      <c r="I46" s="13" t="s">
        <v>529</v>
      </c>
    </row>
    <row r="47" customFormat="false" ht="15" hidden="false" customHeight="false" outlineLevel="0" collapsed="false">
      <c r="A47" s="13" t="s">
        <v>3</v>
      </c>
      <c r="B47" s="13" t="s">
        <v>68</v>
      </c>
      <c r="C47" s="13" t="n">
        <v>167</v>
      </c>
      <c r="D47" s="13" t="s">
        <v>545</v>
      </c>
      <c r="E47" s="13" t="n">
        <v>1</v>
      </c>
      <c r="F47" s="13" t="s">
        <v>15094</v>
      </c>
      <c r="G47" s="13" t="s">
        <v>15095</v>
      </c>
      <c r="H47" s="13" t="s">
        <v>550</v>
      </c>
      <c r="I47" s="13" t="s">
        <v>551</v>
      </c>
    </row>
    <row r="48" customFormat="false" ht="57.45" hidden="false" customHeight="false" outlineLevel="0" collapsed="false">
      <c r="A48" s="13" t="s">
        <v>3</v>
      </c>
      <c r="B48" s="13" t="s">
        <v>68</v>
      </c>
      <c r="C48" s="13" t="n">
        <v>167</v>
      </c>
      <c r="D48" s="13" t="s">
        <v>552</v>
      </c>
      <c r="E48" s="13" t="n">
        <v>3</v>
      </c>
      <c r="F48" s="13" t="s">
        <v>15094</v>
      </c>
      <c r="G48" s="13" t="s">
        <v>15095</v>
      </c>
      <c r="H48" s="13" t="s">
        <v>556</v>
      </c>
      <c r="I48" s="13" t="s">
        <v>557</v>
      </c>
    </row>
    <row r="49" customFormat="false" ht="46.25" hidden="false" customHeight="false" outlineLevel="0" collapsed="false">
      <c r="A49" s="13" t="s">
        <v>3</v>
      </c>
      <c r="B49" s="13" t="s">
        <v>68</v>
      </c>
      <c r="C49" s="13" t="n">
        <v>167</v>
      </c>
      <c r="D49" s="13" t="s">
        <v>565</v>
      </c>
      <c r="E49" s="13" t="n">
        <v>1</v>
      </c>
      <c r="F49" s="13" t="s">
        <v>15094</v>
      </c>
      <c r="G49" s="13" t="s">
        <v>15095</v>
      </c>
      <c r="H49" s="13" t="s">
        <v>569</v>
      </c>
      <c r="I49" s="13" t="s">
        <v>570</v>
      </c>
    </row>
    <row r="50" customFormat="false" ht="35.05" hidden="false" customHeight="false" outlineLevel="0" collapsed="false">
      <c r="A50" s="13" t="s">
        <v>3</v>
      </c>
      <c r="B50" s="13" t="s">
        <v>68</v>
      </c>
      <c r="C50" s="13" t="n">
        <v>167</v>
      </c>
      <c r="D50" s="13" t="s">
        <v>571</v>
      </c>
      <c r="E50" s="13" t="n">
        <v>1</v>
      </c>
      <c r="F50" s="13" t="s">
        <v>15094</v>
      </c>
      <c r="G50" s="13" t="s">
        <v>15095</v>
      </c>
      <c r="H50" s="13" t="s">
        <v>575</v>
      </c>
      <c r="I50" s="13" t="s">
        <v>576</v>
      </c>
    </row>
    <row r="51" customFormat="false" ht="35.05" hidden="false" customHeight="false" outlineLevel="0" collapsed="false">
      <c r="A51" s="13" t="s">
        <v>3</v>
      </c>
      <c r="B51" s="13" t="s">
        <v>68</v>
      </c>
      <c r="C51" s="13" t="n">
        <v>167</v>
      </c>
      <c r="D51" s="13" t="s">
        <v>577</v>
      </c>
      <c r="E51" s="13" t="n">
        <v>1</v>
      </c>
      <c r="F51" s="13" t="s">
        <v>15094</v>
      </c>
      <c r="G51" s="13" t="s">
        <v>15095</v>
      </c>
      <c r="H51" s="13" t="s">
        <v>581</v>
      </c>
      <c r="I51" s="13" t="s">
        <v>582</v>
      </c>
    </row>
    <row r="52" customFormat="false" ht="15" hidden="false" customHeight="false" outlineLevel="0" collapsed="false">
      <c r="A52" s="13" t="s">
        <v>3</v>
      </c>
      <c r="B52" s="13" t="s">
        <v>68</v>
      </c>
      <c r="C52" s="13" t="n">
        <v>167</v>
      </c>
      <c r="D52" s="13" t="s">
        <v>583</v>
      </c>
      <c r="E52" s="13" t="n">
        <v>1</v>
      </c>
      <c r="F52" s="13" t="s">
        <v>15094</v>
      </c>
      <c r="G52" s="13" t="s">
        <v>15095</v>
      </c>
      <c r="H52" s="13" t="s">
        <v>587</v>
      </c>
      <c r="I52" s="13" t="s">
        <v>588</v>
      </c>
    </row>
    <row r="53" customFormat="false" ht="23.85" hidden="false" customHeight="false" outlineLevel="0" collapsed="false">
      <c r="A53" s="13" t="s">
        <v>3</v>
      </c>
      <c r="B53" s="13" t="s">
        <v>68</v>
      </c>
      <c r="C53" s="13" t="n">
        <v>167</v>
      </c>
      <c r="D53" s="13" t="s">
        <v>589</v>
      </c>
      <c r="E53" s="13" t="n">
        <v>1</v>
      </c>
      <c r="F53" s="13" t="s">
        <v>15094</v>
      </c>
      <c r="G53" s="13" t="s">
        <v>15095</v>
      </c>
      <c r="H53" s="13" t="s">
        <v>594</v>
      </c>
      <c r="I53" s="13" t="s">
        <v>595</v>
      </c>
    </row>
    <row r="54" customFormat="false" ht="23.85" hidden="false" customHeight="false" outlineLevel="0" collapsed="false">
      <c r="A54" s="13" t="s">
        <v>3</v>
      </c>
      <c r="B54" s="13" t="s">
        <v>68</v>
      </c>
      <c r="C54" s="13" t="n">
        <v>167</v>
      </c>
      <c r="D54" s="13" t="s">
        <v>596</v>
      </c>
      <c r="E54" s="13" t="n">
        <v>1</v>
      </c>
      <c r="F54" s="13" t="s">
        <v>15094</v>
      </c>
      <c r="G54" s="13" t="s">
        <v>15095</v>
      </c>
      <c r="H54" s="13" t="s">
        <v>602</v>
      </c>
      <c r="I54" s="13" t="s">
        <v>603</v>
      </c>
    </row>
    <row r="55" customFormat="false" ht="23.85" hidden="false" customHeight="false" outlineLevel="0" collapsed="false">
      <c r="A55" s="13" t="s">
        <v>3</v>
      </c>
      <c r="B55" s="13" t="s">
        <v>68</v>
      </c>
      <c r="C55" s="13" t="n">
        <v>167</v>
      </c>
      <c r="D55" s="13" t="s">
        <v>604</v>
      </c>
      <c r="E55" s="13" t="n">
        <v>1</v>
      </c>
      <c r="F55" s="13" t="s">
        <v>15094</v>
      </c>
      <c r="G55" s="13" t="s">
        <v>15095</v>
      </c>
      <c r="H55" s="13" t="s">
        <v>608</v>
      </c>
      <c r="I55" s="13" t="s">
        <v>609</v>
      </c>
    </row>
    <row r="56" customFormat="false" ht="46.25" hidden="false" customHeight="false" outlineLevel="0" collapsed="false">
      <c r="A56" s="13" t="s">
        <v>3</v>
      </c>
      <c r="B56" s="13" t="s">
        <v>68</v>
      </c>
      <c r="C56" s="13" t="n">
        <v>167</v>
      </c>
      <c r="D56" s="13" t="s">
        <v>610</v>
      </c>
      <c r="E56" s="13" t="n">
        <v>2</v>
      </c>
      <c r="F56" s="13" t="s">
        <v>15094</v>
      </c>
      <c r="G56" s="13" t="s">
        <v>15095</v>
      </c>
      <c r="H56" s="13" t="s">
        <v>614</v>
      </c>
      <c r="I56" s="13" t="s">
        <v>615</v>
      </c>
    </row>
    <row r="57" customFormat="false" ht="46.25" hidden="false" customHeight="false" outlineLevel="0" collapsed="false">
      <c r="A57" s="13" t="s">
        <v>3</v>
      </c>
      <c r="B57" s="13" t="s">
        <v>68</v>
      </c>
      <c r="C57" s="13" t="n">
        <v>167</v>
      </c>
      <c r="D57" s="13" t="s">
        <v>620</v>
      </c>
      <c r="E57" s="13" t="n">
        <v>2</v>
      </c>
      <c r="F57" s="13" t="s">
        <v>15094</v>
      </c>
      <c r="G57" s="13" t="s">
        <v>15095</v>
      </c>
      <c r="H57" s="13" t="s">
        <v>624</v>
      </c>
      <c r="I57" s="13" t="s">
        <v>625</v>
      </c>
    </row>
    <row r="58" customFormat="false" ht="23.85" hidden="false" customHeight="false" outlineLevel="0" collapsed="false">
      <c r="A58" s="13" t="s">
        <v>3</v>
      </c>
      <c r="B58" s="13" t="s">
        <v>68</v>
      </c>
      <c r="C58" s="13" t="n">
        <v>167</v>
      </c>
      <c r="D58" s="13" t="s">
        <v>629</v>
      </c>
      <c r="E58" s="13" t="n">
        <v>1</v>
      </c>
      <c r="F58" s="13" t="s">
        <v>15094</v>
      </c>
      <c r="G58" s="13" t="s">
        <v>15095</v>
      </c>
      <c r="H58" s="13" t="s">
        <v>632</v>
      </c>
      <c r="I58" s="13" t="s">
        <v>633</v>
      </c>
    </row>
    <row r="59" customFormat="false" ht="15" hidden="false" customHeight="false" outlineLevel="0" collapsed="false">
      <c r="A59" s="13" t="s">
        <v>3</v>
      </c>
      <c r="B59" s="13" t="s">
        <v>68</v>
      </c>
      <c r="C59" s="13" t="n">
        <v>167</v>
      </c>
      <c r="D59" s="13" t="s">
        <v>634</v>
      </c>
      <c r="E59" s="13" t="n">
        <v>1</v>
      </c>
      <c r="F59" s="13" t="s">
        <v>15094</v>
      </c>
      <c r="G59" s="13" t="s">
        <v>15095</v>
      </c>
      <c r="H59" s="13" t="s">
        <v>638</v>
      </c>
      <c r="I59" s="13" t="s">
        <v>639</v>
      </c>
    </row>
    <row r="60" customFormat="false" ht="57.45" hidden="false" customHeight="false" outlineLevel="0" collapsed="false">
      <c r="A60" s="13" t="s">
        <v>3</v>
      </c>
      <c r="B60" s="13" t="s">
        <v>68</v>
      </c>
      <c r="C60" s="13" t="n">
        <v>167</v>
      </c>
      <c r="D60" s="13" t="s">
        <v>640</v>
      </c>
      <c r="E60" s="13" t="n">
        <v>2</v>
      </c>
      <c r="F60" s="13" t="s">
        <v>15094</v>
      </c>
      <c r="G60" s="13" t="s">
        <v>15095</v>
      </c>
      <c r="H60" s="13" t="s">
        <v>643</v>
      </c>
      <c r="I60" s="13" t="s">
        <v>644</v>
      </c>
    </row>
    <row r="61" customFormat="false" ht="57.45" hidden="false" customHeight="false" outlineLevel="0" collapsed="false">
      <c r="A61" s="13" t="s">
        <v>3</v>
      </c>
      <c r="B61" s="13" t="s">
        <v>68</v>
      </c>
      <c r="C61" s="13" t="n">
        <v>167</v>
      </c>
      <c r="D61" s="13" t="s">
        <v>649</v>
      </c>
      <c r="E61" s="13" t="n">
        <v>4</v>
      </c>
      <c r="F61" s="13" t="s">
        <v>15094</v>
      </c>
      <c r="G61" s="13" t="s">
        <v>15095</v>
      </c>
      <c r="H61" s="13" t="s">
        <v>653</v>
      </c>
      <c r="I61" s="13" t="s">
        <v>654</v>
      </c>
    </row>
    <row r="62" customFormat="false" ht="15" hidden="false" customHeight="false" outlineLevel="0" collapsed="false">
      <c r="A62" s="13" t="s">
        <v>3</v>
      </c>
      <c r="B62" s="13" t="s">
        <v>68</v>
      </c>
      <c r="C62" s="13" t="n">
        <v>178</v>
      </c>
      <c r="D62" s="13" t="s">
        <v>666</v>
      </c>
      <c r="E62" s="13" t="n">
        <v>1</v>
      </c>
      <c r="F62" s="13" t="s">
        <v>15094</v>
      </c>
      <c r="G62" s="13" t="s">
        <v>15095</v>
      </c>
      <c r="H62" s="13" t="s">
        <v>671</v>
      </c>
      <c r="I62" s="13" t="s">
        <v>672</v>
      </c>
    </row>
    <row r="63" customFormat="false" ht="15" hidden="false" customHeight="false" outlineLevel="0" collapsed="false">
      <c r="A63" s="13" t="s">
        <v>3</v>
      </c>
      <c r="B63" s="13" t="s">
        <v>68</v>
      </c>
      <c r="C63" s="13" t="n">
        <v>178</v>
      </c>
      <c r="D63" s="13" t="s">
        <v>673</v>
      </c>
      <c r="E63" s="13" t="n">
        <v>1</v>
      </c>
      <c r="F63" s="13" t="s">
        <v>15094</v>
      </c>
      <c r="G63" s="13" t="s">
        <v>15095</v>
      </c>
      <c r="H63" s="13" t="s">
        <v>677</v>
      </c>
      <c r="I63" s="13" t="s">
        <v>678</v>
      </c>
    </row>
    <row r="64" customFormat="false" ht="23.85" hidden="false" customHeight="false" outlineLevel="0" collapsed="false">
      <c r="A64" s="13" t="s">
        <v>3</v>
      </c>
      <c r="B64" s="13" t="s">
        <v>68</v>
      </c>
      <c r="C64" s="13" t="n">
        <v>178</v>
      </c>
      <c r="D64" s="13" t="s">
        <v>679</v>
      </c>
      <c r="E64" s="13" t="n">
        <v>1</v>
      </c>
      <c r="F64" s="13" t="s">
        <v>15094</v>
      </c>
      <c r="G64" s="13" t="s">
        <v>15095</v>
      </c>
      <c r="H64" s="13" t="s">
        <v>684</v>
      </c>
      <c r="I64" s="13" t="s">
        <v>685</v>
      </c>
    </row>
    <row r="65" customFormat="false" ht="35.05" hidden="false" customHeight="false" outlineLevel="0" collapsed="false">
      <c r="A65" s="13" t="s">
        <v>3</v>
      </c>
      <c r="B65" s="13" t="s">
        <v>68</v>
      </c>
      <c r="C65" s="13" t="n">
        <v>178</v>
      </c>
      <c r="D65" s="13" t="s">
        <v>686</v>
      </c>
      <c r="E65" s="13" t="n">
        <v>2</v>
      </c>
      <c r="F65" s="13" t="s">
        <v>15094</v>
      </c>
      <c r="G65" s="13" t="s">
        <v>15095</v>
      </c>
      <c r="H65" s="13" t="s">
        <v>691</v>
      </c>
      <c r="I65" s="13" t="s">
        <v>692</v>
      </c>
    </row>
    <row r="66" customFormat="false" ht="35.05" hidden="false" customHeight="false" outlineLevel="0" collapsed="false">
      <c r="A66" s="13" t="s">
        <v>3</v>
      </c>
      <c r="B66" s="13" t="s">
        <v>68</v>
      </c>
      <c r="C66" s="13" t="n">
        <v>178</v>
      </c>
      <c r="D66" s="13" t="s">
        <v>696</v>
      </c>
      <c r="E66" s="13" t="n">
        <v>1</v>
      </c>
      <c r="F66" s="13" t="s">
        <v>15094</v>
      </c>
      <c r="G66" s="13" t="s">
        <v>15095</v>
      </c>
      <c r="H66" s="13" t="s">
        <v>701</v>
      </c>
      <c r="I66" s="13" t="s">
        <v>702</v>
      </c>
    </row>
    <row r="67" customFormat="false" ht="35.05" hidden="false" customHeight="false" outlineLevel="0" collapsed="false">
      <c r="A67" s="13" t="s">
        <v>3</v>
      </c>
      <c r="B67" s="13" t="s">
        <v>68</v>
      </c>
      <c r="C67" s="13" t="n">
        <v>178</v>
      </c>
      <c r="D67" s="13" t="s">
        <v>703</v>
      </c>
      <c r="E67" s="13" t="n">
        <v>1</v>
      </c>
      <c r="F67" s="13" t="s">
        <v>15094</v>
      </c>
      <c r="G67" s="13" t="s">
        <v>15095</v>
      </c>
      <c r="H67" s="13" t="s">
        <v>706</v>
      </c>
      <c r="I67" s="13" t="s">
        <v>707</v>
      </c>
    </row>
    <row r="68" customFormat="false" ht="15" hidden="false" customHeight="false" outlineLevel="0" collapsed="false">
      <c r="A68" s="13" t="s">
        <v>3</v>
      </c>
      <c r="B68" s="13" t="s">
        <v>68</v>
      </c>
      <c r="C68" s="13" t="n">
        <v>178</v>
      </c>
      <c r="D68" s="13" t="s">
        <v>708</v>
      </c>
      <c r="E68" s="13" t="n">
        <v>1</v>
      </c>
      <c r="F68" s="13" t="s">
        <v>15094</v>
      </c>
      <c r="G68" s="13" t="s">
        <v>15095</v>
      </c>
      <c r="H68" s="13" t="s">
        <v>711</v>
      </c>
      <c r="I68" s="13" t="s">
        <v>712</v>
      </c>
    </row>
    <row r="69" customFormat="false" ht="15" hidden="false" customHeight="false" outlineLevel="0" collapsed="false">
      <c r="A69" s="13" t="s">
        <v>3</v>
      </c>
      <c r="B69" s="13" t="s">
        <v>68</v>
      </c>
      <c r="C69" s="13" t="n">
        <v>178</v>
      </c>
      <c r="D69" s="13" t="s">
        <v>713</v>
      </c>
      <c r="E69" s="13" t="n">
        <v>1</v>
      </c>
      <c r="F69" s="13" t="s">
        <v>15094</v>
      </c>
      <c r="G69" s="13" t="s">
        <v>15095</v>
      </c>
      <c r="H69" s="13" t="s">
        <v>717</v>
      </c>
      <c r="I69" s="13" t="s">
        <v>718</v>
      </c>
    </row>
    <row r="70" customFormat="false" ht="35.05" hidden="false" customHeight="false" outlineLevel="0" collapsed="false">
      <c r="A70" s="13" t="s">
        <v>3</v>
      </c>
      <c r="B70" s="13" t="s">
        <v>68</v>
      </c>
      <c r="C70" s="13" t="n">
        <v>178</v>
      </c>
      <c r="D70" s="13" t="s">
        <v>719</v>
      </c>
      <c r="E70" s="13" t="n">
        <v>2</v>
      </c>
      <c r="F70" s="13" t="s">
        <v>15094</v>
      </c>
      <c r="G70" s="13" t="s">
        <v>15095</v>
      </c>
      <c r="H70" s="13" t="s">
        <v>724</v>
      </c>
      <c r="I70" s="13" t="s">
        <v>725</v>
      </c>
    </row>
    <row r="71" customFormat="false" ht="23.85" hidden="false" customHeight="false" outlineLevel="0" collapsed="false">
      <c r="A71" s="13" t="s">
        <v>3</v>
      </c>
      <c r="B71" s="13" t="s">
        <v>68</v>
      </c>
      <c r="C71" s="13" t="n">
        <v>178</v>
      </c>
      <c r="D71" s="13" t="s">
        <v>729</v>
      </c>
      <c r="E71" s="13" t="n">
        <v>2</v>
      </c>
      <c r="F71" s="13" t="s">
        <v>15094</v>
      </c>
      <c r="G71" s="13" t="s">
        <v>15095</v>
      </c>
      <c r="H71" s="13" t="s">
        <v>733</v>
      </c>
      <c r="I71" s="13" t="s">
        <v>734</v>
      </c>
    </row>
    <row r="72" customFormat="false" ht="23.85" hidden="false" customHeight="false" outlineLevel="0" collapsed="false">
      <c r="A72" s="13" t="s">
        <v>3</v>
      </c>
      <c r="B72" s="13" t="s">
        <v>68</v>
      </c>
      <c r="C72" s="13" t="n">
        <v>178</v>
      </c>
      <c r="D72" s="13" t="s">
        <v>738</v>
      </c>
      <c r="E72" s="13" t="n">
        <v>1</v>
      </c>
      <c r="F72" s="13" t="s">
        <v>15094</v>
      </c>
      <c r="G72" s="13" t="s">
        <v>15095</v>
      </c>
      <c r="H72" s="13" t="s">
        <v>740</v>
      </c>
      <c r="I72" s="13" t="s">
        <v>741</v>
      </c>
    </row>
    <row r="73" customFormat="false" ht="23.85" hidden="false" customHeight="false" outlineLevel="0" collapsed="false">
      <c r="A73" s="13" t="s">
        <v>3</v>
      </c>
      <c r="B73" s="13" t="s">
        <v>68</v>
      </c>
      <c r="C73" s="13" t="n">
        <v>178</v>
      </c>
      <c r="D73" s="13" t="s">
        <v>742</v>
      </c>
      <c r="E73" s="13" t="n">
        <v>2</v>
      </c>
      <c r="F73" s="13" t="s">
        <v>15094</v>
      </c>
      <c r="G73" s="13" t="s">
        <v>15095</v>
      </c>
      <c r="H73" s="13" t="s">
        <v>745</v>
      </c>
      <c r="I73" s="13" t="s">
        <v>746</v>
      </c>
    </row>
    <row r="74" customFormat="false" ht="23.85" hidden="false" customHeight="false" outlineLevel="0" collapsed="false">
      <c r="A74" s="13" t="s">
        <v>3</v>
      </c>
      <c r="B74" s="13" t="s">
        <v>68</v>
      </c>
      <c r="C74" s="13" t="n">
        <v>178</v>
      </c>
      <c r="D74" s="13" t="s">
        <v>750</v>
      </c>
      <c r="E74" s="13" t="n">
        <v>1</v>
      </c>
      <c r="F74" s="13" t="s">
        <v>15094</v>
      </c>
      <c r="G74" s="13" t="s">
        <v>15095</v>
      </c>
      <c r="H74" s="13" t="s">
        <v>752</v>
      </c>
      <c r="I74" s="13" t="s">
        <v>753</v>
      </c>
    </row>
    <row r="75" customFormat="false" ht="35.05" hidden="false" customHeight="false" outlineLevel="0" collapsed="false">
      <c r="A75" s="13" t="s">
        <v>3</v>
      </c>
      <c r="B75" s="13" t="s">
        <v>68</v>
      </c>
      <c r="C75" s="13" t="n">
        <v>178</v>
      </c>
      <c r="D75" s="13" t="s">
        <v>754</v>
      </c>
      <c r="E75" s="13" t="n">
        <v>1</v>
      </c>
      <c r="F75" s="13" t="s">
        <v>15094</v>
      </c>
      <c r="G75" s="13" t="s">
        <v>15095</v>
      </c>
      <c r="H75" s="13" t="s">
        <v>758</v>
      </c>
      <c r="I75" s="13" t="s">
        <v>759</v>
      </c>
    </row>
    <row r="76" customFormat="false" ht="15" hidden="false" customHeight="false" outlineLevel="0" collapsed="false">
      <c r="A76" s="13" t="s">
        <v>3</v>
      </c>
      <c r="B76" s="13" t="s">
        <v>68</v>
      </c>
      <c r="C76" s="13" t="n">
        <v>178</v>
      </c>
      <c r="D76" s="13" t="s">
        <v>760</v>
      </c>
      <c r="E76" s="13" t="n">
        <v>1</v>
      </c>
      <c r="F76" s="13" t="s">
        <v>15094</v>
      </c>
      <c r="G76" s="13" t="s">
        <v>15095</v>
      </c>
      <c r="H76" s="13" t="s">
        <v>764</v>
      </c>
      <c r="I76" s="13" t="s">
        <v>765</v>
      </c>
    </row>
    <row r="77" customFormat="false" ht="15" hidden="false" customHeight="false" outlineLevel="0" collapsed="false">
      <c r="A77" s="13" t="s">
        <v>3</v>
      </c>
      <c r="B77" s="13" t="s">
        <v>68</v>
      </c>
      <c r="C77" s="13" t="n">
        <v>178</v>
      </c>
      <c r="D77" s="13" t="s">
        <v>766</v>
      </c>
      <c r="E77" s="13" t="n">
        <v>1</v>
      </c>
      <c r="F77" s="13" t="s">
        <v>15094</v>
      </c>
      <c r="G77" s="13" t="s">
        <v>15095</v>
      </c>
      <c r="H77" s="13" t="s">
        <v>770</v>
      </c>
      <c r="I77" s="13" t="s">
        <v>771</v>
      </c>
    </row>
    <row r="78" customFormat="false" ht="35.05" hidden="false" customHeight="false" outlineLevel="0" collapsed="false">
      <c r="A78" s="13" t="s">
        <v>3</v>
      </c>
      <c r="B78" s="13" t="s">
        <v>68</v>
      </c>
      <c r="C78" s="13" t="n">
        <v>178</v>
      </c>
      <c r="D78" s="13" t="s">
        <v>772</v>
      </c>
      <c r="E78" s="13" t="n">
        <v>2</v>
      </c>
      <c r="F78" s="13" t="s">
        <v>15094</v>
      </c>
      <c r="G78" s="13" t="s">
        <v>15095</v>
      </c>
      <c r="H78" s="13" t="s">
        <v>777</v>
      </c>
      <c r="I78" s="13" t="s">
        <v>778</v>
      </c>
    </row>
    <row r="79" customFormat="false" ht="15" hidden="false" customHeight="false" outlineLevel="0" collapsed="false">
      <c r="A79" s="13" t="s">
        <v>3</v>
      </c>
      <c r="B79" s="13" t="s">
        <v>68</v>
      </c>
      <c r="C79" s="13" t="n">
        <v>178</v>
      </c>
      <c r="D79" s="13" t="s">
        <v>781</v>
      </c>
      <c r="E79" s="13" t="n">
        <v>1</v>
      </c>
      <c r="F79" s="13" t="s">
        <v>15094</v>
      </c>
      <c r="G79" s="13" t="s">
        <v>15095</v>
      </c>
      <c r="H79" s="13" t="s">
        <v>785</v>
      </c>
      <c r="I79" s="13" t="s">
        <v>786</v>
      </c>
    </row>
    <row r="80" customFormat="false" ht="35.05" hidden="false" customHeight="false" outlineLevel="0" collapsed="false">
      <c r="A80" s="13" t="s">
        <v>3</v>
      </c>
      <c r="B80" s="13" t="s">
        <v>68</v>
      </c>
      <c r="C80" s="13" t="n">
        <v>178</v>
      </c>
      <c r="D80" s="13" t="s">
        <v>787</v>
      </c>
      <c r="E80" s="13" t="n">
        <v>1</v>
      </c>
      <c r="F80" s="13" t="s">
        <v>15094</v>
      </c>
      <c r="G80" s="13" t="s">
        <v>15095</v>
      </c>
      <c r="H80" s="13" t="s">
        <v>791</v>
      </c>
      <c r="I80" s="13" t="s">
        <v>792</v>
      </c>
    </row>
    <row r="81" customFormat="false" ht="15" hidden="false" customHeight="false" outlineLevel="0" collapsed="false">
      <c r="A81" s="13" t="s">
        <v>3</v>
      </c>
      <c r="B81" s="13" t="s">
        <v>68</v>
      </c>
      <c r="C81" s="13" t="n">
        <v>178</v>
      </c>
      <c r="D81" s="13" t="s">
        <v>793</v>
      </c>
      <c r="E81" s="13" t="n">
        <v>1</v>
      </c>
      <c r="F81" s="13" t="s">
        <v>15094</v>
      </c>
      <c r="G81" s="13" t="s">
        <v>15095</v>
      </c>
      <c r="H81" s="13" t="s">
        <v>796</v>
      </c>
      <c r="I81" s="13" t="s">
        <v>797</v>
      </c>
    </row>
    <row r="82" customFormat="false" ht="35.05" hidden="false" customHeight="false" outlineLevel="0" collapsed="false">
      <c r="A82" s="13" t="s">
        <v>3</v>
      </c>
      <c r="B82" s="13" t="s">
        <v>68</v>
      </c>
      <c r="C82" s="13" t="n">
        <v>178</v>
      </c>
      <c r="D82" s="13" t="s">
        <v>798</v>
      </c>
      <c r="E82" s="13" t="n">
        <v>1</v>
      </c>
      <c r="F82" s="13" t="s">
        <v>15094</v>
      </c>
      <c r="G82" s="13" t="s">
        <v>15095</v>
      </c>
      <c r="H82" s="13" t="s">
        <v>802</v>
      </c>
      <c r="I82" s="13" t="s">
        <v>803</v>
      </c>
    </row>
    <row r="83" customFormat="false" ht="23.85" hidden="false" customHeight="false" outlineLevel="0" collapsed="false">
      <c r="A83" s="13" t="s">
        <v>3</v>
      </c>
      <c r="B83" s="13" t="s">
        <v>68</v>
      </c>
      <c r="C83" s="13" t="n">
        <v>178</v>
      </c>
      <c r="D83" s="13" t="s">
        <v>804</v>
      </c>
      <c r="E83" s="13" t="n">
        <v>2</v>
      </c>
      <c r="F83" s="13" t="s">
        <v>15094</v>
      </c>
      <c r="G83" s="13" t="s">
        <v>15095</v>
      </c>
      <c r="H83" s="13" t="s">
        <v>809</v>
      </c>
      <c r="I83" s="13" t="s">
        <v>810</v>
      </c>
    </row>
    <row r="84" customFormat="false" ht="35.05" hidden="false" customHeight="false" outlineLevel="0" collapsed="false">
      <c r="A84" s="13" t="s">
        <v>3</v>
      </c>
      <c r="B84" s="13" t="s">
        <v>68</v>
      </c>
      <c r="C84" s="13" t="n">
        <v>178</v>
      </c>
      <c r="D84" s="13" t="s">
        <v>814</v>
      </c>
      <c r="E84" s="13" t="n">
        <v>2</v>
      </c>
      <c r="F84" s="13" t="s">
        <v>15094</v>
      </c>
      <c r="G84" s="13" t="s">
        <v>15095</v>
      </c>
      <c r="H84" s="13" t="s">
        <v>819</v>
      </c>
      <c r="I84" s="13" t="s">
        <v>820</v>
      </c>
    </row>
    <row r="85" customFormat="false" ht="68.65" hidden="false" customHeight="false" outlineLevel="0" collapsed="false">
      <c r="A85" s="13" t="s">
        <v>3</v>
      </c>
      <c r="B85" s="13" t="s">
        <v>68</v>
      </c>
      <c r="C85" s="13" t="n">
        <v>178</v>
      </c>
      <c r="D85" s="13" t="s">
        <v>824</v>
      </c>
      <c r="E85" s="13" t="n">
        <v>2</v>
      </c>
      <c r="F85" s="13" t="s">
        <v>15094</v>
      </c>
      <c r="G85" s="13" t="s">
        <v>15095</v>
      </c>
      <c r="H85" s="13" t="s">
        <v>828</v>
      </c>
      <c r="I85" s="13" t="s">
        <v>829</v>
      </c>
    </row>
    <row r="86" customFormat="false" ht="35.05" hidden="false" customHeight="false" outlineLevel="0" collapsed="false">
      <c r="A86" s="13" t="s">
        <v>3</v>
      </c>
      <c r="B86" s="13" t="s">
        <v>68</v>
      </c>
      <c r="C86" s="13" t="n">
        <v>186</v>
      </c>
      <c r="D86" s="13" t="s">
        <v>833</v>
      </c>
      <c r="E86" s="13" t="n">
        <v>2</v>
      </c>
      <c r="F86" s="13" t="s">
        <v>15094</v>
      </c>
      <c r="G86" s="13" t="s">
        <v>15095</v>
      </c>
      <c r="H86" s="13" t="s">
        <v>838</v>
      </c>
      <c r="I86" s="13" t="s">
        <v>839</v>
      </c>
    </row>
    <row r="87" customFormat="false" ht="23.85" hidden="false" customHeight="false" outlineLevel="0" collapsed="false">
      <c r="A87" s="13" t="s">
        <v>3</v>
      </c>
      <c r="B87" s="13" t="s">
        <v>68</v>
      </c>
      <c r="C87" s="13" t="n">
        <v>186</v>
      </c>
      <c r="D87" s="13" t="s">
        <v>843</v>
      </c>
      <c r="E87" s="13" t="n">
        <v>1</v>
      </c>
      <c r="F87" s="13" t="s">
        <v>15094</v>
      </c>
      <c r="G87" s="13" t="s">
        <v>15095</v>
      </c>
      <c r="H87" s="13" t="s">
        <v>846</v>
      </c>
      <c r="I87" s="13" t="s">
        <v>847</v>
      </c>
    </row>
    <row r="88" customFormat="false" ht="23.85" hidden="false" customHeight="false" outlineLevel="0" collapsed="false">
      <c r="A88" s="13" t="s">
        <v>3</v>
      </c>
      <c r="B88" s="13" t="s">
        <v>68</v>
      </c>
      <c r="C88" s="13" t="n">
        <v>186</v>
      </c>
      <c r="D88" s="13" t="s">
        <v>848</v>
      </c>
      <c r="E88" s="13" t="n">
        <v>1</v>
      </c>
      <c r="F88" s="13" t="s">
        <v>15094</v>
      </c>
      <c r="G88" s="13" t="s">
        <v>15095</v>
      </c>
      <c r="H88" s="13" t="s">
        <v>852</v>
      </c>
      <c r="I88" s="13" t="s">
        <v>853</v>
      </c>
    </row>
    <row r="89" customFormat="false" ht="91" hidden="false" customHeight="false" outlineLevel="0" collapsed="false">
      <c r="A89" s="13" t="s">
        <v>3</v>
      </c>
      <c r="B89" s="13" t="s">
        <v>68</v>
      </c>
      <c r="C89" s="13" t="n">
        <v>186</v>
      </c>
      <c r="D89" s="13" t="s">
        <v>854</v>
      </c>
      <c r="E89" s="13" t="n">
        <v>3</v>
      </c>
      <c r="F89" s="13" t="s">
        <v>15094</v>
      </c>
      <c r="G89" s="13" t="s">
        <v>15095</v>
      </c>
      <c r="H89" s="13" t="s">
        <v>857</v>
      </c>
      <c r="I89" s="13" t="s">
        <v>858</v>
      </c>
    </row>
    <row r="90" customFormat="false" ht="15" hidden="false" customHeight="false" outlineLevel="0" collapsed="false">
      <c r="A90" s="13" t="s">
        <v>3</v>
      </c>
      <c r="B90" s="13" t="s">
        <v>68</v>
      </c>
      <c r="C90" s="13" t="n">
        <v>186</v>
      </c>
      <c r="D90" s="13" t="s">
        <v>866</v>
      </c>
      <c r="E90" s="13" t="n">
        <v>1</v>
      </c>
      <c r="F90" s="13" t="s">
        <v>15094</v>
      </c>
      <c r="G90" s="13" t="s">
        <v>15095</v>
      </c>
      <c r="H90" s="13" t="s">
        <v>870</v>
      </c>
      <c r="I90" s="13" t="s">
        <v>871</v>
      </c>
    </row>
    <row r="91" customFormat="false" ht="79.85" hidden="false" customHeight="false" outlineLevel="0" collapsed="false">
      <c r="A91" s="13" t="s">
        <v>3</v>
      </c>
      <c r="B91" s="13" t="s">
        <v>68</v>
      </c>
      <c r="C91" s="13" t="n">
        <v>186</v>
      </c>
      <c r="D91" s="13" t="s">
        <v>872</v>
      </c>
      <c r="E91" s="13" t="n">
        <v>2</v>
      </c>
      <c r="F91" s="13" t="s">
        <v>15094</v>
      </c>
      <c r="G91" s="13" t="s">
        <v>15095</v>
      </c>
      <c r="H91" s="13" t="s">
        <v>875</v>
      </c>
      <c r="I91" s="13" t="s">
        <v>876</v>
      </c>
    </row>
    <row r="92" customFormat="false" ht="57.45" hidden="false" customHeight="false" outlineLevel="0" collapsed="false">
      <c r="A92" s="13" t="s">
        <v>3</v>
      </c>
      <c r="B92" s="13" t="s">
        <v>68</v>
      </c>
      <c r="C92" s="13" t="n">
        <v>186</v>
      </c>
      <c r="D92" s="13" t="s">
        <v>880</v>
      </c>
      <c r="E92" s="13" t="n">
        <v>3</v>
      </c>
      <c r="F92" s="13" t="s">
        <v>15094</v>
      </c>
      <c r="G92" s="13" t="s">
        <v>15095</v>
      </c>
      <c r="H92" s="13" t="s">
        <v>883</v>
      </c>
      <c r="I92" s="13" t="s">
        <v>884</v>
      </c>
    </row>
    <row r="93" customFormat="false" ht="23.85" hidden="false" customHeight="false" outlineLevel="0" collapsed="false">
      <c r="A93" s="13" t="s">
        <v>3</v>
      </c>
      <c r="B93" s="13" t="s">
        <v>68</v>
      </c>
      <c r="C93" s="13" t="n">
        <v>186</v>
      </c>
      <c r="D93" s="13" t="s">
        <v>891</v>
      </c>
      <c r="E93" s="13" t="n">
        <v>1</v>
      </c>
      <c r="F93" s="13" t="s">
        <v>15094</v>
      </c>
      <c r="G93" s="13" t="s">
        <v>15095</v>
      </c>
      <c r="H93" s="13" t="s">
        <v>895</v>
      </c>
      <c r="I93" s="13" t="s">
        <v>896</v>
      </c>
    </row>
    <row r="94" customFormat="false" ht="15" hidden="false" customHeight="false" outlineLevel="0" collapsed="false">
      <c r="A94" s="13" t="s">
        <v>3</v>
      </c>
      <c r="B94" s="13" t="s">
        <v>68</v>
      </c>
      <c r="C94" s="13" t="n">
        <v>186</v>
      </c>
      <c r="D94" s="13" t="s">
        <v>897</v>
      </c>
      <c r="E94" s="13" t="n">
        <v>1</v>
      </c>
      <c r="F94" s="13" t="s">
        <v>15094</v>
      </c>
      <c r="G94" s="13" t="s">
        <v>15095</v>
      </c>
      <c r="H94" s="13" t="s">
        <v>901</v>
      </c>
      <c r="I94" s="13" t="s">
        <v>902</v>
      </c>
    </row>
    <row r="95" customFormat="false" ht="46.25" hidden="false" customHeight="false" outlineLevel="0" collapsed="false">
      <c r="A95" s="13" t="s">
        <v>3</v>
      </c>
      <c r="B95" s="13" t="s">
        <v>68</v>
      </c>
      <c r="C95" s="13" t="n">
        <v>186</v>
      </c>
      <c r="D95" s="13" t="s">
        <v>903</v>
      </c>
      <c r="E95" s="13" t="n">
        <v>2</v>
      </c>
      <c r="F95" s="13" t="s">
        <v>15094</v>
      </c>
      <c r="G95" s="13" t="s">
        <v>15095</v>
      </c>
      <c r="H95" s="13" t="s">
        <v>906</v>
      </c>
      <c r="I95" s="13" t="s">
        <v>907</v>
      </c>
    </row>
    <row r="96" customFormat="false" ht="91" hidden="false" customHeight="false" outlineLevel="0" collapsed="false">
      <c r="A96" s="13" t="s">
        <v>3</v>
      </c>
      <c r="B96" s="13" t="s">
        <v>68</v>
      </c>
      <c r="C96" s="13" t="n">
        <v>186</v>
      </c>
      <c r="D96" s="13" t="s">
        <v>911</v>
      </c>
      <c r="E96" s="13" t="n">
        <v>3</v>
      </c>
      <c r="F96" s="13" t="s">
        <v>15094</v>
      </c>
      <c r="G96" s="13" t="s">
        <v>15095</v>
      </c>
      <c r="H96" s="13" t="s">
        <v>917</v>
      </c>
      <c r="I96" s="13" t="s">
        <v>918</v>
      </c>
    </row>
    <row r="97" customFormat="false" ht="46.25" hidden="false" customHeight="false" outlineLevel="0" collapsed="false">
      <c r="A97" s="13" t="s">
        <v>3</v>
      </c>
      <c r="B97" s="13" t="s">
        <v>68</v>
      </c>
      <c r="C97" s="13" t="n">
        <v>267</v>
      </c>
      <c r="D97" s="13" t="s">
        <v>926</v>
      </c>
      <c r="E97" s="13" t="n">
        <v>3</v>
      </c>
      <c r="F97" s="13" t="s">
        <v>15094</v>
      </c>
      <c r="G97" s="13" t="s">
        <v>15095</v>
      </c>
      <c r="H97" s="13" t="s">
        <v>931</v>
      </c>
      <c r="I97" s="13" t="s">
        <v>932</v>
      </c>
    </row>
    <row r="98" customFormat="false" ht="23.85" hidden="false" customHeight="false" outlineLevel="0" collapsed="false">
      <c r="A98" s="13" t="s">
        <v>3</v>
      </c>
      <c r="B98" s="13" t="s">
        <v>68</v>
      </c>
      <c r="C98" s="13" t="n">
        <v>267</v>
      </c>
      <c r="D98" s="13" t="s">
        <v>938</v>
      </c>
      <c r="E98" s="13" t="n">
        <v>2</v>
      </c>
      <c r="F98" s="13" t="s">
        <v>15094</v>
      </c>
      <c r="G98" s="13" t="s">
        <v>15095</v>
      </c>
      <c r="H98" s="13" t="s">
        <v>943</v>
      </c>
      <c r="I98" s="13" t="s">
        <v>944</v>
      </c>
    </row>
    <row r="99" customFormat="false" ht="68.65" hidden="false" customHeight="false" outlineLevel="0" collapsed="false">
      <c r="A99" s="13" t="s">
        <v>3</v>
      </c>
      <c r="B99" s="13" t="s">
        <v>68</v>
      </c>
      <c r="C99" s="13" t="n">
        <v>267</v>
      </c>
      <c r="D99" s="13" t="s">
        <v>948</v>
      </c>
      <c r="E99" s="13" t="n">
        <v>3</v>
      </c>
      <c r="F99" s="13" t="s">
        <v>15094</v>
      </c>
      <c r="G99" s="13" t="s">
        <v>15095</v>
      </c>
      <c r="H99" s="13" t="s">
        <v>955</v>
      </c>
      <c r="I99" s="13" t="s">
        <v>956</v>
      </c>
    </row>
    <row r="100" customFormat="false" ht="46.25" hidden="false" customHeight="false" outlineLevel="0" collapsed="false">
      <c r="A100" s="13" t="s">
        <v>3</v>
      </c>
      <c r="B100" s="13" t="s">
        <v>68</v>
      </c>
      <c r="C100" s="13" t="n">
        <v>267</v>
      </c>
      <c r="D100" s="13" t="s">
        <v>963</v>
      </c>
      <c r="E100" s="13" t="n">
        <v>1</v>
      </c>
      <c r="F100" s="13" t="s">
        <v>15094</v>
      </c>
      <c r="G100" s="13" t="s">
        <v>15095</v>
      </c>
      <c r="H100" s="13" t="s">
        <v>967</v>
      </c>
      <c r="I100" s="13" t="s">
        <v>968</v>
      </c>
    </row>
    <row r="101" customFormat="false" ht="46.25" hidden="false" customHeight="false" outlineLevel="0" collapsed="false">
      <c r="A101" s="13" t="s">
        <v>3</v>
      </c>
      <c r="B101" s="13" t="s">
        <v>68</v>
      </c>
      <c r="C101" s="13" t="n">
        <v>267</v>
      </c>
      <c r="D101" s="13" t="s">
        <v>969</v>
      </c>
      <c r="E101" s="13" t="n">
        <v>3</v>
      </c>
      <c r="F101" s="13" t="s">
        <v>15094</v>
      </c>
      <c r="G101" s="13" t="s">
        <v>15095</v>
      </c>
      <c r="H101" s="13" t="s">
        <v>973</v>
      </c>
      <c r="I101" s="13" t="s">
        <v>974</v>
      </c>
    </row>
    <row r="102" customFormat="false" ht="15" hidden="false" customHeight="false" outlineLevel="0" collapsed="false">
      <c r="A102" s="13" t="s">
        <v>3</v>
      </c>
      <c r="B102" s="13" t="s">
        <v>68</v>
      </c>
      <c r="C102" s="13" t="n">
        <v>267</v>
      </c>
      <c r="D102" s="13" t="s">
        <v>980</v>
      </c>
      <c r="E102" s="13" t="n">
        <v>1</v>
      </c>
      <c r="F102" s="13" t="s">
        <v>15094</v>
      </c>
      <c r="G102" s="13" t="s">
        <v>15095</v>
      </c>
      <c r="H102" s="13" t="s">
        <v>984</v>
      </c>
      <c r="I102" s="13" t="s">
        <v>985</v>
      </c>
    </row>
    <row r="103" customFormat="false" ht="35.05" hidden="false" customHeight="false" outlineLevel="0" collapsed="false">
      <c r="A103" s="13" t="s">
        <v>3</v>
      </c>
      <c r="B103" s="13" t="s">
        <v>68</v>
      </c>
      <c r="C103" s="13" t="n">
        <v>267</v>
      </c>
      <c r="D103" s="13" t="s">
        <v>986</v>
      </c>
      <c r="E103" s="13" t="n">
        <v>6</v>
      </c>
      <c r="F103" s="13" t="s">
        <v>15094</v>
      </c>
      <c r="G103" s="13" t="s">
        <v>15095</v>
      </c>
      <c r="H103" s="13" t="s">
        <v>990</v>
      </c>
      <c r="I103" s="13" t="s">
        <v>991</v>
      </c>
    </row>
    <row r="104" customFormat="false" ht="191.75" hidden="false" customHeight="false" outlineLevel="0" collapsed="false">
      <c r="A104" s="13" t="s">
        <v>3</v>
      </c>
      <c r="B104" s="13" t="s">
        <v>68</v>
      </c>
      <c r="C104" s="13" t="n">
        <v>267</v>
      </c>
      <c r="D104" s="13" t="s">
        <v>1002</v>
      </c>
      <c r="E104" s="13" t="n">
        <v>5</v>
      </c>
      <c r="F104" s="13" t="s">
        <v>15094</v>
      </c>
      <c r="G104" s="13" t="s">
        <v>15095</v>
      </c>
      <c r="H104" s="13" t="s">
        <v>1007</v>
      </c>
      <c r="I104" s="13" t="s">
        <v>1008</v>
      </c>
    </row>
    <row r="105" customFormat="false" ht="35.05" hidden="false" customHeight="false" outlineLevel="0" collapsed="false">
      <c r="A105" s="13" t="s">
        <v>3</v>
      </c>
      <c r="B105" s="13" t="s">
        <v>68</v>
      </c>
      <c r="C105" s="13" t="n">
        <v>269</v>
      </c>
      <c r="D105" s="13" t="s">
        <v>1017</v>
      </c>
      <c r="E105" s="13" t="n">
        <v>3</v>
      </c>
      <c r="F105" s="13" t="s">
        <v>15094</v>
      </c>
      <c r="G105" s="13" t="s">
        <v>15095</v>
      </c>
      <c r="H105" s="13" t="s">
        <v>1022</v>
      </c>
      <c r="I105" s="13" t="s">
        <v>1023</v>
      </c>
    </row>
    <row r="106" customFormat="false" ht="46.25" hidden="false" customHeight="false" outlineLevel="0" collapsed="false">
      <c r="A106" s="13" t="s">
        <v>3</v>
      </c>
      <c r="B106" s="13" t="s">
        <v>68</v>
      </c>
      <c r="C106" s="13" t="n">
        <v>269</v>
      </c>
      <c r="D106" s="13" t="s">
        <v>1030</v>
      </c>
      <c r="E106" s="13" t="n">
        <v>3</v>
      </c>
      <c r="F106" s="13" t="s">
        <v>15094</v>
      </c>
      <c r="G106" s="13" t="s">
        <v>15095</v>
      </c>
      <c r="H106" s="13" t="s">
        <v>1035</v>
      </c>
      <c r="I106" s="13" t="s">
        <v>1036</v>
      </c>
    </row>
    <row r="107" customFormat="false" ht="46.25" hidden="false" customHeight="false" outlineLevel="0" collapsed="false">
      <c r="A107" s="13" t="s">
        <v>3</v>
      </c>
      <c r="B107" s="13" t="s">
        <v>68</v>
      </c>
      <c r="C107" s="13" t="n">
        <v>269</v>
      </c>
      <c r="D107" s="13" t="s">
        <v>1043</v>
      </c>
      <c r="E107" s="13" t="n">
        <v>3</v>
      </c>
      <c r="F107" s="13" t="s">
        <v>15094</v>
      </c>
      <c r="G107" s="13" t="s">
        <v>15095</v>
      </c>
      <c r="H107" s="13" t="s">
        <v>1046</v>
      </c>
      <c r="I107" s="13" t="s">
        <v>1047</v>
      </c>
    </row>
    <row r="108" customFormat="false" ht="68.65" hidden="false" customHeight="false" outlineLevel="0" collapsed="false">
      <c r="A108" s="13" t="s">
        <v>3</v>
      </c>
      <c r="B108" s="13" t="s">
        <v>68</v>
      </c>
      <c r="C108" s="13" t="n">
        <v>269</v>
      </c>
      <c r="D108" s="13" t="s">
        <v>1056</v>
      </c>
      <c r="E108" s="13" t="n">
        <v>4</v>
      </c>
      <c r="F108" s="13" t="s">
        <v>15094</v>
      </c>
      <c r="G108" s="13" t="s">
        <v>15095</v>
      </c>
      <c r="H108" s="13" t="s">
        <v>1060</v>
      </c>
      <c r="I108" s="13" t="s">
        <v>1061</v>
      </c>
    </row>
    <row r="109" customFormat="false" ht="35.05" hidden="false" customHeight="false" outlineLevel="0" collapsed="false">
      <c r="A109" s="13" t="s">
        <v>3</v>
      </c>
      <c r="B109" s="13" t="s">
        <v>68</v>
      </c>
      <c r="C109" s="13" t="n">
        <v>269</v>
      </c>
      <c r="D109" s="13" t="s">
        <v>1068</v>
      </c>
      <c r="E109" s="13" t="n">
        <v>1</v>
      </c>
      <c r="F109" s="13" t="s">
        <v>15094</v>
      </c>
      <c r="G109" s="13" t="s">
        <v>15095</v>
      </c>
      <c r="H109" s="13" t="s">
        <v>1071</v>
      </c>
      <c r="I109" s="13" t="s">
        <v>1072</v>
      </c>
    </row>
    <row r="110" customFormat="false" ht="57.45" hidden="false" customHeight="false" outlineLevel="0" collapsed="false">
      <c r="A110" s="13" t="s">
        <v>3</v>
      </c>
      <c r="B110" s="13" t="s">
        <v>68</v>
      </c>
      <c r="C110" s="13" t="n">
        <v>269</v>
      </c>
      <c r="D110" s="13" t="s">
        <v>1073</v>
      </c>
      <c r="E110" s="13" t="n">
        <v>3</v>
      </c>
      <c r="F110" s="13" t="s">
        <v>15094</v>
      </c>
      <c r="G110" s="13" t="s">
        <v>15095</v>
      </c>
      <c r="H110" s="13" t="s">
        <v>1078</v>
      </c>
      <c r="I110" s="13" t="s">
        <v>1079</v>
      </c>
    </row>
    <row r="111" customFormat="false" ht="135.8" hidden="false" customHeight="false" outlineLevel="0" collapsed="false">
      <c r="A111" s="13" t="s">
        <v>3</v>
      </c>
      <c r="B111" s="13" t="s">
        <v>68</v>
      </c>
      <c r="C111" s="13" t="n">
        <v>281</v>
      </c>
      <c r="D111" s="13" t="s">
        <v>1088</v>
      </c>
      <c r="E111" s="13" t="n">
        <v>3</v>
      </c>
      <c r="F111" s="13" t="s">
        <v>15094</v>
      </c>
      <c r="G111" s="13" t="s">
        <v>15095</v>
      </c>
      <c r="H111" s="13" t="s">
        <v>1093</v>
      </c>
      <c r="I111" s="13" t="s">
        <v>1094</v>
      </c>
    </row>
    <row r="112" customFormat="false" ht="46.25" hidden="false" customHeight="false" outlineLevel="0" collapsed="false">
      <c r="A112" s="13" t="s">
        <v>3</v>
      </c>
      <c r="B112" s="13" t="s">
        <v>68</v>
      </c>
      <c r="C112" s="13" t="n">
        <v>281</v>
      </c>
      <c r="D112" s="13" t="s">
        <v>1101</v>
      </c>
      <c r="E112" s="13" t="n">
        <v>2</v>
      </c>
      <c r="F112" s="13" t="s">
        <v>15094</v>
      </c>
      <c r="G112" s="13" t="s">
        <v>15095</v>
      </c>
      <c r="H112" s="13" t="s">
        <v>1104</v>
      </c>
      <c r="I112" s="13" t="s">
        <v>1105</v>
      </c>
    </row>
    <row r="113" customFormat="false" ht="91" hidden="false" customHeight="false" outlineLevel="0" collapsed="false">
      <c r="A113" s="13" t="s">
        <v>3</v>
      </c>
      <c r="B113" s="13" t="s">
        <v>68</v>
      </c>
      <c r="C113" s="13" t="n">
        <v>281</v>
      </c>
      <c r="D113" s="13" t="s">
        <v>1109</v>
      </c>
      <c r="E113" s="13" t="n">
        <v>2</v>
      </c>
      <c r="F113" s="13" t="s">
        <v>15094</v>
      </c>
      <c r="G113" s="13" t="s">
        <v>15095</v>
      </c>
      <c r="H113" s="13" t="s">
        <v>1113</v>
      </c>
      <c r="I113" s="13" t="s">
        <v>1114</v>
      </c>
    </row>
    <row r="114" customFormat="false" ht="102.2" hidden="false" customHeight="false" outlineLevel="0" collapsed="false">
      <c r="A114" s="13" t="s">
        <v>3</v>
      </c>
      <c r="B114" s="13" t="s">
        <v>68</v>
      </c>
      <c r="C114" s="13" t="n">
        <v>281</v>
      </c>
      <c r="D114" s="13" t="s">
        <v>1117</v>
      </c>
      <c r="E114" s="13" t="n">
        <v>2</v>
      </c>
      <c r="F114" s="13" t="s">
        <v>15094</v>
      </c>
      <c r="G114" s="13" t="s">
        <v>15095</v>
      </c>
      <c r="H114" s="13" t="s">
        <v>1120</v>
      </c>
      <c r="I114" s="13" t="s">
        <v>1121</v>
      </c>
    </row>
    <row r="115" customFormat="false" ht="102.2" hidden="false" customHeight="false" outlineLevel="0" collapsed="false">
      <c r="A115" s="13" t="s">
        <v>3</v>
      </c>
      <c r="B115" s="13" t="s">
        <v>68</v>
      </c>
      <c r="C115" s="13" t="n">
        <v>281</v>
      </c>
      <c r="D115" s="13" t="s">
        <v>1124</v>
      </c>
      <c r="E115" s="13" t="n">
        <v>2</v>
      </c>
      <c r="F115" s="13" t="s">
        <v>15094</v>
      </c>
      <c r="G115" s="13" t="s">
        <v>15095</v>
      </c>
      <c r="H115" s="13" t="s">
        <v>1127</v>
      </c>
      <c r="I115" s="13" t="s">
        <v>1128</v>
      </c>
    </row>
    <row r="116" customFormat="false" ht="79.85" hidden="false" customHeight="false" outlineLevel="0" collapsed="false">
      <c r="A116" s="13" t="s">
        <v>3</v>
      </c>
      <c r="B116" s="13" t="s">
        <v>68</v>
      </c>
      <c r="C116" s="13" t="n">
        <v>290</v>
      </c>
      <c r="D116" s="13" t="s">
        <v>1131</v>
      </c>
      <c r="E116" s="13" t="n">
        <v>4</v>
      </c>
      <c r="F116" s="13" t="s">
        <v>15094</v>
      </c>
      <c r="G116" s="13" t="s">
        <v>15095</v>
      </c>
      <c r="H116" s="13" t="s">
        <v>1136</v>
      </c>
      <c r="I116" s="13" t="s">
        <v>1137</v>
      </c>
    </row>
    <row r="117" customFormat="false" ht="68.65" hidden="false" customHeight="false" outlineLevel="0" collapsed="false">
      <c r="A117" s="13" t="s">
        <v>3</v>
      </c>
      <c r="B117" s="13" t="s">
        <v>68</v>
      </c>
      <c r="C117" s="13" t="n">
        <v>290</v>
      </c>
      <c r="D117" s="13" t="s">
        <v>1148</v>
      </c>
      <c r="E117" s="13" t="n">
        <v>4</v>
      </c>
      <c r="F117" s="13" t="s">
        <v>15094</v>
      </c>
      <c r="G117" s="13" t="s">
        <v>15095</v>
      </c>
      <c r="H117" s="13" t="s">
        <v>1152</v>
      </c>
      <c r="I117" s="13" t="s">
        <v>1153</v>
      </c>
    </row>
    <row r="118" customFormat="false" ht="147" hidden="false" customHeight="false" outlineLevel="0" collapsed="false">
      <c r="A118" s="13" t="s">
        <v>3</v>
      </c>
      <c r="B118" s="13" t="s">
        <v>68</v>
      </c>
      <c r="C118" s="13" t="n">
        <v>290</v>
      </c>
      <c r="D118" s="13" t="s">
        <v>1162</v>
      </c>
      <c r="E118" s="13" t="n">
        <v>4</v>
      </c>
      <c r="F118" s="13" t="s">
        <v>15094</v>
      </c>
      <c r="G118" s="13" t="s">
        <v>15095</v>
      </c>
      <c r="H118" s="13" t="s">
        <v>1166</v>
      </c>
      <c r="I118" s="13" t="s">
        <v>1167</v>
      </c>
    </row>
    <row r="119" customFormat="false" ht="147" hidden="false" customHeight="false" outlineLevel="0" collapsed="false">
      <c r="A119" s="13" t="s">
        <v>3</v>
      </c>
      <c r="B119" s="13" t="s">
        <v>68</v>
      </c>
      <c r="C119" s="13" t="n">
        <v>290</v>
      </c>
      <c r="D119" s="13" t="s">
        <v>1175</v>
      </c>
      <c r="E119" s="13" t="n">
        <v>5</v>
      </c>
      <c r="F119" s="13" t="s">
        <v>15094</v>
      </c>
      <c r="G119" s="13" t="s">
        <v>15095</v>
      </c>
      <c r="H119" s="13" t="s">
        <v>1179</v>
      </c>
      <c r="I119" s="13" t="s">
        <v>1180</v>
      </c>
    </row>
    <row r="120" customFormat="false" ht="68.65" hidden="false" customHeight="false" outlineLevel="0" collapsed="false">
      <c r="A120" s="13" t="s">
        <v>3</v>
      </c>
      <c r="B120" s="13" t="s">
        <v>68</v>
      </c>
      <c r="C120" s="13" t="n">
        <v>303</v>
      </c>
      <c r="D120" s="13" t="s">
        <v>1192</v>
      </c>
      <c r="E120" s="13" t="n">
        <v>4</v>
      </c>
      <c r="F120" s="13" t="s">
        <v>15094</v>
      </c>
      <c r="G120" s="13" t="s">
        <v>15095</v>
      </c>
      <c r="H120" s="13" t="s">
        <v>1197</v>
      </c>
      <c r="I120" s="13" t="s">
        <v>1198</v>
      </c>
    </row>
    <row r="121" customFormat="false" ht="102.2" hidden="false" customHeight="false" outlineLevel="0" collapsed="false">
      <c r="A121" s="13" t="s">
        <v>3</v>
      </c>
      <c r="B121" s="13" t="s">
        <v>68</v>
      </c>
      <c r="C121" s="13" t="n">
        <v>303</v>
      </c>
      <c r="D121" s="13" t="s">
        <v>1211</v>
      </c>
      <c r="E121" s="13" t="n">
        <v>3</v>
      </c>
      <c r="F121" s="13" t="s">
        <v>15094</v>
      </c>
      <c r="G121" s="13" t="s">
        <v>15095</v>
      </c>
      <c r="H121" s="13" t="s">
        <v>1216</v>
      </c>
      <c r="I121" s="13" t="s">
        <v>1217</v>
      </c>
    </row>
    <row r="122" customFormat="false" ht="91" hidden="false" customHeight="false" outlineLevel="0" collapsed="false">
      <c r="A122" s="13" t="s">
        <v>3</v>
      </c>
      <c r="B122" s="13" t="s">
        <v>68</v>
      </c>
      <c r="C122" s="13" t="n">
        <v>303</v>
      </c>
      <c r="D122" s="13" t="s">
        <v>1226</v>
      </c>
      <c r="E122" s="13" t="n">
        <v>4</v>
      </c>
      <c r="F122" s="13" t="s">
        <v>15094</v>
      </c>
      <c r="G122" s="13" t="s">
        <v>15095</v>
      </c>
      <c r="H122" s="13" t="s">
        <v>1231</v>
      </c>
      <c r="I122" s="13" t="s">
        <v>1232</v>
      </c>
    </row>
    <row r="123" customFormat="false" ht="46.25" hidden="false" customHeight="false" outlineLevel="0" collapsed="false">
      <c r="A123" s="13" t="s">
        <v>3</v>
      </c>
      <c r="B123" s="13" t="s">
        <v>68</v>
      </c>
      <c r="C123" s="13" t="n">
        <v>303</v>
      </c>
      <c r="D123" s="13" t="s">
        <v>1241</v>
      </c>
      <c r="E123" s="13" t="n">
        <v>2</v>
      </c>
      <c r="F123" s="13" t="s">
        <v>15094</v>
      </c>
      <c r="G123" s="13" t="s">
        <v>15095</v>
      </c>
      <c r="H123" s="13" t="s">
        <v>1244</v>
      </c>
      <c r="I123" s="13" t="s">
        <v>1245</v>
      </c>
    </row>
    <row r="124" customFormat="false" ht="68.65" hidden="false" customHeight="false" outlineLevel="0" collapsed="false">
      <c r="A124" s="13" t="s">
        <v>3</v>
      </c>
      <c r="B124" s="13" t="s">
        <v>68</v>
      </c>
      <c r="C124" s="13" t="n">
        <v>311</v>
      </c>
      <c r="D124" s="13" t="s">
        <v>1249</v>
      </c>
      <c r="E124" s="13" t="n">
        <v>3</v>
      </c>
      <c r="F124" s="13" t="s">
        <v>15094</v>
      </c>
      <c r="G124" s="13" t="s">
        <v>15095</v>
      </c>
      <c r="H124" s="13" t="s">
        <v>1252</v>
      </c>
      <c r="I124" s="13" t="s">
        <v>1253</v>
      </c>
    </row>
    <row r="125" customFormat="false" ht="102.2" hidden="false" customHeight="false" outlineLevel="0" collapsed="false">
      <c r="A125" s="13" t="s">
        <v>3</v>
      </c>
      <c r="B125" s="13" t="s">
        <v>68</v>
      </c>
      <c r="C125" s="13" t="n">
        <v>311</v>
      </c>
      <c r="D125" s="13" t="s">
        <v>1260</v>
      </c>
      <c r="E125" s="13" t="n">
        <v>3</v>
      </c>
      <c r="F125" s="13" t="s">
        <v>15094</v>
      </c>
      <c r="G125" s="13" t="s">
        <v>15095</v>
      </c>
      <c r="H125" s="13" t="s">
        <v>1264</v>
      </c>
      <c r="I125" s="13" t="s">
        <v>1265</v>
      </c>
    </row>
    <row r="126" customFormat="false" ht="393.25" hidden="false" customHeight="false" outlineLevel="0" collapsed="false">
      <c r="A126" s="13" t="s">
        <v>3</v>
      </c>
      <c r="B126" s="13" t="s">
        <v>68</v>
      </c>
      <c r="C126" s="13" t="n">
        <v>311</v>
      </c>
      <c r="D126" s="13" t="s">
        <v>1270</v>
      </c>
      <c r="E126" s="13" t="n">
        <v>7</v>
      </c>
      <c r="F126" s="13" t="s">
        <v>15094</v>
      </c>
      <c r="G126" s="13" t="s">
        <v>15095</v>
      </c>
      <c r="H126" s="13" t="s">
        <v>1275</v>
      </c>
      <c r="I126" s="13" t="s">
        <v>1276</v>
      </c>
    </row>
    <row r="127" customFormat="false" ht="23.85" hidden="false" customHeight="false" outlineLevel="0" collapsed="false">
      <c r="A127" s="13" t="s">
        <v>3</v>
      </c>
      <c r="B127" s="13" t="s">
        <v>68</v>
      </c>
      <c r="C127" s="13" t="n">
        <v>326</v>
      </c>
      <c r="D127" s="13" t="s">
        <v>1295</v>
      </c>
      <c r="E127" s="13" t="n">
        <v>2</v>
      </c>
      <c r="F127" s="13" t="s">
        <v>15094</v>
      </c>
      <c r="G127" s="13" t="s">
        <v>15095</v>
      </c>
      <c r="H127" s="13" t="s">
        <v>1299</v>
      </c>
      <c r="I127" s="13" t="s">
        <v>1300</v>
      </c>
    </row>
    <row r="128" customFormat="false" ht="15" hidden="false" customHeight="false" outlineLevel="0" collapsed="false">
      <c r="A128" s="13" t="s">
        <v>3</v>
      </c>
      <c r="B128" s="13" t="s">
        <v>68</v>
      </c>
      <c r="C128" s="13" t="n">
        <v>326</v>
      </c>
      <c r="D128" s="13" t="s">
        <v>1305</v>
      </c>
      <c r="E128" s="13" t="n">
        <v>1</v>
      </c>
      <c r="F128" s="13" t="s">
        <v>15094</v>
      </c>
      <c r="G128" s="13" t="s">
        <v>15095</v>
      </c>
      <c r="H128" s="13" t="s">
        <v>1310</v>
      </c>
      <c r="I128" s="13" t="s">
        <v>1311</v>
      </c>
    </row>
    <row r="129" customFormat="false" ht="91" hidden="false" customHeight="false" outlineLevel="0" collapsed="false">
      <c r="A129" s="13" t="s">
        <v>3</v>
      </c>
      <c r="B129" s="13" t="s">
        <v>68</v>
      </c>
      <c r="C129" s="13" t="n">
        <v>326</v>
      </c>
      <c r="D129" s="13" t="s">
        <v>1312</v>
      </c>
      <c r="E129" s="13" t="n">
        <v>3</v>
      </c>
      <c r="F129" s="13" t="s">
        <v>15094</v>
      </c>
      <c r="G129" s="13" t="s">
        <v>15095</v>
      </c>
      <c r="H129" s="13" t="s">
        <v>1317</v>
      </c>
      <c r="I129" s="13" t="s">
        <v>1318</v>
      </c>
    </row>
    <row r="130" customFormat="false" ht="46.25" hidden="false" customHeight="false" outlineLevel="0" collapsed="false">
      <c r="A130" s="13" t="s">
        <v>3</v>
      </c>
      <c r="B130" s="13" t="s">
        <v>68</v>
      </c>
      <c r="C130" s="13" t="n">
        <v>326</v>
      </c>
      <c r="D130" s="13" t="s">
        <v>1325</v>
      </c>
      <c r="E130" s="13" t="n">
        <v>1</v>
      </c>
      <c r="F130" s="13" t="s">
        <v>15094</v>
      </c>
      <c r="G130" s="13" t="s">
        <v>15095</v>
      </c>
      <c r="H130" s="13" t="s">
        <v>1329</v>
      </c>
      <c r="I130" s="13" t="s">
        <v>1330</v>
      </c>
    </row>
    <row r="131" customFormat="false" ht="79.85" hidden="false" customHeight="false" outlineLevel="0" collapsed="false">
      <c r="A131" s="13" t="s">
        <v>3</v>
      </c>
      <c r="B131" s="13" t="s">
        <v>68</v>
      </c>
      <c r="C131" s="13" t="n">
        <v>326</v>
      </c>
      <c r="D131" s="13" t="s">
        <v>1331</v>
      </c>
      <c r="E131" s="13" t="n">
        <v>3</v>
      </c>
      <c r="F131" s="13" t="s">
        <v>15094</v>
      </c>
      <c r="G131" s="13" t="s">
        <v>15095</v>
      </c>
      <c r="H131" s="13" t="s">
        <v>1334</v>
      </c>
      <c r="I131" s="13" t="s">
        <v>1335</v>
      </c>
    </row>
    <row r="132" customFormat="false" ht="23.85" hidden="false" customHeight="false" outlineLevel="0" collapsed="false">
      <c r="A132" s="13" t="s">
        <v>3</v>
      </c>
      <c r="B132" s="13" t="s">
        <v>68</v>
      </c>
      <c r="C132" s="13" t="n">
        <v>326</v>
      </c>
      <c r="D132" s="13" t="s">
        <v>1342</v>
      </c>
      <c r="E132" s="13" t="n">
        <v>3</v>
      </c>
      <c r="F132" s="13" t="s">
        <v>15094</v>
      </c>
      <c r="G132" s="13" t="s">
        <v>15095</v>
      </c>
      <c r="H132" s="13" t="s">
        <v>1346</v>
      </c>
      <c r="I132" s="13" t="s">
        <v>1347</v>
      </c>
    </row>
    <row r="133" customFormat="false" ht="147" hidden="false" customHeight="false" outlineLevel="0" collapsed="false">
      <c r="A133" s="13" t="s">
        <v>3</v>
      </c>
      <c r="B133" s="13" t="s">
        <v>68</v>
      </c>
      <c r="C133" s="13" t="n">
        <v>326</v>
      </c>
      <c r="D133" s="13" t="s">
        <v>1352</v>
      </c>
      <c r="E133" s="13" t="n">
        <v>4</v>
      </c>
      <c r="F133" s="13" t="s">
        <v>15094</v>
      </c>
      <c r="G133" s="13" t="s">
        <v>15095</v>
      </c>
      <c r="H133" s="13" t="s">
        <v>1356</v>
      </c>
      <c r="I133" s="13" t="s">
        <v>1357</v>
      </c>
    </row>
    <row r="134" customFormat="false" ht="102.2" hidden="false" customHeight="false" outlineLevel="0" collapsed="false">
      <c r="A134" s="13" t="s">
        <v>3</v>
      </c>
      <c r="B134" s="13" t="s">
        <v>68</v>
      </c>
      <c r="C134" s="13" t="n">
        <v>332</v>
      </c>
      <c r="D134" s="13" t="s">
        <v>1366</v>
      </c>
      <c r="E134" s="13" t="n">
        <v>3</v>
      </c>
      <c r="F134" s="13" t="s">
        <v>15094</v>
      </c>
      <c r="G134" s="13" t="s">
        <v>15095</v>
      </c>
      <c r="H134" s="13" t="s">
        <v>1371</v>
      </c>
      <c r="I134" s="13" t="s">
        <v>1372</v>
      </c>
    </row>
    <row r="135" customFormat="false" ht="23.85" hidden="false" customHeight="false" outlineLevel="0" collapsed="false">
      <c r="A135" s="13" t="s">
        <v>3</v>
      </c>
      <c r="B135" s="13" t="s">
        <v>68</v>
      </c>
      <c r="C135" s="13" t="n">
        <v>332</v>
      </c>
      <c r="D135" s="13" t="s">
        <v>1381</v>
      </c>
      <c r="E135" s="13" t="n">
        <v>1</v>
      </c>
      <c r="F135" s="13" t="s">
        <v>15094</v>
      </c>
      <c r="G135" s="13" t="s">
        <v>15095</v>
      </c>
      <c r="H135" s="13" t="s">
        <v>1386</v>
      </c>
      <c r="I135" s="13" t="s">
        <v>1387</v>
      </c>
    </row>
    <row r="136" customFormat="false" ht="91" hidden="false" customHeight="false" outlineLevel="0" collapsed="false">
      <c r="A136" s="13" t="s">
        <v>3</v>
      </c>
      <c r="B136" s="13" t="s">
        <v>68</v>
      </c>
      <c r="C136" s="13" t="n">
        <v>332</v>
      </c>
      <c r="D136" s="13" t="s">
        <v>1388</v>
      </c>
      <c r="E136" s="13" t="n">
        <v>4</v>
      </c>
      <c r="F136" s="13" t="s">
        <v>15094</v>
      </c>
      <c r="G136" s="13" t="s">
        <v>15095</v>
      </c>
      <c r="H136" s="13" t="s">
        <v>1392</v>
      </c>
      <c r="I136" s="13" t="s">
        <v>1393</v>
      </c>
    </row>
    <row r="137" customFormat="false" ht="91" hidden="false" customHeight="false" outlineLevel="0" collapsed="false">
      <c r="A137" s="13" t="s">
        <v>3</v>
      </c>
      <c r="B137" s="13" t="s">
        <v>68</v>
      </c>
      <c r="C137" s="13" t="n">
        <v>332</v>
      </c>
      <c r="D137" s="13" t="s">
        <v>1402</v>
      </c>
      <c r="E137" s="13" t="n">
        <v>4</v>
      </c>
      <c r="F137" s="13" t="s">
        <v>15094</v>
      </c>
      <c r="G137" s="13" t="s">
        <v>15095</v>
      </c>
      <c r="H137" s="13" t="s">
        <v>1406</v>
      </c>
      <c r="I137" s="13" t="s">
        <v>1407</v>
      </c>
    </row>
    <row r="138" customFormat="false" ht="91" hidden="false" customHeight="false" outlineLevel="0" collapsed="false">
      <c r="A138" s="13" t="s">
        <v>3</v>
      </c>
      <c r="B138" s="13" t="s">
        <v>68</v>
      </c>
      <c r="C138" s="13" t="n">
        <v>332</v>
      </c>
      <c r="D138" s="13" t="s">
        <v>1416</v>
      </c>
      <c r="E138" s="13" t="n">
        <v>3</v>
      </c>
      <c r="F138" s="13" t="s">
        <v>15094</v>
      </c>
      <c r="G138" s="13" t="s">
        <v>15095</v>
      </c>
      <c r="H138" s="13" t="s">
        <v>1419</v>
      </c>
      <c r="I138" s="13" t="s">
        <v>1420</v>
      </c>
    </row>
    <row r="139" customFormat="false" ht="46.25" hidden="false" customHeight="false" outlineLevel="0" collapsed="false">
      <c r="A139" s="13" t="s">
        <v>3</v>
      </c>
      <c r="B139" s="13" t="s">
        <v>68</v>
      </c>
      <c r="C139" s="13" t="n">
        <v>332</v>
      </c>
      <c r="D139" s="13" t="s">
        <v>1426</v>
      </c>
      <c r="E139" s="13" t="n">
        <v>2</v>
      </c>
      <c r="F139" s="13" t="s">
        <v>15094</v>
      </c>
      <c r="G139" s="13" t="s">
        <v>15095</v>
      </c>
      <c r="H139" s="13" t="s">
        <v>1429</v>
      </c>
      <c r="I139" s="13" t="s">
        <v>1430</v>
      </c>
    </row>
    <row r="140" customFormat="false" ht="191.75" hidden="false" customHeight="false" outlineLevel="0" collapsed="false">
      <c r="A140" s="13" t="s">
        <v>3</v>
      </c>
      <c r="B140" s="13" t="s">
        <v>68</v>
      </c>
      <c r="C140" s="13" t="n">
        <v>354</v>
      </c>
      <c r="D140" s="13" t="s">
        <v>1432</v>
      </c>
      <c r="E140" s="13" t="n">
        <v>4</v>
      </c>
      <c r="F140" s="13" t="s">
        <v>15094</v>
      </c>
      <c r="G140" s="13" t="s">
        <v>15095</v>
      </c>
      <c r="H140" s="13" t="s">
        <v>1436</v>
      </c>
      <c r="I140" s="13" t="s">
        <v>1437</v>
      </c>
    </row>
    <row r="141" customFormat="false" ht="102.2" hidden="false" customHeight="false" outlineLevel="0" collapsed="false">
      <c r="A141" s="13" t="s">
        <v>3</v>
      </c>
      <c r="B141" s="13" t="s">
        <v>68</v>
      </c>
      <c r="C141" s="13" t="n">
        <v>354</v>
      </c>
      <c r="D141" s="13" t="s">
        <v>1450</v>
      </c>
      <c r="E141" s="13" t="n">
        <v>4</v>
      </c>
      <c r="F141" s="13" t="s">
        <v>15094</v>
      </c>
      <c r="G141" s="13" t="s">
        <v>15095</v>
      </c>
      <c r="H141" s="13" t="s">
        <v>1453</v>
      </c>
      <c r="I141" s="13" t="s">
        <v>1454</v>
      </c>
    </row>
    <row r="142" customFormat="false" ht="91" hidden="false" customHeight="false" outlineLevel="0" collapsed="false">
      <c r="A142" s="13" t="s">
        <v>3</v>
      </c>
      <c r="B142" s="13" t="s">
        <v>68</v>
      </c>
      <c r="C142" s="13" t="n">
        <v>354</v>
      </c>
      <c r="D142" s="13" t="s">
        <v>1464</v>
      </c>
      <c r="E142" s="13" t="n">
        <v>6</v>
      </c>
      <c r="F142" s="13" t="s">
        <v>15094</v>
      </c>
      <c r="G142" s="13" t="s">
        <v>15095</v>
      </c>
      <c r="H142" s="13" t="s">
        <v>1468</v>
      </c>
      <c r="I142" s="13" t="s">
        <v>1469</v>
      </c>
    </row>
    <row r="143" customFormat="false" ht="79.85" hidden="false" customHeight="false" outlineLevel="0" collapsed="false">
      <c r="A143" s="13" t="s">
        <v>3</v>
      </c>
      <c r="B143" s="13" t="s">
        <v>68</v>
      </c>
      <c r="C143" s="13" t="n">
        <v>363</v>
      </c>
      <c r="D143" s="13" t="s">
        <v>1483</v>
      </c>
      <c r="E143" s="13" t="n">
        <v>4</v>
      </c>
      <c r="F143" s="13" t="s">
        <v>15094</v>
      </c>
      <c r="G143" s="13" t="s">
        <v>15095</v>
      </c>
      <c r="H143" s="13" t="s">
        <v>1489</v>
      </c>
      <c r="I143" s="13" t="s">
        <v>1490</v>
      </c>
    </row>
    <row r="144" customFormat="false" ht="46.25" hidden="false" customHeight="false" outlineLevel="0" collapsed="false">
      <c r="A144" s="13" t="s">
        <v>3</v>
      </c>
      <c r="B144" s="13" t="s">
        <v>68</v>
      </c>
      <c r="C144" s="13" t="n">
        <v>363</v>
      </c>
      <c r="D144" s="13" t="s">
        <v>1500</v>
      </c>
      <c r="E144" s="13" t="n">
        <v>3</v>
      </c>
      <c r="F144" s="13" t="s">
        <v>15094</v>
      </c>
      <c r="G144" s="13" t="s">
        <v>15095</v>
      </c>
      <c r="H144" s="13" t="s">
        <v>1503</v>
      </c>
      <c r="I144" s="13" t="s">
        <v>1504</v>
      </c>
    </row>
    <row r="145" customFormat="false" ht="135.8" hidden="false" customHeight="false" outlineLevel="0" collapsed="false">
      <c r="A145" s="13" t="s">
        <v>3</v>
      </c>
      <c r="B145" s="13" t="s">
        <v>68</v>
      </c>
      <c r="C145" s="13" t="n">
        <v>363</v>
      </c>
      <c r="D145" s="13" t="s">
        <v>1510</v>
      </c>
      <c r="E145" s="13" t="n">
        <v>3</v>
      </c>
      <c r="F145" s="13" t="s">
        <v>15094</v>
      </c>
      <c r="G145" s="13" t="s">
        <v>15095</v>
      </c>
      <c r="H145" s="13" t="s">
        <v>1514</v>
      </c>
      <c r="I145" s="13" t="s">
        <v>1515</v>
      </c>
    </row>
    <row r="146" customFormat="false" ht="147" hidden="false" customHeight="false" outlineLevel="0" collapsed="false">
      <c r="A146" s="13" t="s">
        <v>3</v>
      </c>
      <c r="B146" s="13" t="s">
        <v>68</v>
      </c>
      <c r="C146" s="13" t="n">
        <v>363</v>
      </c>
      <c r="D146" s="13" t="s">
        <v>1523</v>
      </c>
      <c r="E146" s="13" t="n">
        <v>3</v>
      </c>
      <c r="F146" s="13" t="s">
        <v>15094</v>
      </c>
      <c r="G146" s="13" t="s">
        <v>15095</v>
      </c>
      <c r="H146" s="13" t="s">
        <v>1527</v>
      </c>
      <c r="I146" s="13" t="s">
        <v>1528</v>
      </c>
    </row>
    <row r="147" customFormat="false" ht="135.8" hidden="false" customHeight="false" outlineLevel="0" collapsed="false">
      <c r="A147" s="13" t="s">
        <v>3</v>
      </c>
      <c r="B147" s="13" t="s">
        <v>68</v>
      </c>
      <c r="C147" s="13" t="n">
        <v>363</v>
      </c>
      <c r="D147" s="13" t="s">
        <v>1534</v>
      </c>
      <c r="E147" s="13" t="n">
        <v>6</v>
      </c>
      <c r="F147" s="13" t="s">
        <v>15094</v>
      </c>
      <c r="G147" s="13" t="s">
        <v>15095</v>
      </c>
      <c r="H147" s="13" t="s">
        <v>1539</v>
      </c>
      <c r="I147" s="13" t="s">
        <v>1540</v>
      </c>
    </row>
    <row r="148" customFormat="false" ht="57.45" hidden="false" customHeight="false" outlineLevel="0" collapsed="false">
      <c r="A148" s="13" t="s">
        <v>3</v>
      </c>
      <c r="B148" s="13" t="s">
        <v>68</v>
      </c>
      <c r="C148" s="13" t="n">
        <v>366</v>
      </c>
      <c r="D148" s="13" t="s">
        <v>1561</v>
      </c>
      <c r="E148" s="13" t="n">
        <v>2</v>
      </c>
      <c r="F148" s="13" t="s">
        <v>15094</v>
      </c>
      <c r="G148" s="13" t="s">
        <v>15095</v>
      </c>
      <c r="H148" s="13" t="s">
        <v>1567</v>
      </c>
      <c r="I148" s="13" t="s">
        <v>1568</v>
      </c>
    </row>
    <row r="149" customFormat="false" ht="23.85" hidden="false" customHeight="false" outlineLevel="0" collapsed="false">
      <c r="A149" s="13" t="s">
        <v>3</v>
      </c>
      <c r="B149" s="13" t="s">
        <v>68</v>
      </c>
      <c r="C149" s="13" t="n">
        <v>366</v>
      </c>
      <c r="D149" s="13" t="s">
        <v>1573</v>
      </c>
      <c r="E149" s="13" t="n">
        <v>1</v>
      </c>
      <c r="F149" s="13" t="s">
        <v>15094</v>
      </c>
      <c r="G149" s="13" t="s">
        <v>15095</v>
      </c>
      <c r="H149" s="13" t="s">
        <v>1578</v>
      </c>
      <c r="I149" s="13" t="s">
        <v>1579</v>
      </c>
    </row>
    <row r="150" customFormat="false" ht="124.6" hidden="false" customHeight="false" outlineLevel="0" collapsed="false">
      <c r="A150" s="13" t="s">
        <v>3</v>
      </c>
      <c r="B150" s="13" t="s">
        <v>68</v>
      </c>
      <c r="C150" s="13" t="n">
        <v>366</v>
      </c>
      <c r="D150" s="13" t="s">
        <v>1580</v>
      </c>
      <c r="E150" s="13" t="n">
        <v>6</v>
      </c>
      <c r="F150" s="13" t="s">
        <v>15094</v>
      </c>
      <c r="G150" s="13" t="s">
        <v>15095</v>
      </c>
      <c r="H150" s="13" t="s">
        <v>1584</v>
      </c>
      <c r="I150" s="13" t="s">
        <v>1585</v>
      </c>
    </row>
    <row r="151" customFormat="false" ht="79.85" hidden="false" customHeight="false" outlineLevel="0" collapsed="false">
      <c r="A151" s="13" t="s">
        <v>3</v>
      </c>
      <c r="B151" s="13" t="s">
        <v>68</v>
      </c>
      <c r="C151" s="13" t="n">
        <v>366</v>
      </c>
      <c r="D151" s="13" t="s">
        <v>1602</v>
      </c>
      <c r="E151" s="13" t="n">
        <v>3</v>
      </c>
      <c r="F151" s="13" t="s">
        <v>15094</v>
      </c>
      <c r="G151" s="13" t="s">
        <v>15095</v>
      </c>
      <c r="H151" s="13" t="s">
        <v>1606</v>
      </c>
      <c r="I151" s="13" t="s">
        <v>1607</v>
      </c>
    </row>
    <row r="152" customFormat="false" ht="23.85" hidden="false" customHeight="false" outlineLevel="0" collapsed="false">
      <c r="A152" s="13" t="s">
        <v>3</v>
      </c>
      <c r="B152" s="13" t="s">
        <v>68</v>
      </c>
      <c r="C152" s="13" t="n">
        <v>373</v>
      </c>
      <c r="D152" s="13" t="s">
        <v>1611</v>
      </c>
      <c r="E152" s="13" t="n">
        <v>2</v>
      </c>
      <c r="F152" s="13" t="s">
        <v>15094</v>
      </c>
      <c r="G152" s="13" t="s">
        <v>15095</v>
      </c>
      <c r="H152" s="13" t="s">
        <v>1615</v>
      </c>
      <c r="I152" s="13" t="s">
        <v>1616</v>
      </c>
    </row>
    <row r="153" customFormat="false" ht="23.85" hidden="false" customHeight="false" outlineLevel="0" collapsed="false">
      <c r="A153" s="13" t="s">
        <v>3</v>
      </c>
      <c r="B153" s="13" t="s">
        <v>68</v>
      </c>
      <c r="C153" s="13" t="n">
        <v>373</v>
      </c>
      <c r="D153" s="13" t="s">
        <v>1620</v>
      </c>
      <c r="E153" s="13" t="n">
        <v>2</v>
      </c>
      <c r="F153" s="13" t="s">
        <v>15094</v>
      </c>
      <c r="G153" s="13" t="s">
        <v>15095</v>
      </c>
      <c r="H153" s="13" t="s">
        <v>1624</v>
      </c>
      <c r="I153" s="13" t="s">
        <v>1625</v>
      </c>
    </row>
    <row r="154" customFormat="false" ht="35.05" hidden="false" customHeight="false" outlineLevel="0" collapsed="false">
      <c r="A154" s="13" t="s">
        <v>3</v>
      </c>
      <c r="B154" s="13" t="s">
        <v>68</v>
      </c>
      <c r="C154" s="13" t="n">
        <v>373</v>
      </c>
      <c r="D154" s="13" t="s">
        <v>1628</v>
      </c>
      <c r="E154" s="13" t="n">
        <v>2</v>
      </c>
      <c r="F154" s="13" t="s">
        <v>15094</v>
      </c>
      <c r="G154" s="13" t="s">
        <v>15095</v>
      </c>
      <c r="H154" s="13" t="s">
        <v>1631</v>
      </c>
      <c r="I154" s="13" t="s">
        <v>1632</v>
      </c>
    </row>
    <row r="155" customFormat="false" ht="23.85" hidden="false" customHeight="false" outlineLevel="0" collapsed="false">
      <c r="A155" s="13" t="s">
        <v>3</v>
      </c>
      <c r="B155" s="13" t="s">
        <v>68</v>
      </c>
      <c r="C155" s="13" t="n">
        <v>373</v>
      </c>
      <c r="D155" s="13" t="s">
        <v>1634</v>
      </c>
      <c r="E155" s="13" t="n">
        <v>2</v>
      </c>
      <c r="F155" s="13" t="s">
        <v>15094</v>
      </c>
      <c r="G155" s="13" t="s">
        <v>15095</v>
      </c>
      <c r="H155" s="13" t="s">
        <v>1637</v>
      </c>
      <c r="I155" s="13" t="s">
        <v>1638</v>
      </c>
    </row>
    <row r="156" customFormat="false" ht="35.05" hidden="false" customHeight="false" outlineLevel="0" collapsed="false">
      <c r="A156" s="13" t="s">
        <v>3</v>
      </c>
      <c r="B156" s="13" t="s">
        <v>68</v>
      </c>
      <c r="C156" s="13" t="n">
        <v>373</v>
      </c>
      <c r="D156" s="13" t="s">
        <v>1640</v>
      </c>
      <c r="E156" s="13" t="n">
        <v>2</v>
      </c>
      <c r="F156" s="13" t="s">
        <v>15094</v>
      </c>
      <c r="G156" s="13" t="s">
        <v>15095</v>
      </c>
      <c r="H156" s="13" t="s">
        <v>1644</v>
      </c>
      <c r="I156" s="13" t="s">
        <v>1645</v>
      </c>
    </row>
    <row r="157" customFormat="false" ht="15" hidden="false" customHeight="false" outlineLevel="0" collapsed="false">
      <c r="A157" s="13" t="s">
        <v>3</v>
      </c>
      <c r="B157" s="13" t="s">
        <v>68</v>
      </c>
      <c r="C157" s="13" t="n">
        <v>373</v>
      </c>
      <c r="D157" s="13" t="s">
        <v>15100</v>
      </c>
      <c r="E157" s="13" t="n">
        <v>0</v>
      </c>
      <c r="F157" s="13" t="s">
        <v>15097</v>
      </c>
      <c r="G157" s="13" t="s">
        <v>15095</v>
      </c>
      <c r="H157" s="13" t="s">
        <v>15101</v>
      </c>
      <c r="I157" s="13" t="s">
        <v>15102</v>
      </c>
    </row>
    <row r="158" customFormat="false" ht="35.05" hidden="false" customHeight="false" outlineLevel="0" collapsed="false">
      <c r="A158" s="13" t="s">
        <v>3</v>
      </c>
      <c r="B158" s="13" t="s">
        <v>68</v>
      </c>
      <c r="C158" s="13" t="n">
        <v>373</v>
      </c>
      <c r="D158" s="13" t="s">
        <v>1647</v>
      </c>
      <c r="E158" s="13" t="n">
        <v>2</v>
      </c>
      <c r="F158" s="13" t="s">
        <v>15094</v>
      </c>
      <c r="G158" s="13" t="s">
        <v>15095</v>
      </c>
      <c r="H158" s="13" t="s">
        <v>1650</v>
      </c>
      <c r="I158" s="13" t="s">
        <v>1651</v>
      </c>
    </row>
    <row r="159" customFormat="false" ht="35.05" hidden="false" customHeight="false" outlineLevel="0" collapsed="false">
      <c r="A159" s="13" t="s">
        <v>3</v>
      </c>
      <c r="B159" s="13" t="s">
        <v>68</v>
      </c>
      <c r="C159" s="13" t="n">
        <v>373</v>
      </c>
      <c r="D159" s="13" t="s">
        <v>1653</v>
      </c>
      <c r="E159" s="13" t="n">
        <v>2</v>
      </c>
      <c r="F159" s="13" t="s">
        <v>15094</v>
      </c>
      <c r="G159" s="13" t="s">
        <v>15095</v>
      </c>
      <c r="H159" s="13" t="s">
        <v>1657</v>
      </c>
      <c r="I159" s="13" t="s">
        <v>1658</v>
      </c>
    </row>
    <row r="160" customFormat="false" ht="57.45" hidden="false" customHeight="false" outlineLevel="0" collapsed="false">
      <c r="A160" s="13" t="s">
        <v>3</v>
      </c>
      <c r="B160" s="13" t="s">
        <v>68</v>
      </c>
      <c r="C160" s="13" t="n">
        <v>373</v>
      </c>
      <c r="D160" s="13" t="s">
        <v>1661</v>
      </c>
      <c r="E160" s="13" t="n">
        <v>2</v>
      </c>
      <c r="F160" s="13" t="s">
        <v>15094</v>
      </c>
      <c r="G160" s="13" t="s">
        <v>15095</v>
      </c>
      <c r="H160" s="13" t="s">
        <v>1666</v>
      </c>
      <c r="I160" s="13" t="s">
        <v>1667</v>
      </c>
    </row>
    <row r="161" customFormat="false" ht="35.05" hidden="false" customHeight="false" outlineLevel="0" collapsed="false">
      <c r="A161" s="13" t="s">
        <v>3</v>
      </c>
      <c r="B161" s="13" t="s">
        <v>68</v>
      </c>
      <c r="C161" s="13" t="n">
        <v>373</v>
      </c>
      <c r="D161" s="13" t="s">
        <v>1671</v>
      </c>
      <c r="E161" s="13" t="n">
        <v>1</v>
      </c>
      <c r="F161" s="13" t="s">
        <v>15094</v>
      </c>
      <c r="G161" s="13" t="s">
        <v>15095</v>
      </c>
      <c r="H161" s="13" t="s">
        <v>1676</v>
      </c>
      <c r="I161" s="13" t="s">
        <v>1677</v>
      </c>
    </row>
    <row r="162" customFormat="false" ht="23.85" hidden="false" customHeight="false" outlineLevel="0" collapsed="false">
      <c r="A162" s="13" t="s">
        <v>3</v>
      </c>
      <c r="B162" s="13" t="s">
        <v>68</v>
      </c>
      <c r="C162" s="13" t="n">
        <v>373</v>
      </c>
      <c r="D162" s="13" t="s">
        <v>1678</v>
      </c>
      <c r="E162" s="13" t="n">
        <v>2</v>
      </c>
      <c r="F162" s="13" t="s">
        <v>15094</v>
      </c>
      <c r="G162" s="13" t="s">
        <v>15095</v>
      </c>
      <c r="H162" s="13" t="s">
        <v>1682</v>
      </c>
      <c r="I162" s="13" t="s">
        <v>1683</v>
      </c>
    </row>
    <row r="163" customFormat="false" ht="68.65" hidden="false" customHeight="false" outlineLevel="0" collapsed="false">
      <c r="A163" s="13" t="s">
        <v>3</v>
      </c>
      <c r="B163" s="13" t="s">
        <v>68</v>
      </c>
      <c r="C163" s="13" t="n">
        <v>373</v>
      </c>
      <c r="D163" s="13" t="s">
        <v>1687</v>
      </c>
      <c r="E163" s="13" t="n">
        <v>3</v>
      </c>
      <c r="F163" s="13" t="s">
        <v>15094</v>
      </c>
      <c r="G163" s="13" t="s">
        <v>15095</v>
      </c>
      <c r="H163" s="13" t="s">
        <v>1691</v>
      </c>
      <c r="I163" s="13" t="s">
        <v>1692</v>
      </c>
    </row>
    <row r="164" customFormat="false" ht="23.85" hidden="false" customHeight="false" outlineLevel="0" collapsed="false">
      <c r="A164" s="13" t="s">
        <v>3</v>
      </c>
      <c r="B164" s="13" t="s">
        <v>68</v>
      </c>
      <c r="C164" s="13" t="n">
        <v>385</v>
      </c>
      <c r="D164" s="13" t="s">
        <v>1699</v>
      </c>
      <c r="E164" s="13" t="n">
        <v>2</v>
      </c>
      <c r="F164" s="13" t="s">
        <v>15094</v>
      </c>
      <c r="G164" s="13" t="s">
        <v>15095</v>
      </c>
      <c r="H164" s="13" t="s">
        <v>1704</v>
      </c>
      <c r="I164" s="13" t="s">
        <v>1705</v>
      </c>
    </row>
    <row r="165" customFormat="false" ht="23.85" hidden="false" customHeight="false" outlineLevel="0" collapsed="false">
      <c r="A165" s="13" t="s">
        <v>3</v>
      </c>
      <c r="B165" s="13" t="s">
        <v>68</v>
      </c>
      <c r="C165" s="13" t="n">
        <v>385</v>
      </c>
      <c r="D165" s="13" t="s">
        <v>1708</v>
      </c>
      <c r="E165" s="13" t="n">
        <v>2</v>
      </c>
      <c r="F165" s="13" t="s">
        <v>15094</v>
      </c>
      <c r="G165" s="13" t="s">
        <v>15095</v>
      </c>
      <c r="H165" s="13" t="s">
        <v>1712</v>
      </c>
      <c r="I165" s="13" t="s">
        <v>1713</v>
      </c>
    </row>
    <row r="166" customFormat="false" ht="15" hidden="false" customHeight="false" outlineLevel="0" collapsed="false">
      <c r="A166" s="13" t="s">
        <v>3</v>
      </c>
      <c r="B166" s="13" t="s">
        <v>68</v>
      </c>
      <c r="C166" s="13" t="n">
        <v>385</v>
      </c>
      <c r="D166" s="13" t="s">
        <v>1716</v>
      </c>
      <c r="E166" s="13" t="n">
        <v>1</v>
      </c>
      <c r="F166" s="13" t="s">
        <v>15094</v>
      </c>
      <c r="G166" s="13" t="s">
        <v>15095</v>
      </c>
      <c r="H166" s="13" t="s">
        <v>1720</v>
      </c>
      <c r="I166" s="13" t="s">
        <v>1721</v>
      </c>
    </row>
    <row r="167" customFormat="false" ht="23.85" hidden="false" customHeight="false" outlineLevel="0" collapsed="false">
      <c r="A167" s="13" t="s">
        <v>3</v>
      </c>
      <c r="B167" s="13" t="s">
        <v>68</v>
      </c>
      <c r="C167" s="13" t="n">
        <v>385</v>
      </c>
      <c r="D167" s="13" t="s">
        <v>1722</v>
      </c>
      <c r="E167" s="13" t="n">
        <v>4</v>
      </c>
      <c r="F167" s="13" t="s">
        <v>15094</v>
      </c>
      <c r="G167" s="13" t="s">
        <v>15095</v>
      </c>
      <c r="H167" s="13" t="s">
        <v>1726</v>
      </c>
      <c r="I167" s="13" t="s">
        <v>1727</v>
      </c>
    </row>
    <row r="168" customFormat="false" ht="79.85" hidden="false" customHeight="false" outlineLevel="0" collapsed="false">
      <c r="A168" s="13" t="s">
        <v>3</v>
      </c>
      <c r="B168" s="13" t="s">
        <v>68</v>
      </c>
      <c r="C168" s="13" t="n">
        <v>385</v>
      </c>
      <c r="D168" s="13" t="s">
        <v>1734</v>
      </c>
      <c r="E168" s="13" t="n">
        <v>3</v>
      </c>
      <c r="F168" s="13" t="s">
        <v>15094</v>
      </c>
      <c r="G168" s="13" t="s">
        <v>15095</v>
      </c>
      <c r="H168" s="13" t="s">
        <v>1737</v>
      </c>
      <c r="I168" s="13" t="s">
        <v>1738</v>
      </c>
    </row>
    <row r="169" customFormat="false" ht="46.25" hidden="false" customHeight="false" outlineLevel="0" collapsed="false">
      <c r="A169" s="13" t="s">
        <v>3</v>
      </c>
      <c r="B169" s="13" t="s">
        <v>68</v>
      </c>
      <c r="C169" s="13" t="n">
        <v>385</v>
      </c>
      <c r="D169" s="13" t="s">
        <v>1745</v>
      </c>
      <c r="E169" s="13" t="n">
        <v>2</v>
      </c>
      <c r="F169" s="13" t="s">
        <v>15094</v>
      </c>
      <c r="G169" s="13" t="s">
        <v>15095</v>
      </c>
      <c r="H169" s="13" t="s">
        <v>1749</v>
      </c>
      <c r="I169" s="13" t="s">
        <v>1750</v>
      </c>
    </row>
    <row r="170" customFormat="false" ht="23.85" hidden="false" customHeight="false" outlineLevel="0" collapsed="false">
      <c r="A170" s="13" t="s">
        <v>3</v>
      </c>
      <c r="B170" s="13" t="s">
        <v>68</v>
      </c>
      <c r="C170" s="13" t="n">
        <v>385</v>
      </c>
      <c r="D170" s="13" t="s">
        <v>1754</v>
      </c>
      <c r="E170" s="13" t="n">
        <v>2</v>
      </c>
      <c r="F170" s="13" t="s">
        <v>15094</v>
      </c>
      <c r="G170" s="13" t="s">
        <v>15095</v>
      </c>
      <c r="H170" s="13" t="s">
        <v>1756</v>
      </c>
      <c r="I170" s="13" t="s">
        <v>1757</v>
      </c>
    </row>
    <row r="171" customFormat="false" ht="15" hidden="false" customHeight="false" outlineLevel="0" collapsed="false">
      <c r="A171" s="13" t="s">
        <v>3</v>
      </c>
      <c r="B171" s="13" t="s">
        <v>68</v>
      </c>
      <c r="C171" s="13" t="n">
        <v>385</v>
      </c>
      <c r="D171" s="13" t="s">
        <v>15103</v>
      </c>
      <c r="E171" s="13" t="n">
        <v>0</v>
      </c>
      <c r="F171" s="13" t="s">
        <v>15097</v>
      </c>
      <c r="G171" s="13" t="s">
        <v>15095</v>
      </c>
      <c r="H171" s="13" t="s">
        <v>15104</v>
      </c>
      <c r="I171" s="13" t="s">
        <v>15105</v>
      </c>
    </row>
    <row r="172" customFormat="false" ht="23.85" hidden="false" customHeight="false" outlineLevel="0" collapsed="false">
      <c r="A172" s="13" t="s">
        <v>3</v>
      </c>
      <c r="B172" s="13" t="s">
        <v>68</v>
      </c>
      <c r="C172" s="13" t="n">
        <v>385</v>
      </c>
      <c r="D172" s="13" t="s">
        <v>1761</v>
      </c>
      <c r="E172" s="13" t="n">
        <v>2</v>
      </c>
      <c r="F172" s="13" t="s">
        <v>15094</v>
      </c>
      <c r="G172" s="13" t="s">
        <v>15095</v>
      </c>
      <c r="H172" s="13" t="s">
        <v>1764</v>
      </c>
      <c r="I172" s="13" t="s">
        <v>1765</v>
      </c>
    </row>
    <row r="173" customFormat="false" ht="15" hidden="false" customHeight="false" outlineLevel="0" collapsed="false">
      <c r="A173" s="13" t="s">
        <v>3</v>
      </c>
      <c r="B173" s="13" t="s">
        <v>68</v>
      </c>
      <c r="C173" s="13" t="n">
        <v>385</v>
      </c>
      <c r="D173" s="13" t="s">
        <v>15106</v>
      </c>
      <c r="E173" s="13" t="n">
        <v>0</v>
      </c>
      <c r="F173" s="13" t="s">
        <v>15097</v>
      </c>
      <c r="G173" s="13" t="s">
        <v>15095</v>
      </c>
      <c r="H173" s="13" t="s">
        <v>15107</v>
      </c>
      <c r="I173" s="13" t="s">
        <v>15108</v>
      </c>
    </row>
    <row r="174" customFormat="false" ht="15" hidden="false" customHeight="false" outlineLevel="0" collapsed="false">
      <c r="A174" s="13" t="s">
        <v>3</v>
      </c>
      <c r="B174" s="13" t="s">
        <v>68</v>
      </c>
      <c r="C174" s="13" t="n">
        <v>385</v>
      </c>
      <c r="D174" s="13" t="s">
        <v>1768</v>
      </c>
      <c r="E174" s="13" t="n">
        <v>2</v>
      </c>
      <c r="F174" s="13" t="s">
        <v>15094</v>
      </c>
      <c r="G174" s="13" t="s">
        <v>15095</v>
      </c>
      <c r="H174" s="13" t="s">
        <v>1771</v>
      </c>
      <c r="I174" s="13" t="s">
        <v>1772</v>
      </c>
    </row>
    <row r="175" customFormat="false" ht="23.85" hidden="false" customHeight="false" outlineLevel="0" collapsed="false">
      <c r="A175" s="13" t="s">
        <v>3</v>
      </c>
      <c r="B175" s="13" t="s">
        <v>68</v>
      </c>
      <c r="C175" s="13" t="n">
        <v>385</v>
      </c>
      <c r="D175" s="13" t="s">
        <v>1775</v>
      </c>
      <c r="E175" s="13" t="n">
        <v>1</v>
      </c>
      <c r="F175" s="13" t="s">
        <v>15094</v>
      </c>
      <c r="G175" s="13" t="s">
        <v>15095</v>
      </c>
      <c r="H175" s="13" t="s">
        <v>1779</v>
      </c>
      <c r="I175" s="13" t="s">
        <v>1780</v>
      </c>
    </row>
    <row r="176" customFormat="false" ht="35.05" hidden="false" customHeight="false" outlineLevel="0" collapsed="false">
      <c r="A176" s="13" t="s">
        <v>3</v>
      </c>
      <c r="B176" s="13" t="s">
        <v>68</v>
      </c>
      <c r="C176" s="13" t="n">
        <v>385</v>
      </c>
      <c r="D176" s="13" t="s">
        <v>1781</v>
      </c>
      <c r="E176" s="13" t="n">
        <v>2</v>
      </c>
      <c r="F176" s="13" t="s">
        <v>15094</v>
      </c>
      <c r="G176" s="13" t="s">
        <v>15095</v>
      </c>
      <c r="H176" s="13" t="s">
        <v>1785</v>
      </c>
      <c r="I176" s="13" t="s">
        <v>1786</v>
      </c>
    </row>
    <row r="177" customFormat="false" ht="68.65" hidden="false" customHeight="false" outlineLevel="0" collapsed="false">
      <c r="A177" s="13" t="s">
        <v>3</v>
      </c>
      <c r="B177" s="13" t="s">
        <v>68</v>
      </c>
      <c r="C177" s="13" t="n">
        <v>385</v>
      </c>
      <c r="D177" s="13" t="s">
        <v>1790</v>
      </c>
      <c r="E177" s="13" t="n">
        <v>2</v>
      </c>
      <c r="F177" s="13" t="s">
        <v>15094</v>
      </c>
      <c r="G177" s="13" t="s">
        <v>15095</v>
      </c>
      <c r="H177" s="13" t="s">
        <v>1794</v>
      </c>
      <c r="I177" s="13" t="s">
        <v>1795</v>
      </c>
    </row>
    <row r="178" customFormat="false" ht="23.85" hidden="false" customHeight="false" outlineLevel="0" collapsed="false">
      <c r="A178" s="13" t="s">
        <v>3</v>
      </c>
      <c r="B178" s="13" t="s">
        <v>68</v>
      </c>
      <c r="C178" s="13" t="n">
        <v>385</v>
      </c>
      <c r="D178" s="13" t="s">
        <v>1801</v>
      </c>
      <c r="E178" s="13" t="n">
        <v>1</v>
      </c>
      <c r="F178" s="13" t="s">
        <v>15094</v>
      </c>
      <c r="G178" s="13" t="s">
        <v>15095</v>
      </c>
      <c r="H178" s="13" t="s">
        <v>1805</v>
      </c>
      <c r="I178" s="13" t="s">
        <v>1806</v>
      </c>
    </row>
    <row r="179" customFormat="false" ht="79.85" hidden="false" customHeight="false" outlineLevel="0" collapsed="false">
      <c r="A179" s="13" t="s">
        <v>3</v>
      </c>
      <c r="B179" s="13" t="s">
        <v>68</v>
      </c>
      <c r="C179" s="13" t="n">
        <v>385</v>
      </c>
      <c r="D179" s="13" t="s">
        <v>1807</v>
      </c>
      <c r="E179" s="13" t="n">
        <v>6</v>
      </c>
      <c r="F179" s="13" t="s">
        <v>15094</v>
      </c>
      <c r="G179" s="13" t="s">
        <v>15095</v>
      </c>
      <c r="H179" s="13" t="s">
        <v>1810</v>
      </c>
      <c r="I179" s="13" t="s">
        <v>1811</v>
      </c>
    </row>
    <row r="180" customFormat="false" ht="57.45" hidden="false" customHeight="false" outlineLevel="0" collapsed="false">
      <c r="A180" s="13" t="s">
        <v>3</v>
      </c>
      <c r="B180" s="13" t="s">
        <v>68</v>
      </c>
      <c r="C180" s="13" t="n">
        <v>388</v>
      </c>
      <c r="D180" s="13" t="s">
        <v>1825</v>
      </c>
      <c r="E180" s="13" t="n">
        <v>3</v>
      </c>
      <c r="F180" s="13" t="s">
        <v>15094</v>
      </c>
      <c r="G180" s="13" t="s">
        <v>15095</v>
      </c>
      <c r="H180" s="13" t="s">
        <v>1829</v>
      </c>
      <c r="I180" s="13" t="s">
        <v>1830</v>
      </c>
    </row>
    <row r="181" customFormat="false" ht="23.85" hidden="false" customHeight="false" outlineLevel="0" collapsed="false">
      <c r="A181" s="13" t="s">
        <v>3</v>
      </c>
      <c r="B181" s="13" t="s">
        <v>68</v>
      </c>
      <c r="C181" s="13" t="n">
        <v>388</v>
      </c>
      <c r="D181" s="13" t="s">
        <v>1838</v>
      </c>
      <c r="E181" s="13" t="n">
        <v>1</v>
      </c>
      <c r="F181" s="13" t="s">
        <v>15094</v>
      </c>
      <c r="G181" s="13" t="s">
        <v>15095</v>
      </c>
      <c r="H181" s="13" t="s">
        <v>1843</v>
      </c>
      <c r="I181" s="13" t="s">
        <v>1844</v>
      </c>
    </row>
    <row r="182" customFormat="false" ht="57.45" hidden="false" customHeight="false" outlineLevel="0" collapsed="false">
      <c r="A182" s="13" t="s">
        <v>3</v>
      </c>
      <c r="B182" s="13" t="s">
        <v>68</v>
      </c>
      <c r="C182" s="13" t="n">
        <v>388</v>
      </c>
      <c r="D182" s="13" t="s">
        <v>1845</v>
      </c>
      <c r="E182" s="13" t="n">
        <v>3</v>
      </c>
      <c r="F182" s="13" t="s">
        <v>15094</v>
      </c>
      <c r="G182" s="13" t="s">
        <v>15095</v>
      </c>
      <c r="H182" s="13" t="s">
        <v>1849</v>
      </c>
      <c r="I182" s="13" t="s">
        <v>1850</v>
      </c>
    </row>
    <row r="183" customFormat="false" ht="15" hidden="false" customHeight="false" outlineLevel="0" collapsed="false">
      <c r="A183" s="13" t="s">
        <v>3</v>
      </c>
      <c r="B183" s="13" t="s">
        <v>68</v>
      </c>
      <c r="C183" s="13" t="n">
        <v>388</v>
      </c>
      <c r="D183" s="13" t="s">
        <v>15109</v>
      </c>
      <c r="E183" s="13" t="n">
        <v>0</v>
      </c>
      <c r="F183" s="13" t="s">
        <v>15097</v>
      </c>
      <c r="G183" s="13" t="s">
        <v>15095</v>
      </c>
      <c r="H183" s="13" t="s">
        <v>15110</v>
      </c>
      <c r="I183" s="13" t="s">
        <v>15108</v>
      </c>
    </row>
    <row r="184" customFormat="false" ht="35.05" hidden="false" customHeight="false" outlineLevel="0" collapsed="false">
      <c r="A184" s="13" t="s">
        <v>3</v>
      </c>
      <c r="B184" s="13" t="s">
        <v>68</v>
      </c>
      <c r="C184" s="13" t="n">
        <v>388</v>
      </c>
      <c r="D184" s="13" t="s">
        <v>1856</v>
      </c>
      <c r="E184" s="13" t="n">
        <v>1</v>
      </c>
      <c r="F184" s="13" t="s">
        <v>15094</v>
      </c>
      <c r="G184" s="13" t="s">
        <v>15095</v>
      </c>
      <c r="H184" s="13" t="s">
        <v>1860</v>
      </c>
      <c r="I184" s="13" t="s">
        <v>1861</v>
      </c>
    </row>
    <row r="185" customFormat="false" ht="147" hidden="false" customHeight="false" outlineLevel="0" collapsed="false">
      <c r="A185" s="13" t="s">
        <v>3</v>
      </c>
      <c r="B185" s="13" t="s">
        <v>68</v>
      </c>
      <c r="C185" s="13" t="n">
        <v>388</v>
      </c>
      <c r="D185" s="13" t="s">
        <v>1862</v>
      </c>
      <c r="E185" s="13" t="n">
        <v>6</v>
      </c>
      <c r="F185" s="13" t="s">
        <v>15094</v>
      </c>
      <c r="G185" s="13" t="s">
        <v>15095</v>
      </c>
      <c r="H185" s="13" t="s">
        <v>1866</v>
      </c>
      <c r="I185" s="13" t="s">
        <v>1867</v>
      </c>
    </row>
    <row r="186" customFormat="false" ht="46.25" hidden="false" customHeight="false" outlineLevel="0" collapsed="false">
      <c r="A186" s="13" t="s">
        <v>3</v>
      </c>
      <c r="B186" s="13" t="s">
        <v>68</v>
      </c>
      <c r="C186" s="13" t="n">
        <v>396</v>
      </c>
      <c r="D186" s="13" t="s">
        <v>1881</v>
      </c>
      <c r="E186" s="13" t="n">
        <v>1</v>
      </c>
      <c r="F186" s="13" t="s">
        <v>15094</v>
      </c>
      <c r="G186" s="13" t="s">
        <v>15095</v>
      </c>
      <c r="H186" s="13" t="s">
        <v>1885</v>
      </c>
      <c r="I186" s="13" t="s">
        <v>1886</v>
      </c>
    </row>
    <row r="187" customFormat="false" ht="23.85" hidden="false" customHeight="false" outlineLevel="0" collapsed="false">
      <c r="A187" s="13" t="s">
        <v>3</v>
      </c>
      <c r="B187" s="13" t="s">
        <v>68</v>
      </c>
      <c r="C187" s="13" t="n">
        <v>396</v>
      </c>
      <c r="D187" s="13" t="s">
        <v>1887</v>
      </c>
      <c r="E187" s="13" t="n">
        <v>1</v>
      </c>
      <c r="F187" s="13" t="s">
        <v>15094</v>
      </c>
      <c r="G187" s="13" t="s">
        <v>15095</v>
      </c>
      <c r="H187" s="13" t="s">
        <v>1891</v>
      </c>
      <c r="I187" s="13" t="s">
        <v>1892</v>
      </c>
    </row>
    <row r="188" customFormat="false" ht="23.85" hidden="false" customHeight="false" outlineLevel="0" collapsed="false">
      <c r="A188" s="13" t="s">
        <v>3</v>
      </c>
      <c r="B188" s="13" t="s">
        <v>68</v>
      </c>
      <c r="C188" s="13" t="n">
        <v>396</v>
      </c>
      <c r="D188" s="13" t="s">
        <v>1893</v>
      </c>
      <c r="E188" s="13" t="n">
        <v>2</v>
      </c>
      <c r="F188" s="13" t="s">
        <v>15094</v>
      </c>
      <c r="G188" s="13" t="s">
        <v>15095</v>
      </c>
      <c r="H188" s="13" t="s">
        <v>1897</v>
      </c>
      <c r="I188" s="13" t="s">
        <v>1898</v>
      </c>
    </row>
    <row r="189" customFormat="false" ht="46.25" hidden="false" customHeight="false" outlineLevel="0" collapsed="false">
      <c r="A189" s="13" t="s">
        <v>3</v>
      </c>
      <c r="B189" s="13" t="s">
        <v>68</v>
      </c>
      <c r="C189" s="13" t="n">
        <v>396</v>
      </c>
      <c r="D189" s="13" t="s">
        <v>1901</v>
      </c>
      <c r="E189" s="13" t="n">
        <v>3</v>
      </c>
      <c r="F189" s="13" t="s">
        <v>15094</v>
      </c>
      <c r="G189" s="13" t="s">
        <v>15095</v>
      </c>
      <c r="H189" s="13" t="s">
        <v>1906</v>
      </c>
      <c r="I189" s="13" t="s">
        <v>1907</v>
      </c>
    </row>
    <row r="190" customFormat="false" ht="46.25" hidden="false" customHeight="false" outlineLevel="0" collapsed="false">
      <c r="A190" s="13" t="s">
        <v>3</v>
      </c>
      <c r="B190" s="13" t="s">
        <v>68</v>
      </c>
      <c r="C190" s="13" t="n">
        <v>396</v>
      </c>
      <c r="D190" s="13" t="s">
        <v>1916</v>
      </c>
      <c r="E190" s="13" t="n">
        <v>2</v>
      </c>
      <c r="F190" s="13" t="s">
        <v>15094</v>
      </c>
      <c r="G190" s="13" t="s">
        <v>15095</v>
      </c>
      <c r="H190" s="13" t="s">
        <v>1920</v>
      </c>
      <c r="I190" s="13" t="s">
        <v>1921</v>
      </c>
    </row>
    <row r="191" customFormat="false" ht="46.25" hidden="false" customHeight="false" outlineLevel="0" collapsed="false">
      <c r="A191" s="13" t="s">
        <v>3</v>
      </c>
      <c r="B191" s="13" t="s">
        <v>68</v>
      </c>
      <c r="C191" s="13" t="n">
        <v>396</v>
      </c>
      <c r="D191" s="13" t="s">
        <v>1925</v>
      </c>
      <c r="E191" s="13" t="n">
        <v>4</v>
      </c>
      <c r="F191" s="13" t="s">
        <v>15094</v>
      </c>
      <c r="G191" s="13" t="s">
        <v>15095</v>
      </c>
      <c r="H191" s="13" t="s">
        <v>1929</v>
      </c>
      <c r="I191" s="13" t="s">
        <v>1930</v>
      </c>
    </row>
    <row r="192" customFormat="false" ht="15" hidden="false" customHeight="false" outlineLevel="0" collapsed="false">
      <c r="A192" s="13" t="s">
        <v>3</v>
      </c>
      <c r="B192" s="13" t="s">
        <v>68</v>
      </c>
      <c r="C192" s="13" t="n">
        <v>396</v>
      </c>
      <c r="D192" s="13" t="s">
        <v>1936</v>
      </c>
      <c r="E192" s="13" t="n">
        <v>1</v>
      </c>
      <c r="F192" s="13" t="s">
        <v>15094</v>
      </c>
      <c r="G192" s="13" t="s">
        <v>15095</v>
      </c>
      <c r="H192" s="13" t="s">
        <v>1940</v>
      </c>
      <c r="I192" s="13" t="s">
        <v>1941</v>
      </c>
    </row>
    <row r="193" customFormat="false" ht="23.85" hidden="false" customHeight="false" outlineLevel="0" collapsed="false">
      <c r="A193" s="13" t="s">
        <v>3</v>
      </c>
      <c r="B193" s="13" t="s">
        <v>68</v>
      </c>
      <c r="C193" s="13" t="n">
        <v>396</v>
      </c>
      <c r="D193" s="13" t="s">
        <v>1942</v>
      </c>
      <c r="E193" s="13" t="n">
        <v>1</v>
      </c>
      <c r="F193" s="13" t="s">
        <v>15094</v>
      </c>
      <c r="G193" s="13" t="s">
        <v>15095</v>
      </c>
      <c r="H193" s="13" t="s">
        <v>1946</v>
      </c>
      <c r="I193" s="13" t="s">
        <v>1947</v>
      </c>
    </row>
    <row r="194" customFormat="false" ht="35.05" hidden="false" customHeight="false" outlineLevel="0" collapsed="false">
      <c r="A194" s="13" t="s">
        <v>3</v>
      </c>
      <c r="B194" s="13" t="s">
        <v>68</v>
      </c>
      <c r="C194" s="13" t="n">
        <v>396</v>
      </c>
      <c r="D194" s="13" t="s">
        <v>1948</v>
      </c>
      <c r="E194" s="13" t="n">
        <v>1</v>
      </c>
      <c r="F194" s="13" t="s">
        <v>15094</v>
      </c>
      <c r="G194" s="13" t="s">
        <v>15095</v>
      </c>
      <c r="H194" s="13" t="s">
        <v>1951</v>
      </c>
      <c r="I194" s="13" t="s">
        <v>1952</v>
      </c>
    </row>
    <row r="195" customFormat="false" ht="35.05" hidden="false" customHeight="false" outlineLevel="0" collapsed="false">
      <c r="A195" s="13" t="s">
        <v>3</v>
      </c>
      <c r="B195" s="13" t="s">
        <v>68</v>
      </c>
      <c r="C195" s="13" t="n">
        <v>396</v>
      </c>
      <c r="D195" s="13" t="s">
        <v>1953</v>
      </c>
      <c r="E195" s="13" t="n">
        <v>1</v>
      </c>
      <c r="F195" s="13" t="s">
        <v>15094</v>
      </c>
      <c r="G195" s="13" t="s">
        <v>15095</v>
      </c>
      <c r="H195" s="13" t="s">
        <v>1957</v>
      </c>
      <c r="I195" s="13" t="s">
        <v>1958</v>
      </c>
    </row>
    <row r="196" customFormat="false" ht="23.85" hidden="false" customHeight="false" outlineLevel="0" collapsed="false">
      <c r="A196" s="13" t="s">
        <v>3</v>
      </c>
      <c r="B196" s="13" t="s">
        <v>68</v>
      </c>
      <c r="C196" s="13" t="n">
        <v>396</v>
      </c>
      <c r="D196" s="13" t="s">
        <v>1959</v>
      </c>
      <c r="E196" s="13" t="n">
        <v>1</v>
      </c>
      <c r="F196" s="13" t="s">
        <v>15094</v>
      </c>
      <c r="G196" s="13" t="s">
        <v>15095</v>
      </c>
      <c r="H196" s="13" t="s">
        <v>1962</v>
      </c>
      <c r="I196" s="13" t="s">
        <v>1963</v>
      </c>
    </row>
    <row r="197" customFormat="false" ht="15" hidden="false" customHeight="false" outlineLevel="0" collapsed="false">
      <c r="A197" s="13" t="s">
        <v>3</v>
      </c>
      <c r="B197" s="13" t="s">
        <v>68</v>
      </c>
      <c r="C197" s="13" t="n">
        <v>396</v>
      </c>
      <c r="D197" s="13" t="s">
        <v>1964</v>
      </c>
      <c r="E197" s="13" t="n">
        <v>1</v>
      </c>
      <c r="F197" s="13" t="s">
        <v>15094</v>
      </c>
      <c r="G197" s="13" t="s">
        <v>15095</v>
      </c>
      <c r="H197" s="13" t="s">
        <v>1968</v>
      </c>
      <c r="I197" s="13" t="s">
        <v>1969</v>
      </c>
    </row>
    <row r="198" customFormat="false" ht="113.4" hidden="false" customHeight="false" outlineLevel="0" collapsed="false">
      <c r="A198" s="13" t="s">
        <v>3</v>
      </c>
      <c r="B198" s="13" t="s">
        <v>68</v>
      </c>
      <c r="C198" s="13" t="n">
        <v>396</v>
      </c>
      <c r="D198" s="13" t="s">
        <v>1970</v>
      </c>
      <c r="E198" s="13" t="n">
        <v>5</v>
      </c>
      <c r="F198" s="13" t="s">
        <v>15094</v>
      </c>
      <c r="G198" s="13" t="s">
        <v>15095</v>
      </c>
      <c r="H198" s="13" t="s">
        <v>1974</v>
      </c>
      <c r="I198" s="13" t="s">
        <v>1975</v>
      </c>
    </row>
    <row r="199" customFormat="false" ht="15" hidden="false" customHeight="false" outlineLevel="0" collapsed="false">
      <c r="A199" s="13" t="s">
        <v>3</v>
      </c>
      <c r="B199" s="13" t="s">
        <v>68</v>
      </c>
      <c r="C199" s="13" t="n">
        <v>400</v>
      </c>
      <c r="D199" s="13" t="s">
        <v>1989</v>
      </c>
      <c r="E199" s="13" t="n">
        <v>1</v>
      </c>
      <c r="F199" s="13" t="s">
        <v>15094</v>
      </c>
      <c r="G199" s="13" t="s">
        <v>15095</v>
      </c>
      <c r="H199" s="13" t="s">
        <v>1993</v>
      </c>
      <c r="I199" s="13" t="s">
        <v>1994</v>
      </c>
    </row>
    <row r="200" customFormat="false" ht="35.05" hidden="false" customHeight="false" outlineLevel="0" collapsed="false">
      <c r="A200" s="13" t="s">
        <v>3</v>
      </c>
      <c r="B200" s="13" t="s">
        <v>68</v>
      </c>
      <c r="C200" s="13" t="n">
        <v>400</v>
      </c>
      <c r="D200" s="13" t="s">
        <v>1995</v>
      </c>
      <c r="E200" s="13" t="n">
        <v>1</v>
      </c>
      <c r="F200" s="13" t="s">
        <v>15094</v>
      </c>
      <c r="G200" s="13" t="s">
        <v>15095</v>
      </c>
      <c r="H200" s="13" t="s">
        <v>1998</v>
      </c>
      <c r="I200" s="13" t="s">
        <v>1999</v>
      </c>
    </row>
    <row r="201" customFormat="false" ht="35.05" hidden="false" customHeight="false" outlineLevel="0" collapsed="false">
      <c r="A201" s="13" t="s">
        <v>3</v>
      </c>
      <c r="B201" s="13" t="s">
        <v>68</v>
      </c>
      <c r="C201" s="13" t="n">
        <v>400</v>
      </c>
      <c r="D201" s="13" t="s">
        <v>2000</v>
      </c>
      <c r="E201" s="13" t="n">
        <v>1</v>
      </c>
      <c r="F201" s="13" t="s">
        <v>15094</v>
      </c>
      <c r="G201" s="13" t="s">
        <v>15095</v>
      </c>
      <c r="H201" s="13" t="s">
        <v>2006</v>
      </c>
      <c r="I201" s="13" t="s">
        <v>2007</v>
      </c>
    </row>
    <row r="202" customFormat="false" ht="57.45" hidden="false" customHeight="false" outlineLevel="0" collapsed="false">
      <c r="A202" s="13" t="s">
        <v>3</v>
      </c>
      <c r="B202" s="13" t="s">
        <v>68</v>
      </c>
      <c r="C202" s="13" t="n">
        <v>400</v>
      </c>
      <c r="D202" s="13" t="s">
        <v>2008</v>
      </c>
      <c r="E202" s="13" t="n">
        <v>8</v>
      </c>
      <c r="F202" s="13" t="s">
        <v>15094</v>
      </c>
      <c r="G202" s="13" t="s">
        <v>15095</v>
      </c>
      <c r="H202" s="13" t="s">
        <v>2013</v>
      </c>
      <c r="I202" s="13" t="s">
        <v>2014</v>
      </c>
    </row>
    <row r="203" customFormat="false" ht="23.85" hidden="false" customHeight="false" outlineLevel="0" collapsed="false">
      <c r="A203" s="13" t="s">
        <v>3</v>
      </c>
      <c r="B203" s="13" t="s">
        <v>68</v>
      </c>
      <c r="C203" s="13" t="n">
        <v>400</v>
      </c>
      <c r="D203" s="13" t="s">
        <v>2036</v>
      </c>
      <c r="E203" s="13" t="n">
        <v>1</v>
      </c>
      <c r="F203" s="13" t="s">
        <v>15094</v>
      </c>
      <c r="G203" s="13" t="s">
        <v>15095</v>
      </c>
      <c r="H203" s="13" t="s">
        <v>2040</v>
      </c>
      <c r="I203" s="13" t="s">
        <v>2041</v>
      </c>
    </row>
    <row r="204" customFormat="false" ht="23.85" hidden="false" customHeight="false" outlineLevel="0" collapsed="false">
      <c r="A204" s="13" t="s">
        <v>3</v>
      </c>
      <c r="B204" s="13" t="s">
        <v>68</v>
      </c>
      <c r="C204" s="13" t="n">
        <v>400</v>
      </c>
      <c r="D204" s="13" t="s">
        <v>2042</v>
      </c>
      <c r="E204" s="13" t="n">
        <v>1</v>
      </c>
      <c r="F204" s="13" t="s">
        <v>15094</v>
      </c>
      <c r="G204" s="13" t="s">
        <v>15095</v>
      </c>
      <c r="H204" s="13" t="s">
        <v>2045</v>
      </c>
      <c r="I204" s="13" t="s">
        <v>2046</v>
      </c>
    </row>
    <row r="205" customFormat="false" ht="23.85" hidden="false" customHeight="false" outlineLevel="0" collapsed="false">
      <c r="A205" s="13" t="s">
        <v>3</v>
      </c>
      <c r="B205" s="13" t="s">
        <v>68</v>
      </c>
      <c r="C205" s="13" t="n">
        <v>400</v>
      </c>
      <c r="D205" s="13" t="s">
        <v>2047</v>
      </c>
      <c r="E205" s="13" t="n">
        <v>1</v>
      </c>
      <c r="F205" s="13" t="s">
        <v>15094</v>
      </c>
      <c r="G205" s="13" t="s">
        <v>15095</v>
      </c>
      <c r="H205" s="13" t="s">
        <v>2050</v>
      </c>
      <c r="I205" s="13" t="s">
        <v>2051</v>
      </c>
    </row>
    <row r="206" customFormat="false" ht="23.85" hidden="false" customHeight="false" outlineLevel="0" collapsed="false">
      <c r="A206" s="13" t="s">
        <v>3</v>
      </c>
      <c r="B206" s="13" t="s">
        <v>68</v>
      </c>
      <c r="C206" s="13" t="n">
        <v>400</v>
      </c>
      <c r="D206" s="13" t="s">
        <v>2052</v>
      </c>
      <c r="E206" s="13" t="n">
        <v>1</v>
      </c>
      <c r="F206" s="13" t="s">
        <v>15094</v>
      </c>
      <c r="G206" s="13" t="s">
        <v>15095</v>
      </c>
      <c r="H206" s="13" t="s">
        <v>2055</v>
      </c>
      <c r="I206" s="13" t="s">
        <v>2056</v>
      </c>
    </row>
    <row r="207" customFormat="false" ht="23.85" hidden="false" customHeight="false" outlineLevel="0" collapsed="false">
      <c r="A207" s="13" t="s">
        <v>3</v>
      </c>
      <c r="B207" s="13" t="s">
        <v>68</v>
      </c>
      <c r="C207" s="13" t="n">
        <v>400</v>
      </c>
      <c r="D207" s="13" t="s">
        <v>2057</v>
      </c>
      <c r="E207" s="13" t="n">
        <v>2</v>
      </c>
      <c r="F207" s="13" t="s">
        <v>15094</v>
      </c>
      <c r="G207" s="13" t="s">
        <v>15095</v>
      </c>
      <c r="H207" s="13" t="s">
        <v>2062</v>
      </c>
      <c r="I207" s="13" t="s">
        <v>2063</v>
      </c>
    </row>
    <row r="208" customFormat="false" ht="23.85" hidden="false" customHeight="false" outlineLevel="0" collapsed="false">
      <c r="A208" s="13" t="s">
        <v>3</v>
      </c>
      <c r="B208" s="13" t="s">
        <v>68</v>
      </c>
      <c r="C208" s="13" t="n">
        <v>400</v>
      </c>
      <c r="D208" s="13" t="s">
        <v>2067</v>
      </c>
      <c r="E208" s="13" t="n">
        <v>1</v>
      </c>
      <c r="F208" s="13" t="s">
        <v>15094</v>
      </c>
      <c r="G208" s="13" t="s">
        <v>15095</v>
      </c>
      <c r="H208" s="13" t="s">
        <v>2072</v>
      </c>
      <c r="I208" s="13" t="s">
        <v>2073</v>
      </c>
    </row>
    <row r="209" customFormat="false" ht="23.85" hidden="false" customHeight="false" outlineLevel="0" collapsed="false">
      <c r="A209" s="13" t="s">
        <v>3</v>
      </c>
      <c r="B209" s="13" t="s">
        <v>68</v>
      </c>
      <c r="C209" s="13" t="n">
        <v>400</v>
      </c>
      <c r="D209" s="13" t="s">
        <v>2074</v>
      </c>
      <c r="E209" s="13" t="n">
        <v>3</v>
      </c>
      <c r="F209" s="13" t="s">
        <v>15094</v>
      </c>
      <c r="G209" s="13" t="s">
        <v>15095</v>
      </c>
      <c r="H209" s="13" t="s">
        <v>2078</v>
      </c>
      <c r="I209" s="13" t="s">
        <v>2079</v>
      </c>
    </row>
    <row r="210" customFormat="false" ht="35.05" hidden="false" customHeight="false" outlineLevel="0" collapsed="false">
      <c r="A210" s="13" t="s">
        <v>3</v>
      </c>
      <c r="B210" s="13" t="s">
        <v>68</v>
      </c>
      <c r="C210" s="13" t="n">
        <v>400</v>
      </c>
      <c r="D210" s="13" t="s">
        <v>2086</v>
      </c>
      <c r="E210" s="13" t="n">
        <v>6</v>
      </c>
      <c r="F210" s="13" t="s">
        <v>15094</v>
      </c>
      <c r="G210" s="13" t="s">
        <v>15095</v>
      </c>
      <c r="H210" s="13" t="s">
        <v>2090</v>
      </c>
      <c r="I210" s="13" t="s">
        <v>2091</v>
      </c>
    </row>
    <row r="211" customFormat="false" ht="35.05" hidden="false" customHeight="false" outlineLevel="0" collapsed="false">
      <c r="A211" s="13" t="s">
        <v>3</v>
      </c>
      <c r="B211" s="13" t="s">
        <v>68</v>
      </c>
      <c r="C211" s="13" t="n">
        <v>400</v>
      </c>
      <c r="D211" s="13" t="s">
        <v>2107</v>
      </c>
      <c r="E211" s="13" t="n">
        <v>3</v>
      </c>
      <c r="F211" s="13" t="s">
        <v>15094</v>
      </c>
      <c r="G211" s="13" t="s">
        <v>15095</v>
      </c>
      <c r="H211" s="13" t="s">
        <v>2111</v>
      </c>
      <c r="I211" s="13" t="s">
        <v>2112</v>
      </c>
    </row>
    <row r="212" customFormat="false" ht="15" hidden="false" customHeight="false" outlineLevel="0" collapsed="false">
      <c r="A212" s="13" t="s">
        <v>3</v>
      </c>
      <c r="B212" s="13" t="s">
        <v>68</v>
      </c>
      <c r="C212" s="13" t="n">
        <v>400</v>
      </c>
      <c r="D212" s="13" t="s">
        <v>2121</v>
      </c>
      <c r="E212" s="13" t="n">
        <v>1</v>
      </c>
      <c r="F212" s="13" t="s">
        <v>15094</v>
      </c>
      <c r="G212" s="13" t="s">
        <v>15095</v>
      </c>
      <c r="H212" s="13" t="s">
        <v>2125</v>
      </c>
      <c r="I212" s="13" t="s">
        <v>2126</v>
      </c>
    </row>
    <row r="213" customFormat="false" ht="35.05" hidden="false" customHeight="false" outlineLevel="0" collapsed="false">
      <c r="A213" s="13" t="s">
        <v>3</v>
      </c>
      <c r="B213" s="13" t="s">
        <v>68</v>
      </c>
      <c r="C213" s="13" t="n">
        <v>400</v>
      </c>
      <c r="D213" s="13" t="s">
        <v>2127</v>
      </c>
      <c r="E213" s="13" t="n">
        <v>1</v>
      </c>
      <c r="F213" s="13" t="s">
        <v>15094</v>
      </c>
      <c r="G213" s="13" t="s">
        <v>15095</v>
      </c>
      <c r="H213" s="13" t="s">
        <v>2131</v>
      </c>
      <c r="I213" s="13" t="s">
        <v>2132</v>
      </c>
    </row>
    <row r="214" customFormat="false" ht="35.05" hidden="false" customHeight="false" outlineLevel="0" collapsed="false">
      <c r="A214" s="13" t="s">
        <v>3</v>
      </c>
      <c r="B214" s="13" t="s">
        <v>68</v>
      </c>
      <c r="C214" s="13" t="n">
        <v>400</v>
      </c>
      <c r="D214" s="13" t="s">
        <v>2133</v>
      </c>
      <c r="E214" s="13" t="n">
        <v>1</v>
      </c>
      <c r="F214" s="13" t="s">
        <v>15094</v>
      </c>
      <c r="G214" s="13" t="s">
        <v>15095</v>
      </c>
      <c r="H214" s="13" t="s">
        <v>2136</v>
      </c>
      <c r="I214" s="13" t="s">
        <v>2137</v>
      </c>
    </row>
    <row r="215" customFormat="false" ht="23.85" hidden="false" customHeight="false" outlineLevel="0" collapsed="false">
      <c r="A215" s="13" t="s">
        <v>3</v>
      </c>
      <c r="B215" s="13" t="s">
        <v>68</v>
      </c>
      <c r="C215" s="13" t="n">
        <v>400</v>
      </c>
      <c r="D215" s="13" t="s">
        <v>2138</v>
      </c>
      <c r="E215" s="13" t="n">
        <v>1</v>
      </c>
      <c r="F215" s="13" t="s">
        <v>15094</v>
      </c>
      <c r="G215" s="13" t="s">
        <v>15095</v>
      </c>
      <c r="H215" s="13" t="s">
        <v>2142</v>
      </c>
      <c r="I215" s="13" t="s">
        <v>2143</v>
      </c>
    </row>
    <row r="216" customFormat="false" ht="135.8" hidden="false" customHeight="false" outlineLevel="0" collapsed="false">
      <c r="A216" s="13" t="s">
        <v>3</v>
      </c>
      <c r="B216" s="13" t="s">
        <v>68</v>
      </c>
      <c r="C216" s="13" t="n">
        <v>400</v>
      </c>
      <c r="D216" s="13" t="s">
        <v>2144</v>
      </c>
      <c r="E216" s="13" t="n">
        <v>1</v>
      </c>
      <c r="F216" s="13" t="s">
        <v>15094</v>
      </c>
      <c r="G216" s="13" t="s">
        <v>15095</v>
      </c>
      <c r="H216" s="13" t="s">
        <v>2148</v>
      </c>
      <c r="I216" s="13" t="s">
        <v>2149</v>
      </c>
    </row>
    <row r="217" customFormat="false" ht="91" hidden="false" customHeight="false" outlineLevel="0" collapsed="false">
      <c r="A217" s="13" t="s">
        <v>3</v>
      </c>
      <c r="B217" s="13" t="s">
        <v>2150</v>
      </c>
      <c r="C217" s="13" t="n">
        <v>226</v>
      </c>
      <c r="D217" s="13" t="s">
        <v>3207</v>
      </c>
      <c r="E217" s="13" t="n">
        <v>3</v>
      </c>
      <c r="F217" s="13" t="s">
        <v>15094</v>
      </c>
      <c r="G217" s="13" t="s">
        <v>15095</v>
      </c>
      <c r="H217" s="13" t="s">
        <v>3211</v>
      </c>
      <c r="I217" s="13" t="s">
        <v>3212</v>
      </c>
    </row>
    <row r="218" customFormat="false" ht="57.45" hidden="false" customHeight="false" outlineLevel="0" collapsed="false">
      <c r="A218" s="13" t="s">
        <v>3</v>
      </c>
      <c r="B218" s="13" t="s">
        <v>2150</v>
      </c>
      <c r="C218" s="13" t="n">
        <v>226</v>
      </c>
      <c r="D218" s="13" t="s">
        <v>3219</v>
      </c>
      <c r="E218" s="13" t="n">
        <v>1</v>
      </c>
      <c r="F218" s="13" t="s">
        <v>15094</v>
      </c>
      <c r="G218" s="13" t="s">
        <v>15095</v>
      </c>
      <c r="H218" s="13" t="s">
        <v>3223</v>
      </c>
      <c r="I218" s="13" t="s">
        <v>3224</v>
      </c>
    </row>
    <row r="219" customFormat="false" ht="113.4" hidden="false" customHeight="false" outlineLevel="0" collapsed="false">
      <c r="A219" s="13" t="s">
        <v>3</v>
      </c>
      <c r="B219" s="13" t="s">
        <v>2150</v>
      </c>
      <c r="C219" s="13" t="n">
        <v>362</v>
      </c>
      <c r="D219" s="13" t="s">
        <v>4032</v>
      </c>
      <c r="E219" s="13" t="n">
        <v>4</v>
      </c>
      <c r="F219" s="13" t="s">
        <v>15094</v>
      </c>
      <c r="G219" s="13" t="s">
        <v>15095</v>
      </c>
      <c r="H219" s="13" t="s">
        <v>4036</v>
      </c>
      <c r="I219" s="13" t="s">
        <v>4037</v>
      </c>
    </row>
    <row r="220" customFormat="false" ht="79.85" hidden="false" customHeight="false" outlineLevel="0" collapsed="false">
      <c r="A220" s="13" t="s">
        <v>3</v>
      </c>
      <c r="B220" s="13" t="s">
        <v>2150</v>
      </c>
      <c r="C220" s="13" t="n">
        <v>61</v>
      </c>
      <c r="D220" s="13" t="s">
        <v>2151</v>
      </c>
      <c r="E220" s="13" t="n">
        <v>3</v>
      </c>
      <c r="F220" s="13" t="s">
        <v>15094</v>
      </c>
      <c r="G220" s="13" t="s">
        <v>15095</v>
      </c>
      <c r="H220" s="13" t="s">
        <v>2155</v>
      </c>
      <c r="I220" s="13" t="s">
        <v>2156</v>
      </c>
    </row>
    <row r="221" customFormat="false" ht="46.25" hidden="false" customHeight="false" outlineLevel="0" collapsed="false">
      <c r="A221" s="13" t="s">
        <v>3</v>
      </c>
      <c r="B221" s="13" t="s">
        <v>2150</v>
      </c>
      <c r="C221" s="13" t="n">
        <v>61</v>
      </c>
      <c r="D221" s="13" t="s">
        <v>2161</v>
      </c>
      <c r="E221" s="13" t="n">
        <v>4</v>
      </c>
      <c r="F221" s="13" t="s">
        <v>15094</v>
      </c>
      <c r="G221" s="13" t="s">
        <v>15095</v>
      </c>
      <c r="H221" s="13" t="s">
        <v>2165</v>
      </c>
      <c r="I221" s="13" t="s">
        <v>2166</v>
      </c>
    </row>
    <row r="222" customFormat="false" ht="23.85" hidden="false" customHeight="false" outlineLevel="0" collapsed="false">
      <c r="A222" s="13" t="s">
        <v>3</v>
      </c>
      <c r="B222" s="13" t="s">
        <v>2150</v>
      </c>
      <c r="C222" s="13" t="n">
        <v>61</v>
      </c>
      <c r="D222" s="13" t="s">
        <v>2175</v>
      </c>
      <c r="E222" s="13" t="n">
        <v>3</v>
      </c>
      <c r="F222" s="13" t="s">
        <v>15094</v>
      </c>
      <c r="G222" s="13" t="s">
        <v>15095</v>
      </c>
      <c r="H222" s="13" t="s">
        <v>2179</v>
      </c>
      <c r="I222" s="13" t="s">
        <v>2180</v>
      </c>
    </row>
    <row r="223" customFormat="false" ht="124.6" hidden="false" customHeight="false" outlineLevel="0" collapsed="false">
      <c r="A223" s="13" t="s">
        <v>3</v>
      </c>
      <c r="B223" s="13" t="s">
        <v>2150</v>
      </c>
      <c r="C223" s="13" t="n">
        <v>61</v>
      </c>
      <c r="D223" s="13" t="s">
        <v>2187</v>
      </c>
      <c r="E223" s="13" t="n">
        <v>4</v>
      </c>
      <c r="F223" s="13" t="s">
        <v>15094</v>
      </c>
      <c r="G223" s="13" t="s">
        <v>15095</v>
      </c>
      <c r="H223" s="13" t="s">
        <v>2190</v>
      </c>
      <c r="I223" s="13" t="s">
        <v>2191</v>
      </c>
    </row>
    <row r="224" customFormat="false" ht="35.05" hidden="false" customHeight="false" outlineLevel="0" collapsed="false">
      <c r="A224" s="13" t="s">
        <v>3</v>
      </c>
      <c r="B224" s="13" t="s">
        <v>2150</v>
      </c>
      <c r="C224" s="13" t="n">
        <v>61</v>
      </c>
      <c r="D224" s="13" t="s">
        <v>2200</v>
      </c>
      <c r="E224" s="13" t="n">
        <v>2</v>
      </c>
      <c r="F224" s="13" t="s">
        <v>15094</v>
      </c>
      <c r="G224" s="13" t="s">
        <v>15095</v>
      </c>
      <c r="H224" s="13" t="s">
        <v>2204</v>
      </c>
      <c r="I224" s="13" t="s">
        <v>2205</v>
      </c>
    </row>
    <row r="225" customFormat="false" ht="15" hidden="false" customHeight="false" outlineLevel="0" collapsed="false">
      <c r="A225" s="13" t="s">
        <v>3</v>
      </c>
      <c r="B225" s="13" t="s">
        <v>2150</v>
      </c>
      <c r="C225" s="13" t="n">
        <v>61</v>
      </c>
      <c r="D225" s="13" t="s">
        <v>2208</v>
      </c>
      <c r="E225" s="13" t="n">
        <v>1</v>
      </c>
      <c r="F225" s="13" t="s">
        <v>15094</v>
      </c>
      <c r="G225" s="13" t="s">
        <v>15095</v>
      </c>
      <c r="H225" s="13" t="s">
        <v>2212</v>
      </c>
      <c r="I225" s="13" t="s">
        <v>2213</v>
      </c>
    </row>
    <row r="226" customFormat="false" ht="23.85" hidden="false" customHeight="false" outlineLevel="0" collapsed="false">
      <c r="A226" s="13" t="s">
        <v>3</v>
      </c>
      <c r="B226" s="13" t="s">
        <v>2150</v>
      </c>
      <c r="C226" s="13" t="n">
        <v>61</v>
      </c>
      <c r="D226" s="13" t="s">
        <v>2214</v>
      </c>
      <c r="E226" s="13" t="n">
        <v>1</v>
      </c>
      <c r="F226" s="13" t="s">
        <v>15094</v>
      </c>
      <c r="G226" s="13" t="s">
        <v>15095</v>
      </c>
      <c r="H226" s="13" t="s">
        <v>2219</v>
      </c>
      <c r="I226" s="13" t="s">
        <v>2220</v>
      </c>
    </row>
    <row r="227" customFormat="false" ht="23.85" hidden="false" customHeight="false" outlineLevel="0" collapsed="false">
      <c r="A227" s="13" t="s">
        <v>3</v>
      </c>
      <c r="B227" s="13" t="s">
        <v>2150</v>
      </c>
      <c r="C227" s="13" t="n">
        <v>61</v>
      </c>
      <c r="D227" s="13" t="s">
        <v>2221</v>
      </c>
      <c r="E227" s="13" t="n">
        <v>2</v>
      </c>
      <c r="F227" s="13" t="s">
        <v>15094</v>
      </c>
      <c r="G227" s="13" t="s">
        <v>15095</v>
      </c>
      <c r="H227" s="13" t="s">
        <v>2225</v>
      </c>
      <c r="I227" s="13" t="s">
        <v>2226</v>
      </c>
    </row>
    <row r="228" customFormat="false" ht="35.05" hidden="false" customHeight="false" outlineLevel="0" collapsed="false">
      <c r="A228" s="13" t="s">
        <v>3</v>
      </c>
      <c r="B228" s="13" t="s">
        <v>2150</v>
      </c>
      <c r="C228" s="13" t="n">
        <v>61</v>
      </c>
      <c r="D228" s="13" t="s">
        <v>2230</v>
      </c>
      <c r="E228" s="13" t="n">
        <v>2</v>
      </c>
      <c r="F228" s="13" t="s">
        <v>15094</v>
      </c>
      <c r="G228" s="13" t="s">
        <v>15095</v>
      </c>
      <c r="H228" s="13" t="s">
        <v>2234</v>
      </c>
      <c r="I228" s="13" t="s">
        <v>2235</v>
      </c>
    </row>
    <row r="229" customFormat="false" ht="102.2" hidden="false" customHeight="false" outlineLevel="0" collapsed="false">
      <c r="A229" s="13" t="s">
        <v>3</v>
      </c>
      <c r="B229" s="13" t="s">
        <v>2150</v>
      </c>
      <c r="C229" s="13" t="n">
        <v>61</v>
      </c>
      <c r="D229" s="13" t="s">
        <v>2240</v>
      </c>
      <c r="E229" s="13" t="n">
        <v>4</v>
      </c>
      <c r="F229" s="13" t="s">
        <v>15094</v>
      </c>
      <c r="G229" s="13" t="s">
        <v>15095</v>
      </c>
      <c r="H229" s="13" t="s">
        <v>2244</v>
      </c>
      <c r="I229" s="13" t="s">
        <v>2245</v>
      </c>
    </row>
    <row r="230" customFormat="false" ht="124.6" hidden="false" customHeight="false" outlineLevel="0" collapsed="false">
      <c r="A230" s="13" t="s">
        <v>3</v>
      </c>
      <c r="B230" s="13" t="s">
        <v>2150</v>
      </c>
      <c r="C230" s="13" t="n">
        <v>63</v>
      </c>
      <c r="D230" s="13" t="s">
        <v>2255</v>
      </c>
      <c r="E230" s="13" t="n">
        <v>3</v>
      </c>
      <c r="F230" s="13" t="s">
        <v>15094</v>
      </c>
      <c r="G230" s="13" t="s">
        <v>15095</v>
      </c>
      <c r="H230" s="13" t="s">
        <v>2259</v>
      </c>
      <c r="I230" s="13" t="s">
        <v>2260</v>
      </c>
    </row>
    <row r="231" customFormat="false" ht="57.45" hidden="false" customHeight="false" outlineLevel="0" collapsed="false">
      <c r="A231" s="13" t="s">
        <v>3</v>
      </c>
      <c r="B231" s="13" t="s">
        <v>2150</v>
      </c>
      <c r="C231" s="13" t="n">
        <v>63</v>
      </c>
      <c r="D231" s="13" t="s">
        <v>2267</v>
      </c>
      <c r="E231" s="13" t="n">
        <v>1</v>
      </c>
      <c r="F231" s="13" t="s">
        <v>15094</v>
      </c>
      <c r="G231" s="13" t="s">
        <v>15095</v>
      </c>
      <c r="H231" s="13" t="s">
        <v>2272</v>
      </c>
      <c r="I231" s="13" t="s">
        <v>2273</v>
      </c>
    </row>
    <row r="232" customFormat="false" ht="46.25" hidden="false" customHeight="false" outlineLevel="0" collapsed="false">
      <c r="A232" s="13" t="s">
        <v>3</v>
      </c>
      <c r="B232" s="13" t="s">
        <v>2150</v>
      </c>
      <c r="C232" s="13" t="n">
        <v>63</v>
      </c>
      <c r="D232" s="13" t="s">
        <v>2274</v>
      </c>
      <c r="E232" s="13" t="n">
        <v>2</v>
      </c>
      <c r="F232" s="13" t="s">
        <v>15094</v>
      </c>
      <c r="G232" s="13" t="s">
        <v>15095</v>
      </c>
      <c r="H232" s="13" t="s">
        <v>2278</v>
      </c>
      <c r="I232" s="13" t="s">
        <v>2279</v>
      </c>
    </row>
    <row r="233" customFormat="false" ht="15" hidden="false" customHeight="false" outlineLevel="0" collapsed="false">
      <c r="A233" s="13" t="s">
        <v>3</v>
      </c>
      <c r="B233" s="13" t="s">
        <v>2150</v>
      </c>
      <c r="C233" s="13" t="n">
        <v>63</v>
      </c>
      <c r="D233" s="13" t="s">
        <v>2283</v>
      </c>
      <c r="E233" s="13" t="n">
        <v>1</v>
      </c>
      <c r="F233" s="13" t="s">
        <v>15094</v>
      </c>
      <c r="G233" s="13" t="s">
        <v>15095</v>
      </c>
      <c r="H233" s="13" t="s">
        <v>2286</v>
      </c>
      <c r="I233" s="13" t="s">
        <v>2287</v>
      </c>
    </row>
    <row r="234" customFormat="false" ht="23.85" hidden="false" customHeight="false" outlineLevel="0" collapsed="false">
      <c r="A234" s="13" t="s">
        <v>3</v>
      </c>
      <c r="B234" s="13" t="s">
        <v>2150</v>
      </c>
      <c r="C234" s="13" t="n">
        <v>63</v>
      </c>
      <c r="D234" s="13" t="s">
        <v>2288</v>
      </c>
      <c r="E234" s="13" t="n">
        <v>1</v>
      </c>
      <c r="F234" s="13" t="s">
        <v>15094</v>
      </c>
      <c r="G234" s="13" t="s">
        <v>15095</v>
      </c>
      <c r="H234" s="13" t="s">
        <v>2292</v>
      </c>
      <c r="I234" s="13" t="s">
        <v>2293</v>
      </c>
    </row>
    <row r="235" customFormat="false" ht="23.85" hidden="false" customHeight="false" outlineLevel="0" collapsed="false">
      <c r="A235" s="13" t="s">
        <v>3</v>
      </c>
      <c r="B235" s="13" t="s">
        <v>2150</v>
      </c>
      <c r="C235" s="13" t="n">
        <v>63</v>
      </c>
      <c r="D235" s="13" t="s">
        <v>2294</v>
      </c>
      <c r="E235" s="13" t="n">
        <v>1</v>
      </c>
      <c r="F235" s="13" t="s">
        <v>15094</v>
      </c>
      <c r="G235" s="13" t="s">
        <v>15095</v>
      </c>
      <c r="H235" s="13" t="s">
        <v>2298</v>
      </c>
      <c r="I235" s="13" t="s">
        <v>2299</v>
      </c>
    </row>
    <row r="236" customFormat="false" ht="35.05" hidden="false" customHeight="false" outlineLevel="0" collapsed="false">
      <c r="A236" s="13" t="s">
        <v>3</v>
      </c>
      <c r="B236" s="13" t="s">
        <v>2150</v>
      </c>
      <c r="C236" s="13" t="n">
        <v>63</v>
      </c>
      <c r="D236" s="13" t="s">
        <v>15111</v>
      </c>
      <c r="E236" s="13" t="n">
        <v>0</v>
      </c>
      <c r="F236" s="13" t="s">
        <v>15097</v>
      </c>
      <c r="G236" s="13" t="s">
        <v>15095</v>
      </c>
      <c r="H236" s="13" t="s">
        <v>15112</v>
      </c>
      <c r="I236" s="13" t="s">
        <v>15113</v>
      </c>
    </row>
    <row r="237" customFormat="false" ht="35.05" hidden="false" customHeight="false" outlineLevel="0" collapsed="false">
      <c r="A237" s="13" t="s">
        <v>3</v>
      </c>
      <c r="B237" s="13" t="s">
        <v>2150</v>
      </c>
      <c r="C237" s="13" t="n">
        <v>63</v>
      </c>
      <c r="D237" s="13" t="s">
        <v>2300</v>
      </c>
      <c r="E237" s="13" t="n">
        <v>1</v>
      </c>
      <c r="F237" s="13" t="s">
        <v>15094</v>
      </c>
      <c r="G237" s="13" t="s">
        <v>15095</v>
      </c>
      <c r="H237" s="13" t="s">
        <v>2305</v>
      </c>
      <c r="I237" s="13" t="s">
        <v>2306</v>
      </c>
    </row>
    <row r="238" customFormat="false" ht="79.85" hidden="false" customHeight="false" outlineLevel="0" collapsed="false">
      <c r="A238" s="13" t="s">
        <v>3</v>
      </c>
      <c r="B238" s="13" t="s">
        <v>2150</v>
      </c>
      <c r="C238" s="13" t="n">
        <v>63</v>
      </c>
      <c r="D238" s="13" t="s">
        <v>2307</v>
      </c>
      <c r="E238" s="13" t="n">
        <v>5</v>
      </c>
      <c r="F238" s="13" t="s">
        <v>15094</v>
      </c>
      <c r="G238" s="13" t="s">
        <v>15095</v>
      </c>
      <c r="H238" s="13" t="s">
        <v>2311</v>
      </c>
      <c r="I238" s="13" t="s">
        <v>2312</v>
      </c>
    </row>
    <row r="239" customFormat="false" ht="23.85" hidden="false" customHeight="false" outlineLevel="0" collapsed="false">
      <c r="A239" s="13" t="s">
        <v>3</v>
      </c>
      <c r="B239" s="13" t="s">
        <v>2150</v>
      </c>
      <c r="C239" s="13" t="n">
        <v>63</v>
      </c>
      <c r="D239" s="13" t="s">
        <v>2323</v>
      </c>
      <c r="E239" s="13" t="n">
        <v>3</v>
      </c>
      <c r="F239" s="13" t="s">
        <v>15094</v>
      </c>
      <c r="G239" s="13" t="s">
        <v>15095</v>
      </c>
      <c r="H239" s="13" t="s">
        <v>2327</v>
      </c>
      <c r="I239" s="13" t="s">
        <v>2328</v>
      </c>
    </row>
    <row r="240" customFormat="false" ht="15" hidden="false" customHeight="false" outlineLevel="0" collapsed="false">
      <c r="A240" s="13" t="s">
        <v>3</v>
      </c>
      <c r="B240" s="13" t="s">
        <v>2150</v>
      </c>
      <c r="C240" s="13" t="n">
        <v>63</v>
      </c>
      <c r="D240" s="13" t="s">
        <v>11999</v>
      </c>
      <c r="E240" s="13" t="n">
        <v>0</v>
      </c>
      <c r="F240" s="13" t="s">
        <v>15097</v>
      </c>
      <c r="G240" s="13" t="s">
        <v>15095</v>
      </c>
      <c r="H240" s="13" t="s">
        <v>12004</v>
      </c>
      <c r="I240" s="13" t="s">
        <v>12005</v>
      </c>
    </row>
    <row r="241" customFormat="false" ht="46.25" hidden="false" customHeight="false" outlineLevel="0" collapsed="false">
      <c r="A241" s="13" t="s">
        <v>3</v>
      </c>
      <c r="B241" s="13" t="s">
        <v>2150</v>
      </c>
      <c r="C241" s="13" t="n">
        <v>63</v>
      </c>
      <c r="D241" s="13" t="s">
        <v>2335</v>
      </c>
      <c r="E241" s="13" t="n">
        <v>4</v>
      </c>
      <c r="F241" s="13" t="s">
        <v>15094</v>
      </c>
      <c r="G241" s="13" t="s">
        <v>15095</v>
      </c>
      <c r="H241" s="13" t="s">
        <v>2339</v>
      </c>
      <c r="I241" s="13" t="s">
        <v>2340</v>
      </c>
    </row>
    <row r="242" customFormat="false" ht="102.2" hidden="false" customHeight="false" outlineLevel="0" collapsed="false">
      <c r="A242" s="13" t="s">
        <v>3</v>
      </c>
      <c r="B242" s="13" t="s">
        <v>2150</v>
      </c>
      <c r="C242" s="13" t="n">
        <v>81</v>
      </c>
      <c r="D242" s="13" t="s">
        <v>2348</v>
      </c>
      <c r="E242" s="13" t="n">
        <v>3</v>
      </c>
      <c r="F242" s="13" t="s">
        <v>15094</v>
      </c>
      <c r="G242" s="13" t="s">
        <v>15095</v>
      </c>
      <c r="H242" s="13" t="s">
        <v>2352</v>
      </c>
      <c r="I242" s="13" t="s">
        <v>2353</v>
      </c>
    </row>
    <row r="243" customFormat="false" ht="23.85" hidden="false" customHeight="false" outlineLevel="0" collapsed="false">
      <c r="A243" s="13" t="s">
        <v>3</v>
      </c>
      <c r="B243" s="13" t="s">
        <v>2150</v>
      </c>
      <c r="C243" s="13" t="n">
        <v>81</v>
      </c>
      <c r="D243" s="13" t="s">
        <v>2360</v>
      </c>
      <c r="E243" s="13" t="n">
        <v>1</v>
      </c>
      <c r="F243" s="13" t="s">
        <v>15094</v>
      </c>
      <c r="G243" s="13" t="s">
        <v>15095</v>
      </c>
      <c r="H243" s="13" t="s">
        <v>2364</v>
      </c>
      <c r="I243" s="13" t="s">
        <v>2365</v>
      </c>
    </row>
    <row r="244" customFormat="false" ht="15" hidden="false" customHeight="false" outlineLevel="0" collapsed="false">
      <c r="A244" s="13" t="s">
        <v>3</v>
      </c>
      <c r="B244" s="13" t="s">
        <v>2150</v>
      </c>
      <c r="C244" s="13" t="n">
        <v>81</v>
      </c>
      <c r="D244" s="13" t="s">
        <v>2366</v>
      </c>
      <c r="E244" s="13" t="n">
        <v>1</v>
      </c>
      <c r="F244" s="13" t="s">
        <v>15094</v>
      </c>
      <c r="G244" s="13" t="s">
        <v>15095</v>
      </c>
      <c r="H244" s="13" t="s">
        <v>2370</v>
      </c>
      <c r="I244" s="13" t="s">
        <v>2371</v>
      </c>
    </row>
    <row r="245" customFormat="false" ht="15" hidden="false" customHeight="false" outlineLevel="0" collapsed="false">
      <c r="A245" s="13" t="s">
        <v>3</v>
      </c>
      <c r="B245" s="13" t="s">
        <v>2150</v>
      </c>
      <c r="C245" s="13" t="n">
        <v>81</v>
      </c>
      <c r="D245" s="13" t="s">
        <v>2372</v>
      </c>
      <c r="E245" s="13" t="n">
        <v>1</v>
      </c>
      <c r="F245" s="13" t="s">
        <v>15094</v>
      </c>
      <c r="G245" s="13" t="s">
        <v>15095</v>
      </c>
      <c r="H245" s="13" t="s">
        <v>2375</v>
      </c>
      <c r="I245" s="13" t="s">
        <v>2376</v>
      </c>
    </row>
    <row r="246" customFormat="false" ht="15" hidden="false" customHeight="false" outlineLevel="0" collapsed="false">
      <c r="A246" s="13" t="s">
        <v>3</v>
      </c>
      <c r="B246" s="13" t="s">
        <v>2150</v>
      </c>
      <c r="C246" s="13" t="n">
        <v>81</v>
      </c>
      <c r="D246" s="13" t="s">
        <v>2377</v>
      </c>
      <c r="E246" s="13" t="n">
        <v>1</v>
      </c>
      <c r="F246" s="13" t="s">
        <v>15094</v>
      </c>
      <c r="G246" s="13" t="s">
        <v>15095</v>
      </c>
      <c r="H246" s="13" t="s">
        <v>2380</v>
      </c>
      <c r="I246" s="13" t="s">
        <v>2381</v>
      </c>
    </row>
    <row r="247" customFormat="false" ht="15" hidden="false" customHeight="false" outlineLevel="0" collapsed="false">
      <c r="A247" s="13" t="s">
        <v>3</v>
      </c>
      <c r="B247" s="13" t="s">
        <v>2150</v>
      </c>
      <c r="C247" s="13" t="n">
        <v>81</v>
      </c>
      <c r="D247" s="13" t="s">
        <v>2382</v>
      </c>
      <c r="E247" s="13" t="n">
        <v>1</v>
      </c>
      <c r="F247" s="13" t="s">
        <v>15094</v>
      </c>
      <c r="G247" s="13" t="s">
        <v>15095</v>
      </c>
      <c r="H247" s="13" t="s">
        <v>2385</v>
      </c>
      <c r="I247" s="13" t="s">
        <v>2386</v>
      </c>
    </row>
    <row r="248" customFormat="false" ht="68.65" hidden="false" customHeight="false" outlineLevel="0" collapsed="false">
      <c r="A248" s="13" t="s">
        <v>3</v>
      </c>
      <c r="B248" s="13" t="s">
        <v>2150</v>
      </c>
      <c r="C248" s="13" t="n">
        <v>81</v>
      </c>
      <c r="D248" s="13" t="s">
        <v>2387</v>
      </c>
      <c r="E248" s="13" t="n">
        <v>2</v>
      </c>
      <c r="F248" s="13" t="s">
        <v>15094</v>
      </c>
      <c r="G248" s="13" t="s">
        <v>15095</v>
      </c>
      <c r="H248" s="13" t="s">
        <v>2390</v>
      </c>
      <c r="I248" s="13" t="s">
        <v>2391</v>
      </c>
    </row>
    <row r="249" customFormat="false" ht="15" hidden="false" customHeight="false" outlineLevel="0" collapsed="false">
      <c r="A249" s="13" t="s">
        <v>3</v>
      </c>
      <c r="B249" s="13" t="s">
        <v>2150</v>
      </c>
      <c r="C249" s="13" t="n">
        <v>81</v>
      </c>
      <c r="D249" s="13" t="s">
        <v>2396</v>
      </c>
      <c r="E249" s="13" t="n">
        <v>1</v>
      </c>
      <c r="F249" s="13" t="s">
        <v>15094</v>
      </c>
      <c r="G249" s="13" t="s">
        <v>15095</v>
      </c>
      <c r="H249" s="13" t="s">
        <v>2400</v>
      </c>
      <c r="I249" s="13" t="s">
        <v>2401</v>
      </c>
    </row>
    <row r="250" customFormat="false" ht="35.05" hidden="false" customHeight="false" outlineLevel="0" collapsed="false">
      <c r="A250" s="13" t="s">
        <v>3</v>
      </c>
      <c r="B250" s="13" t="s">
        <v>2150</v>
      </c>
      <c r="C250" s="13" t="n">
        <v>81</v>
      </c>
      <c r="D250" s="13" t="s">
        <v>2402</v>
      </c>
      <c r="E250" s="13" t="n">
        <v>1</v>
      </c>
      <c r="F250" s="13" t="s">
        <v>15094</v>
      </c>
      <c r="G250" s="13" t="s">
        <v>15095</v>
      </c>
      <c r="H250" s="13" t="s">
        <v>2407</v>
      </c>
      <c r="I250" s="13" t="s">
        <v>2408</v>
      </c>
    </row>
    <row r="251" customFormat="false" ht="15" hidden="false" customHeight="false" outlineLevel="0" collapsed="false">
      <c r="A251" s="13" t="s">
        <v>3</v>
      </c>
      <c r="B251" s="13" t="s">
        <v>2150</v>
      </c>
      <c r="C251" s="13" t="n">
        <v>81</v>
      </c>
      <c r="D251" s="13" t="s">
        <v>2409</v>
      </c>
      <c r="E251" s="13" t="n">
        <v>1</v>
      </c>
      <c r="F251" s="13" t="s">
        <v>15094</v>
      </c>
      <c r="G251" s="13" t="s">
        <v>15095</v>
      </c>
      <c r="H251" s="13" t="s">
        <v>2412</v>
      </c>
      <c r="I251" s="13" t="s">
        <v>2413</v>
      </c>
    </row>
    <row r="252" customFormat="false" ht="23.85" hidden="false" customHeight="false" outlineLevel="0" collapsed="false">
      <c r="A252" s="13" t="s">
        <v>3</v>
      </c>
      <c r="B252" s="13" t="s">
        <v>2150</v>
      </c>
      <c r="C252" s="13" t="n">
        <v>81</v>
      </c>
      <c r="D252" s="13" t="s">
        <v>2414</v>
      </c>
      <c r="E252" s="13" t="n">
        <v>2</v>
      </c>
      <c r="F252" s="13" t="s">
        <v>15094</v>
      </c>
      <c r="G252" s="13" t="s">
        <v>15095</v>
      </c>
      <c r="H252" s="13" t="s">
        <v>2417</v>
      </c>
      <c r="I252" s="13" t="s">
        <v>2418</v>
      </c>
    </row>
    <row r="253" customFormat="false" ht="15" hidden="false" customHeight="false" outlineLevel="0" collapsed="false">
      <c r="A253" s="13" t="s">
        <v>3</v>
      </c>
      <c r="B253" s="13" t="s">
        <v>2150</v>
      </c>
      <c r="C253" s="13" t="n">
        <v>81</v>
      </c>
      <c r="D253" s="13" t="s">
        <v>15114</v>
      </c>
      <c r="E253" s="13" t="n">
        <v>0</v>
      </c>
      <c r="F253" s="13" t="s">
        <v>15097</v>
      </c>
      <c r="G253" s="13" t="s">
        <v>15095</v>
      </c>
      <c r="H253" s="13" t="s">
        <v>15115</v>
      </c>
      <c r="I253" s="13" t="s">
        <v>15116</v>
      </c>
    </row>
    <row r="254" customFormat="false" ht="23.85" hidden="false" customHeight="false" outlineLevel="0" collapsed="false">
      <c r="A254" s="13" t="s">
        <v>3</v>
      </c>
      <c r="B254" s="13" t="s">
        <v>2150</v>
      </c>
      <c r="C254" s="13" t="n">
        <v>81</v>
      </c>
      <c r="D254" s="13" t="s">
        <v>2421</v>
      </c>
      <c r="E254" s="13" t="n">
        <v>1</v>
      </c>
      <c r="F254" s="13" t="s">
        <v>15094</v>
      </c>
      <c r="G254" s="13" t="s">
        <v>15095</v>
      </c>
      <c r="H254" s="13" t="s">
        <v>2425</v>
      </c>
      <c r="I254" s="13" t="s">
        <v>2426</v>
      </c>
    </row>
    <row r="255" customFormat="false" ht="46.25" hidden="false" customHeight="false" outlineLevel="0" collapsed="false">
      <c r="A255" s="13" t="s">
        <v>3</v>
      </c>
      <c r="B255" s="13" t="s">
        <v>2150</v>
      </c>
      <c r="C255" s="13" t="n">
        <v>81</v>
      </c>
      <c r="D255" s="13" t="s">
        <v>2427</v>
      </c>
      <c r="E255" s="13" t="n">
        <v>4</v>
      </c>
      <c r="F255" s="13" t="s">
        <v>15094</v>
      </c>
      <c r="G255" s="13" t="s">
        <v>15095</v>
      </c>
      <c r="H255" s="13" t="s">
        <v>2432</v>
      </c>
      <c r="I255" s="13" t="s">
        <v>2433</v>
      </c>
    </row>
    <row r="256" customFormat="false" ht="68.65" hidden="false" customHeight="false" outlineLevel="0" collapsed="false">
      <c r="A256" s="13" t="s">
        <v>3</v>
      </c>
      <c r="B256" s="13" t="s">
        <v>2150</v>
      </c>
      <c r="C256" s="13" t="n">
        <v>81</v>
      </c>
      <c r="D256" s="13" t="s">
        <v>2440</v>
      </c>
      <c r="E256" s="13" t="n">
        <v>3</v>
      </c>
      <c r="F256" s="13" t="s">
        <v>15094</v>
      </c>
      <c r="G256" s="13" t="s">
        <v>15095</v>
      </c>
      <c r="H256" s="13" t="s">
        <v>2445</v>
      </c>
      <c r="I256" s="13" t="s">
        <v>2446</v>
      </c>
    </row>
    <row r="257" customFormat="false" ht="46.25" hidden="false" customHeight="false" outlineLevel="0" collapsed="false">
      <c r="A257" s="13" t="s">
        <v>3</v>
      </c>
      <c r="B257" s="13" t="s">
        <v>2150</v>
      </c>
      <c r="C257" s="13" t="n">
        <v>86</v>
      </c>
      <c r="D257" s="13" t="s">
        <v>2455</v>
      </c>
      <c r="E257" s="13" t="n">
        <v>3</v>
      </c>
      <c r="F257" s="13" t="s">
        <v>15094</v>
      </c>
      <c r="G257" s="13" t="s">
        <v>15095</v>
      </c>
      <c r="H257" s="13" t="s">
        <v>2460</v>
      </c>
      <c r="I257" s="13" t="s">
        <v>2461</v>
      </c>
    </row>
    <row r="258" customFormat="false" ht="15" hidden="false" customHeight="false" outlineLevel="0" collapsed="false">
      <c r="A258" s="13" t="s">
        <v>3</v>
      </c>
      <c r="B258" s="13" t="s">
        <v>2150</v>
      </c>
      <c r="C258" s="13" t="n">
        <v>86</v>
      </c>
      <c r="D258" s="13" t="s">
        <v>2468</v>
      </c>
      <c r="E258" s="13" t="n">
        <v>1</v>
      </c>
      <c r="F258" s="13" t="s">
        <v>15094</v>
      </c>
      <c r="G258" s="13" t="s">
        <v>15095</v>
      </c>
      <c r="H258" s="13" t="s">
        <v>2472</v>
      </c>
      <c r="I258" s="13" t="s">
        <v>2473</v>
      </c>
    </row>
    <row r="259" customFormat="false" ht="15" hidden="false" customHeight="false" outlineLevel="0" collapsed="false">
      <c r="A259" s="13" t="s">
        <v>3</v>
      </c>
      <c r="B259" s="13" t="s">
        <v>2150</v>
      </c>
      <c r="C259" s="13" t="n">
        <v>86</v>
      </c>
      <c r="D259" s="13" t="s">
        <v>2474</v>
      </c>
      <c r="E259" s="13" t="n">
        <v>1</v>
      </c>
      <c r="F259" s="13" t="s">
        <v>15094</v>
      </c>
      <c r="G259" s="13" t="s">
        <v>15095</v>
      </c>
      <c r="H259" s="13" t="s">
        <v>2478</v>
      </c>
      <c r="I259" s="13" t="s">
        <v>2479</v>
      </c>
    </row>
    <row r="260" customFormat="false" ht="15" hidden="false" customHeight="false" outlineLevel="0" collapsed="false">
      <c r="A260" s="13" t="s">
        <v>3</v>
      </c>
      <c r="B260" s="13" t="s">
        <v>2150</v>
      </c>
      <c r="C260" s="13" t="n">
        <v>86</v>
      </c>
      <c r="D260" s="13" t="s">
        <v>2480</v>
      </c>
      <c r="E260" s="13" t="n">
        <v>1</v>
      </c>
      <c r="F260" s="13" t="s">
        <v>15094</v>
      </c>
      <c r="G260" s="13" t="s">
        <v>15095</v>
      </c>
      <c r="H260" s="13" t="s">
        <v>2485</v>
      </c>
      <c r="I260" s="13" t="s">
        <v>2486</v>
      </c>
    </row>
    <row r="261" customFormat="false" ht="68.65" hidden="false" customHeight="false" outlineLevel="0" collapsed="false">
      <c r="A261" s="13" t="s">
        <v>3</v>
      </c>
      <c r="B261" s="13" t="s">
        <v>2150</v>
      </c>
      <c r="C261" s="13" t="n">
        <v>86</v>
      </c>
      <c r="D261" s="13" t="s">
        <v>2487</v>
      </c>
      <c r="E261" s="13" t="n">
        <v>3</v>
      </c>
      <c r="F261" s="13" t="s">
        <v>15094</v>
      </c>
      <c r="G261" s="13" t="s">
        <v>15095</v>
      </c>
      <c r="H261" s="13" t="s">
        <v>2491</v>
      </c>
      <c r="I261" s="13" t="s">
        <v>2492</v>
      </c>
    </row>
    <row r="262" customFormat="false" ht="15" hidden="false" customHeight="false" outlineLevel="0" collapsed="false">
      <c r="A262" s="13" t="s">
        <v>3</v>
      </c>
      <c r="B262" s="13" t="s">
        <v>2150</v>
      </c>
      <c r="C262" s="13" t="n">
        <v>86</v>
      </c>
      <c r="D262" s="13" t="s">
        <v>2499</v>
      </c>
      <c r="E262" s="13" t="n">
        <v>1</v>
      </c>
      <c r="F262" s="13" t="s">
        <v>15094</v>
      </c>
      <c r="G262" s="13" t="s">
        <v>15095</v>
      </c>
      <c r="H262" s="13" t="s">
        <v>2504</v>
      </c>
      <c r="I262" s="13" t="s">
        <v>2505</v>
      </c>
    </row>
    <row r="263" customFormat="false" ht="23.85" hidden="false" customHeight="false" outlineLevel="0" collapsed="false">
      <c r="A263" s="13" t="s">
        <v>3</v>
      </c>
      <c r="B263" s="13" t="s">
        <v>2150</v>
      </c>
      <c r="C263" s="13" t="n">
        <v>86</v>
      </c>
      <c r="D263" s="13" t="s">
        <v>2506</v>
      </c>
      <c r="E263" s="13" t="n">
        <v>1</v>
      </c>
      <c r="F263" s="13" t="s">
        <v>15094</v>
      </c>
      <c r="G263" s="13" t="s">
        <v>15095</v>
      </c>
      <c r="H263" s="13" t="s">
        <v>2510</v>
      </c>
      <c r="I263" s="13" t="s">
        <v>2511</v>
      </c>
    </row>
    <row r="264" customFormat="false" ht="57.45" hidden="false" customHeight="false" outlineLevel="0" collapsed="false">
      <c r="A264" s="13" t="s">
        <v>3</v>
      </c>
      <c r="B264" s="13" t="s">
        <v>2150</v>
      </c>
      <c r="C264" s="13" t="n">
        <v>86</v>
      </c>
      <c r="D264" s="13" t="s">
        <v>2512</v>
      </c>
      <c r="E264" s="13" t="n">
        <v>3</v>
      </c>
      <c r="F264" s="13" t="s">
        <v>15094</v>
      </c>
      <c r="G264" s="13" t="s">
        <v>15095</v>
      </c>
      <c r="H264" s="13" t="s">
        <v>2515</v>
      </c>
      <c r="I264" s="13" t="s">
        <v>2516</v>
      </c>
    </row>
    <row r="265" customFormat="false" ht="23.85" hidden="false" customHeight="false" outlineLevel="0" collapsed="false">
      <c r="A265" s="13" t="s">
        <v>3</v>
      </c>
      <c r="B265" s="13" t="s">
        <v>2150</v>
      </c>
      <c r="C265" s="13" t="n">
        <v>86</v>
      </c>
      <c r="D265" s="13" t="s">
        <v>2522</v>
      </c>
      <c r="E265" s="13" t="n">
        <v>2</v>
      </c>
      <c r="F265" s="13" t="s">
        <v>15094</v>
      </c>
      <c r="G265" s="13" t="s">
        <v>15095</v>
      </c>
      <c r="H265" s="13" t="s">
        <v>2526</v>
      </c>
      <c r="I265" s="13" t="s">
        <v>2527</v>
      </c>
    </row>
    <row r="266" customFormat="false" ht="15" hidden="false" customHeight="false" outlineLevel="0" collapsed="false">
      <c r="A266" s="13" t="s">
        <v>3</v>
      </c>
      <c r="B266" s="13" t="s">
        <v>2150</v>
      </c>
      <c r="C266" s="13" t="n">
        <v>86</v>
      </c>
      <c r="D266" s="13" t="s">
        <v>2532</v>
      </c>
      <c r="E266" s="13" t="n">
        <v>1</v>
      </c>
      <c r="F266" s="13" t="s">
        <v>15094</v>
      </c>
      <c r="G266" s="13" t="s">
        <v>15095</v>
      </c>
      <c r="H266" s="13" t="s">
        <v>2535</v>
      </c>
      <c r="I266" s="13" t="s">
        <v>2536</v>
      </c>
    </row>
    <row r="267" customFormat="false" ht="15" hidden="false" customHeight="false" outlineLevel="0" collapsed="false">
      <c r="A267" s="13" t="s">
        <v>3</v>
      </c>
      <c r="B267" s="13" t="s">
        <v>2150</v>
      </c>
      <c r="C267" s="13" t="n">
        <v>86</v>
      </c>
      <c r="D267" s="13" t="s">
        <v>2537</v>
      </c>
      <c r="E267" s="13" t="n">
        <v>1</v>
      </c>
      <c r="F267" s="13" t="s">
        <v>15094</v>
      </c>
      <c r="G267" s="13" t="s">
        <v>15095</v>
      </c>
      <c r="H267" s="13" t="s">
        <v>2542</v>
      </c>
      <c r="I267" s="13" t="s">
        <v>2543</v>
      </c>
    </row>
    <row r="268" customFormat="false" ht="15" hidden="false" customHeight="false" outlineLevel="0" collapsed="false">
      <c r="A268" s="13" t="s">
        <v>3</v>
      </c>
      <c r="B268" s="13" t="s">
        <v>2150</v>
      </c>
      <c r="C268" s="13" t="n">
        <v>86</v>
      </c>
      <c r="D268" s="13" t="s">
        <v>2544</v>
      </c>
      <c r="E268" s="13" t="n">
        <v>1</v>
      </c>
      <c r="F268" s="13" t="s">
        <v>15094</v>
      </c>
      <c r="G268" s="13" t="s">
        <v>15095</v>
      </c>
      <c r="H268" s="13" t="s">
        <v>2547</v>
      </c>
      <c r="I268" s="13" t="s">
        <v>2548</v>
      </c>
    </row>
    <row r="269" customFormat="false" ht="15" hidden="false" customHeight="false" outlineLevel="0" collapsed="false">
      <c r="A269" s="13" t="s">
        <v>3</v>
      </c>
      <c r="B269" s="13" t="s">
        <v>2150</v>
      </c>
      <c r="C269" s="13" t="n">
        <v>86</v>
      </c>
      <c r="D269" s="13" t="s">
        <v>2549</v>
      </c>
      <c r="E269" s="13" t="n">
        <v>1</v>
      </c>
      <c r="F269" s="13" t="s">
        <v>15094</v>
      </c>
      <c r="G269" s="13" t="s">
        <v>15095</v>
      </c>
      <c r="H269" s="13" t="s">
        <v>2552</v>
      </c>
      <c r="I269" s="13" t="s">
        <v>2553</v>
      </c>
    </row>
    <row r="270" customFormat="false" ht="15" hidden="false" customHeight="false" outlineLevel="0" collapsed="false">
      <c r="A270" s="13" t="s">
        <v>3</v>
      </c>
      <c r="B270" s="13" t="s">
        <v>2150</v>
      </c>
      <c r="C270" s="13" t="n">
        <v>86</v>
      </c>
      <c r="D270" s="13" t="s">
        <v>2554</v>
      </c>
      <c r="E270" s="13" t="n">
        <v>1</v>
      </c>
      <c r="F270" s="13" t="s">
        <v>15094</v>
      </c>
      <c r="G270" s="13" t="s">
        <v>15095</v>
      </c>
      <c r="H270" s="13" t="s">
        <v>2557</v>
      </c>
      <c r="I270" s="13" t="s">
        <v>2558</v>
      </c>
    </row>
    <row r="271" customFormat="false" ht="15" hidden="false" customHeight="false" outlineLevel="0" collapsed="false">
      <c r="A271" s="13" t="s">
        <v>3</v>
      </c>
      <c r="B271" s="13" t="s">
        <v>2150</v>
      </c>
      <c r="C271" s="13" t="n">
        <v>86</v>
      </c>
      <c r="D271" s="13" t="s">
        <v>2559</v>
      </c>
      <c r="E271" s="13" t="n">
        <v>1</v>
      </c>
      <c r="F271" s="13" t="s">
        <v>15094</v>
      </c>
      <c r="G271" s="13" t="s">
        <v>15095</v>
      </c>
      <c r="H271" s="13" t="s">
        <v>2562</v>
      </c>
      <c r="I271" s="13" t="s">
        <v>2563</v>
      </c>
    </row>
    <row r="272" customFormat="false" ht="23.85" hidden="false" customHeight="false" outlineLevel="0" collapsed="false">
      <c r="A272" s="13" t="s">
        <v>3</v>
      </c>
      <c r="B272" s="13" t="s">
        <v>2150</v>
      </c>
      <c r="C272" s="13" t="n">
        <v>86</v>
      </c>
      <c r="D272" s="13" t="s">
        <v>2564</v>
      </c>
      <c r="E272" s="13" t="n">
        <v>1</v>
      </c>
      <c r="F272" s="13" t="s">
        <v>15094</v>
      </c>
      <c r="G272" s="13" t="s">
        <v>15095</v>
      </c>
      <c r="H272" s="13" t="s">
        <v>2568</v>
      </c>
      <c r="I272" s="13" t="s">
        <v>2569</v>
      </c>
    </row>
    <row r="273" customFormat="false" ht="15" hidden="false" customHeight="false" outlineLevel="0" collapsed="false">
      <c r="A273" s="13" t="s">
        <v>3</v>
      </c>
      <c r="B273" s="13" t="s">
        <v>2150</v>
      </c>
      <c r="C273" s="13" t="n">
        <v>86</v>
      </c>
      <c r="D273" s="13" t="s">
        <v>2570</v>
      </c>
      <c r="E273" s="13" t="n">
        <v>1</v>
      </c>
      <c r="F273" s="13" t="s">
        <v>15094</v>
      </c>
      <c r="G273" s="13" t="s">
        <v>15095</v>
      </c>
      <c r="H273" s="13" t="s">
        <v>2572</v>
      </c>
      <c r="I273" s="13" t="s">
        <v>2573</v>
      </c>
    </row>
    <row r="274" customFormat="false" ht="35.05" hidden="false" customHeight="false" outlineLevel="0" collapsed="false">
      <c r="A274" s="13" t="s">
        <v>3</v>
      </c>
      <c r="B274" s="13" t="s">
        <v>2150</v>
      </c>
      <c r="C274" s="13" t="n">
        <v>86</v>
      </c>
      <c r="D274" s="13" t="s">
        <v>2574</v>
      </c>
      <c r="E274" s="13" t="n">
        <v>1</v>
      </c>
      <c r="F274" s="13" t="s">
        <v>15094</v>
      </c>
      <c r="G274" s="13" t="s">
        <v>15095</v>
      </c>
      <c r="H274" s="13" t="s">
        <v>2580</v>
      </c>
      <c r="I274" s="13" t="s">
        <v>2581</v>
      </c>
    </row>
    <row r="275" customFormat="false" ht="23.85" hidden="false" customHeight="false" outlineLevel="0" collapsed="false">
      <c r="A275" s="13" t="s">
        <v>3</v>
      </c>
      <c r="B275" s="13" t="s">
        <v>2150</v>
      </c>
      <c r="C275" s="13" t="n">
        <v>86</v>
      </c>
      <c r="D275" s="13" t="s">
        <v>2582</v>
      </c>
      <c r="E275" s="13" t="n">
        <v>1</v>
      </c>
      <c r="F275" s="13" t="s">
        <v>15094</v>
      </c>
      <c r="G275" s="13" t="s">
        <v>15095</v>
      </c>
      <c r="H275" s="13" t="s">
        <v>2587</v>
      </c>
      <c r="I275" s="13" t="s">
        <v>2588</v>
      </c>
    </row>
    <row r="276" customFormat="false" ht="35.05" hidden="false" customHeight="false" outlineLevel="0" collapsed="false">
      <c r="A276" s="13" t="s">
        <v>3</v>
      </c>
      <c r="B276" s="13" t="s">
        <v>2150</v>
      </c>
      <c r="C276" s="13" t="n">
        <v>86</v>
      </c>
      <c r="D276" s="13" t="s">
        <v>2589</v>
      </c>
      <c r="E276" s="13" t="n">
        <v>1</v>
      </c>
      <c r="F276" s="13" t="s">
        <v>15094</v>
      </c>
      <c r="G276" s="13" t="s">
        <v>15095</v>
      </c>
      <c r="H276" s="13" t="s">
        <v>2593</v>
      </c>
      <c r="I276" s="13" t="s">
        <v>2594</v>
      </c>
    </row>
    <row r="277" customFormat="false" ht="57.45" hidden="false" customHeight="false" outlineLevel="0" collapsed="false">
      <c r="A277" s="13" t="s">
        <v>3</v>
      </c>
      <c r="B277" s="13" t="s">
        <v>2150</v>
      </c>
      <c r="C277" s="13" t="n">
        <v>86</v>
      </c>
      <c r="D277" s="13" t="s">
        <v>2595</v>
      </c>
      <c r="E277" s="13" t="n">
        <v>2</v>
      </c>
      <c r="F277" s="13" t="s">
        <v>15094</v>
      </c>
      <c r="G277" s="13" t="s">
        <v>15095</v>
      </c>
      <c r="H277" s="13" t="s">
        <v>2599</v>
      </c>
      <c r="I277" s="13" t="s">
        <v>2600</v>
      </c>
    </row>
    <row r="278" customFormat="false" ht="35.05" hidden="false" customHeight="false" outlineLevel="0" collapsed="false">
      <c r="A278" s="13" t="s">
        <v>3</v>
      </c>
      <c r="B278" s="13" t="s">
        <v>2150</v>
      </c>
      <c r="C278" s="13" t="n">
        <v>92</v>
      </c>
      <c r="D278" s="13" t="s">
        <v>2604</v>
      </c>
      <c r="E278" s="13" t="n">
        <v>4</v>
      </c>
      <c r="F278" s="13" t="s">
        <v>15094</v>
      </c>
      <c r="G278" s="13" t="s">
        <v>15095</v>
      </c>
      <c r="H278" s="13" t="s">
        <v>2609</v>
      </c>
      <c r="I278" s="13" t="s">
        <v>2610</v>
      </c>
    </row>
    <row r="279" customFormat="false" ht="68.65" hidden="false" customHeight="false" outlineLevel="0" collapsed="false">
      <c r="A279" s="13" t="s">
        <v>3</v>
      </c>
      <c r="B279" s="13" t="s">
        <v>2150</v>
      </c>
      <c r="C279" s="13" t="n">
        <v>92</v>
      </c>
      <c r="D279" s="13" t="s">
        <v>2620</v>
      </c>
      <c r="E279" s="13" t="n">
        <v>3</v>
      </c>
      <c r="F279" s="13" t="s">
        <v>15094</v>
      </c>
      <c r="G279" s="13" t="s">
        <v>15095</v>
      </c>
      <c r="H279" s="13" t="s">
        <v>2625</v>
      </c>
      <c r="I279" s="13" t="s">
        <v>2626</v>
      </c>
    </row>
    <row r="280" customFormat="false" ht="23.85" hidden="false" customHeight="false" outlineLevel="0" collapsed="false">
      <c r="A280" s="13" t="s">
        <v>3</v>
      </c>
      <c r="B280" s="13" t="s">
        <v>2150</v>
      </c>
      <c r="C280" s="13" t="n">
        <v>92</v>
      </c>
      <c r="D280" s="13" t="s">
        <v>2633</v>
      </c>
      <c r="E280" s="13" t="n">
        <v>2</v>
      </c>
      <c r="F280" s="13" t="s">
        <v>15094</v>
      </c>
      <c r="G280" s="13" t="s">
        <v>15095</v>
      </c>
      <c r="H280" s="13" t="s">
        <v>2637</v>
      </c>
      <c r="I280" s="13" t="s">
        <v>2638</v>
      </c>
    </row>
    <row r="281" customFormat="false" ht="35.05" hidden="false" customHeight="false" outlineLevel="0" collapsed="false">
      <c r="A281" s="13" t="s">
        <v>3</v>
      </c>
      <c r="B281" s="13" t="s">
        <v>2150</v>
      </c>
      <c r="C281" s="13" t="n">
        <v>92</v>
      </c>
      <c r="D281" s="13" t="s">
        <v>2641</v>
      </c>
      <c r="E281" s="13" t="n">
        <v>3</v>
      </c>
      <c r="F281" s="13" t="s">
        <v>15094</v>
      </c>
      <c r="G281" s="13" t="s">
        <v>15095</v>
      </c>
      <c r="H281" s="13" t="s">
        <v>2644</v>
      </c>
      <c r="I281" s="13" t="s">
        <v>2645</v>
      </c>
    </row>
    <row r="282" customFormat="false" ht="57.45" hidden="false" customHeight="false" outlineLevel="0" collapsed="false">
      <c r="A282" s="13" t="s">
        <v>3</v>
      </c>
      <c r="B282" s="13" t="s">
        <v>2150</v>
      </c>
      <c r="C282" s="13" t="n">
        <v>92</v>
      </c>
      <c r="D282" s="13" t="s">
        <v>2650</v>
      </c>
      <c r="E282" s="13" t="n">
        <v>2</v>
      </c>
      <c r="F282" s="13" t="s">
        <v>15094</v>
      </c>
      <c r="G282" s="13" t="s">
        <v>15095</v>
      </c>
      <c r="H282" s="13" t="s">
        <v>2654</v>
      </c>
      <c r="I282" s="13" t="s">
        <v>2655</v>
      </c>
    </row>
    <row r="283" customFormat="false" ht="23.85" hidden="false" customHeight="false" outlineLevel="0" collapsed="false">
      <c r="A283" s="13" t="s">
        <v>3</v>
      </c>
      <c r="B283" s="13" t="s">
        <v>2150</v>
      </c>
      <c r="C283" s="13" t="n">
        <v>92</v>
      </c>
      <c r="D283" s="13" t="s">
        <v>2658</v>
      </c>
      <c r="E283" s="13" t="n">
        <v>2</v>
      </c>
      <c r="F283" s="13" t="s">
        <v>15094</v>
      </c>
      <c r="G283" s="13" t="s">
        <v>15095</v>
      </c>
      <c r="H283" s="13" t="s">
        <v>2662</v>
      </c>
      <c r="I283" s="13" t="s">
        <v>2663</v>
      </c>
    </row>
    <row r="284" customFormat="false" ht="35.05" hidden="false" customHeight="false" outlineLevel="0" collapsed="false">
      <c r="A284" s="13" t="s">
        <v>3</v>
      </c>
      <c r="B284" s="13" t="s">
        <v>2150</v>
      </c>
      <c r="C284" s="13" t="n">
        <v>92</v>
      </c>
      <c r="D284" s="13" t="s">
        <v>2666</v>
      </c>
      <c r="E284" s="13" t="n">
        <v>2</v>
      </c>
      <c r="F284" s="13" t="s">
        <v>15094</v>
      </c>
      <c r="G284" s="13" t="s">
        <v>15095</v>
      </c>
      <c r="H284" s="13" t="s">
        <v>2668</v>
      </c>
      <c r="I284" s="13" t="s">
        <v>2669</v>
      </c>
    </row>
    <row r="285" customFormat="false" ht="46.25" hidden="false" customHeight="false" outlineLevel="0" collapsed="false">
      <c r="A285" s="13" t="s">
        <v>3</v>
      </c>
      <c r="B285" s="13" t="s">
        <v>2150</v>
      </c>
      <c r="C285" s="13" t="n">
        <v>92</v>
      </c>
      <c r="D285" s="13" t="s">
        <v>2673</v>
      </c>
      <c r="E285" s="13" t="n">
        <v>3</v>
      </c>
      <c r="F285" s="13" t="s">
        <v>15094</v>
      </c>
      <c r="G285" s="13" t="s">
        <v>15095</v>
      </c>
      <c r="H285" s="13" t="s">
        <v>2677</v>
      </c>
      <c r="I285" s="13" t="s">
        <v>2678</v>
      </c>
    </row>
    <row r="286" customFormat="false" ht="23.85" hidden="false" customHeight="false" outlineLevel="0" collapsed="false">
      <c r="A286" s="13" t="s">
        <v>3</v>
      </c>
      <c r="B286" s="13" t="s">
        <v>2150</v>
      </c>
      <c r="C286" s="13" t="n">
        <v>92</v>
      </c>
      <c r="D286" s="13" t="s">
        <v>2683</v>
      </c>
      <c r="E286" s="13" t="n">
        <v>1</v>
      </c>
      <c r="F286" s="13" t="s">
        <v>15094</v>
      </c>
      <c r="G286" s="13" t="s">
        <v>15095</v>
      </c>
      <c r="H286" s="13" t="s">
        <v>2686</v>
      </c>
      <c r="I286" s="13" t="s">
        <v>2687</v>
      </c>
    </row>
    <row r="287" customFormat="false" ht="23.85" hidden="false" customHeight="false" outlineLevel="0" collapsed="false">
      <c r="A287" s="13" t="s">
        <v>3</v>
      </c>
      <c r="B287" s="13" t="s">
        <v>2150</v>
      </c>
      <c r="C287" s="13" t="n">
        <v>92</v>
      </c>
      <c r="D287" s="13" t="s">
        <v>2688</v>
      </c>
      <c r="E287" s="13" t="n">
        <v>1</v>
      </c>
      <c r="F287" s="13" t="s">
        <v>15094</v>
      </c>
      <c r="G287" s="13" t="s">
        <v>15095</v>
      </c>
      <c r="H287" s="13" t="s">
        <v>2693</v>
      </c>
      <c r="I287" s="13" t="s">
        <v>2694</v>
      </c>
    </row>
    <row r="288" customFormat="false" ht="46.25" hidden="false" customHeight="false" outlineLevel="0" collapsed="false">
      <c r="A288" s="13" t="s">
        <v>3</v>
      </c>
      <c r="B288" s="13" t="s">
        <v>2150</v>
      </c>
      <c r="C288" s="13" t="n">
        <v>92</v>
      </c>
      <c r="D288" s="13" t="s">
        <v>2695</v>
      </c>
      <c r="E288" s="13" t="n">
        <v>2</v>
      </c>
      <c r="F288" s="13" t="s">
        <v>15094</v>
      </c>
      <c r="G288" s="13" t="s">
        <v>15095</v>
      </c>
      <c r="H288" s="13" t="s">
        <v>2699</v>
      </c>
      <c r="I288" s="13" t="s">
        <v>2700</v>
      </c>
    </row>
    <row r="289" customFormat="false" ht="23.85" hidden="false" customHeight="false" outlineLevel="0" collapsed="false">
      <c r="A289" s="13" t="s">
        <v>3</v>
      </c>
      <c r="B289" s="13" t="s">
        <v>2150</v>
      </c>
      <c r="C289" s="13" t="n">
        <v>92</v>
      </c>
      <c r="D289" s="13" t="s">
        <v>2703</v>
      </c>
      <c r="E289" s="13" t="n">
        <v>1</v>
      </c>
      <c r="F289" s="13" t="s">
        <v>15094</v>
      </c>
      <c r="G289" s="13" t="s">
        <v>15095</v>
      </c>
      <c r="H289" s="13" t="s">
        <v>2706</v>
      </c>
      <c r="I289" s="13" t="s">
        <v>2707</v>
      </c>
    </row>
    <row r="290" customFormat="false" ht="35.05" hidden="false" customHeight="false" outlineLevel="0" collapsed="false">
      <c r="A290" s="13" t="s">
        <v>3</v>
      </c>
      <c r="B290" s="13" t="s">
        <v>2150</v>
      </c>
      <c r="C290" s="13" t="n">
        <v>92</v>
      </c>
      <c r="D290" s="13" t="s">
        <v>2708</v>
      </c>
      <c r="E290" s="13" t="n">
        <v>2</v>
      </c>
      <c r="F290" s="13" t="s">
        <v>15094</v>
      </c>
      <c r="G290" s="13" t="s">
        <v>15095</v>
      </c>
      <c r="H290" s="13" t="s">
        <v>2712</v>
      </c>
      <c r="I290" s="13" t="s">
        <v>2713</v>
      </c>
    </row>
    <row r="291" customFormat="false" ht="46.25" hidden="false" customHeight="false" outlineLevel="0" collapsed="false">
      <c r="A291" s="13" t="s">
        <v>3</v>
      </c>
      <c r="B291" s="13" t="s">
        <v>2150</v>
      </c>
      <c r="C291" s="13" t="n">
        <v>92</v>
      </c>
      <c r="D291" s="13" t="s">
        <v>2717</v>
      </c>
      <c r="E291" s="13" t="n">
        <v>2</v>
      </c>
      <c r="F291" s="13" t="s">
        <v>15094</v>
      </c>
      <c r="G291" s="13" t="s">
        <v>15095</v>
      </c>
      <c r="H291" s="13" t="s">
        <v>2720</v>
      </c>
      <c r="I291" s="13" t="s">
        <v>2721</v>
      </c>
    </row>
    <row r="292" customFormat="false" ht="23.85" hidden="false" customHeight="false" outlineLevel="0" collapsed="false">
      <c r="A292" s="13" t="s">
        <v>3</v>
      </c>
      <c r="B292" s="13" t="s">
        <v>2150</v>
      </c>
      <c r="C292" s="13" t="n">
        <v>92</v>
      </c>
      <c r="D292" s="13" t="s">
        <v>2723</v>
      </c>
      <c r="E292" s="13" t="n">
        <v>1</v>
      </c>
      <c r="F292" s="13" t="s">
        <v>15094</v>
      </c>
      <c r="G292" s="13" t="s">
        <v>15095</v>
      </c>
      <c r="H292" s="13" t="s">
        <v>2727</v>
      </c>
      <c r="I292" s="13" t="s">
        <v>2728</v>
      </c>
    </row>
    <row r="293" customFormat="false" ht="79.85" hidden="false" customHeight="false" outlineLevel="0" collapsed="false">
      <c r="A293" s="13" t="s">
        <v>3</v>
      </c>
      <c r="B293" s="13" t="s">
        <v>2150</v>
      </c>
      <c r="C293" s="13" t="n">
        <v>157</v>
      </c>
      <c r="D293" s="13" t="s">
        <v>2729</v>
      </c>
      <c r="E293" s="13" t="n">
        <v>3</v>
      </c>
      <c r="F293" s="13" t="s">
        <v>15094</v>
      </c>
      <c r="G293" s="13" t="s">
        <v>15095</v>
      </c>
      <c r="H293" s="13" t="s">
        <v>2733</v>
      </c>
      <c r="I293" s="13" t="s">
        <v>2734</v>
      </c>
    </row>
    <row r="294" customFormat="false" ht="79.85" hidden="false" customHeight="false" outlineLevel="0" collapsed="false">
      <c r="A294" s="13" t="s">
        <v>3</v>
      </c>
      <c r="B294" s="13" t="s">
        <v>2150</v>
      </c>
      <c r="C294" s="13" t="n">
        <v>157</v>
      </c>
      <c r="D294" s="13" t="s">
        <v>2740</v>
      </c>
      <c r="E294" s="13" t="n">
        <v>2</v>
      </c>
      <c r="F294" s="13" t="s">
        <v>15094</v>
      </c>
      <c r="G294" s="13" t="s">
        <v>15095</v>
      </c>
      <c r="H294" s="13" t="s">
        <v>2744</v>
      </c>
      <c r="I294" s="13" t="s">
        <v>2745</v>
      </c>
    </row>
    <row r="295" customFormat="false" ht="23.85" hidden="false" customHeight="false" outlineLevel="0" collapsed="false">
      <c r="A295" s="13" t="s">
        <v>3</v>
      </c>
      <c r="B295" s="13" t="s">
        <v>2150</v>
      </c>
      <c r="C295" s="13" t="n">
        <v>157</v>
      </c>
      <c r="D295" s="13" t="s">
        <v>2748</v>
      </c>
      <c r="E295" s="13" t="n">
        <v>1</v>
      </c>
      <c r="F295" s="13" t="s">
        <v>15094</v>
      </c>
      <c r="G295" s="13" t="s">
        <v>15095</v>
      </c>
      <c r="H295" s="13" t="s">
        <v>2752</v>
      </c>
      <c r="I295" s="13" t="s">
        <v>2753</v>
      </c>
    </row>
    <row r="296" customFormat="false" ht="57.45" hidden="false" customHeight="false" outlineLevel="0" collapsed="false">
      <c r="A296" s="13" t="s">
        <v>3</v>
      </c>
      <c r="B296" s="13" t="s">
        <v>2150</v>
      </c>
      <c r="C296" s="13" t="n">
        <v>157</v>
      </c>
      <c r="D296" s="13" t="s">
        <v>2754</v>
      </c>
      <c r="E296" s="13" t="n">
        <v>3</v>
      </c>
      <c r="F296" s="13" t="s">
        <v>15094</v>
      </c>
      <c r="G296" s="13" t="s">
        <v>15095</v>
      </c>
      <c r="H296" s="13" t="s">
        <v>2757</v>
      </c>
      <c r="I296" s="13" t="s">
        <v>2758</v>
      </c>
    </row>
    <row r="297" customFormat="false" ht="23.85" hidden="false" customHeight="false" outlineLevel="0" collapsed="false">
      <c r="A297" s="13" t="s">
        <v>3</v>
      </c>
      <c r="B297" s="13" t="s">
        <v>2150</v>
      </c>
      <c r="C297" s="13" t="n">
        <v>157</v>
      </c>
      <c r="D297" s="13" t="s">
        <v>2764</v>
      </c>
      <c r="E297" s="13" t="n">
        <v>1</v>
      </c>
      <c r="F297" s="13" t="s">
        <v>15094</v>
      </c>
      <c r="G297" s="13" t="s">
        <v>15095</v>
      </c>
      <c r="H297" s="13" t="s">
        <v>2768</v>
      </c>
      <c r="I297" s="13" t="s">
        <v>2769</v>
      </c>
    </row>
    <row r="298" customFormat="false" ht="35.05" hidden="false" customHeight="false" outlineLevel="0" collapsed="false">
      <c r="A298" s="13" t="s">
        <v>3</v>
      </c>
      <c r="B298" s="13" t="s">
        <v>2150</v>
      </c>
      <c r="C298" s="13" t="n">
        <v>157</v>
      </c>
      <c r="D298" s="13" t="s">
        <v>2770</v>
      </c>
      <c r="E298" s="13" t="n">
        <v>1</v>
      </c>
      <c r="F298" s="13" t="s">
        <v>15094</v>
      </c>
      <c r="G298" s="13" t="s">
        <v>15095</v>
      </c>
      <c r="H298" s="13" t="s">
        <v>2774</v>
      </c>
      <c r="I298" s="13" t="s">
        <v>2775</v>
      </c>
    </row>
    <row r="299" customFormat="false" ht="23.85" hidden="false" customHeight="false" outlineLevel="0" collapsed="false">
      <c r="A299" s="13" t="s">
        <v>3</v>
      </c>
      <c r="B299" s="13" t="s">
        <v>2150</v>
      </c>
      <c r="C299" s="13" t="n">
        <v>157</v>
      </c>
      <c r="D299" s="13" t="s">
        <v>2776</v>
      </c>
      <c r="E299" s="13" t="n">
        <v>1</v>
      </c>
      <c r="F299" s="13" t="s">
        <v>15094</v>
      </c>
      <c r="G299" s="13" t="s">
        <v>15095</v>
      </c>
      <c r="H299" s="13" t="s">
        <v>2780</v>
      </c>
      <c r="I299" s="13" t="s">
        <v>2781</v>
      </c>
    </row>
    <row r="300" customFormat="false" ht="15" hidden="false" customHeight="false" outlineLevel="0" collapsed="false">
      <c r="A300" s="13" t="s">
        <v>3</v>
      </c>
      <c r="B300" s="13" t="s">
        <v>2150</v>
      </c>
      <c r="C300" s="13" t="n">
        <v>157</v>
      </c>
      <c r="D300" s="13" t="s">
        <v>2782</v>
      </c>
      <c r="E300" s="13" t="n">
        <v>1</v>
      </c>
      <c r="F300" s="13" t="s">
        <v>15094</v>
      </c>
      <c r="G300" s="13" t="s">
        <v>15095</v>
      </c>
      <c r="H300" s="13" t="s">
        <v>2785</v>
      </c>
      <c r="I300" s="13" t="s">
        <v>2786</v>
      </c>
    </row>
    <row r="301" customFormat="false" ht="46.25" hidden="false" customHeight="false" outlineLevel="0" collapsed="false">
      <c r="A301" s="13" t="s">
        <v>3</v>
      </c>
      <c r="B301" s="13" t="s">
        <v>2150</v>
      </c>
      <c r="C301" s="13" t="n">
        <v>157</v>
      </c>
      <c r="D301" s="13" t="s">
        <v>2787</v>
      </c>
      <c r="E301" s="13" t="n">
        <v>1</v>
      </c>
      <c r="F301" s="13" t="s">
        <v>15094</v>
      </c>
      <c r="G301" s="13" t="s">
        <v>15095</v>
      </c>
      <c r="H301" s="13" t="s">
        <v>2790</v>
      </c>
      <c r="I301" s="13" t="s">
        <v>2791</v>
      </c>
    </row>
    <row r="302" customFormat="false" ht="23.85" hidden="false" customHeight="false" outlineLevel="0" collapsed="false">
      <c r="A302" s="13" t="s">
        <v>3</v>
      </c>
      <c r="B302" s="13" t="s">
        <v>2150</v>
      </c>
      <c r="C302" s="13" t="n">
        <v>157</v>
      </c>
      <c r="D302" s="13" t="s">
        <v>2792</v>
      </c>
      <c r="E302" s="13" t="n">
        <v>1</v>
      </c>
      <c r="F302" s="13" t="s">
        <v>15094</v>
      </c>
      <c r="G302" s="13" t="s">
        <v>15095</v>
      </c>
      <c r="H302" s="13" t="s">
        <v>2795</v>
      </c>
      <c r="I302" s="13" t="s">
        <v>2796</v>
      </c>
    </row>
    <row r="303" customFormat="false" ht="35.05" hidden="false" customHeight="false" outlineLevel="0" collapsed="false">
      <c r="A303" s="13" t="s">
        <v>3</v>
      </c>
      <c r="B303" s="13" t="s">
        <v>2150</v>
      </c>
      <c r="C303" s="13" t="n">
        <v>157</v>
      </c>
      <c r="D303" s="13" t="s">
        <v>2797</v>
      </c>
      <c r="E303" s="13" t="n">
        <v>2</v>
      </c>
      <c r="F303" s="13" t="s">
        <v>15094</v>
      </c>
      <c r="G303" s="13" t="s">
        <v>15095</v>
      </c>
      <c r="H303" s="13" t="s">
        <v>2801</v>
      </c>
      <c r="I303" s="13" t="s">
        <v>2802</v>
      </c>
    </row>
    <row r="304" customFormat="false" ht="23.85" hidden="false" customHeight="false" outlineLevel="0" collapsed="false">
      <c r="A304" s="13" t="s">
        <v>3</v>
      </c>
      <c r="B304" s="13" t="s">
        <v>2150</v>
      </c>
      <c r="C304" s="13" t="n">
        <v>157</v>
      </c>
      <c r="D304" s="13" t="s">
        <v>2805</v>
      </c>
      <c r="E304" s="13" t="n">
        <v>1</v>
      </c>
      <c r="F304" s="13" t="s">
        <v>15094</v>
      </c>
      <c r="G304" s="13" t="s">
        <v>15095</v>
      </c>
      <c r="H304" s="13" t="s">
        <v>2809</v>
      </c>
      <c r="I304" s="13" t="s">
        <v>2810</v>
      </c>
    </row>
    <row r="305" customFormat="false" ht="46.25" hidden="false" customHeight="false" outlineLevel="0" collapsed="false">
      <c r="A305" s="13" t="s">
        <v>3</v>
      </c>
      <c r="B305" s="13" t="s">
        <v>2150</v>
      </c>
      <c r="C305" s="13" t="n">
        <v>157</v>
      </c>
      <c r="D305" s="13" t="s">
        <v>2811</v>
      </c>
      <c r="E305" s="13" t="n">
        <v>2</v>
      </c>
      <c r="F305" s="13" t="s">
        <v>15094</v>
      </c>
      <c r="G305" s="13" t="s">
        <v>15095</v>
      </c>
      <c r="H305" s="13" t="s">
        <v>2815</v>
      </c>
      <c r="I305" s="13" t="s">
        <v>2816</v>
      </c>
    </row>
    <row r="306" customFormat="false" ht="102.2" hidden="false" customHeight="false" outlineLevel="0" collapsed="false">
      <c r="A306" s="13" t="s">
        <v>3</v>
      </c>
      <c r="B306" s="13" t="s">
        <v>2150</v>
      </c>
      <c r="C306" s="13" t="n">
        <v>178</v>
      </c>
      <c r="D306" s="13" t="s">
        <v>2819</v>
      </c>
      <c r="E306" s="13" t="n">
        <v>1</v>
      </c>
      <c r="F306" s="13" t="s">
        <v>15094</v>
      </c>
      <c r="G306" s="13" t="s">
        <v>15095</v>
      </c>
      <c r="H306" s="13" t="s">
        <v>2822</v>
      </c>
      <c r="I306" s="13" t="s">
        <v>2823</v>
      </c>
    </row>
    <row r="307" customFormat="false" ht="169.4" hidden="false" customHeight="false" outlineLevel="0" collapsed="false">
      <c r="A307" s="13" t="s">
        <v>3</v>
      </c>
      <c r="B307" s="13" t="s">
        <v>2150</v>
      </c>
      <c r="C307" s="13" t="n">
        <v>178</v>
      </c>
      <c r="D307" s="13" t="s">
        <v>2824</v>
      </c>
      <c r="E307" s="13" t="n">
        <v>46</v>
      </c>
      <c r="F307" s="13" t="s">
        <v>15094</v>
      </c>
      <c r="G307" s="13" t="s">
        <v>15095</v>
      </c>
      <c r="H307" s="13" t="s">
        <v>2828</v>
      </c>
      <c r="I307" s="13" t="s">
        <v>2829</v>
      </c>
    </row>
    <row r="308" customFormat="false" ht="35.05" hidden="false" customHeight="false" outlineLevel="0" collapsed="false">
      <c r="A308" s="13" t="s">
        <v>3</v>
      </c>
      <c r="B308" s="13" t="s">
        <v>2150</v>
      </c>
      <c r="C308" s="13" t="n">
        <v>178</v>
      </c>
      <c r="D308" s="13" t="s">
        <v>2919</v>
      </c>
      <c r="E308" s="13" t="n">
        <v>1</v>
      </c>
      <c r="F308" s="13" t="s">
        <v>15094</v>
      </c>
      <c r="G308" s="13" t="s">
        <v>15095</v>
      </c>
      <c r="H308" s="13" t="s">
        <v>2922</v>
      </c>
      <c r="I308" s="13" t="s">
        <v>2923</v>
      </c>
    </row>
    <row r="309" customFormat="false" ht="23.85" hidden="false" customHeight="false" outlineLevel="0" collapsed="false">
      <c r="A309" s="13" t="s">
        <v>3</v>
      </c>
      <c r="B309" s="13" t="s">
        <v>2150</v>
      </c>
      <c r="C309" s="13" t="n">
        <v>178</v>
      </c>
      <c r="D309" s="13" t="s">
        <v>2924</v>
      </c>
      <c r="E309" s="13" t="n">
        <v>2</v>
      </c>
      <c r="F309" s="13" t="s">
        <v>15094</v>
      </c>
      <c r="G309" s="13" t="s">
        <v>15095</v>
      </c>
      <c r="H309" s="13" t="s">
        <v>2927</v>
      </c>
      <c r="I309" s="13" t="s">
        <v>2928</v>
      </c>
    </row>
    <row r="310" customFormat="false" ht="23.85" hidden="false" customHeight="false" outlineLevel="0" collapsed="false">
      <c r="A310" s="13" t="s">
        <v>3</v>
      </c>
      <c r="B310" s="13" t="s">
        <v>2150</v>
      </c>
      <c r="C310" s="13" t="n">
        <v>178</v>
      </c>
      <c r="D310" s="13" t="s">
        <v>2931</v>
      </c>
      <c r="E310" s="13" t="n">
        <v>1</v>
      </c>
      <c r="F310" s="13" t="s">
        <v>15094</v>
      </c>
      <c r="G310" s="13" t="s">
        <v>15095</v>
      </c>
      <c r="H310" s="13" t="s">
        <v>2933</v>
      </c>
      <c r="I310" s="13" t="s">
        <v>2934</v>
      </c>
    </row>
    <row r="311" customFormat="false" ht="169.4" hidden="false" customHeight="false" outlineLevel="0" collapsed="false">
      <c r="A311" s="13" t="s">
        <v>3</v>
      </c>
      <c r="B311" s="13" t="s">
        <v>2150</v>
      </c>
      <c r="C311" s="13" t="n">
        <v>178</v>
      </c>
      <c r="D311" s="13" t="s">
        <v>2935</v>
      </c>
      <c r="E311" s="13" t="n">
        <v>46</v>
      </c>
      <c r="F311" s="13" t="s">
        <v>15094</v>
      </c>
      <c r="G311" s="13" t="s">
        <v>15095</v>
      </c>
      <c r="H311" s="13" t="s">
        <v>2938</v>
      </c>
      <c r="I311" s="13" t="s">
        <v>2939</v>
      </c>
    </row>
    <row r="312" customFormat="false" ht="35.05" hidden="false" customHeight="false" outlineLevel="0" collapsed="false">
      <c r="A312" s="13" t="s">
        <v>3</v>
      </c>
      <c r="B312" s="13" t="s">
        <v>2150</v>
      </c>
      <c r="C312" s="13" t="n">
        <v>178</v>
      </c>
      <c r="D312" s="13" t="s">
        <v>3030</v>
      </c>
      <c r="E312" s="13" t="n">
        <v>2</v>
      </c>
      <c r="F312" s="13" t="s">
        <v>15094</v>
      </c>
      <c r="G312" s="13" t="s">
        <v>15095</v>
      </c>
      <c r="H312" s="13" t="s">
        <v>3034</v>
      </c>
      <c r="I312" s="13" t="s">
        <v>3035</v>
      </c>
    </row>
    <row r="313" customFormat="false" ht="23.85" hidden="false" customHeight="false" outlineLevel="0" collapsed="false">
      <c r="A313" s="13" t="s">
        <v>3</v>
      </c>
      <c r="B313" s="13" t="s">
        <v>2150</v>
      </c>
      <c r="C313" s="13" t="n">
        <v>182</v>
      </c>
      <c r="D313" s="13" t="s">
        <v>3038</v>
      </c>
      <c r="E313" s="13" t="n">
        <v>1</v>
      </c>
      <c r="F313" s="13" t="s">
        <v>15094</v>
      </c>
      <c r="G313" s="13" t="s">
        <v>15095</v>
      </c>
      <c r="H313" s="13" t="s">
        <v>3042</v>
      </c>
      <c r="I313" s="13" t="s">
        <v>3043</v>
      </c>
    </row>
    <row r="314" customFormat="false" ht="23.85" hidden="false" customHeight="false" outlineLevel="0" collapsed="false">
      <c r="A314" s="13" t="s">
        <v>3</v>
      </c>
      <c r="B314" s="13" t="s">
        <v>2150</v>
      </c>
      <c r="C314" s="13" t="n">
        <v>182</v>
      </c>
      <c r="D314" s="13" t="s">
        <v>3044</v>
      </c>
      <c r="E314" s="13" t="n">
        <v>1</v>
      </c>
      <c r="F314" s="13" t="s">
        <v>15094</v>
      </c>
      <c r="G314" s="13" t="s">
        <v>15095</v>
      </c>
      <c r="H314" s="13" t="s">
        <v>3049</v>
      </c>
      <c r="I314" s="13" t="s">
        <v>3050</v>
      </c>
    </row>
    <row r="315" customFormat="false" ht="23.85" hidden="false" customHeight="false" outlineLevel="0" collapsed="false">
      <c r="A315" s="13" t="s">
        <v>3</v>
      </c>
      <c r="B315" s="13" t="s">
        <v>2150</v>
      </c>
      <c r="C315" s="13" t="n">
        <v>182</v>
      </c>
      <c r="D315" s="13" t="s">
        <v>3051</v>
      </c>
      <c r="E315" s="13" t="n">
        <v>1</v>
      </c>
      <c r="F315" s="13" t="s">
        <v>15094</v>
      </c>
      <c r="G315" s="13" t="s">
        <v>15095</v>
      </c>
      <c r="H315" s="13" t="s">
        <v>3055</v>
      </c>
      <c r="I315" s="13" t="s">
        <v>3056</v>
      </c>
    </row>
    <row r="316" customFormat="false" ht="23.85" hidden="false" customHeight="false" outlineLevel="0" collapsed="false">
      <c r="A316" s="13" t="s">
        <v>3</v>
      </c>
      <c r="B316" s="13" t="s">
        <v>2150</v>
      </c>
      <c r="C316" s="13" t="n">
        <v>182</v>
      </c>
      <c r="D316" s="13" t="s">
        <v>3057</v>
      </c>
      <c r="E316" s="13" t="n">
        <v>1</v>
      </c>
      <c r="F316" s="13" t="s">
        <v>15094</v>
      </c>
      <c r="G316" s="13" t="s">
        <v>15095</v>
      </c>
      <c r="H316" s="13" t="s">
        <v>3061</v>
      </c>
      <c r="I316" s="13" t="s">
        <v>3062</v>
      </c>
    </row>
    <row r="317" customFormat="false" ht="15" hidden="false" customHeight="false" outlineLevel="0" collapsed="false">
      <c r="A317" s="13" t="s">
        <v>3</v>
      </c>
      <c r="B317" s="13" t="s">
        <v>2150</v>
      </c>
      <c r="C317" s="13" t="n">
        <v>182</v>
      </c>
      <c r="D317" s="13" t="s">
        <v>15117</v>
      </c>
      <c r="E317" s="13" t="n">
        <v>0</v>
      </c>
      <c r="F317" s="13" t="s">
        <v>15097</v>
      </c>
      <c r="G317" s="13" t="s">
        <v>15095</v>
      </c>
      <c r="H317" s="13" t="s">
        <v>15118</v>
      </c>
      <c r="I317" s="13" t="s">
        <v>15119</v>
      </c>
    </row>
    <row r="318" customFormat="false" ht="15" hidden="false" customHeight="false" outlineLevel="0" collapsed="false">
      <c r="A318" s="13" t="s">
        <v>3</v>
      </c>
      <c r="B318" s="13" t="s">
        <v>2150</v>
      </c>
      <c r="C318" s="13" t="n">
        <v>182</v>
      </c>
      <c r="D318" s="13" t="s">
        <v>15120</v>
      </c>
      <c r="E318" s="13" t="n">
        <v>0</v>
      </c>
      <c r="F318" s="13" t="s">
        <v>15097</v>
      </c>
      <c r="G318" s="13" t="s">
        <v>15095</v>
      </c>
      <c r="H318" s="13" t="s">
        <v>15118</v>
      </c>
      <c r="I318" s="13" t="s">
        <v>15119</v>
      </c>
    </row>
    <row r="319" customFormat="false" ht="35.05" hidden="false" customHeight="false" outlineLevel="0" collapsed="false">
      <c r="A319" s="13" t="s">
        <v>3</v>
      </c>
      <c r="B319" s="13" t="s">
        <v>2150</v>
      </c>
      <c r="C319" s="13" t="n">
        <v>182</v>
      </c>
      <c r="D319" s="13" t="s">
        <v>3063</v>
      </c>
      <c r="E319" s="13" t="n">
        <v>2</v>
      </c>
      <c r="F319" s="13" t="s">
        <v>15094</v>
      </c>
      <c r="G319" s="13" t="s">
        <v>15095</v>
      </c>
      <c r="H319" s="13" t="s">
        <v>3067</v>
      </c>
      <c r="I319" s="13" t="s">
        <v>3068</v>
      </c>
    </row>
    <row r="320" customFormat="false" ht="23.85" hidden="false" customHeight="false" outlineLevel="0" collapsed="false">
      <c r="A320" s="13" t="s">
        <v>3</v>
      </c>
      <c r="B320" s="13" t="s">
        <v>2150</v>
      </c>
      <c r="C320" s="13" t="n">
        <v>182</v>
      </c>
      <c r="D320" s="13" t="s">
        <v>3072</v>
      </c>
      <c r="E320" s="13" t="n">
        <v>1</v>
      </c>
      <c r="F320" s="13" t="s">
        <v>15094</v>
      </c>
      <c r="G320" s="13" t="s">
        <v>15095</v>
      </c>
      <c r="H320" s="13" t="s">
        <v>3076</v>
      </c>
      <c r="I320" s="13" t="s">
        <v>3077</v>
      </c>
    </row>
    <row r="321" customFormat="false" ht="23.85" hidden="false" customHeight="false" outlineLevel="0" collapsed="false">
      <c r="A321" s="13" t="s">
        <v>3</v>
      </c>
      <c r="B321" s="13" t="s">
        <v>2150</v>
      </c>
      <c r="C321" s="13" t="n">
        <v>182</v>
      </c>
      <c r="D321" s="13" t="s">
        <v>3078</v>
      </c>
      <c r="E321" s="13" t="n">
        <v>1</v>
      </c>
      <c r="F321" s="13" t="s">
        <v>15094</v>
      </c>
      <c r="G321" s="13" t="s">
        <v>15095</v>
      </c>
      <c r="H321" s="13" t="s">
        <v>3082</v>
      </c>
      <c r="I321" s="13" t="s">
        <v>3083</v>
      </c>
    </row>
    <row r="322" customFormat="false" ht="35.05" hidden="false" customHeight="false" outlineLevel="0" collapsed="false">
      <c r="A322" s="13" t="s">
        <v>3</v>
      </c>
      <c r="B322" s="13" t="s">
        <v>2150</v>
      </c>
      <c r="C322" s="13" t="n">
        <v>182</v>
      </c>
      <c r="D322" s="13" t="s">
        <v>3084</v>
      </c>
      <c r="E322" s="13" t="n">
        <v>2</v>
      </c>
      <c r="F322" s="13" t="s">
        <v>15094</v>
      </c>
      <c r="G322" s="13" t="s">
        <v>15095</v>
      </c>
      <c r="H322" s="13" t="s">
        <v>3088</v>
      </c>
      <c r="I322" s="13" t="s">
        <v>3089</v>
      </c>
    </row>
    <row r="323" customFormat="false" ht="23.85" hidden="false" customHeight="false" outlineLevel="0" collapsed="false">
      <c r="A323" s="13" t="s">
        <v>3</v>
      </c>
      <c r="B323" s="13" t="s">
        <v>2150</v>
      </c>
      <c r="C323" s="13" t="n">
        <v>182</v>
      </c>
      <c r="D323" s="13" t="s">
        <v>3093</v>
      </c>
      <c r="E323" s="13" t="n">
        <v>1</v>
      </c>
      <c r="F323" s="13" t="s">
        <v>15094</v>
      </c>
      <c r="G323" s="13" t="s">
        <v>15095</v>
      </c>
      <c r="H323" s="13" t="s">
        <v>3097</v>
      </c>
      <c r="I323" s="13" t="s">
        <v>3098</v>
      </c>
    </row>
    <row r="324" customFormat="false" ht="23.85" hidden="false" customHeight="false" outlineLevel="0" collapsed="false">
      <c r="A324" s="13" t="s">
        <v>3</v>
      </c>
      <c r="B324" s="13" t="s">
        <v>2150</v>
      </c>
      <c r="C324" s="13" t="n">
        <v>182</v>
      </c>
      <c r="D324" s="13" t="s">
        <v>3099</v>
      </c>
      <c r="E324" s="13" t="n">
        <v>1</v>
      </c>
      <c r="F324" s="13" t="s">
        <v>15094</v>
      </c>
      <c r="G324" s="13" t="s">
        <v>15095</v>
      </c>
      <c r="H324" s="13" t="s">
        <v>3103</v>
      </c>
      <c r="I324" s="13" t="s">
        <v>3104</v>
      </c>
    </row>
    <row r="325" customFormat="false" ht="23.85" hidden="false" customHeight="false" outlineLevel="0" collapsed="false">
      <c r="A325" s="13" t="s">
        <v>3</v>
      </c>
      <c r="B325" s="13" t="s">
        <v>2150</v>
      </c>
      <c r="C325" s="13" t="n">
        <v>182</v>
      </c>
      <c r="D325" s="13" t="s">
        <v>3105</v>
      </c>
      <c r="E325" s="13" t="n">
        <v>1</v>
      </c>
      <c r="F325" s="13" t="s">
        <v>15094</v>
      </c>
      <c r="G325" s="13" t="s">
        <v>15095</v>
      </c>
      <c r="H325" s="13" t="s">
        <v>3109</v>
      </c>
      <c r="I325" s="13" t="s">
        <v>3110</v>
      </c>
    </row>
    <row r="326" customFormat="false" ht="23.85" hidden="false" customHeight="false" outlineLevel="0" collapsed="false">
      <c r="A326" s="13" t="s">
        <v>3</v>
      </c>
      <c r="B326" s="13" t="s">
        <v>2150</v>
      </c>
      <c r="C326" s="13" t="n">
        <v>182</v>
      </c>
      <c r="D326" s="13" t="s">
        <v>3111</v>
      </c>
      <c r="E326" s="13" t="n">
        <v>1</v>
      </c>
      <c r="F326" s="13" t="s">
        <v>15094</v>
      </c>
      <c r="G326" s="13" t="s">
        <v>15095</v>
      </c>
      <c r="H326" s="13" t="s">
        <v>3115</v>
      </c>
      <c r="I326" s="13" t="s">
        <v>3116</v>
      </c>
    </row>
    <row r="327" customFormat="false" ht="23.85" hidden="false" customHeight="false" outlineLevel="0" collapsed="false">
      <c r="A327" s="13" t="s">
        <v>3</v>
      </c>
      <c r="B327" s="13" t="s">
        <v>2150</v>
      </c>
      <c r="C327" s="13" t="n">
        <v>182</v>
      </c>
      <c r="D327" s="13" t="s">
        <v>3117</v>
      </c>
      <c r="E327" s="13" t="n">
        <v>1</v>
      </c>
      <c r="F327" s="13" t="s">
        <v>15094</v>
      </c>
      <c r="G327" s="13" t="s">
        <v>15095</v>
      </c>
      <c r="H327" s="13" t="s">
        <v>3121</v>
      </c>
      <c r="I327" s="13" t="s">
        <v>3122</v>
      </c>
    </row>
    <row r="328" customFormat="false" ht="23.85" hidden="false" customHeight="false" outlineLevel="0" collapsed="false">
      <c r="A328" s="13" t="s">
        <v>3</v>
      </c>
      <c r="B328" s="13" t="s">
        <v>2150</v>
      </c>
      <c r="C328" s="13" t="n">
        <v>182</v>
      </c>
      <c r="D328" s="13" t="s">
        <v>3123</v>
      </c>
      <c r="E328" s="13" t="n">
        <v>1</v>
      </c>
      <c r="F328" s="13" t="s">
        <v>15094</v>
      </c>
      <c r="G328" s="13" t="s">
        <v>15095</v>
      </c>
      <c r="H328" s="13" t="s">
        <v>3127</v>
      </c>
      <c r="I328" s="13" t="s">
        <v>3128</v>
      </c>
    </row>
    <row r="329" customFormat="false" ht="23.85" hidden="false" customHeight="false" outlineLevel="0" collapsed="false">
      <c r="A329" s="13" t="s">
        <v>3</v>
      </c>
      <c r="B329" s="13" t="s">
        <v>2150</v>
      </c>
      <c r="C329" s="13" t="n">
        <v>182</v>
      </c>
      <c r="D329" s="13" t="s">
        <v>3129</v>
      </c>
      <c r="E329" s="13" t="n">
        <v>1</v>
      </c>
      <c r="F329" s="13" t="s">
        <v>15094</v>
      </c>
      <c r="G329" s="13" t="s">
        <v>15095</v>
      </c>
      <c r="H329" s="13" t="s">
        <v>3133</v>
      </c>
      <c r="I329" s="13" t="s">
        <v>3134</v>
      </c>
    </row>
    <row r="330" customFormat="false" ht="23.85" hidden="false" customHeight="false" outlineLevel="0" collapsed="false">
      <c r="A330" s="13" t="s">
        <v>3</v>
      </c>
      <c r="B330" s="13" t="s">
        <v>2150</v>
      </c>
      <c r="C330" s="13" t="n">
        <v>182</v>
      </c>
      <c r="D330" s="13" t="s">
        <v>3135</v>
      </c>
      <c r="E330" s="13" t="n">
        <v>1</v>
      </c>
      <c r="F330" s="13" t="s">
        <v>15094</v>
      </c>
      <c r="G330" s="13" t="s">
        <v>15095</v>
      </c>
      <c r="H330" s="13" t="s">
        <v>3139</v>
      </c>
      <c r="I330" s="13" t="s">
        <v>3140</v>
      </c>
    </row>
    <row r="331" customFormat="false" ht="23.85" hidden="false" customHeight="false" outlineLevel="0" collapsed="false">
      <c r="A331" s="13" t="s">
        <v>3</v>
      </c>
      <c r="B331" s="13" t="s">
        <v>2150</v>
      </c>
      <c r="C331" s="13" t="n">
        <v>182</v>
      </c>
      <c r="D331" s="13" t="s">
        <v>3141</v>
      </c>
      <c r="E331" s="13" t="n">
        <v>1</v>
      </c>
      <c r="F331" s="13" t="s">
        <v>15094</v>
      </c>
      <c r="G331" s="13" t="s">
        <v>15095</v>
      </c>
      <c r="H331" s="13" t="s">
        <v>3145</v>
      </c>
      <c r="I331" s="13" t="s">
        <v>3146</v>
      </c>
    </row>
    <row r="332" customFormat="false" ht="23.85" hidden="false" customHeight="false" outlineLevel="0" collapsed="false">
      <c r="A332" s="13" t="s">
        <v>3</v>
      </c>
      <c r="B332" s="13" t="s">
        <v>2150</v>
      </c>
      <c r="C332" s="13" t="n">
        <v>182</v>
      </c>
      <c r="D332" s="13" t="s">
        <v>3147</v>
      </c>
      <c r="E332" s="13" t="n">
        <v>1</v>
      </c>
      <c r="F332" s="13" t="s">
        <v>15094</v>
      </c>
      <c r="G332" s="13" t="s">
        <v>15095</v>
      </c>
      <c r="H332" s="13" t="s">
        <v>3151</v>
      </c>
      <c r="I332" s="13" t="s">
        <v>3152</v>
      </c>
    </row>
    <row r="333" customFormat="false" ht="23.85" hidden="false" customHeight="false" outlineLevel="0" collapsed="false">
      <c r="A333" s="13" t="s">
        <v>3</v>
      </c>
      <c r="B333" s="13" t="s">
        <v>2150</v>
      </c>
      <c r="C333" s="13" t="n">
        <v>182</v>
      </c>
      <c r="D333" s="13" t="s">
        <v>3153</v>
      </c>
      <c r="E333" s="13" t="n">
        <v>1</v>
      </c>
      <c r="F333" s="13" t="s">
        <v>15094</v>
      </c>
      <c r="G333" s="13" t="s">
        <v>15095</v>
      </c>
      <c r="H333" s="13" t="s">
        <v>3157</v>
      </c>
      <c r="I333" s="13" t="s">
        <v>3158</v>
      </c>
    </row>
    <row r="334" customFormat="false" ht="23.85" hidden="false" customHeight="false" outlineLevel="0" collapsed="false">
      <c r="A334" s="13" t="s">
        <v>3</v>
      </c>
      <c r="B334" s="13" t="s">
        <v>2150</v>
      </c>
      <c r="C334" s="13" t="n">
        <v>182</v>
      </c>
      <c r="D334" s="13" t="s">
        <v>3159</v>
      </c>
      <c r="E334" s="13" t="n">
        <v>1</v>
      </c>
      <c r="F334" s="13" t="s">
        <v>15094</v>
      </c>
      <c r="G334" s="13" t="s">
        <v>15095</v>
      </c>
      <c r="H334" s="13" t="s">
        <v>3163</v>
      </c>
      <c r="I334" s="13" t="s">
        <v>3164</v>
      </c>
    </row>
    <row r="335" customFormat="false" ht="23.85" hidden="false" customHeight="false" outlineLevel="0" collapsed="false">
      <c r="A335" s="13" t="s">
        <v>3</v>
      </c>
      <c r="B335" s="13" t="s">
        <v>2150</v>
      </c>
      <c r="C335" s="13" t="n">
        <v>182</v>
      </c>
      <c r="D335" s="13" t="s">
        <v>3165</v>
      </c>
      <c r="E335" s="13" t="n">
        <v>1</v>
      </c>
      <c r="F335" s="13" t="s">
        <v>15094</v>
      </c>
      <c r="G335" s="13" t="s">
        <v>15095</v>
      </c>
      <c r="H335" s="13" t="s">
        <v>3169</v>
      </c>
      <c r="I335" s="13" t="s">
        <v>3170</v>
      </c>
    </row>
    <row r="336" customFormat="false" ht="23.85" hidden="false" customHeight="false" outlineLevel="0" collapsed="false">
      <c r="A336" s="13" t="s">
        <v>3</v>
      </c>
      <c r="B336" s="13" t="s">
        <v>2150</v>
      </c>
      <c r="C336" s="13" t="n">
        <v>182</v>
      </c>
      <c r="D336" s="13" t="s">
        <v>3171</v>
      </c>
      <c r="E336" s="13" t="n">
        <v>1</v>
      </c>
      <c r="F336" s="13" t="s">
        <v>15094</v>
      </c>
      <c r="G336" s="13" t="s">
        <v>15095</v>
      </c>
      <c r="H336" s="13" t="s">
        <v>3175</v>
      </c>
      <c r="I336" s="13" t="s">
        <v>3176</v>
      </c>
    </row>
    <row r="337" customFormat="false" ht="23.85" hidden="false" customHeight="false" outlineLevel="0" collapsed="false">
      <c r="A337" s="13" t="s">
        <v>3</v>
      </c>
      <c r="B337" s="13" t="s">
        <v>2150</v>
      </c>
      <c r="C337" s="13" t="n">
        <v>182</v>
      </c>
      <c r="D337" s="13" t="s">
        <v>3177</v>
      </c>
      <c r="E337" s="13" t="n">
        <v>1</v>
      </c>
      <c r="F337" s="13" t="s">
        <v>15094</v>
      </c>
      <c r="G337" s="13" t="s">
        <v>15095</v>
      </c>
      <c r="H337" s="13" t="s">
        <v>3181</v>
      </c>
      <c r="I337" s="13" t="s">
        <v>3182</v>
      </c>
    </row>
    <row r="338" customFormat="false" ht="23.85" hidden="false" customHeight="false" outlineLevel="0" collapsed="false">
      <c r="A338" s="13" t="s">
        <v>3</v>
      </c>
      <c r="B338" s="13" t="s">
        <v>2150</v>
      </c>
      <c r="C338" s="13" t="n">
        <v>182</v>
      </c>
      <c r="D338" s="13" t="s">
        <v>3183</v>
      </c>
      <c r="E338" s="13" t="n">
        <v>1</v>
      </c>
      <c r="F338" s="13" t="s">
        <v>15094</v>
      </c>
      <c r="G338" s="13" t="s">
        <v>15095</v>
      </c>
      <c r="H338" s="13" t="s">
        <v>3187</v>
      </c>
      <c r="I338" s="13" t="s">
        <v>3188</v>
      </c>
    </row>
    <row r="339" customFormat="false" ht="23.85" hidden="false" customHeight="false" outlineLevel="0" collapsed="false">
      <c r="A339" s="13" t="s">
        <v>3</v>
      </c>
      <c r="B339" s="13" t="s">
        <v>2150</v>
      </c>
      <c r="C339" s="13" t="n">
        <v>182</v>
      </c>
      <c r="D339" s="13" t="s">
        <v>3189</v>
      </c>
      <c r="E339" s="13" t="n">
        <v>1</v>
      </c>
      <c r="F339" s="13" t="s">
        <v>15094</v>
      </c>
      <c r="G339" s="13" t="s">
        <v>15095</v>
      </c>
      <c r="H339" s="13" t="s">
        <v>3193</v>
      </c>
      <c r="I339" s="13" t="s">
        <v>3194</v>
      </c>
    </row>
    <row r="340" customFormat="false" ht="23.85" hidden="false" customHeight="false" outlineLevel="0" collapsed="false">
      <c r="A340" s="13" t="s">
        <v>3</v>
      </c>
      <c r="B340" s="13" t="s">
        <v>2150</v>
      </c>
      <c r="C340" s="13" t="n">
        <v>182</v>
      </c>
      <c r="D340" s="13" t="s">
        <v>3195</v>
      </c>
      <c r="E340" s="13" t="n">
        <v>1</v>
      </c>
      <c r="F340" s="13" t="s">
        <v>15094</v>
      </c>
      <c r="G340" s="13" t="s">
        <v>15095</v>
      </c>
      <c r="H340" s="13" t="s">
        <v>3199</v>
      </c>
      <c r="I340" s="13" t="s">
        <v>3200</v>
      </c>
    </row>
    <row r="341" customFormat="false" ht="23.85" hidden="false" customHeight="false" outlineLevel="0" collapsed="false">
      <c r="A341" s="13" t="s">
        <v>3</v>
      </c>
      <c r="B341" s="13" t="s">
        <v>2150</v>
      </c>
      <c r="C341" s="13" t="n">
        <v>182</v>
      </c>
      <c r="D341" s="13" t="s">
        <v>3201</v>
      </c>
      <c r="E341" s="13" t="n">
        <v>1</v>
      </c>
      <c r="F341" s="13" t="s">
        <v>15094</v>
      </c>
      <c r="G341" s="13" t="s">
        <v>15095</v>
      </c>
      <c r="H341" s="13" t="s">
        <v>3205</v>
      </c>
      <c r="I341" s="13" t="s">
        <v>3206</v>
      </c>
    </row>
    <row r="342" customFormat="false" ht="57.45" hidden="false" customHeight="false" outlineLevel="0" collapsed="false">
      <c r="A342" s="13" t="s">
        <v>3</v>
      </c>
      <c r="B342" s="13" t="s">
        <v>2150</v>
      </c>
      <c r="C342" s="13" t="n">
        <v>226</v>
      </c>
      <c r="D342" s="13" t="s">
        <v>3225</v>
      </c>
      <c r="E342" s="13" t="n">
        <v>3</v>
      </c>
      <c r="F342" s="13" t="s">
        <v>15094</v>
      </c>
      <c r="G342" s="13" t="s">
        <v>15095</v>
      </c>
      <c r="H342" s="13" t="s">
        <v>3230</v>
      </c>
      <c r="I342" s="13" t="s">
        <v>3231</v>
      </c>
    </row>
    <row r="343" customFormat="false" ht="214.15" hidden="false" customHeight="false" outlineLevel="0" collapsed="false">
      <c r="A343" s="13" t="s">
        <v>3</v>
      </c>
      <c r="B343" s="13" t="s">
        <v>2150</v>
      </c>
      <c r="C343" s="13" t="n">
        <v>226</v>
      </c>
      <c r="D343" s="13" t="s">
        <v>3238</v>
      </c>
      <c r="E343" s="13" t="n">
        <v>4</v>
      </c>
      <c r="F343" s="13" t="s">
        <v>15094</v>
      </c>
      <c r="G343" s="13" t="s">
        <v>15095</v>
      </c>
      <c r="H343" s="13" t="s">
        <v>3242</v>
      </c>
      <c r="I343" s="13" t="s">
        <v>3243</v>
      </c>
    </row>
    <row r="344" customFormat="false" ht="23.85" hidden="false" customHeight="false" outlineLevel="0" collapsed="false">
      <c r="A344" s="13" t="s">
        <v>3</v>
      </c>
      <c r="B344" s="13" t="s">
        <v>2150</v>
      </c>
      <c r="C344" s="13" t="n">
        <v>226</v>
      </c>
      <c r="D344" s="13" t="s">
        <v>3252</v>
      </c>
      <c r="E344" s="13" t="n">
        <v>1</v>
      </c>
      <c r="F344" s="13" t="s">
        <v>15094</v>
      </c>
      <c r="G344" s="13" t="s">
        <v>15095</v>
      </c>
      <c r="H344" s="13" t="s">
        <v>3257</v>
      </c>
      <c r="I344" s="13" t="s">
        <v>3258</v>
      </c>
    </row>
    <row r="345" customFormat="false" ht="23.85" hidden="false" customHeight="false" outlineLevel="0" collapsed="false">
      <c r="A345" s="13" t="s">
        <v>3</v>
      </c>
      <c r="B345" s="13" t="s">
        <v>2150</v>
      </c>
      <c r="C345" s="13" t="n">
        <v>235</v>
      </c>
      <c r="D345" s="13" t="s">
        <v>3259</v>
      </c>
      <c r="E345" s="13" t="n">
        <v>1</v>
      </c>
      <c r="F345" s="13" t="s">
        <v>15094</v>
      </c>
      <c r="G345" s="13" t="s">
        <v>15095</v>
      </c>
      <c r="H345" s="13" t="s">
        <v>3264</v>
      </c>
      <c r="I345" s="13" t="s">
        <v>3265</v>
      </c>
    </row>
    <row r="346" customFormat="false" ht="35.05" hidden="false" customHeight="false" outlineLevel="0" collapsed="false">
      <c r="A346" s="13" t="s">
        <v>3</v>
      </c>
      <c r="B346" s="13" t="s">
        <v>2150</v>
      </c>
      <c r="C346" s="13" t="n">
        <v>235</v>
      </c>
      <c r="D346" s="13" t="s">
        <v>3266</v>
      </c>
      <c r="E346" s="13" t="n">
        <v>1</v>
      </c>
      <c r="F346" s="13" t="s">
        <v>15094</v>
      </c>
      <c r="G346" s="13" t="s">
        <v>15095</v>
      </c>
      <c r="H346" s="13" t="s">
        <v>3270</v>
      </c>
      <c r="I346" s="13" t="s">
        <v>3271</v>
      </c>
    </row>
    <row r="347" customFormat="false" ht="35.05" hidden="false" customHeight="false" outlineLevel="0" collapsed="false">
      <c r="A347" s="13" t="s">
        <v>3</v>
      </c>
      <c r="B347" s="13" t="s">
        <v>2150</v>
      </c>
      <c r="C347" s="13" t="n">
        <v>235</v>
      </c>
      <c r="D347" s="13" t="s">
        <v>3272</v>
      </c>
      <c r="E347" s="13" t="n">
        <v>2</v>
      </c>
      <c r="F347" s="13" t="s">
        <v>15094</v>
      </c>
      <c r="G347" s="13" t="s">
        <v>15095</v>
      </c>
      <c r="H347" s="13" t="s">
        <v>3276</v>
      </c>
      <c r="I347" s="13" t="s">
        <v>3277</v>
      </c>
    </row>
    <row r="348" customFormat="false" ht="23.85" hidden="false" customHeight="false" outlineLevel="0" collapsed="false">
      <c r="A348" s="13" t="s">
        <v>3</v>
      </c>
      <c r="B348" s="13" t="s">
        <v>2150</v>
      </c>
      <c r="C348" s="13" t="n">
        <v>235</v>
      </c>
      <c r="D348" s="13" t="s">
        <v>3280</v>
      </c>
      <c r="E348" s="13" t="n">
        <v>1</v>
      </c>
      <c r="F348" s="13" t="s">
        <v>15094</v>
      </c>
      <c r="G348" s="13" t="s">
        <v>15095</v>
      </c>
      <c r="H348" s="13" t="s">
        <v>3283</v>
      </c>
      <c r="I348" s="13" t="s">
        <v>3284</v>
      </c>
    </row>
    <row r="349" customFormat="false" ht="23.85" hidden="false" customHeight="false" outlineLevel="0" collapsed="false">
      <c r="A349" s="13" t="s">
        <v>3</v>
      </c>
      <c r="B349" s="13" t="s">
        <v>2150</v>
      </c>
      <c r="C349" s="13" t="n">
        <v>235</v>
      </c>
      <c r="D349" s="13" t="s">
        <v>3285</v>
      </c>
      <c r="E349" s="13" t="n">
        <v>1</v>
      </c>
      <c r="F349" s="13" t="s">
        <v>15094</v>
      </c>
      <c r="G349" s="13" t="s">
        <v>15095</v>
      </c>
      <c r="H349" s="13" t="s">
        <v>3288</v>
      </c>
      <c r="I349" s="13" t="s">
        <v>3289</v>
      </c>
    </row>
    <row r="350" customFormat="false" ht="46.25" hidden="false" customHeight="false" outlineLevel="0" collapsed="false">
      <c r="A350" s="13" t="s">
        <v>3</v>
      </c>
      <c r="B350" s="13" t="s">
        <v>2150</v>
      </c>
      <c r="C350" s="13" t="n">
        <v>235</v>
      </c>
      <c r="D350" s="13" t="s">
        <v>3290</v>
      </c>
      <c r="E350" s="13" t="n">
        <v>2</v>
      </c>
      <c r="F350" s="13" t="s">
        <v>15094</v>
      </c>
      <c r="G350" s="13" t="s">
        <v>15095</v>
      </c>
      <c r="H350" s="13" t="s">
        <v>3294</v>
      </c>
      <c r="I350" s="13" t="s">
        <v>3295</v>
      </c>
    </row>
    <row r="351" customFormat="false" ht="23.85" hidden="false" customHeight="false" outlineLevel="0" collapsed="false">
      <c r="A351" s="13" t="s">
        <v>3</v>
      </c>
      <c r="B351" s="13" t="s">
        <v>2150</v>
      </c>
      <c r="C351" s="13" t="n">
        <v>235</v>
      </c>
      <c r="D351" s="13" t="s">
        <v>3299</v>
      </c>
      <c r="E351" s="13" t="n">
        <v>1</v>
      </c>
      <c r="F351" s="13" t="s">
        <v>15094</v>
      </c>
      <c r="G351" s="13" t="s">
        <v>15095</v>
      </c>
      <c r="H351" s="13" t="s">
        <v>3304</v>
      </c>
      <c r="I351" s="13" t="s">
        <v>3305</v>
      </c>
    </row>
    <row r="352" customFormat="false" ht="91" hidden="false" customHeight="false" outlineLevel="0" collapsed="false">
      <c r="A352" s="13" t="s">
        <v>3</v>
      </c>
      <c r="B352" s="13" t="s">
        <v>2150</v>
      </c>
      <c r="C352" s="13" t="n">
        <v>235</v>
      </c>
      <c r="D352" s="13" t="s">
        <v>3306</v>
      </c>
      <c r="E352" s="13" t="n">
        <v>3</v>
      </c>
      <c r="F352" s="13" t="s">
        <v>15094</v>
      </c>
      <c r="G352" s="13" t="s">
        <v>15095</v>
      </c>
      <c r="H352" s="13" t="s">
        <v>3310</v>
      </c>
      <c r="I352" s="13" t="s">
        <v>3311</v>
      </c>
    </row>
    <row r="353" customFormat="false" ht="91" hidden="false" customHeight="false" outlineLevel="0" collapsed="false">
      <c r="A353" s="13" t="s">
        <v>3</v>
      </c>
      <c r="B353" s="13" t="s">
        <v>2150</v>
      </c>
      <c r="C353" s="13" t="n">
        <v>235</v>
      </c>
      <c r="D353" s="13" t="s">
        <v>3317</v>
      </c>
      <c r="E353" s="13" t="n">
        <v>7</v>
      </c>
      <c r="F353" s="13" t="s">
        <v>15094</v>
      </c>
      <c r="G353" s="13" t="s">
        <v>15095</v>
      </c>
      <c r="H353" s="13" t="s">
        <v>3321</v>
      </c>
      <c r="I353" s="13" t="s">
        <v>3322</v>
      </c>
    </row>
    <row r="354" customFormat="false" ht="258.95" hidden="false" customHeight="false" outlineLevel="0" collapsed="false">
      <c r="A354" s="13" t="s">
        <v>3</v>
      </c>
      <c r="B354" s="13" t="s">
        <v>2150</v>
      </c>
      <c r="C354" s="13" t="n">
        <v>266</v>
      </c>
      <c r="D354" s="13" t="s">
        <v>3336</v>
      </c>
      <c r="E354" s="13" t="n">
        <v>7</v>
      </c>
      <c r="F354" s="13" t="s">
        <v>15094</v>
      </c>
      <c r="G354" s="13" t="s">
        <v>15095</v>
      </c>
      <c r="H354" s="13" t="s">
        <v>3340</v>
      </c>
      <c r="I354" s="13" t="s">
        <v>3341</v>
      </c>
    </row>
    <row r="355" customFormat="false" ht="169.4" hidden="false" customHeight="false" outlineLevel="0" collapsed="false">
      <c r="A355" s="13" t="s">
        <v>3</v>
      </c>
      <c r="B355" s="13" t="s">
        <v>2150</v>
      </c>
      <c r="C355" s="13" t="n">
        <v>266</v>
      </c>
      <c r="D355" s="13" t="s">
        <v>3359</v>
      </c>
      <c r="E355" s="13" t="n">
        <v>7</v>
      </c>
      <c r="F355" s="13" t="s">
        <v>15094</v>
      </c>
      <c r="G355" s="13" t="s">
        <v>15095</v>
      </c>
      <c r="H355" s="13" t="s">
        <v>3364</v>
      </c>
      <c r="I355" s="13" t="s">
        <v>3365</v>
      </c>
    </row>
    <row r="356" customFormat="false" ht="91" hidden="false" customHeight="false" outlineLevel="0" collapsed="false">
      <c r="A356" s="13" t="s">
        <v>3</v>
      </c>
      <c r="B356" s="13" t="s">
        <v>2150</v>
      </c>
      <c r="C356" s="13" t="n">
        <v>273</v>
      </c>
      <c r="D356" s="13" t="s">
        <v>3383</v>
      </c>
      <c r="E356" s="13" t="n">
        <v>9</v>
      </c>
      <c r="F356" s="13" t="s">
        <v>15094</v>
      </c>
      <c r="G356" s="13" t="s">
        <v>15095</v>
      </c>
      <c r="H356" s="13" t="s">
        <v>3387</v>
      </c>
      <c r="I356" s="13" t="s">
        <v>3388</v>
      </c>
    </row>
    <row r="357" customFormat="false" ht="23.85" hidden="false" customHeight="false" outlineLevel="0" collapsed="false">
      <c r="A357" s="13" t="s">
        <v>3</v>
      </c>
      <c r="B357" s="13" t="s">
        <v>2150</v>
      </c>
      <c r="C357" s="13" t="n">
        <v>273</v>
      </c>
      <c r="D357" s="13" t="s">
        <v>3410</v>
      </c>
      <c r="E357" s="13" t="n">
        <v>2</v>
      </c>
      <c r="F357" s="13" t="s">
        <v>15094</v>
      </c>
      <c r="G357" s="13" t="s">
        <v>15095</v>
      </c>
      <c r="H357" s="13" t="s">
        <v>3415</v>
      </c>
      <c r="I357" s="13" t="s">
        <v>3416</v>
      </c>
    </row>
    <row r="358" customFormat="false" ht="15" hidden="false" customHeight="false" outlineLevel="0" collapsed="false">
      <c r="A358" s="13" t="s">
        <v>3</v>
      </c>
      <c r="B358" s="13" t="s">
        <v>2150</v>
      </c>
      <c r="C358" s="13" t="n">
        <v>273</v>
      </c>
      <c r="D358" s="13" t="s">
        <v>3419</v>
      </c>
      <c r="E358" s="13" t="n">
        <v>2</v>
      </c>
      <c r="F358" s="13" t="s">
        <v>15094</v>
      </c>
      <c r="G358" s="13" t="s">
        <v>15095</v>
      </c>
      <c r="H358" s="13" t="s">
        <v>3424</v>
      </c>
      <c r="I358" s="13" t="s">
        <v>3425</v>
      </c>
    </row>
    <row r="359" customFormat="false" ht="68.65" hidden="false" customHeight="false" outlineLevel="0" collapsed="false">
      <c r="A359" s="13" t="s">
        <v>3</v>
      </c>
      <c r="B359" s="13" t="s">
        <v>2150</v>
      </c>
      <c r="C359" s="13" t="n">
        <v>273</v>
      </c>
      <c r="D359" s="13" t="s">
        <v>3428</v>
      </c>
      <c r="E359" s="13" t="n">
        <v>4</v>
      </c>
      <c r="F359" s="13" t="s">
        <v>15094</v>
      </c>
      <c r="G359" s="13" t="s">
        <v>15095</v>
      </c>
      <c r="H359" s="13" t="s">
        <v>3433</v>
      </c>
      <c r="I359" s="13" t="s">
        <v>3434</v>
      </c>
    </row>
    <row r="360" customFormat="false" ht="23.85" hidden="false" customHeight="false" outlineLevel="0" collapsed="false">
      <c r="A360" s="13" t="s">
        <v>3</v>
      </c>
      <c r="B360" s="13" t="s">
        <v>2150</v>
      </c>
      <c r="C360" s="13" t="n">
        <v>273</v>
      </c>
      <c r="D360" s="13" t="s">
        <v>3444</v>
      </c>
      <c r="E360" s="13" t="n">
        <v>2</v>
      </c>
      <c r="F360" s="13" t="s">
        <v>15094</v>
      </c>
      <c r="G360" s="13" t="s">
        <v>15095</v>
      </c>
      <c r="H360" s="13" t="s">
        <v>3449</v>
      </c>
      <c r="I360" s="13" t="s">
        <v>3450</v>
      </c>
    </row>
    <row r="361" customFormat="false" ht="46.25" hidden="false" customHeight="false" outlineLevel="0" collapsed="false">
      <c r="A361" s="13" t="s">
        <v>3</v>
      </c>
      <c r="B361" s="13" t="s">
        <v>2150</v>
      </c>
      <c r="C361" s="13" t="n">
        <v>273</v>
      </c>
      <c r="D361" s="13" t="s">
        <v>3453</v>
      </c>
      <c r="E361" s="13" t="n">
        <v>5</v>
      </c>
      <c r="F361" s="13" t="s">
        <v>15094</v>
      </c>
      <c r="G361" s="13" t="s">
        <v>15095</v>
      </c>
      <c r="H361" s="13" t="s">
        <v>3458</v>
      </c>
      <c r="I361" s="13" t="s">
        <v>3459</v>
      </c>
    </row>
    <row r="362" customFormat="false" ht="23.85" hidden="false" customHeight="false" outlineLevel="0" collapsed="false">
      <c r="A362" s="13" t="s">
        <v>3</v>
      </c>
      <c r="B362" s="13" t="s">
        <v>2150</v>
      </c>
      <c r="C362" s="13" t="n">
        <v>273</v>
      </c>
      <c r="D362" s="13" t="s">
        <v>3470</v>
      </c>
      <c r="E362" s="13" t="n">
        <v>2</v>
      </c>
      <c r="F362" s="13" t="s">
        <v>15094</v>
      </c>
      <c r="G362" s="13" t="s">
        <v>15095</v>
      </c>
      <c r="H362" s="13" t="s">
        <v>3472</v>
      </c>
      <c r="I362" s="13" t="s">
        <v>3473</v>
      </c>
    </row>
    <row r="363" customFormat="false" ht="35.05" hidden="false" customHeight="false" outlineLevel="0" collapsed="false">
      <c r="A363" s="13" t="s">
        <v>3</v>
      </c>
      <c r="B363" s="13" t="s">
        <v>2150</v>
      </c>
      <c r="C363" s="13" t="n">
        <v>273</v>
      </c>
      <c r="D363" s="13" t="s">
        <v>3475</v>
      </c>
      <c r="E363" s="13" t="n">
        <v>3</v>
      </c>
      <c r="F363" s="13" t="s">
        <v>15094</v>
      </c>
      <c r="G363" s="13" t="s">
        <v>15095</v>
      </c>
      <c r="H363" s="13" t="s">
        <v>3481</v>
      </c>
      <c r="I363" s="13" t="s">
        <v>3482</v>
      </c>
    </row>
    <row r="364" customFormat="false" ht="57.45" hidden="false" customHeight="false" outlineLevel="0" collapsed="false">
      <c r="A364" s="13" t="s">
        <v>3</v>
      </c>
      <c r="B364" s="13" t="s">
        <v>2150</v>
      </c>
      <c r="C364" s="13" t="n">
        <v>273</v>
      </c>
      <c r="D364" s="13" t="s">
        <v>3489</v>
      </c>
      <c r="E364" s="13" t="n">
        <v>3</v>
      </c>
      <c r="F364" s="13" t="s">
        <v>15094</v>
      </c>
      <c r="G364" s="13" t="s">
        <v>15095</v>
      </c>
      <c r="H364" s="13" t="s">
        <v>3493</v>
      </c>
      <c r="I364" s="13" t="s">
        <v>3494</v>
      </c>
    </row>
    <row r="365" customFormat="false" ht="15" hidden="false" customHeight="false" outlineLevel="0" collapsed="false">
      <c r="A365" s="13" t="s">
        <v>3</v>
      </c>
      <c r="B365" s="13" t="s">
        <v>2150</v>
      </c>
      <c r="C365" s="13" t="n">
        <v>273</v>
      </c>
      <c r="D365" s="13" t="s">
        <v>3501</v>
      </c>
      <c r="E365" s="13" t="n">
        <v>1</v>
      </c>
      <c r="F365" s="13" t="s">
        <v>15094</v>
      </c>
      <c r="G365" s="13" t="s">
        <v>15095</v>
      </c>
      <c r="H365" s="13" t="s">
        <v>3505</v>
      </c>
      <c r="I365" s="13" t="s">
        <v>3506</v>
      </c>
    </row>
    <row r="366" customFormat="false" ht="35.05" hidden="false" customHeight="false" outlineLevel="0" collapsed="false">
      <c r="A366" s="13" t="s">
        <v>3</v>
      </c>
      <c r="B366" s="13" t="s">
        <v>2150</v>
      </c>
      <c r="C366" s="13" t="n">
        <v>273</v>
      </c>
      <c r="D366" s="13" t="s">
        <v>3507</v>
      </c>
      <c r="E366" s="13" t="n">
        <v>2</v>
      </c>
      <c r="F366" s="13" t="s">
        <v>15094</v>
      </c>
      <c r="G366" s="13" t="s">
        <v>15095</v>
      </c>
      <c r="H366" s="13" t="s">
        <v>3511</v>
      </c>
      <c r="I366" s="13" t="s">
        <v>3512</v>
      </c>
    </row>
    <row r="367" customFormat="false" ht="23.85" hidden="false" customHeight="false" outlineLevel="0" collapsed="false">
      <c r="A367" s="13" t="s">
        <v>3</v>
      </c>
      <c r="B367" s="13" t="s">
        <v>2150</v>
      </c>
      <c r="C367" s="13" t="n">
        <v>273</v>
      </c>
      <c r="D367" s="13" t="s">
        <v>3516</v>
      </c>
      <c r="E367" s="13" t="n">
        <v>2</v>
      </c>
      <c r="F367" s="13" t="s">
        <v>15094</v>
      </c>
      <c r="G367" s="13" t="s">
        <v>15095</v>
      </c>
      <c r="H367" s="13" t="s">
        <v>3520</v>
      </c>
      <c r="I367" s="13" t="s">
        <v>3521</v>
      </c>
    </row>
    <row r="368" customFormat="false" ht="113.4" hidden="false" customHeight="false" outlineLevel="0" collapsed="false">
      <c r="A368" s="13" t="s">
        <v>3</v>
      </c>
      <c r="B368" s="13" t="s">
        <v>2150</v>
      </c>
      <c r="C368" s="13" t="n">
        <v>273</v>
      </c>
      <c r="D368" s="13" t="s">
        <v>3525</v>
      </c>
      <c r="E368" s="13" t="n">
        <v>4</v>
      </c>
      <c r="F368" s="13" t="s">
        <v>15094</v>
      </c>
      <c r="G368" s="13" t="s">
        <v>15095</v>
      </c>
      <c r="H368" s="13" t="s">
        <v>3528</v>
      </c>
      <c r="I368" s="13" t="s">
        <v>3529</v>
      </c>
    </row>
    <row r="369" customFormat="false" ht="191.75" hidden="false" customHeight="false" outlineLevel="0" collapsed="false">
      <c r="A369" s="13" t="s">
        <v>3</v>
      </c>
      <c r="B369" s="13" t="s">
        <v>2150</v>
      </c>
      <c r="C369" s="13" t="n">
        <v>289</v>
      </c>
      <c r="D369" s="13" t="s">
        <v>3539</v>
      </c>
      <c r="E369" s="13" t="n">
        <v>7</v>
      </c>
      <c r="F369" s="13" t="s">
        <v>15094</v>
      </c>
      <c r="G369" s="13" t="s">
        <v>15095</v>
      </c>
      <c r="H369" s="13" t="s">
        <v>3544</v>
      </c>
      <c r="I369" s="13" t="s">
        <v>3545</v>
      </c>
    </row>
    <row r="370" customFormat="false" ht="147" hidden="false" customHeight="false" outlineLevel="0" collapsed="false">
      <c r="A370" s="13" t="s">
        <v>3</v>
      </c>
      <c r="B370" s="13" t="s">
        <v>2150</v>
      </c>
      <c r="C370" s="13" t="n">
        <v>289</v>
      </c>
      <c r="D370" s="13" t="s">
        <v>3563</v>
      </c>
      <c r="E370" s="13" t="n">
        <v>5</v>
      </c>
      <c r="F370" s="13" t="s">
        <v>15094</v>
      </c>
      <c r="G370" s="13" t="s">
        <v>15095</v>
      </c>
      <c r="H370" s="13" t="s">
        <v>3567</v>
      </c>
      <c r="I370" s="13" t="s">
        <v>3568</v>
      </c>
    </row>
    <row r="371" customFormat="false" ht="23.85" hidden="false" customHeight="false" outlineLevel="0" collapsed="false">
      <c r="A371" s="13" t="s">
        <v>3</v>
      </c>
      <c r="B371" s="13" t="s">
        <v>2150</v>
      </c>
      <c r="C371" s="13" t="n">
        <v>289</v>
      </c>
      <c r="D371" s="13" t="s">
        <v>3583</v>
      </c>
      <c r="E371" s="13" t="n">
        <v>3</v>
      </c>
      <c r="F371" s="13" t="s">
        <v>15094</v>
      </c>
      <c r="G371" s="13" t="s">
        <v>15095</v>
      </c>
      <c r="H371" s="13" t="s">
        <v>3588</v>
      </c>
      <c r="I371" s="13" t="s">
        <v>3589</v>
      </c>
    </row>
    <row r="372" customFormat="false" ht="68.65" hidden="false" customHeight="false" outlineLevel="0" collapsed="false">
      <c r="A372" s="13" t="s">
        <v>3</v>
      </c>
      <c r="B372" s="13" t="s">
        <v>2150</v>
      </c>
      <c r="C372" s="13" t="n">
        <v>289</v>
      </c>
      <c r="D372" s="13" t="s">
        <v>3596</v>
      </c>
      <c r="E372" s="13" t="n">
        <v>6</v>
      </c>
      <c r="F372" s="13" t="s">
        <v>15094</v>
      </c>
      <c r="G372" s="13" t="s">
        <v>15095</v>
      </c>
      <c r="H372" s="13" t="s">
        <v>3600</v>
      </c>
      <c r="I372" s="13" t="s">
        <v>3601</v>
      </c>
    </row>
    <row r="373" customFormat="false" ht="124.6" hidden="false" customHeight="false" outlineLevel="0" collapsed="false">
      <c r="A373" s="13" t="s">
        <v>3</v>
      </c>
      <c r="B373" s="13" t="s">
        <v>2150</v>
      </c>
      <c r="C373" s="13" t="n">
        <v>290</v>
      </c>
      <c r="D373" s="13" t="s">
        <v>3615</v>
      </c>
      <c r="E373" s="13" t="n">
        <v>5</v>
      </c>
      <c r="F373" s="13" t="s">
        <v>15094</v>
      </c>
      <c r="G373" s="13" t="s">
        <v>15095</v>
      </c>
      <c r="H373" s="13" t="s">
        <v>3620</v>
      </c>
      <c r="I373" s="13" t="s">
        <v>3621</v>
      </c>
    </row>
    <row r="374" customFormat="false" ht="23.85" hidden="false" customHeight="false" outlineLevel="0" collapsed="false">
      <c r="A374" s="13" t="s">
        <v>3</v>
      </c>
      <c r="B374" s="13" t="s">
        <v>2150</v>
      </c>
      <c r="C374" s="13" t="n">
        <v>290</v>
      </c>
      <c r="D374" s="13" t="s">
        <v>3633</v>
      </c>
      <c r="E374" s="13" t="n">
        <v>1</v>
      </c>
      <c r="F374" s="13" t="s">
        <v>15094</v>
      </c>
      <c r="G374" s="13" t="s">
        <v>15095</v>
      </c>
      <c r="H374" s="13" t="s">
        <v>3637</v>
      </c>
      <c r="I374" s="13" t="s">
        <v>3638</v>
      </c>
    </row>
    <row r="375" customFormat="false" ht="102.2" hidden="false" customHeight="false" outlineLevel="0" collapsed="false">
      <c r="A375" s="13" t="s">
        <v>3</v>
      </c>
      <c r="B375" s="13" t="s">
        <v>2150</v>
      </c>
      <c r="C375" s="13" t="n">
        <v>290</v>
      </c>
      <c r="D375" s="13" t="s">
        <v>3639</v>
      </c>
      <c r="E375" s="13" t="n">
        <v>4</v>
      </c>
      <c r="F375" s="13" t="s">
        <v>15094</v>
      </c>
      <c r="G375" s="13" t="s">
        <v>15095</v>
      </c>
      <c r="H375" s="13" t="s">
        <v>3643</v>
      </c>
      <c r="I375" s="13" t="s">
        <v>3644</v>
      </c>
    </row>
    <row r="376" customFormat="false" ht="23.85" hidden="false" customHeight="false" outlineLevel="0" collapsed="false">
      <c r="A376" s="13" t="s">
        <v>3</v>
      </c>
      <c r="B376" s="13" t="s">
        <v>2150</v>
      </c>
      <c r="C376" s="13" t="n">
        <v>290</v>
      </c>
      <c r="D376" s="13" t="s">
        <v>3653</v>
      </c>
      <c r="E376" s="13" t="n">
        <v>1</v>
      </c>
      <c r="F376" s="13" t="s">
        <v>15094</v>
      </c>
      <c r="G376" s="13" t="s">
        <v>15095</v>
      </c>
      <c r="H376" s="13" t="s">
        <v>3656</v>
      </c>
      <c r="I376" s="13" t="s">
        <v>3657</v>
      </c>
    </row>
    <row r="377" customFormat="false" ht="23.85" hidden="false" customHeight="false" outlineLevel="0" collapsed="false">
      <c r="A377" s="13" t="s">
        <v>3</v>
      </c>
      <c r="B377" s="13" t="s">
        <v>2150</v>
      </c>
      <c r="C377" s="13" t="n">
        <v>290</v>
      </c>
      <c r="D377" s="13" t="s">
        <v>3658</v>
      </c>
      <c r="E377" s="13" t="n">
        <v>2</v>
      </c>
      <c r="F377" s="13" t="s">
        <v>15094</v>
      </c>
      <c r="G377" s="13" t="s">
        <v>15095</v>
      </c>
      <c r="H377" s="13" t="s">
        <v>3661</v>
      </c>
      <c r="I377" s="13" t="s">
        <v>3662</v>
      </c>
    </row>
    <row r="378" customFormat="false" ht="102.2" hidden="false" customHeight="false" outlineLevel="0" collapsed="false">
      <c r="A378" s="13" t="s">
        <v>3</v>
      </c>
      <c r="B378" s="13" t="s">
        <v>2150</v>
      </c>
      <c r="C378" s="13" t="n">
        <v>290</v>
      </c>
      <c r="D378" s="13" t="s">
        <v>3666</v>
      </c>
      <c r="E378" s="13" t="n">
        <v>4</v>
      </c>
      <c r="F378" s="13" t="s">
        <v>15094</v>
      </c>
      <c r="G378" s="13" t="s">
        <v>15095</v>
      </c>
      <c r="H378" s="13" t="s">
        <v>3671</v>
      </c>
      <c r="I378" s="13" t="s">
        <v>3672</v>
      </c>
    </row>
    <row r="379" customFormat="false" ht="23.85" hidden="false" customHeight="false" outlineLevel="0" collapsed="false">
      <c r="A379" s="13" t="s">
        <v>3</v>
      </c>
      <c r="B379" s="13" t="s">
        <v>2150</v>
      </c>
      <c r="C379" s="13" t="n">
        <v>290</v>
      </c>
      <c r="D379" s="13" t="s">
        <v>3684</v>
      </c>
      <c r="E379" s="13" t="n">
        <v>1</v>
      </c>
      <c r="F379" s="13" t="s">
        <v>15094</v>
      </c>
      <c r="G379" s="13" t="s">
        <v>15095</v>
      </c>
      <c r="H379" s="13" t="s">
        <v>3688</v>
      </c>
      <c r="I379" s="13" t="s">
        <v>3689</v>
      </c>
    </row>
    <row r="380" customFormat="false" ht="79.85" hidden="false" customHeight="false" outlineLevel="0" collapsed="false">
      <c r="A380" s="13" t="s">
        <v>3</v>
      </c>
      <c r="B380" s="13" t="s">
        <v>2150</v>
      </c>
      <c r="C380" s="13" t="n">
        <v>290</v>
      </c>
      <c r="D380" s="13" t="s">
        <v>3690</v>
      </c>
      <c r="E380" s="13" t="n">
        <v>4</v>
      </c>
      <c r="F380" s="13" t="s">
        <v>15094</v>
      </c>
      <c r="G380" s="13" t="s">
        <v>15095</v>
      </c>
      <c r="H380" s="13" t="s">
        <v>3694</v>
      </c>
      <c r="I380" s="13" t="s">
        <v>3695</v>
      </c>
    </row>
    <row r="381" customFormat="false" ht="15" hidden="false" customHeight="false" outlineLevel="0" collapsed="false">
      <c r="A381" s="13" t="s">
        <v>3</v>
      </c>
      <c r="B381" s="13" t="s">
        <v>2150</v>
      </c>
      <c r="C381" s="13" t="n">
        <v>301</v>
      </c>
      <c r="D381" s="13" t="s">
        <v>3703</v>
      </c>
      <c r="E381" s="13" t="n">
        <v>1</v>
      </c>
      <c r="F381" s="13" t="s">
        <v>15094</v>
      </c>
      <c r="G381" s="13" t="s">
        <v>15095</v>
      </c>
      <c r="H381" s="13" t="s">
        <v>3706</v>
      </c>
      <c r="I381" s="13" t="s">
        <v>3707</v>
      </c>
    </row>
    <row r="382" customFormat="false" ht="91" hidden="false" customHeight="false" outlineLevel="0" collapsed="false">
      <c r="A382" s="13" t="s">
        <v>3</v>
      </c>
      <c r="B382" s="13" t="s">
        <v>2150</v>
      </c>
      <c r="C382" s="13" t="n">
        <v>301</v>
      </c>
      <c r="D382" s="13" t="s">
        <v>3708</v>
      </c>
      <c r="E382" s="13" t="n">
        <v>5</v>
      </c>
      <c r="F382" s="13" t="s">
        <v>15094</v>
      </c>
      <c r="G382" s="13" t="s">
        <v>15095</v>
      </c>
      <c r="H382" s="13" t="s">
        <v>3714</v>
      </c>
      <c r="I382" s="13" t="s">
        <v>3715</v>
      </c>
    </row>
    <row r="383" customFormat="false" ht="393.25" hidden="false" customHeight="false" outlineLevel="0" collapsed="false">
      <c r="A383" s="13" t="s">
        <v>3</v>
      </c>
      <c r="B383" s="13" t="s">
        <v>2150</v>
      </c>
      <c r="C383" s="13" t="n">
        <v>301</v>
      </c>
      <c r="D383" s="13" t="s">
        <v>3726</v>
      </c>
      <c r="E383" s="13" t="n">
        <v>10</v>
      </c>
      <c r="F383" s="13" t="s">
        <v>15094</v>
      </c>
      <c r="G383" s="13" t="s">
        <v>15095</v>
      </c>
      <c r="H383" s="13" t="s">
        <v>3731</v>
      </c>
      <c r="I383" s="13" t="s">
        <v>3732</v>
      </c>
    </row>
    <row r="384" customFormat="false" ht="46.25" hidden="false" customHeight="false" outlineLevel="0" collapsed="false">
      <c r="A384" s="13" t="s">
        <v>3</v>
      </c>
      <c r="B384" s="13" t="s">
        <v>2150</v>
      </c>
      <c r="C384" s="13" t="n">
        <v>313</v>
      </c>
      <c r="D384" s="13" t="s">
        <v>3759</v>
      </c>
      <c r="E384" s="13" t="n">
        <v>1</v>
      </c>
      <c r="F384" s="13" t="s">
        <v>15094</v>
      </c>
      <c r="G384" s="13" t="s">
        <v>15095</v>
      </c>
      <c r="H384" s="13" t="s">
        <v>3763</v>
      </c>
      <c r="I384" s="13" t="s">
        <v>3764</v>
      </c>
    </row>
    <row r="385" customFormat="false" ht="46.25" hidden="false" customHeight="false" outlineLevel="0" collapsed="false">
      <c r="A385" s="13" t="s">
        <v>3</v>
      </c>
      <c r="B385" s="13" t="s">
        <v>2150</v>
      </c>
      <c r="C385" s="13" t="n">
        <v>313</v>
      </c>
      <c r="D385" s="13" t="s">
        <v>3765</v>
      </c>
      <c r="E385" s="13" t="n">
        <v>1</v>
      </c>
      <c r="F385" s="13" t="s">
        <v>15094</v>
      </c>
      <c r="G385" s="13" t="s">
        <v>15095</v>
      </c>
      <c r="H385" s="13" t="s">
        <v>3769</v>
      </c>
      <c r="I385" s="13" t="s">
        <v>3770</v>
      </c>
    </row>
    <row r="386" customFormat="false" ht="46.25" hidden="false" customHeight="false" outlineLevel="0" collapsed="false">
      <c r="A386" s="13" t="s">
        <v>3</v>
      </c>
      <c r="B386" s="13" t="s">
        <v>2150</v>
      </c>
      <c r="C386" s="13" t="n">
        <v>313</v>
      </c>
      <c r="D386" s="13" t="s">
        <v>3771</v>
      </c>
      <c r="E386" s="13" t="n">
        <v>1</v>
      </c>
      <c r="F386" s="13" t="s">
        <v>15094</v>
      </c>
      <c r="G386" s="13" t="s">
        <v>15095</v>
      </c>
      <c r="H386" s="13" t="s">
        <v>3775</v>
      </c>
      <c r="I386" s="13" t="s">
        <v>3776</v>
      </c>
    </row>
    <row r="387" customFormat="false" ht="79.85" hidden="false" customHeight="false" outlineLevel="0" collapsed="false">
      <c r="A387" s="13" t="s">
        <v>3</v>
      </c>
      <c r="B387" s="13" t="s">
        <v>2150</v>
      </c>
      <c r="C387" s="13" t="n">
        <v>313</v>
      </c>
      <c r="D387" s="13" t="s">
        <v>3777</v>
      </c>
      <c r="E387" s="13" t="n">
        <v>3</v>
      </c>
      <c r="F387" s="13" t="s">
        <v>15094</v>
      </c>
      <c r="G387" s="13" t="s">
        <v>15095</v>
      </c>
      <c r="H387" s="13" t="s">
        <v>3780</v>
      </c>
      <c r="I387" s="13" t="s">
        <v>3781</v>
      </c>
    </row>
    <row r="388" customFormat="false" ht="68.65" hidden="false" customHeight="false" outlineLevel="0" collapsed="false">
      <c r="A388" s="13" t="s">
        <v>3</v>
      </c>
      <c r="B388" s="13" t="s">
        <v>2150</v>
      </c>
      <c r="C388" s="13" t="n">
        <v>313</v>
      </c>
      <c r="D388" s="13" t="s">
        <v>3787</v>
      </c>
      <c r="E388" s="13" t="n">
        <v>3</v>
      </c>
      <c r="F388" s="13" t="s">
        <v>15094</v>
      </c>
      <c r="G388" s="13" t="s">
        <v>15095</v>
      </c>
      <c r="H388" s="13" t="s">
        <v>3792</v>
      </c>
      <c r="I388" s="13" t="s">
        <v>3793</v>
      </c>
    </row>
    <row r="389" customFormat="false" ht="46.25" hidden="false" customHeight="false" outlineLevel="0" collapsed="false">
      <c r="A389" s="13" t="s">
        <v>3</v>
      </c>
      <c r="B389" s="13" t="s">
        <v>2150</v>
      </c>
      <c r="C389" s="13" t="n">
        <v>313</v>
      </c>
      <c r="D389" s="13" t="s">
        <v>3800</v>
      </c>
      <c r="E389" s="13" t="n">
        <v>3</v>
      </c>
      <c r="F389" s="13" t="s">
        <v>15094</v>
      </c>
      <c r="G389" s="13" t="s">
        <v>15095</v>
      </c>
      <c r="H389" s="13" t="s">
        <v>3805</v>
      </c>
      <c r="I389" s="13" t="s">
        <v>3806</v>
      </c>
    </row>
    <row r="390" customFormat="false" ht="337.3" hidden="false" customHeight="false" outlineLevel="0" collapsed="false">
      <c r="A390" s="13" t="s">
        <v>3</v>
      </c>
      <c r="B390" s="13" t="s">
        <v>2150</v>
      </c>
      <c r="C390" s="13" t="n">
        <v>313</v>
      </c>
      <c r="D390" s="13" t="s">
        <v>3812</v>
      </c>
      <c r="E390" s="13" t="n">
        <v>9</v>
      </c>
      <c r="F390" s="13" t="s">
        <v>15094</v>
      </c>
      <c r="G390" s="13" t="s">
        <v>15095</v>
      </c>
      <c r="H390" s="13" t="s">
        <v>3817</v>
      </c>
      <c r="I390" s="13" t="s">
        <v>3818</v>
      </c>
    </row>
    <row r="391" customFormat="false" ht="23.85" hidden="false" customHeight="false" outlineLevel="0" collapsed="false">
      <c r="A391" s="13" t="s">
        <v>3</v>
      </c>
      <c r="B391" s="13" t="s">
        <v>2150</v>
      </c>
      <c r="C391" s="13" t="n">
        <v>322</v>
      </c>
      <c r="D391" s="13" t="s">
        <v>3841</v>
      </c>
      <c r="E391" s="13" t="n">
        <v>4</v>
      </c>
      <c r="F391" s="13" t="s">
        <v>15094</v>
      </c>
      <c r="G391" s="13" t="s">
        <v>15095</v>
      </c>
      <c r="H391" s="13" t="s">
        <v>3846</v>
      </c>
      <c r="I391" s="13" t="s">
        <v>3847</v>
      </c>
    </row>
    <row r="392" customFormat="false" ht="35.05" hidden="false" customHeight="false" outlineLevel="0" collapsed="false">
      <c r="A392" s="13" t="s">
        <v>3</v>
      </c>
      <c r="B392" s="13" t="s">
        <v>2150</v>
      </c>
      <c r="C392" s="13" t="n">
        <v>322</v>
      </c>
      <c r="D392" s="13" t="s">
        <v>3854</v>
      </c>
      <c r="E392" s="13" t="n">
        <v>2</v>
      </c>
      <c r="F392" s="13" t="s">
        <v>15094</v>
      </c>
      <c r="G392" s="13" t="s">
        <v>15095</v>
      </c>
      <c r="H392" s="13" t="s">
        <v>3858</v>
      </c>
      <c r="I392" s="13" t="s">
        <v>3859</v>
      </c>
    </row>
    <row r="393" customFormat="false" ht="68.65" hidden="false" customHeight="false" outlineLevel="0" collapsed="false">
      <c r="A393" s="13" t="s">
        <v>3</v>
      </c>
      <c r="B393" s="13" t="s">
        <v>2150</v>
      </c>
      <c r="C393" s="13" t="n">
        <v>322</v>
      </c>
      <c r="D393" s="13" t="s">
        <v>3863</v>
      </c>
      <c r="E393" s="13" t="n">
        <v>6</v>
      </c>
      <c r="F393" s="13" t="s">
        <v>15094</v>
      </c>
      <c r="G393" s="13" t="s">
        <v>15095</v>
      </c>
      <c r="H393" s="13" t="s">
        <v>3868</v>
      </c>
      <c r="I393" s="13" t="s">
        <v>3869</v>
      </c>
    </row>
    <row r="394" customFormat="false" ht="35.05" hidden="false" customHeight="false" outlineLevel="0" collapsed="false">
      <c r="A394" s="13" t="s">
        <v>3</v>
      </c>
      <c r="B394" s="13" t="s">
        <v>2150</v>
      </c>
      <c r="C394" s="13" t="n">
        <v>322</v>
      </c>
      <c r="D394" s="13" t="s">
        <v>3883</v>
      </c>
      <c r="E394" s="13" t="n">
        <v>4</v>
      </c>
      <c r="F394" s="13" t="s">
        <v>15094</v>
      </c>
      <c r="G394" s="13" t="s">
        <v>15095</v>
      </c>
      <c r="H394" s="13" t="s">
        <v>3887</v>
      </c>
      <c r="I394" s="13" t="s">
        <v>3888</v>
      </c>
    </row>
    <row r="395" customFormat="false" ht="57.45" hidden="false" customHeight="false" outlineLevel="0" collapsed="false">
      <c r="A395" s="13" t="s">
        <v>3</v>
      </c>
      <c r="B395" s="13" t="s">
        <v>2150</v>
      </c>
      <c r="C395" s="13" t="n">
        <v>322</v>
      </c>
      <c r="D395" s="13" t="s">
        <v>3894</v>
      </c>
      <c r="E395" s="13" t="n">
        <v>7</v>
      </c>
      <c r="F395" s="13" t="s">
        <v>15094</v>
      </c>
      <c r="G395" s="13" t="s">
        <v>15095</v>
      </c>
      <c r="H395" s="13" t="s">
        <v>3898</v>
      </c>
      <c r="I395" s="13" t="s">
        <v>3899</v>
      </c>
    </row>
    <row r="396" customFormat="false" ht="46.25" hidden="false" customHeight="false" outlineLevel="0" collapsed="false">
      <c r="A396" s="13" t="s">
        <v>3</v>
      </c>
      <c r="B396" s="13" t="s">
        <v>2150</v>
      </c>
      <c r="C396" s="13" t="n">
        <v>322</v>
      </c>
      <c r="D396" s="13" t="s">
        <v>3913</v>
      </c>
      <c r="E396" s="13" t="n">
        <v>3</v>
      </c>
      <c r="F396" s="13" t="s">
        <v>15094</v>
      </c>
      <c r="G396" s="13" t="s">
        <v>15095</v>
      </c>
      <c r="H396" s="13" t="s">
        <v>3916</v>
      </c>
      <c r="I396" s="13" t="s">
        <v>3917</v>
      </c>
    </row>
    <row r="397" customFormat="false" ht="46.25" hidden="false" customHeight="false" outlineLevel="0" collapsed="false">
      <c r="A397" s="13" t="s">
        <v>3</v>
      </c>
      <c r="B397" s="13" t="s">
        <v>2150</v>
      </c>
      <c r="C397" s="13" t="n">
        <v>322</v>
      </c>
      <c r="D397" s="13" t="s">
        <v>3923</v>
      </c>
      <c r="E397" s="13" t="n">
        <v>8</v>
      </c>
      <c r="F397" s="13" t="s">
        <v>15094</v>
      </c>
      <c r="G397" s="13" t="s">
        <v>15095</v>
      </c>
      <c r="H397" s="13" t="s">
        <v>3927</v>
      </c>
      <c r="I397" s="13" t="s">
        <v>3928</v>
      </c>
    </row>
    <row r="398" customFormat="false" ht="303.7" hidden="false" customHeight="false" outlineLevel="0" collapsed="false">
      <c r="A398" s="13" t="s">
        <v>3</v>
      </c>
      <c r="B398" s="13" t="s">
        <v>2150</v>
      </c>
      <c r="C398" s="13" t="n">
        <v>322</v>
      </c>
      <c r="D398" s="13" t="s">
        <v>3943</v>
      </c>
      <c r="E398" s="13" t="n">
        <v>9</v>
      </c>
      <c r="F398" s="13" t="s">
        <v>15094</v>
      </c>
      <c r="G398" s="13" t="s">
        <v>15095</v>
      </c>
      <c r="H398" s="13" t="s">
        <v>3948</v>
      </c>
      <c r="I398" s="13" t="s">
        <v>3949</v>
      </c>
    </row>
    <row r="399" customFormat="false" ht="35.05" hidden="false" customHeight="false" outlineLevel="0" collapsed="false">
      <c r="A399" s="13" t="s">
        <v>3</v>
      </c>
      <c r="B399" s="13" t="s">
        <v>2150</v>
      </c>
      <c r="C399" s="13" t="n">
        <v>361</v>
      </c>
      <c r="D399" s="13" t="s">
        <v>3976</v>
      </c>
      <c r="E399" s="13" t="n">
        <v>1</v>
      </c>
      <c r="F399" s="13" t="s">
        <v>15094</v>
      </c>
      <c r="G399" s="13" t="s">
        <v>15095</v>
      </c>
      <c r="H399" s="13" t="s">
        <v>3981</v>
      </c>
      <c r="I399" s="13" t="s">
        <v>3982</v>
      </c>
    </row>
    <row r="400" customFormat="false" ht="102.2" hidden="false" customHeight="false" outlineLevel="0" collapsed="false">
      <c r="A400" s="13" t="s">
        <v>3</v>
      </c>
      <c r="B400" s="13" t="s">
        <v>2150</v>
      </c>
      <c r="C400" s="13" t="n">
        <v>361</v>
      </c>
      <c r="D400" s="13" t="s">
        <v>3983</v>
      </c>
      <c r="E400" s="13" t="n">
        <v>4</v>
      </c>
      <c r="F400" s="13" t="s">
        <v>15094</v>
      </c>
      <c r="G400" s="13" t="s">
        <v>15095</v>
      </c>
      <c r="H400" s="13" t="s">
        <v>3987</v>
      </c>
      <c r="I400" s="13" t="s">
        <v>3988</v>
      </c>
    </row>
    <row r="401" customFormat="false" ht="113.4" hidden="false" customHeight="false" outlineLevel="0" collapsed="false">
      <c r="A401" s="13" t="s">
        <v>3</v>
      </c>
      <c r="B401" s="13" t="s">
        <v>2150</v>
      </c>
      <c r="C401" s="13" t="n">
        <v>361</v>
      </c>
      <c r="D401" s="13" t="s">
        <v>3997</v>
      </c>
      <c r="E401" s="13" t="n">
        <v>4</v>
      </c>
      <c r="F401" s="13" t="s">
        <v>15094</v>
      </c>
      <c r="G401" s="13" t="s">
        <v>15095</v>
      </c>
      <c r="H401" s="13" t="s">
        <v>3999</v>
      </c>
      <c r="I401" s="13" t="s">
        <v>4000</v>
      </c>
    </row>
    <row r="402" customFormat="false" ht="113.4" hidden="false" customHeight="false" outlineLevel="0" collapsed="false">
      <c r="A402" s="13" t="s">
        <v>3</v>
      </c>
      <c r="B402" s="13" t="s">
        <v>2150</v>
      </c>
      <c r="C402" s="13" t="n">
        <v>361</v>
      </c>
      <c r="D402" s="13" t="s">
        <v>4011</v>
      </c>
      <c r="E402" s="13" t="n">
        <v>5</v>
      </c>
      <c r="F402" s="13" t="s">
        <v>15094</v>
      </c>
      <c r="G402" s="13" t="s">
        <v>15095</v>
      </c>
      <c r="H402" s="13" t="s">
        <v>4016</v>
      </c>
      <c r="I402" s="13" t="s">
        <v>4017</v>
      </c>
    </row>
    <row r="403" customFormat="false" ht="57.45" hidden="false" customHeight="false" outlineLevel="0" collapsed="false">
      <c r="A403" s="13" t="s">
        <v>3</v>
      </c>
      <c r="B403" s="13" t="s">
        <v>2150</v>
      </c>
      <c r="C403" s="13" t="n">
        <v>362</v>
      </c>
      <c r="D403" s="13" t="s">
        <v>4047</v>
      </c>
      <c r="E403" s="13" t="n">
        <v>5</v>
      </c>
      <c r="F403" s="13" t="s">
        <v>15094</v>
      </c>
      <c r="G403" s="13" t="s">
        <v>15095</v>
      </c>
      <c r="H403" s="13" t="s">
        <v>4052</v>
      </c>
      <c r="I403" s="13" t="s">
        <v>4053</v>
      </c>
    </row>
    <row r="404" customFormat="false" ht="135.8" hidden="false" customHeight="false" outlineLevel="0" collapsed="false">
      <c r="A404" s="13" t="s">
        <v>3</v>
      </c>
      <c r="B404" s="13" t="s">
        <v>2150</v>
      </c>
      <c r="C404" s="13" t="n">
        <v>362</v>
      </c>
      <c r="D404" s="13" t="s">
        <v>4068</v>
      </c>
      <c r="E404" s="13" t="n">
        <v>7</v>
      </c>
      <c r="F404" s="13" t="s">
        <v>15094</v>
      </c>
      <c r="G404" s="13" t="s">
        <v>15095</v>
      </c>
      <c r="H404" s="13" t="s">
        <v>4073</v>
      </c>
      <c r="I404" s="13" t="s">
        <v>4074</v>
      </c>
    </row>
    <row r="405" customFormat="false" ht="147" hidden="false" customHeight="false" outlineLevel="0" collapsed="false">
      <c r="A405" s="13" t="s">
        <v>3</v>
      </c>
      <c r="B405" s="13" t="s">
        <v>2150</v>
      </c>
      <c r="C405" s="13" t="n">
        <v>362</v>
      </c>
      <c r="D405" s="13" t="s">
        <v>4089</v>
      </c>
      <c r="E405" s="13" t="n">
        <v>5</v>
      </c>
      <c r="F405" s="13" t="s">
        <v>15094</v>
      </c>
      <c r="G405" s="13" t="s">
        <v>15095</v>
      </c>
      <c r="H405" s="13" t="s">
        <v>4092</v>
      </c>
      <c r="I405" s="13" t="s">
        <v>4093</v>
      </c>
    </row>
    <row r="406" customFormat="false" ht="91" hidden="false" customHeight="false" outlineLevel="0" collapsed="false">
      <c r="A406" s="13" t="s">
        <v>3</v>
      </c>
      <c r="B406" s="13" t="s">
        <v>4108</v>
      </c>
      <c r="C406" s="13" t="n">
        <v>23</v>
      </c>
      <c r="D406" s="13" t="s">
        <v>4109</v>
      </c>
      <c r="E406" s="13" t="n">
        <v>3</v>
      </c>
      <c r="F406" s="13" t="s">
        <v>15094</v>
      </c>
      <c r="G406" s="13" t="s">
        <v>15095</v>
      </c>
      <c r="H406" s="13" t="s">
        <v>4114</v>
      </c>
      <c r="I406" s="13" t="s">
        <v>4115</v>
      </c>
    </row>
    <row r="407" customFormat="false" ht="23.85" hidden="false" customHeight="false" outlineLevel="0" collapsed="false">
      <c r="A407" s="13" t="s">
        <v>3</v>
      </c>
      <c r="B407" s="13" t="s">
        <v>4108</v>
      </c>
      <c r="C407" s="13" t="n">
        <v>23</v>
      </c>
      <c r="D407" s="13" t="s">
        <v>4121</v>
      </c>
      <c r="E407" s="13" t="n">
        <v>1</v>
      </c>
      <c r="F407" s="13" t="s">
        <v>15094</v>
      </c>
      <c r="G407" s="13" t="s">
        <v>15095</v>
      </c>
      <c r="H407" s="13" t="s">
        <v>4124</v>
      </c>
      <c r="I407" s="13" t="s">
        <v>4125</v>
      </c>
    </row>
    <row r="408" customFormat="false" ht="23.85" hidden="false" customHeight="false" outlineLevel="0" collapsed="false">
      <c r="A408" s="13" t="s">
        <v>3</v>
      </c>
      <c r="B408" s="13" t="s">
        <v>4108</v>
      </c>
      <c r="C408" s="13" t="n">
        <v>23</v>
      </c>
      <c r="D408" s="13" t="s">
        <v>4126</v>
      </c>
      <c r="E408" s="13" t="n">
        <v>2</v>
      </c>
      <c r="F408" s="13" t="s">
        <v>15094</v>
      </c>
      <c r="G408" s="13" t="s">
        <v>15095</v>
      </c>
      <c r="H408" s="13" t="s">
        <v>4132</v>
      </c>
      <c r="I408" s="13" t="s">
        <v>4133</v>
      </c>
    </row>
    <row r="409" customFormat="false" ht="91" hidden="false" customHeight="false" outlineLevel="0" collapsed="false">
      <c r="A409" s="13" t="s">
        <v>3</v>
      </c>
      <c r="B409" s="13" t="s">
        <v>4108</v>
      </c>
      <c r="C409" s="13" t="n">
        <v>23</v>
      </c>
      <c r="D409" s="13" t="s">
        <v>4136</v>
      </c>
      <c r="E409" s="13" t="n">
        <v>4</v>
      </c>
      <c r="F409" s="13" t="s">
        <v>15094</v>
      </c>
      <c r="G409" s="13" t="s">
        <v>15095</v>
      </c>
      <c r="H409" s="13" t="s">
        <v>4140</v>
      </c>
      <c r="I409" s="13" t="s">
        <v>4141</v>
      </c>
    </row>
    <row r="410" customFormat="false" ht="23.85" hidden="false" customHeight="false" outlineLevel="0" collapsed="false">
      <c r="A410" s="13" t="s">
        <v>3</v>
      </c>
      <c r="B410" s="13" t="s">
        <v>4108</v>
      </c>
      <c r="C410" s="13" t="n">
        <v>23</v>
      </c>
      <c r="D410" s="13" t="s">
        <v>4150</v>
      </c>
      <c r="E410" s="13" t="n">
        <v>1</v>
      </c>
      <c r="F410" s="13" t="s">
        <v>15094</v>
      </c>
      <c r="G410" s="13" t="s">
        <v>15095</v>
      </c>
      <c r="H410" s="13" t="s">
        <v>4154</v>
      </c>
      <c r="I410" s="13" t="s">
        <v>4155</v>
      </c>
    </row>
    <row r="411" customFormat="false" ht="23.85" hidden="false" customHeight="false" outlineLevel="0" collapsed="false">
      <c r="A411" s="13" t="s">
        <v>3</v>
      </c>
      <c r="B411" s="13" t="s">
        <v>4108</v>
      </c>
      <c r="C411" s="13" t="n">
        <v>23</v>
      </c>
      <c r="D411" s="13" t="s">
        <v>4156</v>
      </c>
      <c r="E411" s="13" t="n">
        <v>3</v>
      </c>
      <c r="F411" s="13" t="s">
        <v>15094</v>
      </c>
      <c r="G411" s="13" t="s">
        <v>15095</v>
      </c>
      <c r="H411" s="13" t="s">
        <v>4159</v>
      </c>
      <c r="I411" s="13" t="s">
        <v>4160</v>
      </c>
    </row>
    <row r="412" customFormat="false" ht="46.25" hidden="false" customHeight="false" outlineLevel="0" collapsed="false">
      <c r="A412" s="13" t="s">
        <v>3</v>
      </c>
      <c r="B412" s="13" t="s">
        <v>4108</v>
      </c>
      <c r="C412" s="13" t="n">
        <v>23</v>
      </c>
      <c r="D412" s="13" t="s">
        <v>4166</v>
      </c>
      <c r="E412" s="13" t="n">
        <v>2</v>
      </c>
      <c r="F412" s="13" t="s">
        <v>15094</v>
      </c>
      <c r="G412" s="13" t="s">
        <v>15095</v>
      </c>
      <c r="H412" s="13" t="s">
        <v>4171</v>
      </c>
      <c r="I412" s="13" t="s">
        <v>4172</v>
      </c>
    </row>
    <row r="413" customFormat="false" ht="46.25" hidden="false" customHeight="false" outlineLevel="0" collapsed="false">
      <c r="A413" s="13" t="s">
        <v>3</v>
      </c>
      <c r="B413" s="13" t="s">
        <v>4108</v>
      </c>
      <c r="C413" s="13" t="n">
        <v>77</v>
      </c>
      <c r="D413" s="13" t="s">
        <v>4175</v>
      </c>
      <c r="E413" s="13" t="n">
        <v>2</v>
      </c>
      <c r="F413" s="13" t="s">
        <v>15094</v>
      </c>
      <c r="G413" s="13" t="s">
        <v>15095</v>
      </c>
      <c r="H413" s="13" t="s">
        <v>4180</v>
      </c>
      <c r="I413" s="13" t="s">
        <v>4181</v>
      </c>
    </row>
    <row r="414" customFormat="false" ht="35.05" hidden="false" customHeight="false" outlineLevel="0" collapsed="false">
      <c r="A414" s="13" t="s">
        <v>3</v>
      </c>
      <c r="B414" s="13" t="s">
        <v>4108</v>
      </c>
      <c r="C414" s="13" t="n">
        <v>77</v>
      </c>
      <c r="D414" s="13" t="s">
        <v>4184</v>
      </c>
      <c r="E414" s="13" t="n">
        <v>1</v>
      </c>
      <c r="F414" s="13" t="s">
        <v>15094</v>
      </c>
      <c r="G414" s="13" t="s">
        <v>15095</v>
      </c>
      <c r="H414" s="13" t="s">
        <v>4188</v>
      </c>
      <c r="I414" s="13" t="s">
        <v>4189</v>
      </c>
    </row>
    <row r="415" customFormat="false" ht="57.45" hidden="false" customHeight="false" outlineLevel="0" collapsed="false">
      <c r="A415" s="13" t="s">
        <v>3</v>
      </c>
      <c r="B415" s="13" t="s">
        <v>4108</v>
      </c>
      <c r="C415" s="13" t="n">
        <v>77</v>
      </c>
      <c r="D415" s="13" t="s">
        <v>4190</v>
      </c>
      <c r="E415" s="13" t="n">
        <v>2</v>
      </c>
      <c r="F415" s="13" t="s">
        <v>15094</v>
      </c>
      <c r="G415" s="13" t="s">
        <v>15095</v>
      </c>
      <c r="H415" s="13" t="s">
        <v>4194</v>
      </c>
      <c r="I415" s="13" t="s">
        <v>4195</v>
      </c>
    </row>
    <row r="416" customFormat="false" ht="57.45" hidden="false" customHeight="false" outlineLevel="0" collapsed="false">
      <c r="A416" s="13" t="s">
        <v>3</v>
      </c>
      <c r="B416" s="13" t="s">
        <v>4108</v>
      </c>
      <c r="C416" s="13" t="n">
        <v>77</v>
      </c>
      <c r="D416" s="13" t="s">
        <v>4199</v>
      </c>
      <c r="E416" s="13" t="n">
        <v>1</v>
      </c>
      <c r="F416" s="13" t="s">
        <v>15094</v>
      </c>
      <c r="G416" s="13" t="s">
        <v>15095</v>
      </c>
      <c r="H416" s="13" t="s">
        <v>4204</v>
      </c>
      <c r="I416" s="13" t="s">
        <v>4205</v>
      </c>
    </row>
    <row r="417" customFormat="false" ht="113.4" hidden="false" customHeight="false" outlineLevel="0" collapsed="false">
      <c r="A417" s="13" t="s">
        <v>3</v>
      </c>
      <c r="B417" s="13" t="s">
        <v>4108</v>
      </c>
      <c r="C417" s="13" t="n">
        <v>77</v>
      </c>
      <c r="D417" s="13" t="s">
        <v>4206</v>
      </c>
      <c r="E417" s="13" t="n">
        <v>3</v>
      </c>
      <c r="F417" s="13" t="s">
        <v>15094</v>
      </c>
      <c r="G417" s="13" t="s">
        <v>15095</v>
      </c>
      <c r="H417" s="13" t="s">
        <v>4211</v>
      </c>
      <c r="I417" s="13" t="s">
        <v>4212</v>
      </c>
    </row>
    <row r="418" customFormat="false" ht="68.65" hidden="false" customHeight="false" outlineLevel="0" collapsed="false">
      <c r="A418" s="13" t="s">
        <v>3</v>
      </c>
      <c r="B418" s="13" t="s">
        <v>4108</v>
      </c>
      <c r="C418" s="13" t="n">
        <v>77</v>
      </c>
      <c r="D418" s="13" t="s">
        <v>4218</v>
      </c>
      <c r="E418" s="13" t="n">
        <v>3</v>
      </c>
      <c r="F418" s="13" t="s">
        <v>15094</v>
      </c>
      <c r="G418" s="13" t="s">
        <v>15095</v>
      </c>
      <c r="H418" s="13" t="s">
        <v>4223</v>
      </c>
      <c r="I418" s="13" t="s">
        <v>4224</v>
      </c>
    </row>
    <row r="419" customFormat="false" ht="35.05" hidden="false" customHeight="false" outlineLevel="0" collapsed="false">
      <c r="A419" s="13" t="s">
        <v>3</v>
      </c>
      <c r="B419" s="13" t="s">
        <v>4108</v>
      </c>
      <c r="C419" s="13" t="n">
        <v>103</v>
      </c>
      <c r="D419" s="13" t="s">
        <v>4230</v>
      </c>
      <c r="E419" s="13" t="n">
        <v>1</v>
      </c>
      <c r="F419" s="13" t="s">
        <v>15094</v>
      </c>
      <c r="G419" s="13" t="s">
        <v>15095</v>
      </c>
      <c r="H419" s="13" t="s">
        <v>4235</v>
      </c>
      <c r="I419" s="13" t="s">
        <v>4236</v>
      </c>
    </row>
    <row r="420" customFormat="false" ht="23.85" hidden="false" customHeight="false" outlineLevel="0" collapsed="false">
      <c r="A420" s="13" t="s">
        <v>3</v>
      </c>
      <c r="B420" s="13" t="s">
        <v>4108</v>
      </c>
      <c r="C420" s="13" t="n">
        <v>103</v>
      </c>
      <c r="D420" s="13" t="s">
        <v>4237</v>
      </c>
      <c r="E420" s="13" t="n">
        <v>2</v>
      </c>
      <c r="F420" s="13" t="s">
        <v>15094</v>
      </c>
      <c r="G420" s="13" t="s">
        <v>15095</v>
      </c>
      <c r="H420" s="13" t="s">
        <v>4244</v>
      </c>
      <c r="I420" s="13" t="s">
        <v>4245</v>
      </c>
    </row>
    <row r="421" customFormat="false" ht="23.85" hidden="false" customHeight="false" outlineLevel="0" collapsed="false">
      <c r="A421" s="13" t="s">
        <v>3</v>
      </c>
      <c r="B421" s="13" t="s">
        <v>4108</v>
      </c>
      <c r="C421" s="13" t="n">
        <v>103</v>
      </c>
      <c r="D421" s="13" t="s">
        <v>4250</v>
      </c>
      <c r="E421" s="13" t="n">
        <v>1</v>
      </c>
      <c r="F421" s="13" t="s">
        <v>15094</v>
      </c>
      <c r="G421" s="13" t="s">
        <v>15095</v>
      </c>
      <c r="H421" s="13" t="s">
        <v>4255</v>
      </c>
      <c r="I421" s="13" t="s">
        <v>4256</v>
      </c>
    </row>
    <row r="422" customFormat="false" ht="46.25" hidden="false" customHeight="false" outlineLevel="0" collapsed="false">
      <c r="A422" s="13" t="s">
        <v>3</v>
      </c>
      <c r="B422" s="13" t="s">
        <v>4108</v>
      </c>
      <c r="C422" s="13" t="n">
        <v>103</v>
      </c>
      <c r="D422" s="13" t="s">
        <v>4257</v>
      </c>
      <c r="E422" s="13" t="n">
        <v>4</v>
      </c>
      <c r="F422" s="13" t="s">
        <v>15094</v>
      </c>
      <c r="G422" s="13" t="s">
        <v>15095</v>
      </c>
      <c r="H422" s="13" t="s">
        <v>4261</v>
      </c>
      <c r="I422" s="13" t="s">
        <v>4262</v>
      </c>
    </row>
    <row r="423" customFormat="false" ht="35.05" hidden="false" customHeight="false" outlineLevel="0" collapsed="false">
      <c r="A423" s="13" t="s">
        <v>3</v>
      </c>
      <c r="B423" s="13" t="s">
        <v>4108</v>
      </c>
      <c r="C423" s="13" t="n">
        <v>103</v>
      </c>
      <c r="D423" s="13" t="s">
        <v>4270</v>
      </c>
      <c r="E423" s="13" t="n">
        <v>2</v>
      </c>
      <c r="F423" s="13" t="s">
        <v>15094</v>
      </c>
      <c r="G423" s="13" t="s">
        <v>15095</v>
      </c>
      <c r="H423" s="13" t="s">
        <v>4275</v>
      </c>
      <c r="I423" s="13" t="s">
        <v>4276</v>
      </c>
    </row>
    <row r="424" customFormat="false" ht="46.25" hidden="false" customHeight="false" outlineLevel="0" collapsed="false">
      <c r="A424" s="13" t="s">
        <v>3</v>
      </c>
      <c r="B424" s="13" t="s">
        <v>4108</v>
      </c>
      <c r="C424" s="13" t="n">
        <v>103</v>
      </c>
      <c r="D424" s="13" t="s">
        <v>4279</v>
      </c>
      <c r="E424" s="13" t="n">
        <v>1</v>
      </c>
      <c r="F424" s="13" t="s">
        <v>15094</v>
      </c>
      <c r="G424" s="13" t="s">
        <v>15095</v>
      </c>
      <c r="H424" s="13" t="s">
        <v>4284</v>
      </c>
      <c r="I424" s="13" t="s">
        <v>4285</v>
      </c>
    </row>
    <row r="425" customFormat="false" ht="23.85" hidden="false" customHeight="false" outlineLevel="0" collapsed="false">
      <c r="A425" s="13" t="s">
        <v>3</v>
      </c>
      <c r="B425" s="13" t="s">
        <v>4108</v>
      </c>
      <c r="C425" s="13" t="n">
        <v>103</v>
      </c>
      <c r="D425" s="13" t="s">
        <v>4286</v>
      </c>
      <c r="E425" s="13" t="n">
        <v>1</v>
      </c>
      <c r="F425" s="13" t="s">
        <v>15094</v>
      </c>
      <c r="G425" s="13" t="s">
        <v>15095</v>
      </c>
      <c r="H425" s="13" t="s">
        <v>4290</v>
      </c>
      <c r="I425" s="13" t="s">
        <v>4291</v>
      </c>
    </row>
    <row r="426" customFormat="false" ht="46.25" hidden="false" customHeight="false" outlineLevel="0" collapsed="false">
      <c r="A426" s="13" t="s">
        <v>3</v>
      </c>
      <c r="B426" s="13" t="s">
        <v>4108</v>
      </c>
      <c r="C426" s="13" t="n">
        <v>103</v>
      </c>
      <c r="D426" s="13" t="s">
        <v>4292</v>
      </c>
      <c r="E426" s="13" t="n">
        <v>3</v>
      </c>
      <c r="F426" s="13" t="s">
        <v>15094</v>
      </c>
      <c r="G426" s="13" t="s">
        <v>15095</v>
      </c>
      <c r="H426" s="13" t="s">
        <v>4295</v>
      </c>
      <c r="I426" s="13" t="s">
        <v>4296</v>
      </c>
    </row>
    <row r="427" customFormat="false" ht="68.65" hidden="false" customHeight="false" outlineLevel="0" collapsed="false">
      <c r="A427" s="13" t="s">
        <v>3</v>
      </c>
      <c r="B427" s="13" t="s">
        <v>4108</v>
      </c>
      <c r="C427" s="13" t="n">
        <v>109</v>
      </c>
      <c r="D427" s="13" t="s">
        <v>4302</v>
      </c>
      <c r="E427" s="13" t="n">
        <v>4</v>
      </c>
      <c r="F427" s="13" t="s">
        <v>15094</v>
      </c>
      <c r="G427" s="13" t="s">
        <v>15095</v>
      </c>
      <c r="H427" s="13" t="s">
        <v>4305</v>
      </c>
      <c r="I427" s="13" t="s">
        <v>4306</v>
      </c>
    </row>
    <row r="428" customFormat="false" ht="23.85" hidden="false" customHeight="false" outlineLevel="0" collapsed="false">
      <c r="A428" s="13" t="s">
        <v>3</v>
      </c>
      <c r="B428" s="13" t="s">
        <v>4108</v>
      </c>
      <c r="C428" s="13" t="n">
        <v>109</v>
      </c>
      <c r="D428" s="13" t="s">
        <v>4313</v>
      </c>
      <c r="E428" s="13" t="n">
        <v>2</v>
      </c>
      <c r="F428" s="13" t="s">
        <v>15094</v>
      </c>
      <c r="G428" s="13" t="s">
        <v>15095</v>
      </c>
      <c r="H428" s="13" t="s">
        <v>4317</v>
      </c>
      <c r="I428" s="13" t="s">
        <v>4318</v>
      </c>
    </row>
    <row r="429" customFormat="false" ht="46.25" hidden="false" customHeight="false" outlineLevel="0" collapsed="false">
      <c r="A429" s="13" t="s">
        <v>3</v>
      </c>
      <c r="B429" s="13" t="s">
        <v>4108</v>
      </c>
      <c r="C429" s="13" t="n">
        <v>109</v>
      </c>
      <c r="D429" s="13" t="s">
        <v>4322</v>
      </c>
      <c r="E429" s="13" t="n">
        <v>1</v>
      </c>
      <c r="F429" s="13" t="s">
        <v>15094</v>
      </c>
      <c r="G429" s="13" t="s">
        <v>15095</v>
      </c>
      <c r="H429" s="13" t="s">
        <v>4325</v>
      </c>
      <c r="I429" s="13" t="s">
        <v>4326</v>
      </c>
    </row>
    <row r="430" customFormat="false" ht="91" hidden="false" customHeight="false" outlineLevel="0" collapsed="false">
      <c r="A430" s="13" t="s">
        <v>3</v>
      </c>
      <c r="B430" s="13" t="s">
        <v>4108</v>
      </c>
      <c r="C430" s="13" t="n">
        <v>109</v>
      </c>
      <c r="D430" s="13" t="s">
        <v>4327</v>
      </c>
      <c r="E430" s="13" t="n">
        <v>4</v>
      </c>
      <c r="F430" s="13" t="s">
        <v>15094</v>
      </c>
      <c r="G430" s="13" t="s">
        <v>15095</v>
      </c>
      <c r="H430" s="13" t="s">
        <v>4329</v>
      </c>
      <c r="I430" s="13" t="s">
        <v>4330</v>
      </c>
    </row>
    <row r="431" customFormat="false" ht="326.1" hidden="false" customHeight="false" outlineLevel="0" collapsed="false">
      <c r="A431" s="13" t="s">
        <v>3</v>
      </c>
      <c r="B431" s="13" t="s">
        <v>4108</v>
      </c>
      <c r="C431" s="13" t="n">
        <v>109</v>
      </c>
      <c r="D431" s="13" t="s">
        <v>4339</v>
      </c>
      <c r="E431" s="13" t="n">
        <v>55</v>
      </c>
      <c r="F431" s="13" t="s">
        <v>15094</v>
      </c>
      <c r="G431" s="13" t="s">
        <v>15095</v>
      </c>
      <c r="H431" s="13" t="s">
        <v>4343</v>
      </c>
      <c r="I431" s="13" t="s">
        <v>4344</v>
      </c>
    </row>
    <row r="432" customFormat="false" ht="35.05" hidden="false" customHeight="false" outlineLevel="0" collapsed="false">
      <c r="A432" s="13" t="s">
        <v>3</v>
      </c>
      <c r="B432" s="13" t="s">
        <v>4108</v>
      </c>
      <c r="C432" s="13" t="n">
        <v>160</v>
      </c>
      <c r="D432" s="13" t="s">
        <v>4475</v>
      </c>
      <c r="E432" s="13" t="n">
        <v>2</v>
      </c>
      <c r="F432" s="13" t="s">
        <v>15094</v>
      </c>
      <c r="G432" s="13" t="s">
        <v>15095</v>
      </c>
      <c r="H432" s="13" t="s">
        <v>4478</v>
      </c>
      <c r="I432" s="13" t="s">
        <v>4479</v>
      </c>
    </row>
    <row r="433" customFormat="false" ht="426.85" hidden="false" customHeight="false" outlineLevel="0" collapsed="false">
      <c r="A433" s="13" t="s">
        <v>3</v>
      </c>
      <c r="B433" s="13" t="s">
        <v>4108</v>
      </c>
      <c r="C433" s="13" t="n">
        <v>160</v>
      </c>
      <c r="D433" s="13" t="s">
        <v>4484</v>
      </c>
      <c r="E433" s="13" t="n">
        <v>4</v>
      </c>
      <c r="F433" s="13" t="s">
        <v>15094</v>
      </c>
      <c r="G433" s="13" t="s">
        <v>15095</v>
      </c>
      <c r="H433" s="13" t="s">
        <v>4488</v>
      </c>
      <c r="I433" s="13" t="s">
        <v>4489</v>
      </c>
    </row>
    <row r="434" customFormat="false" ht="46.25" hidden="false" customHeight="false" outlineLevel="0" collapsed="false">
      <c r="A434" s="13" t="s">
        <v>3</v>
      </c>
      <c r="B434" s="13" t="s">
        <v>4108</v>
      </c>
      <c r="C434" s="13" t="n">
        <v>209</v>
      </c>
      <c r="D434" s="13" t="s">
        <v>4498</v>
      </c>
      <c r="E434" s="13" t="n">
        <v>3</v>
      </c>
      <c r="F434" s="13" t="s">
        <v>15094</v>
      </c>
      <c r="G434" s="13" t="s">
        <v>15095</v>
      </c>
      <c r="H434" s="13" t="s">
        <v>4503</v>
      </c>
      <c r="I434" s="13" t="s">
        <v>4504</v>
      </c>
    </row>
    <row r="435" customFormat="false" ht="79.85" hidden="false" customHeight="false" outlineLevel="0" collapsed="false">
      <c r="A435" s="13" t="s">
        <v>3</v>
      </c>
      <c r="B435" s="13" t="s">
        <v>4108</v>
      </c>
      <c r="C435" s="13" t="n">
        <v>209</v>
      </c>
      <c r="D435" s="13" t="s">
        <v>4510</v>
      </c>
      <c r="E435" s="13" t="n">
        <v>2</v>
      </c>
      <c r="F435" s="13" t="s">
        <v>15094</v>
      </c>
      <c r="G435" s="13" t="s">
        <v>15095</v>
      </c>
      <c r="H435" s="13" t="s">
        <v>4515</v>
      </c>
      <c r="I435" s="13" t="s">
        <v>4516</v>
      </c>
    </row>
    <row r="436" customFormat="false" ht="23.85" hidden="false" customHeight="false" outlineLevel="0" collapsed="false">
      <c r="A436" s="13" t="s">
        <v>3</v>
      </c>
      <c r="B436" s="13" t="s">
        <v>4108</v>
      </c>
      <c r="C436" s="13" t="n">
        <v>209</v>
      </c>
      <c r="D436" s="13" t="s">
        <v>4518</v>
      </c>
      <c r="E436" s="13" t="n">
        <v>1</v>
      </c>
      <c r="F436" s="13" t="s">
        <v>15094</v>
      </c>
      <c r="G436" s="13" t="s">
        <v>15095</v>
      </c>
      <c r="H436" s="13" t="s">
        <v>4523</v>
      </c>
      <c r="I436" s="13" t="s">
        <v>4524</v>
      </c>
    </row>
    <row r="437" customFormat="false" ht="23.85" hidden="false" customHeight="false" outlineLevel="0" collapsed="false">
      <c r="A437" s="13" t="s">
        <v>3</v>
      </c>
      <c r="B437" s="13" t="s">
        <v>4108</v>
      </c>
      <c r="C437" s="13" t="n">
        <v>209</v>
      </c>
      <c r="D437" s="13" t="s">
        <v>4525</v>
      </c>
      <c r="E437" s="13" t="n">
        <v>1</v>
      </c>
      <c r="F437" s="13" t="s">
        <v>15094</v>
      </c>
      <c r="G437" s="13" t="s">
        <v>15095</v>
      </c>
      <c r="H437" s="13" t="s">
        <v>4530</v>
      </c>
      <c r="I437" s="13" t="s">
        <v>4531</v>
      </c>
    </row>
    <row r="438" customFormat="false" ht="23.85" hidden="false" customHeight="false" outlineLevel="0" collapsed="false">
      <c r="A438" s="13" t="s">
        <v>3</v>
      </c>
      <c r="B438" s="13" t="s">
        <v>4108</v>
      </c>
      <c r="C438" s="13" t="n">
        <v>209</v>
      </c>
      <c r="D438" s="13" t="s">
        <v>4532</v>
      </c>
      <c r="E438" s="13" t="n">
        <v>2</v>
      </c>
      <c r="F438" s="13" t="s">
        <v>15094</v>
      </c>
      <c r="G438" s="13" t="s">
        <v>15095</v>
      </c>
      <c r="H438" s="13" t="s">
        <v>4536</v>
      </c>
      <c r="I438" s="13" t="s">
        <v>4537</v>
      </c>
    </row>
    <row r="439" customFormat="false" ht="15" hidden="false" customHeight="false" outlineLevel="0" collapsed="false">
      <c r="A439" s="13" t="s">
        <v>3</v>
      </c>
      <c r="B439" s="13" t="s">
        <v>4108</v>
      </c>
      <c r="C439" s="13" t="n">
        <v>209</v>
      </c>
      <c r="D439" s="13" t="s">
        <v>4539</v>
      </c>
      <c r="E439" s="13" t="n">
        <v>1</v>
      </c>
      <c r="F439" s="13" t="s">
        <v>15094</v>
      </c>
      <c r="G439" s="13" t="s">
        <v>15095</v>
      </c>
      <c r="H439" s="13" t="s">
        <v>4544</v>
      </c>
      <c r="I439" s="13" t="s">
        <v>4545</v>
      </c>
    </row>
    <row r="440" customFormat="false" ht="23.85" hidden="false" customHeight="false" outlineLevel="0" collapsed="false">
      <c r="A440" s="13" t="s">
        <v>3</v>
      </c>
      <c r="B440" s="13" t="s">
        <v>4108</v>
      </c>
      <c r="C440" s="13" t="n">
        <v>209</v>
      </c>
      <c r="D440" s="13" t="s">
        <v>4546</v>
      </c>
      <c r="E440" s="13" t="n">
        <v>2</v>
      </c>
      <c r="F440" s="13" t="s">
        <v>15094</v>
      </c>
      <c r="G440" s="13" t="s">
        <v>15095</v>
      </c>
      <c r="H440" s="13" t="s">
        <v>4550</v>
      </c>
      <c r="I440" s="13" t="s">
        <v>4551</v>
      </c>
    </row>
    <row r="441" customFormat="false" ht="23.85" hidden="false" customHeight="false" outlineLevel="0" collapsed="false">
      <c r="A441" s="13" t="s">
        <v>3</v>
      </c>
      <c r="B441" s="13" t="s">
        <v>4108</v>
      </c>
      <c r="C441" s="13" t="n">
        <v>209</v>
      </c>
      <c r="D441" s="13" t="s">
        <v>4553</v>
      </c>
      <c r="E441" s="13" t="n">
        <v>1</v>
      </c>
      <c r="F441" s="13" t="s">
        <v>15094</v>
      </c>
      <c r="G441" s="13" t="s">
        <v>15095</v>
      </c>
      <c r="H441" s="13" t="s">
        <v>4557</v>
      </c>
      <c r="I441" s="13" t="s">
        <v>4558</v>
      </c>
    </row>
    <row r="442" customFormat="false" ht="15" hidden="false" customHeight="false" outlineLevel="0" collapsed="false">
      <c r="A442" s="13" t="s">
        <v>3</v>
      </c>
      <c r="B442" s="13" t="s">
        <v>4108</v>
      </c>
      <c r="C442" s="13" t="n">
        <v>209</v>
      </c>
      <c r="D442" s="13" t="s">
        <v>4559</v>
      </c>
      <c r="E442" s="13" t="n">
        <v>1</v>
      </c>
      <c r="F442" s="13" t="s">
        <v>15094</v>
      </c>
      <c r="G442" s="13" t="s">
        <v>15095</v>
      </c>
      <c r="H442" s="13" t="s">
        <v>4563</v>
      </c>
      <c r="I442" s="13" t="s">
        <v>4564</v>
      </c>
    </row>
    <row r="443" customFormat="false" ht="46.25" hidden="false" customHeight="false" outlineLevel="0" collapsed="false">
      <c r="A443" s="13" t="s">
        <v>3</v>
      </c>
      <c r="B443" s="13" t="s">
        <v>4108</v>
      </c>
      <c r="C443" s="13" t="n">
        <v>209</v>
      </c>
      <c r="D443" s="13" t="s">
        <v>4565</v>
      </c>
      <c r="E443" s="13" t="n">
        <v>2</v>
      </c>
      <c r="F443" s="13" t="s">
        <v>15094</v>
      </c>
      <c r="G443" s="13" t="s">
        <v>15095</v>
      </c>
      <c r="H443" s="13" t="s">
        <v>4570</v>
      </c>
      <c r="I443" s="13" t="s">
        <v>4571</v>
      </c>
    </row>
    <row r="444" customFormat="false" ht="57.45" hidden="false" customHeight="false" outlineLevel="0" collapsed="false">
      <c r="A444" s="13" t="s">
        <v>3</v>
      </c>
      <c r="B444" s="13" t="s">
        <v>4108</v>
      </c>
      <c r="C444" s="13" t="n">
        <v>209</v>
      </c>
      <c r="D444" s="13" t="s">
        <v>4575</v>
      </c>
      <c r="E444" s="13" t="n">
        <v>2</v>
      </c>
      <c r="F444" s="13" t="s">
        <v>15094</v>
      </c>
      <c r="G444" s="13" t="s">
        <v>15095</v>
      </c>
      <c r="H444" s="13" t="s">
        <v>4579</v>
      </c>
      <c r="I444" s="13" t="s">
        <v>4580</v>
      </c>
    </row>
    <row r="445" customFormat="false" ht="46.25" hidden="false" customHeight="false" outlineLevel="0" collapsed="false">
      <c r="A445" s="13" t="s">
        <v>3</v>
      </c>
      <c r="B445" s="13" t="s">
        <v>4108</v>
      </c>
      <c r="C445" s="13" t="n">
        <v>209</v>
      </c>
      <c r="D445" s="13" t="s">
        <v>4583</v>
      </c>
      <c r="E445" s="13" t="n">
        <v>2</v>
      </c>
      <c r="F445" s="13" t="s">
        <v>15094</v>
      </c>
      <c r="G445" s="13" t="s">
        <v>15095</v>
      </c>
      <c r="H445" s="13" t="s">
        <v>4587</v>
      </c>
      <c r="I445" s="13" t="s">
        <v>4588</v>
      </c>
    </row>
    <row r="446" customFormat="false" ht="102.2" hidden="false" customHeight="false" outlineLevel="0" collapsed="false">
      <c r="A446" s="13" t="s">
        <v>3</v>
      </c>
      <c r="B446" s="13" t="s">
        <v>4108</v>
      </c>
      <c r="C446" s="13" t="n">
        <v>227</v>
      </c>
      <c r="D446" s="13" t="s">
        <v>4591</v>
      </c>
      <c r="E446" s="13" t="n">
        <v>5</v>
      </c>
      <c r="F446" s="13" t="s">
        <v>15094</v>
      </c>
      <c r="G446" s="13" t="s">
        <v>15095</v>
      </c>
      <c r="H446" s="13" t="s">
        <v>4594</v>
      </c>
      <c r="I446" s="13" t="s">
        <v>4595</v>
      </c>
    </row>
    <row r="447" customFormat="false" ht="35.05" hidden="false" customHeight="false" outlineLevel="0" collapsed="false">
      <c r="A447" s="13" t="s">
        <v>3</v>
      </c>
      <c r="B447" s="13" t="s">
        <v>4108</v>
      </c>
      <c r="C447" s="13" t="n">
        <v>227</v>
      </c>
      <c r="D447" s="13" t="s">
        <v>4605</v>
      </c>
      <c r="E447" s="13" t="n">
        <v>3</v>
      </c>
      <c r="F447" s="13" t="s">
        <v>15094</v>
      </c>
      <c r="G447" s="13" t="s">
        <v>15095</v>
      </c>
      <c r="H447" s="13" t="s">
        <v>4611</v>
      </c>
      <c r="I447" s="13" t="s">
        <v>4612</v>
      </c>
    </row>
    <row r="448" customFormat="false" ht="23.85" hidden="false" customHeight="false" outlineLevel="0" collapsed="false">
      <c r="A448" s="13" t="s">
        <v>3</v>
      </c>
      <c r="B448" s="13" t="s">
        <v>4108</v>
      </c>
      <c r="C448" s="13" t="n">
        <v>227</v>
      </c>
      <c r="D448" s="13" t="s">
        <v>4616</v>
      </c>
      <c r="E448" s="13" t="n">
        <v>1</v>
      </c>
      <c r="F448" s="13" t="s">
        <v>15094</v>
      </c>
      <c r="G448" s="13" t="s">
        <v>15095</v>
      </c>
      <c r="H448" s="13" t="s">
        <v>4620</v>
      </c>
      <c r="I448" s="13" t="s">
        <v>4621</v>
      </c>
    </row>
    <row r="449" customFormat="false" ht="23.85" hidden="false" customHeight="false" outlineLevel="0" collapsed="false">
      <c r="A449" s="13" t="s">
        <v>3</v>
      </c>
      <c r="B449" s="13" t="s">
        <v>4108</v>
      </c>
      <c r="C449" s="13" t="n">
        <v>227</v>
      </c>
      <c r="D449" s="13" t="s">
        <v>15121</v>
      </c>
      <c r="E449" s="13" t="n">
        <v>0</v>
      </c>
      <c r="F449" s="13" t="s">
        <v>15097</v>
      </c>
      <c r="G449" s="13" t="s">
        <v>15095</v>
      </c>
      <c r="H449" s="13" t="s">
        <v>15122</v>
      </c>
      <c r="I449" s="13" t="s">
        <v>15123</v>
      </c>
    </row>
    <row r="450" customFormat="false" ht="23.85" hidden="false" customHeight="false" outlineLevel="0" collapsed="false">
      <c r="A450" s="13" t="s">
        <v>3</v>
      </c>
      <c r="B450" s="13" t="s">
        <v>4108</v>
      </c>
      <c r="C450" s="13" t="n">
        <v>227</v>
      </c>
      <c r="D450" s="13" t="s">
        <v>15124</v>
      </c>
      <c r="E450" s="13" t="n">
        <v>0</v>
      </c>
      <c r="F450" s="13" t="s">
        <v>15097</v>
      </c>
      <c r="G450" s="13" t="s">
        <v>15095</v>
      </c>
      <c r="H450" s="13" t="s">
        <v>15125</v>
      </c>
      <c r="I450" s="13" t="s">
        <v>15126</v>
      </c>
    </row>
    <row r="451" customFormat="false" ht="35.05" hidden="false" customHeight="false" outlineLevel="0" collapsed="false">
      <c r="A451" s="13" t="s">
        <v>3</v>
      </c>
      <c r="B451" s="13" t="s">
        <v>4108</v>
      </c>
      <c r="C451" s="13" t="n">
        <v>227</v>
      </c>
      <c r="D451" s="13" t="s">
        <v>4622</v>
      </c>
      <c r="E451" s="13" t="n">
        <v>2</v>
      </c>
      <c r="F451" s="13" t="s">
        <v>15094</v>
      </c>
      <c r="G451" s="13" t="s">
        <v>15095</v>
      </c>
      <c r="H451" s="13" t="s">
        <v>4626</v>
      </c>
      <c r="I451" s="13" t="s">
        <v>4627</v>
      </c>
    </row>
    <row r="452" customFormat="false" ht="23.85" hidden="false" customHeight="false" outlineLevel="0" collapsed="false">
      <c r="A452" s="13" t="s">
        <v>3</v>
      </c>
      <c r="B452" s="13" t="s">
        <v>4108</v>
      </c>
      <c r="C452" s="13" t="n">
        <v>227</v>
      </c>
      <c r="D452" s="13" t="s">
        <v>4631</v>
      </c>
      <c r="E452" s="13" t="n">
        <v>2</v>
      </c>
      <c r="F452" s="13" t="s">
        <v>15094</v>
      </c>
      <c r="G452" s="13" t="s">
        <v>15095</v>
      </c>
      <c r="H452" s="13" t="s">
        <v>4634</v>
      </c>
      <c r="I452" s="13" t="s">
        <v>4635</v>
      </c>
    </row>
    <row r="453" customFormat="false" ht="57.45" hidden="false" customHeight="false" outlineLevel="0" collapsed="false">
      <c r="A453" s="13" t="s">
        <v>3</v>
      </c>
      <c r="B453" s="13" t="s">
        <v>4108</v>
      </c>
      <c r="C453" s="13" t="n">
        <v>227</v>
      </c>
      <c r="D453" s="13" t="s">
        <v>4639</v>
      </c>
      <c r="E453" s="13" t="n">
        <v>4</v>
      </c>
      <c r="F453" s="13" t="s">
        <v>15094</v>
      </c>
      <c r="G453" s="13" t="s">
        <v>15095</v>
      </c>
      <c r="H453" s="13" t="s">
        <v>4643</v>
      </c>
      <c r="I453" s="13" t="s">
        <v>4644</v>
      </c>
    </row>
    <row r="454" customFormat="false" ht="35.05" hidden="false" customHeight="false" outlineLevel="0" collapsed="false">
      <c r="A454" s="13" t="s">
        <v>3</v>
      </c>
      <c r="B454" s="13" t="s">
        <v>4108</v>
      </c>
      <c r="C454" s="13" t="n">
        <v>227</v>
      </c>
      <c r="D454" s="13" t="s">
        <v>4652</v>
      </c>
      <c r="E454" s="13" t="n">
        <v>2</v>
      </c>
      <c r="F454" s="13" t="s">
        <v>15094</v>
      </c>
      <c r="G454" s="13" t="s">
        <v>15095</v>
      </c>
      <c r="H454" s="13" t="s">
        <v>4656</v>
      </c>
      <c r="I454" s="13" t="s">
        <v>4657</v>
      </c>
    </row>
    <row r="455" customFormat="false" ht="35.05" hidden="false" customHeight="false" outlineLevel="0" collapsed="false">
      <c r="A455" s="13" t="s">
        <v>3</v>
      </c>
      <c r="B455" s="13" t="s">
        <v>4108</v>
      </c>
      <c r="C455" s="13" t="n">
        <v>227</v>
      </c>
      <c r="D455" s="13" t="s">
        <v>4659</v>
      </c>
      <c r="E455" s="13" t="n">
        <v>3</v>
      </c>
      <c r="F455" s="13" t="s">
        <v>15094</v>
      </c>
      <c r="G455" s="13" t="s">
        <v>15095</v>
      </c>
      <c r="H455" s="13" t="s">
        <v>4663</v>
      </c>
      <c r="I455" s="13" t="s">
        <v>4664</v>
      </c>
    </row>
    <row r="456" customFormat="false" ht="23.85" hidden="false" customHeight="false" outlineLevel="0" collapsed="false">
      <c r="A456" s="13" t="s">
        <v>3</v>
      </c>
      <c r="B456" s="13" t="s">
        <v>4108</v>
      </c>
      <c r="C456" s="13" t="n">
        <v>227</v>
      </c>
      <c r="D456" s="13" t="s">
        <v>4671</v>
      </c>
      <c r="E456" s="13" t="n">
        <v>2</v>
      </c>
      <c r="F456" s="13" t="s">
        <v>15094</v>
      </c>
      <c r="G456" s="13" t="s">
        <v>15095</v>
      </c>
      <c r="H456" s="13" t="s">
        <v>4675</v>
      </c>
      <c r="I456" s="13" t="s">
        <v>4676</v>
      </c>
    </row>
    <row r="457" customFormat="false" ht="57.45" hidden="false" customHeight="false" outlineLevel="0" collapsed="false">
      <c r="A457" s="13" t="s">
        <v>3</v>
      </c>
      <c r="B457" s="13" t="s">
        <v>4108</v>
      </c>
      <c r="C457" s="13" t="n">
        <v>227</v>
      </c>
      <c r="D457" s="13" t="s">
        <v>4679</v>
      </c>
      <c r="E457" s="13" t="n">
        <v>4</v>
      </c>
      <c r="F457" s="13" t="s">
        <v>15094</v>
      </c>
      <c r="G457" s="13" t="s">
        <v>15095</v>
      </c>
      <c r="H457" s="13" t="s">
        <v>4683</v>
      </c>
      <c r="I457" s="13" t="s">
        <v>4684</v>
      </c>
    </row>
    <row r="458" customFormat="false" ht="57.45" hidden="false" customHeight="false" outlineLevel="0" collapsed="false">
      <c r="A458" s="13" t="s">
        <v>3</v>
      </c>
      <c r="B458" s="13" t="s">
        <v>4108</v>
      </c>
      <c r="C458" s="13" t="n">
        <v>247</v>
      </c>
      <c r="D458" s="13" t="s">
        <v>4694</v>
      </c>
      <c r="E458" s="13" t="n">
        <v>2</v>
      </c>
      <c r="F458" s="13" t="s">
        <v>15094</v>
      </c>
      <c r="G458" s="13" t="s">
        <v>15095</v>
      </c>
      <c r="H458" s="13" t="s">
        <v>4698</v>
      </c>
      <c r="I458" s="13" t="s">
        <v>4699</v>
      </c>
    </row>
    <row r="459" customFormat="false" ht="35.05" hidden="false" customHeight="false" outlineLevel="0" collapsed="false">
      <c r="A459" s="13" t="s">
        <v>3</v>
      </c>
      <c r="B459" s="13" t="s">
        <v>4108</v>
      </c>
      <c r="C459" s="13" t="n">
        <v>247</v>
      </c>
      <c r="D459" s="13" t="s">
        <v>4704</v>
      </c>
      <c r="E459" s="13" t="n">
        <v>1</v>
      </c>
      <c r="F459" s="13" t="s">
        <v>15094</v>
      </c>
      <c r="G459" s="13" t="s">
        <v>15095</v>
      </c>
      <c r="H459" s="13" t="s">
        <v>4708</v>
      </c>
      <c r="I459" s="13" t="s">
        <v>4709</v>
      </c>
    </row>
    <row r="460" customFormat="false" ht="57.45" hidden="false" customHeight="false" outlineLevel="0" collapsed="false">
      <c r="A460" s="13" t="s">
        <v>3</v>
      </c>
      <c r="B460" s="13" t="s">
        <v>4108</v>
      </c>
      <c r="C460" s="13" t="n">
        <v>247</v>
      </c>
      <c r="D460" s="13" t="s">
        <v>4710</v>
      </c>
      <c r="E460" s="13" t="n">
        <v>2</v>
      </c>
      <c r="F460" s="13" t="s">
        <v>15094</v>
      </c>
      <c r="G460" s="13" t="s">
        <v>15095</v>
      </c>
      <c r="H460" s="13" t="s">
        <v>4714</v>
      </c>
      <c r="I460" s="13" t="s">
        <v>4715</v>
      </c>
    </row>
    <row r="461" customFormat="false" ht="46.25" hidden="false" customHeight="false" outlineLevel="0" collapsed="false">
      <c r="A461" s="13" t="s">
        <v>3</v>
      </c>
      <c r="B461" s="13" t="s">
        <v>4108</v>
      </c>
      <c r="C461" s="13" t="n">
        <v>247</v>
      </c>
      <c r="D461" s="13" t="s">
        <v>4718</v>
      </c>
      <c r="E461" s="13" t="n">
        <v>1</v>
      </c>
      <c r="F461" s="13" t="s">
        <v>15094</v>
      </c>
      <c r="G461" s="13" t="s">
        <v>15095</v>
      </c>
      <c r="H461" s="13" t="s">
        <v>4725</v>
      </c>
      <c r="I461" s="13" t="s">
        <v>4726</v>
      </c>
    </row>
    <row r="462" customFormat="false" ht="35.05" hidden="false" customHeight="false" outlineLevel="0" collapsed="false">
      <c r="A462" s="13" t="s">
        <v>3</v>
      </c>
      <c r="B462" s="13" t="s">
        <v>4108</v>
      </c>
      <c r="C462" s="13" t="n">
        <v>247</v>
      </c>
      <c r="D462" s="13" t="s">
        <v>4727</v>
      </c>
      <c r="E462" s="13" t="n">
        <v>2</v>
      </c>
      <c r="F462" s="13" t="s">
        <v>15094</v>
      </c>
      <c r="G462" s="13" t="s">
        <v>15095</v>
      </c>
      <c r="H462" s="13" t="s">
        <v>4732</v>
      </c>
      <c r="I462" s="13" t="s">
        <v>4733</v>
      </c>
    </row>
    <row r="463" customFormat="false" ht="15" hidden="false" customHeight="false" outlineLevel="0" collapsed="false">
      <c r="A463" s="13" t="s">
        <v>3</v>
      </c>
      <c r="B463" s="13" t="s">
        <v>4108</v>
      </c>
      <c r="C463" s="13" t="n">
        <v>247</v>
      </c>
      <c r="D463" s="13" t="s">
        <v>4736</v>
      </c>
      <c r="E463" s="13" t="n">
        <v>1</v>
      </c>
      <c r="F463" s="13" t="s">
        <v>15094</v>
      </c>
      <c r="G463" s="13" t="s">
        <v>15095</v>
      </c>
      <c r="H463" s="13" t="s">
        <v>4741</v>
      </c>
      <c r="I463" s="13" t="s">
        <v>4742</v>
      </c>
    </row>
    <row r="464" customFormat="false" ht="35.05" hidden="false" customHeight="false" outlineLevel="0" collapsed="false">
      <c r="A464" s="13" t="s">
        <v>3</v>
      </c>
      <c r="B464" s="13" t="s">
        <v>4108</v>
      </c>
      <c r="C464" s="13" t="n">
        <v>247</v>
      </c>
      <c r="D464" s="13" t="s">
        <v>4743</v>
      </c>
      <c r="E464" s="13" t="n">
        <v>2</v>
      </c>
      <c r="F464" s="13" t="s">
        <v>15094</v>
      </c>
      <c r="G464" s="13" t="s">
        <v>15095</v>
      </c>
      <c r="H464" s="13" t="s">
        <v>4747</v>
      </c>
      <c r="I464" s="13" t="s">
        <v>4748</v>
      </c>
    </row>
    <row r="465" customFormat="false" ht="46.25" hidden="false" customHeight="false" outlineLevel="0" collapsed="false">
      <c r="A465" s="13" t="s">
        <v>3</v>
      </c>
      <c r="B465" s="13" t="s">
        <v>4108</v>
      </c>
      <c r="C465" s="13" t="n">
        <v>247</v>
      </c>
      <c r="D465" s="13" t="s">
        <v>4752</v>
      </c>
      <c r="E465" s="13" t="n">
        <v>2</v>
      </c>
      <c r="F465" s="13" t="s">
        <v>15094</v>
      </c>
      <c r="G465" s="13" t="s">
        <v>15095</v>
      </c>
      <c r="H465" s="13" t="s">
        <v>4757</v>
      </c>
      <c r="I465" s="13" t="s">
        <v>4758</v>
      </c>
    </row>
    <row r="466" customFormat="false" ht="23.85" hidden="false" customHeight="false" outlineLevel="0" collapsed="false">
      <c r="A466" s="13" t="s">
        <v>3</v>
      </c>
      <c r="B466" s="13" t="s">
        <v>4108</v>
      </c>
      <c r="C466" s="13" t="n">
        <v>247</v>
      </c>
      <c r="D466" s="13" t="s">
        <v>4762</v>
      </c>
      <c r="E466" s="13" t="n">
        <v>2</v>
      </c>
      <c r="F466" s="13" t="s">
        <v>15094</v>
      </c>
      <c r="G466" s="13" t="s">
        <v>15095</v>
      </c>
      <c r="H466" s="13" t="s">
        <v>4765</v>
      </c>
      <c r="I466" s="13" t="s">
        <v>4766</v>
      </c>
    </row>
    <row r="467" customFormat="false" ht="57.45" hidden="false" customHeight="false" outlineLevel="0" collapsed="false">
      <c r="A467" s="13" t="s">
        <v>3</v>
      </c>
      <c r="B467" s="13" t="s">
        <v>4108</v>
      </c>
      <c r="C467" s="13" t="n">
        <v>296</v>
      </c>
      <c r="D467" s="13" t="s">
        <v>4770</v>
      </c>
      <c r="E467" s="13" t="n">
        <v>5</v>
      </c>
      <c r="F467" s="13" t="s">
        <v>15094</v>
      </c>
      <c r="G467" s="13" t="s">
        <v>15095</v>
      </c>
      <c r="H467" s="13" t="s">
        <v>4773</v>
      </c>
      <c r="I467" s="13" t="s">
        <v>4774</v>
      </c>
    </row>
    <row r="468" customFormat="false" ht="46.25" hidden="false" customHeight="false" outlineLevel="0" collapsed="false">
      <c r="A468" s="13" t="s">
        <v>3</v>
      </c>
      <c r="B468" s="13" t="s">
        <v>4108</v>
      </c>
      <c r="C468" s="13" t="n">
        <v>296</v>
      </c>
      <c r="D468" s="13" t="s">
        <v>4786</v>
      </c>
      <c r="E468" s="13" t="n">
        <v>3</v>
      </c>
      <c r="F468" s="13" t="s">
        <v>15094</v>
      </c>
      <c r="G468" s="13" t="s">
        <v>15095</v>
      </c>
      <c r="H468" s="13" t="s">
        <v>4789</v>
      </c>
      <c r="I468" s="13" t="s">
        <v>4790</v>
      </c>
    </row>
    <row r="469" customFormat="false" ht="35.05" hidden="false" customHeight="false" outlineLevel="0" collapsed="false">
      <c r="A469" s="13" t="s">
        <v>3</v>
      </c>
      <c r="B469" s="13" t="s">
        <v>4108</v>
      </c>
      <c r="C469" s="13" t="n">
        <v>296</v>
      </c>
      <c r="D469" s="13" t="s">
        <v>4796</v>
      </c>
      <c r="E469" s="13" t="n">
        <v>4</v>
      </c>
      <c r="F469" s="13" t="s">
        <v>15094</v>
      </c>
      <c r="G469" s="13" t="s">
        <v>15095</v>
      </c>
      <c r="H469" s="13" t="s">
        <v>4799</v>
      </c>
      <c r="I469" s="13" t="s">
        <v>4800</v>
      </c>
    </row>
    <row r="470" customFormat="false" ht="35.05" hidden="false" customHeight="false" outlineLevel="0" collapsed="false">
      <c r="A470" s="13" t="s">
        <v>3</v>
      </c>
      <c r="B470" s="13" t="s">
        <v>4108</v>
      </c>
      <c r="C470" s="13" t="n">
        <v>296</v>
      </c>
      <c r="D470" s="13" t="s">
        <v>4810</v>
      </c>
      <c r="E470" s="13" t="n">
        <v>4</v>
      </c>
      <c r="F470" s="13" t="s">
        <v>15094</v>
      </c>
      <c r="G470" s="13" t="s">
        <v>15095</v>
      </c>
      <c r="H470" s="13" t="s">
        <v>4813</v>
      </c>
      <c r="I470" s="13" t="s">
        <v>4814</v>
      </c>
    </row>
    <row r="471" customFormat="false" ht="35.05" hidden="false" customHeight="false" outlineLevel="0" collapsed="false">
      <c r="A471" s="13" t="s">
        <v>3</v>
      </c>
      <c r="B471" s="13" t="s">
        <v>4108</v>
      </c>
      <c r="C471" s="13" t="n">
        <v>296</v>
      </c>
      <c r="D471" s="13" t="s">
        <v>4823</v>
      </c>
      <c r="E471" s="13" t="n">
        <v>2</v>
      </c>
      <c r="F471" s="13" t="s">
        <v>15094</v>
      </c>
      <c r="G471" s="13" t="s">
        <v>15095</v>
      </c>
      <c r="H471" s="13" t="s">
        <v>4828</v>
      </c>
      <c r="I471" s="13" t="s">
        <v>4829</v>
      </c>
    </row>
    <row r="472" customFormat="false" ht="46.25" hidden="false" customHeight="false" outlineLevel="0" collapsed="false">
      <c r="A472" s="13" t="s">
        <v>3</v>
      </c>
      <c r="B472" s="13" t="s">
        <v>4108</v>
      </c>
      <c r="C472" s="13" t="n">
        <v>296</v>
      </c>
      <c r="D472" s="13" t="s">
        <v>4833</v>
      </c>
      <c r="E472" s="13" t="n">
        <v>2</v>
      </c>
      <c r="F472" s="13" t="s">
        <v>15094</v>
      </c>
      <c r="G472" s="13" t="s">
        <v>15095</v>
      </c>
      <c r="H472" s="13" t="s">
        <v>4836</v>
      </c>
      <c r="I472" s="13" t="s">
        <v>4837</v>
      </c>
    </row>
    <row r="473" customFormat="false" ht="23.85" hidden="false" customHeight="false" outlineLevel="0" collapsed="false">
      <c r="A473" s="13" t="s">
        <v>3</v>
      </c>
      <c r="B473" s="13" t="s">
        <v>4108</v>
      </c>
      <c r="C473" s="13" t="n">
        <v>296</v>
      </c>
      <c r="D473" s="13" t="s">
        <v>4842</v>
      </c>
      <c r="E473" s="13" t="n">
        <v>2</v>
      </c>
      <c r="F473" s="13" t="s">
        <v>15094</v>
      </c>
      <c r="G473" s="13" t="s">
        <v>15095</v>
      </c>
      <c r="H473" s="13" t="s">
        <v>4847</v>
      </c>
      <c r="I473" s="13" t="s">
        <v>4848</v>
      </c>
    </row>
    <row r="474" customFormat="false" ht="15" hidden="false" customHeight="false" outlineLevel="0" collapsed="false">
      <c r="A474" s="13" t="s">
        <v>3</v>
      </c>
      <c r="B474" s="13" t="s">
        <v>4108</v>
      </c>
      <c r="C474" s="13" t="n">
        <v>296</v>
      </c>
      <c r="D474" s="13" t="s">
        <v>4852</v>
      </c>
      <c r="E474" s="13" t="n">
        <v>2</v>
      </c>
      <c r="F474" s="13" t="s">
        <v>15094</v>
      </c>
      <c r="G474" s="13" t="s">
        <v>15095</v>
      </c>
      <c r="H474" s="13" t="s">
        <v>4856</v>
      </c>
      <c r="I474" s="13" t="s">
        <v>4857</v>
      </c>
    </row>
    <row r="475" customFormat="false" ht="15" hidden="false" customHeight="false" outlineLevel="0" collapsed="false">
      <c r="A475" s="13" t="s">
        <v>3</v>
      </c>
      <c r="B475" s="13" t="s">
        <v>4108</v>
      </c>
      <c r="C475" s="13" t="n">
        <v>296</v>
      </c>
      <c r="D475" s="13" t="s">
        <v>4860</v>
      </c>
      <c r="E475" s="13" t="n">
        <v>1</v>
      </c>
      <c r="F475" s="13" t="s">
        <v>15094</v>
      </c>
      <c r="G475" s="13" t="s">
        <v>15095</v>
      </c>
      <c r="H475" s="13" t="s">
        <v>4865</v>
      </c>
      <c r="I475" s="13" t="s">
        <v>4866</v>
      </c>
    </row>
    <row r="476" customFormat="false" ht="15" hidden="false" customHeight="false" outlineLevel="0" collapsed="false">
      <c r="A476" s="13" t="s">
        <v>3</v>
      </c>
      <c r="B476" s="13" t="s">
        <v>4108</v>
      </c>
      <c r="C476" s="13" t="n">
        <v>296</v>
      </c>
      <c r="D476" s="13" t="s">
        <v>4867</v>
      </c>
      <c r="E476" s="13" t="n">
        <v>1</v>
      </c>
      <c r="F476" s="13" t="s">
        <v>15094</v>
      </c>
      <c r="G476" s="13" t="s">
        <v>15095</v>
      </c>
      <c r="H476" s="13" t="s">
        <v>4871</v>
      </c>
      <c r="I476" s="13" t="s">
        <v>4872</v>
      </c>
    </row>
    <row r="477" customFormat="false" ht="15" hidden="false" customHeight="false" outlineLevel="0" collapsed="false">
      <c r="A477" s="13" t="s">
        <v>3</v>
      </c>
      <c r="B477" s="13" t="s">
        <v>4108</v>
      </c>
      <c r="C477" s="13" t="n">
        <v>296</v>
      </c>
      <c r="D477" s="13" t="s">
        <v>4873</v>
      </c>
      <c r="E477" s="13" t="n">
        <v>1</v>
      </c>
      <c r="F477" s="13" t="s">
        <v>15094</v>
      </c>
      <c r="G477" s="13" t="s">
        <v>15095</v>
      </c>
      <c r="H477" s="13" t="s">
        <v>4878</v>
      </c>
      <c r="I477" s="13" t="s">
        <v>4879</v>
      </c>
    </row>
    <row r="478" customFormat="false" ht="91" hidden="false" customHeight="false" outlineLevel="0" collapsed="false">
      <c r="A478" s="13" t="s">
        <v>3</v>
      </c>
      <c r="B478" s="13" t="s">
        <v>4108</v>
      </c>
      <c r="C478" s="13" t="n">
        <v>296</v>
      </c>
      <c r="D478" s="13" t="s">
        <v>4880</v>
      </c>
      <c r="E478" s="13" t="n">
        <v>8</v>
      </c>
      <c r="F478" s="13" t="s">
        <v>15094</v>
      </c>
      <c r="G478" s="13" t="s">
        <v>15095</v>
      </c>
      <c r="H478" s="13" t="s">
        <v>4887</v>
      </c>
      <c r="I478" s="13" t="s">
        <v>4888</v>
      </c>
    </row>
    <row r="479" customFormat="false" ht="35.05" hidden="false" customHeight="false" outlineLevel="0" collapsed="false">
      <c r="A479" s="13" t="s">
        <v>3</v>
      </c>
      <c r="B479" s="13" t="s">
        <v>4108</v>
      </c>
      <c r="C479" s="13" t="n">
        <v>296</v>
      </c>
      <c r="D479" s="13" t="s">
        <v>4908</v>
      </c>
      <c r="E479" s="13" t="n">
        <v>3</v>
      </c>
      <c r="F479" s="13" t="s">
        <v>15094</v>
      </c>
      <c r="G479" s="13" t="s">
        <v>15095</v>
      </c>
      <c r="H479" s="13" t="s">
        <v>4913</v>
      </c>
      <c r="I479" s="13" t="s">
        <v>4914</v>
      </c>
    </row>
    <row r="480" customFormat="false" ht="15" hidden="false" customHeight="false" outlineLevel="0" collapsed="false">
      <c r="A480" s="13" t="s">
        <v>3</v>
      </c>
      <c r="B480" s="13" t="s">
        <v>4108</v>
      </c>
      <c r="C480" s="13" t="n">
        <v>296</v>
      </c>
      <c r="D480" s="13" t="s">
        <v>4922</v>
      </c>
      <c r="E480" s="13" t="n">
        <v>1</v>
      </c>
      <c r="F480" s="13" t="s">
        <v>15094</v>
      </c>
      <c r="G480" s="13" t="s">
        <v>15095</v>
      </c>
      <c r="H480" s="13" t="s">
        <v>4927</v>
      </c>
      <c r="I480" s="13" t="s">
        <v>4928</v>
      </c>
    </row>
    <row r="481" customFormat="false" ht="57.45" hidden="false" customHeight="false" outlineLevel="0" collapsed="false">
      <c r="A481" s="13" t="s">
        <v>3</v>
      </c>
      <c r="B481" s="13" t="s">
        <v>4108</v>
      </c>
      <c r="C481" s="13" t="n">
        <v>296</v>
      </c>
      <c r="D481" s="13" t="s">
        <v>4929</v>
      </c>
      <c r="E481" s="13" t="n">
        <v>3</v>
      </c>
      <c r="F481" s="13" t="s">
        <v>15094</v>
      </c>
      <c r="G481" s="13" t="s">
        <v>15095</v>
      </c>
      <c r="H481" s="13" t="s">
        <v>4933</v>
      </c>
      <c r="I481" s="13" t="s">
        <v>4934</v>
      </c>
    </row>
    <row r="482" customFormat="false" ht="35.05" hidden="false" customHeight="false" outlineLevel="0" collapsed="false">
      <c r="A482" s="13" t="s">
        <v>3</v>
      </c>
      <c r="B482" s="13" t="s">
        <v>4108</v>
      </c>
      <c r="C482" s="13" t="n">
        <v>296</v>
      </c>
      <c r="D482" s="13" t="s">
        <v>4943</v>
      </c>
      <c r="E482" s="13" t="n">
        <v>2</v>
      </c>
      <c r="F482" s="13" t="s">
        <v>15094</v>
      </c>
      <c r="G482" s="13" t="s">
        <v>15095</v>
      </c>
      <c r="H482" s="13" t="s">
        <v>4948</v>
      </c>
      <c r="I482" s="13" t="s">
        <v>4949</v>
      </c>
    </row>
    <row r="483" customFormat="false" ht="57.45" hidden="false" customHeight="false" outlineLevel="0" collapsed="false">
      <c r="A483" s="13" t="s">
        <v>3</v>
      </c>
      <c r="B483" s="13" t="s">
        <v>4108</v>
      </c>
      <c r="C483" s="13" t="n">
        <v>302</v>
      </c>
      <c r="D483" s="13" t="s">
        <v>4953</v>
      </c>
      <c r="E483" s="13" t="n">
        <v>5</v>
      </c>
      <c r="F483" s="13" t="s">
        <v>15094</v>
      </c>
      <c r="G483" s="13" t="s">
        <v>15095</v>
      </c>
      <c r="H483" s="13" t="s">
        <v>4958</v>
      </c>
      <c r="I483" s="13" t="s">
        <v>4959</v>
      </c>
    </row>
    <row r="484" customFormat="false" ht="147" hidden="false" customHeight="false" outlineLevel="0" collapsed="false">
      <c r="A484" s="13" t="s">
        <v>3</v>
      </c>
      <c r="B484" s="13" t="s">
        <v>4108</v>
      </c>
      <c r="C484" s="13" t="n">
        <v>302</v>
      </c>
      <c r="D484" s="13" t="s">
        <v>4975</v>
      </c>
      <c r="E484" s="13" t="n">
        <v>6</v>
      </c>
      <c r="F484" s="13" t="s">
        <v>15094</v>
      </c>
      <c r="G484" s="13" t="s">
        <v>15095</v>
      </c>
      <c r="H484" s="13" t="s">
        <v>4979</v>
      </c>
      <c r="I484" s="13" t="s">
        <v>4980</v>
      </c>
    </row>
    <row r="485" customFormat="false" ht="113.4" hidden="false" customHeight="false" outlineLevel="0" collapsed="false">
      <c r="A485" s="13" t="s">
        <v>3</v>
      </c>
      <c r="B485" s="13" t="s">
        <v>4108</v>
      </c>
      <c r="C485" s="13" t="n">
        <v>302</v>
      </c>
      <c r="D485" s="13" t="s">
        <v>4995</v>
      </c>
      <c r="E485" s="13" t="n">
        <v>6</v>
      </c>
      <c r="F485" s="13" t="s">
        <v>15094</v>
      </c>
      <c r="G485" s="13" t="s">
        <v>15095</v>
      </c>
      <c r="H485" s="13" t="s">
        <v>4998</v>
      </c>
      <c r="I485" s="13" t="s">
        <v>4999</v>
      </c>
    </row>
    <row r="486" customFormat="false" ht="102.2" hidden="false" customHeight="false" outlineLevel="0" collapsed="false">
      <c r="A486" s="13" t="s">
        <v>3</v>
      </c>
      <c r="B486" s="13" t="s">
        <v>4108</v>
      </c>
      <c r="C486" s="13" t="n">
        <v>302</v>
      </c>
      <c r="D486" s="13" t="s">
        <v>5012</v>
      </c>
      <c r="E486" s="13" t="n">
        <v>6</v>
      </c>
      <c r="F486" s="13" t="s">
        <v>15094</v>
      </c>
      <c r="G486" s="13" t="s">
        <v>15095</v>
      </c>
      <c r="H486" s="13" t="s">
        <v>5015</v>
      </c>
      <c r="I486" s="13" t="s">
        <v>5016</v>
      </c>
    </row>
    <row r="487" customFormat="false" ht="57.45" hidden="false" customHeight="false" outlineLevel="0" collapsed="false">
      <c r="A487" s="13" t="s">
        <v>3</v>
      </c>
      <c r="B487" s="13" t="s">
        <v>4108</v>
      </c>
      <c r="C487" s="13" t="n">
        <v>306</v>
      </c>
      <c r="D487" s="13" t="s">
        <v>5027</v>
      </c>
      <c r="E487" s="13" t="n">
        <v>2</v>
      </c>
      <c r="F487" s="13" t="s">
        <v>15094</v>
      </c>
      <c r="G487" s="13" t="s">
        <v>15095</v>
      </c>
      <c r="H487" s="13" t="s">
        <v>5032</v>
      </c>
      <c r="I487" s="13" t="s">
        <v>5033</v>
      </c>
    </row>
    <row r="488" customFormat="false" ht="35.05" hidden="false" customHeight="false" outlineLevel="0" collapsed="false">
      <c r="A488" s="13" t="s">
        <v>3</v>
      </c>
      <c r="B488" s="13" t="s">
        <v>4108</v>
      </c>
      <c r="C488" s="13" t="n">
        <v>306</v>
      </c>
      <c r="D488" s="13" t="s">
        <v>5037</v>
      </c>
      <c r="E488" s="13" t="n">
        <v>1</v>
      </c>
      <c r="F488" s="13" t="s">
        <v>15094</v>
      </c>
      <c r="G488" s="13" t="s">
        <v>15095</v>
      </c>
      <c r="H488" s="13" t="s">
        <v>5042</v>
      </c>
      <c r="I488" s="13" t="s">
        <v>5043</v>
      </c>
    </row>
    <row r="489" customFormat="false" ht="46.25" hidden="false" customHeight="false" outlineLevel="0" collapsed="false">
      <c r="A489" s="13" t="s">
        <v>3</v>
      </c>
      <c r="B489" s="13" t="s">
        <v>4108</v>
      </c>
      <c r="C489" s="13" t="n">
        <v>306</v>
      </c>
      <c r="D489" s="13" t="s">
        <v>12822</v>
      </c>
      <c r="E489" s="13" t="n">
        <v>0</v>
      </c>
      <c r="F489" s="13" t="s">
        <v>15097</v>
      </c>
      <c r="G489" s="13" t="s">
        <v>15095</v>
      </c>
      <c r="H489" s="13" t="s">
        <v>12825</v>
      </c>
      <c r="I489" s="13" t="s">
        <v>12826</v>
      </c>
    </row>
    <row r="490" customFormat="false" ht="68.65" hidden="false" customHeight="false" outlineLevel="0" collapsed="false">
      <c r="A490" s="13" t="s">
        <v>3</v>
      </c>
      <c r="B490" s="13" t="s">
        <v>4108</v>
      </c>
      <c r="C490" s="13" t="n">
        <v>306</v>
      </c>
      <c r="D490" s="13" t="s">
        <v>5044</v>
      </c>
      <c r="E490" s="13" t="n">
        <v>2</v>
      </c>
      <c r="F490" s="13" t="s">
        <v>15094</v>
      </c>
      <c r="G490" s="13" t="s">
        <v>15095</v>
      </c>
      <c r="H490" s="13" t="s">
        <v>5048</v>
      </c>
      <c r="I490" s="13" t="s">
        <v>5049</v>
      </c>
    </row>
    <row r="491" customFormat="false" ht="35.05" hidden="false" customHeight="false" outlineLevel="0" collapsed="false">
      <c r="A491" s="13" t="s">
        <v>3</v>
      </c>
      <c r="B491" s="13" t="s">
        <v>4108</v>
      </c>
      <c r="C491" s="13" t="n">
        <v>306</v>
      </c>
      <c r="D491" s="13" t="s">
        <v>5053</v>
      </c>
      <c r="E491" s="13" t="n">
        <v>2</v>
      </c>
      <c r="F491" s="13" t="s">
        <v>15094</v>
      </c>
      <c r="G491" s="13" t="s">
        <v>15095</v>
      </c>
      <c r="H491" s="13" t="s">
        <v>5057</v>
      </c>
      <c r="I491" s="13" t="s">
        <v>5058</v>
      </c>
    </row>
    <row r="492" customFormat="false" ht="147" hidden="false" customHeight="false" outlineLevel="0" collapsed="false">
      <c r="A492" s="13" t="s">
        <v>3</v>
      </c>
      <c r="B492" s="13" t="s">
        <v>4108</v>
      </c>
      <c r="C492" s="13" t="n">
        <v>306</v>
      </c>
      <c r="D492" s="13" t="s">
        <v>5062</v>
      </c>
      <c r="E492" s="13" t="n">
        <v>4</v>
      </c>
      <c r="F492" s="13" t="s">
        <v>15094</v>
      </c>
      <c r="G492" s="13" t="s">
        <v>15095</v>
      </c>
      <c r="H492" s="13" t="s">
        <v>5065</v>
      </c>
      <c r="I492" s="13" t="s">
        <v>5066</v>
      </c>
    </row>
    <row r="493" customFormat="false" ht="35.05" hidden="false" customHeight="false" outlineLevel="0" collapsed="false">
      <c r="A493" s="13" t="s">
        <v>3</v>
      </c>
      <c r="B493" s="13" t="s">
        <v>4108</v>
      </c>
      <c r="C493" s="13" t="n">
        <v>306</v>
      </c>
      <c r="D493" s="13" t="s">
        <v>5076</v>
      </c>
      <c r="E493" s="13" t="n">
        <v>2</v>
      </c>
      <c r="F493" s="13" t="s">
        <v>15094</v>
      </c>
      <c r="G493" s="13" t="s">
        <v>15095</v>
      </c>
      <c r="H493" s="13" t="s">
        <v>5080</v>
      </c>
      <c r="I493" s="13" t="s">
        <v>5081</v>
      </c>
    </row>
    <row r="494" customFormat="false" ht="35.05" hidden="false" customHeight="false" outlineLevel="0" collapsed="false">
      <c r="A494" s="13" t="s">
        <v>3</v>
      </c>
      <c r="B494" s="13" t="s">
        <v>4108</v>
      </c>
      <c r="C494" s="13" t="n">
        <v>306</v>
      </c>
      <c r="D494" s="13" t="s">
        <v>5084</v>
      </c>
      <c r="E494" s="13" t="n">
        <v>2</v>
      </c>
      <c r="F494" s="13" t="s">
        <v>15094</v>
      </c>
      <c r="G494" s="13" t="s">
        <v>15095</v>
      </c>
      <c r="H494" s="13" t="s">
        <v>5088</v>
      </c>
      <c r="I494" s="13" t="s">
        <v>5089</v>
      </c>
    </row>
    <row r="495" customFormat="false" ht="15" hidden="false" customHeight="false" outlineLevel="0" collapsed="false">
      <c r="A495" s="13" t="s">
        <v>3</v>
      </c>
      <c r="B495" s="13" t="s">
        <v>4108</v>
      </c>
      <c r="C495" s="13" t="n">
        <v>337</v>
      </c>
      <c r="D495" s="13" t="s">
        <v>5092</v>
      </c>
      <c r="E495" s="13" t="n">
        <v>2</v>
      </c>
      <c r="F495" s="13" t="s">
        <v>15094</v>
      </c>
      <c r="G495" s="13" t="s">
        <v>15095</v>
      </c>
      <c r="H495" s="13" t="s">
        <v>5097</v>
      </c>
      <c r="I495" s="13" t="s">
        <v>5098</v>
      </c>
    </row>
    <row r="496" customFormat="false" ht="23.85" hidden="false" customHeight="false" outlineLevel="0" collapsed="false">
      <c r="A496" s="13" t="s">
        <v>3</v>
      </c>
      <c r="B496" s="13" t="s">
        <v>4108</v>
      </c>
      <c r="C496" s="13" t="n">
        <v>337</v>
      </c>
      <c r="D496" s="13" t="s">
        <v>5102</v>
      </c>
      <c r="E496" s="13" t="n">
        <v>3</v>
      </c>
      <c r="F496" s="13" t="s">
        <v>15094</v>
      </c>
      <c r="G496" s="13" t="s">
        <v>15095</v>
      </c>
      <c r="H496" s="13" t="s">
        <v>5106</v>
      </c>
      <c r="I496" s="13" t="s">
        <v>5107</v>
      </c>
    </row>
    <row r="497" customFormat="false" ht="35.05" hidden="false" customHeight="false" outlineLevel="0" collapsed="false">
      <c r="A497" s="13" t="s">
        <v>3</v>
      </c>
      <c r="B497" s="13" t="s">
        <v>4108</v>
      </c>
      <c r="C497" s="13" t="n">
        <v>337</v>
      </c>
      <c r="D497" s="13" t="s">
        <v>5111</v>
      </c>
      <c r="E497" s="13" t="n">
        <v>6</v>
      </c>
      <c r="F497" s="13" t="s">
        <v>15094</v>
      </c>
      <c r="G497" s="13" t="s">
        <v>15095</v>
      </c>
      <c r="H497" s="13" t="s">
        <v>5116</v>
      </c>
      <c r="I497" s="13" t="s">
        <v>5117</v>
      </c>
    </row>
    <row r="498" customFormat="false" ht="35.05" hidden="false" customHeight="false" outlineLevel="0" collapsed="false">
      <c r="A498" s="13" t="s">
        <v>3</v>
      </c>
      <c r="B498" s="13" t="s">
        <v>4108</v>
      </c>
      <c r="C498" s="13" t="n">
        <v>401</v>
      </c>
      <c r="D498" s="13" t="s">
        <v>5129</v>
      </c>
      <c r="E498" s="13" t="n">
        <v>2</v>
      </c>
      <c r="F498" s="13" t="s">
        <v>15094</v>
      </c>
      <c r="G498" s="13" t="s">
        <v>15095</v>
      </c>
      <c r="H498" s="13" t="s">
        <v>5134</v>
      </c>
      <c r="I498" s="13" t="s">
        <v>5135</v>
      </c>
    </row>
    <row r="499" customFormat="false" ht="46.25" hidden="false" customHeight="false" outlineLevel="0" collapsed="false">
      <c r="A499" s="13" t="s">
        <v>3</v>
      </c>
      <c r="B499" s="13" t="s">
        <v>4108</v>
      </c>
      <c r="C499" s="13" t="n">
        <v>401</v>
      </c>
      <c r="D499" s="13" t="s">
        <v>5140</v>
      </c>
      <c r="E499" s="13" t="n">
        <v>2</v>
      </c>
      <c r="F499" s="13" t="s">
        <v>15094</v>
      </c>
      <c r="G499" s="13" t="s">
        <v>15095</v>
      </c>
      <c r="H499" s="13" t="s">
        <v>5145</v>
      </c>
      <c r="I499" s="13" t="s">
        <v>5146</v>
      </c>
    </row>
    <row r="500" customFormat="false" ht="57.45" hidden="false" customHeight="false" outlineLevel="0" collapsed="false">
      <c r="A500" s="13" t="s">
        <v>3</v>
      </c>
      <c r="B500" s="13" t="s">
        <v>4108</v>
      </c>
      <c r="C500" s="13" t="n">
        <v>401</v>
      </c>
      <c r="D500" s="13" t="s">
        <v>5150</v>
      </c>
      <c r="E500" s="13" t="n">
        <v>2</v>
      </c>
      <c r="F500" s="13" t="s">
        <v>15094</v>
      </c>
      <c r="G500" s="13" t="s">
        <v>15095</v>
      </c>
      <c r="H500" s="13" t="s">
        <v>5154</v>
      </c>
      <c r="I500" s="13" t="s">
        <v>5155</v>
      </c>
    </row>
    <row r="501" customFormat="false" ht="23.85" hidden="false" customHeight="false" outlineLevel="0" collapsed="false">
      <c r="A501" s="13" t="s">
        <v>3</v>
      </c>
      <c r="B501" s="13" t="s">
        <v>4108</v>
      </c>
      <c r="C501" s="13" t="n">
        <v>401</v>
      </c>
      <c r="D501" s="13" t="s">
        <v>5159</v>
      </c>
      <c r="E501" s="13" t="n">
        <v>2</v>
      </c>
      <c r="F501" s="13" t="s">
        <v>15094</v>
      </c>
      <c r="G501" s="13" t="s">
        <v>15095</v>
      </c>
      <c r="H501" s="13" t="s">
        <v>5164</v>
      </c>
      <c r="I501" s="13" t="s">
        <v>5165</v>
      </c>
    </row>
    <row r="502" customFormat="false" ht="46.25" hidden="false" customHeight="false" outlineLevel="0" collapsed="false">
      <c r="A502" s="13" t="s">
        <v>3</v>
      </c>
      <c r="B502" s="13" t="s">
        <v>4108</v>
      </c>
      <c r="C502" s="13" t="n">
        <v>401</v>
      </c>
      <c r="D502" s="13" t="s">
        <v>5170</v>
      </c>
      <c r="E502" s="13" t="n">
        <v>3</v>
      </c>
      <c r="F502" s="13" t="s">
        <v>15094</v>
      </c>
      <c r="G502" s="13" t="s">
        <v>15095</v>
      </c>
      <c r="H502" s="13" t="s">
        <v>5174</v>
      </c>
      <c r="I502" s="13" t="s">
        <v>5175</v>
      </c>
    </row>
    <row r="503" customFormat="false" ht="23.85" hidden="false" customHeight="false" outlineLevel="0" collapsed="false">
      <c r="A503" s="13" t="s">
        <v>3</v>
      </c>
      <c r="B503" s="13" t="s">
        <v>4108</v>
      </c>
      <c r="C503" s="13" t="n">
        <v>401</v>
      </c>
      <c r="D503" s="13" t="s">
        <v>5180</v>
      </c>
      <c r="E503" s="13" t="n">
        <v>2</v>
      </c>
      <c r="F503" s="13" t="s">
        <v>15094</v>
      </c>
      <c r="G503" s="13" t="s">
        <v>15095</v>
      </c>
      <c r="H503" s="13" t="s">
        <v>5183</v>
      </c>
      <c r="I503" s="13" t="s">
        <v>5184</v>
      </c>
    </row>
    <row r="504" customFormat="false" ht="15" hidden="false" customHeight="false" outlineLevel="0" collapsed="false">
      <c r="A504" s="13" t="s">
        <v>3</v>
      </c>
      <c r="B504" s="13" t="s">
        <v>4108</v>
      </c>
      <c r="C504" s="13" t="n">
        <v>401</v>
      </c>
      <c r="D504" s="13" t="s">
        <v>5188</v>
      </c>
      <c r="E504" s="13" t="n">
        <v>1</v>
      </c>
      <c r="F504" s="13" t="s">
        <v>15094</v>
      </c>
      <c r="G504" s="13" t="s">
        <v>15095</v>
      </c>
      <c r="H504" s="13" t="s">
        <v>5192</v>
      </c>
      <c r="I504" s="13" t="s">
        <v>5193</v>
      </c>
    </row>
    <row r="505" customFormat="false" ht="15" hidden="false" customHeight="false" outlineLevel="0" collapsed="false">
      <c r="A505" s="13" t="s">
        <v>3</v>
      </c>
      <c r="B505" s="13" t="s">
        <v>4108</v>
      </c>
      <c r="C505" s="13" t="n">
        <v>401</v>
      </c>
      <c r="D505" s="13" t="s">
        <v>5194</v>
      </c>
      <c r="E505" s="13" t="n">
        <v>1</v>
      </c>
      <c r="F505" s="13" t="s">
        <v>15094</v>
      </c>
      <c r="G505" s="13" t="s">
        <v>15095</v>
      </c>
      <c r="H505" s="13" t="s">
        <v>5198</v>
      </c>
      <c r="I505" s="13" t="s">
        <v>5199</v>
      </c>
    </row>
    <row r="506" customFormat="false" ht="15" hidden="false" customHeight="false" outlineLevel="0" collapsed="false">
      <c r="A506" s="13" t="s">
        <v>3</v>
      </c>
      <c r="B506" s="13" t="s">
        <v>4108</v>
      </c>
      <c r="C506" s="13" t="n">
        <v>401</v>
      </c>
      <c r="D506" s="13" t="s">
        <v>5200</v>
      </c>
      <c r="E506" s="13" t="n">
        <v>1</v>
      </c>
      <c r="F506" s="13" t="s">
        <v>15094</v>
      </c>
      <c r="G506" s="13" t="s">
        <v>15095</v>
      </c>
      <c r="H506" s="13" t="s">
        <v>5203</v>
      </c>
      <c r="I506" s="13" t="s">
        <v>5204</v>
      </c>
    </row>
    <row r="507" customFormat="false" ht="35.05" hidden="false" customHeight="false" outlineLevel="0" collapsed="false">
      <c r="A507" s="13" t="s">
        <v>3</v>
      </c>
      <c r="B507" s="13" t="s">
        <v>4108</v>
      </c>
      <c r="C507" s="13" t="n">
        <v>401</v>
      </c>
      <c r="D507" s="13" t="s">
        <v>5205</v>
      </c>
      <c r="E507" s="13" t="n">
        <v>1</v>
      </c>
      <c r="F507" s="13" t="s">
        <v>15094</v>
      </c>
      <c r="G507" s="13" t="s">
        <v>15095</v>
      </c>
      <c r="H507" s="13" t="s">
        <v>5210</v>
      </c>
      <c r="I507" s="13" t="s">
        <v>5211</v>
      </c>
    </row>
    <row r="508" customFormat="false" ht="15" hidden="false" customHeight="false" outlineLevel="0" collapsed="false">
      <c r="A508" s="13" t="s">
        <v>3</v>
      </c>
      <c r="B508" s="13" t="s">
        <v>4108</v>
      </c>
      <c r="C508" s="13" t="n">
        <v>401</v>
      </c>
      <c r="D508" s="13" t="s">
        <v>5212</v>
      </c>
      <c r="E508" s="13" t="n">
        <v>1</v>
      </c>
      <c r="F508" s="13" t="s">
        <v>15094</v>
      </c>
      <c r="G508" s="13" t="s">
        <v>15095</v>
      </c>
      <c r="H508" s="13" t="s">
        <v>5215</v>
      </c>
      <c r="I508" s="13" t="s">
        <v>5216</v>
      </c>
    </row>
    <row r="509" customFormat="false" ht="35.05" hidden="false" customHeight="false" outlineLevel="0" collapsed="false">
      <c r="A509" s="13" t="s">
        <v>3</v>
      </c>
      <c r="B509" s="13" t="s">
        <v>4108</v>
      </c>
      <c r="C509" s="13" t="n">
        <v>401</v>
      </c>
      <c r="D509" s="13" t="s">
        <v>5217</v>
      </c>
      <c r="E509" s="13" t="n">
        <v>1</v>
      </c>
      <c r="F509" s="13" t="s">
        <v>15094</v>
      </c>
      <c r="G509" s="13" t="s">
        <v>15095</v>
      </c>
      <c r="H509" s="13" t="s">
        <v>5223</v>
      </c>
      <c r="I509" s="13" t="s">
        <v>5224</v>
      </c>
    </row>
    <row r="510" customFormat="false" ht="15" hidden="false" customHeight="false" outlineLevel="0" collapsed="false">
      <c r="A510" s="13" t="s">
        <v>3</v>
      </c>
      <c r="B510" s="13" t="s">
        <v>4108</v>
      </c>
      <c r="C510" s="13" t="n">
        <v>401</v>
      </c>
      <c r="D510" s="13" t="s">
        <v>5225</v>
      </c>
      <c r="E510" s="13" t="n">
        <v>1</v>
      </c>
      <c r="F510" s="13" t="s">
        <v>15094</v>
      </c>
      <c r="G510" s="13" t="s">
        <v>15095</v>
      </c>
      <c r="H510" s="13" t="s">
        <v>5229</v>
      </c>
      <c r="I510" s="13" t="s">
        <v>5230</v>
      </c>
    </row>
    <row r="511" customFormat="false" ht="23.85" hidden="false" customHeight="false" outlineLevel="0" collapsed="false">
      <c r="A511" s="13" t="s">
        <v>3</v>
      </c>
      <c r="B511" s="13" t="s">
        <v>4108</v>
      </c>
      <c r="C511" s="13" t="n">
        <v>401</v>
      </c>
      <c r="D511" s="13" t="s">
        <v>5231</v>
      </c>
      <c r="E511" s="13" t="n">
        <v>1</v>
      </c>
      <c r="F511" s="13" t="s">
        <v>15094</v>
      </c>
      <c r="G511" s="13" t="s">
        <v>15095</v>
      </c>
      <c r="H511" s="13" t="s">
        <v>5234</v>
      </c>
      <c r="I511" s="13" t="s">
        <v>5235</v>
      </c>
    </row>
    <row r="512" customFormat="false" ht="15" hidden="false" customHeight="false" outlineLevel="0" collapsed="false">
      <c r="A512" s="13" t="s">
        <v>3</v>
      </c>
      <c r="B512" s="13" t="s">
        <v>4108</v>
      </c>
      <c r="C512" s="13" t="n">
        <v>401</v>
      </c>
      <c r="D512" s="13" t="s">
        <v>5236</v>
      </c>
      <c r="E512" s="13" t="n">
        <v>1</v>
      </c>
      <c r="F512" s="13" t="s">
        <v>15094</v>
      </c>
      <c r="G512" s="13" t="s">
        <v>15095</v>
      </c>
      <c r="H512" s="13" t="s">
        <v>5239</v>
      </c>
      <c r="I512" s="13" t="s">
        <v>5240</v>
      </c>
    </row>
    <row r="513" customFormat="false" ht="23.85" hidden="false" customHeight="false" outlineLevel="0" collapsed="false">
      <c r="A513" s="13" t="s">
        <v>3</v>
      </c>
      <c r="B513" s="13" t="s">
        <v>4108</v>
      </c>
      <c r="C513" s="13" t="n">
        <v>401</v>
      </c>
      <c r="D513" s="13" t="s">
        <v>5241</v>
      </c>
      <c r="E513" s="13" t="n">
        <v>1</v>
      </c>
      <c r="F513" s="13" t="s">
        <v>15094</v>
      </c>
      <c r="G513" s="13" t="s">
        <v>15095</v>
      </c>
      <c r="H513" s="13" t="s">
        <v>5245</v>
      </c>
      <c r="I513" s="13" t="s">
        <v>5246</v>
      </c>
    </row>
    <row r="514" customFormat="false" ht="57.45" hidden="false" customHeight="false" outlineLevel="0" collapsed="false">
      <c r="A514" s="13" t="s">
        <v>3</v>
      </c>
      <c r="B514" s="13" t="s">
        <v>4108</v>
      </c>
      <c r="C514" s="13" t="n">
        <v>401</v>
      </c>
      <c r="D514" s="13" t="s">
        <v>5247</v>
      </c>
      <c r="E514" s="13" t="n">
        <v>2</v>
      </c>
      <c r="F514" s="13" t="s">
        <v>15094</v>
      </c>
      <c r="G514" s="13" t="s">
        <v>15095</v>
      </c>
      <c r="H514" s="13" t="s">
        <v>5251</v>
      </c>
      <c r="I514" s="13" t="s">
        <v>5252</v>
      </c>
    </row>
    <row r="515" customFormat="false" ht="15" hidden="false" customHeight="false" outlineLevel="0" collapsed="false">
      <c r="A515" s="13" t="s">
        <v>3</v>
      </c>
      <c r="B515" s="13" t="s">
        <v>4108</v>
      </c>
      <c r="C515" s="13" t="n">
        <v>401</v>
      </c>
      <c r="D515" s="13" t="s">
        <v>5256</v>
      </c>
      <c r="E515" s="13" t="n">
        <v>1</v>
      </c>
      <c r="F515" s="13" t="s">
        <v>15094</v>
      </c>
      <c r="G515" s="13" t="s">
        <v>15095</v>
      </c>
      <c r="H515" s="13" t="s">
        <v>5259</v>
      </c>
      <c r="I515" s="13" t="s">
        <v>5260</v>
      </c>
    </row>
    <row r="516" customFormat="false" ht="35.05" hidden="false" customHeight="false" outlineLevel="0" collapsed="false">
      <c r="A516" s="13" t="s">
        <v>3</v>
      </c>
      <c r="B516" s="13" t="s">
        <v>4108</v>
      </c>
      <c r="C516" s="13" t="n">
        <v>401</v>
      </c>
      <c r="D516" s="13" t="s">
        <v>5261</v>
      </c>
      <c r="E516" s="13" t="n">
        <v>2</v>
      </c>
      <c r="F516" s="13" t="s">
        <v>15094</v>
      </c>
      <c r="G516" s="13" t="s">
        <v>15095</v>
      </c>
      <c r="H516" s="13" t="s">
        <v>5264</v>
      </c>
      <c r="I516" s="13" t="s">
        <v>5265</v>
      </c>
    </row>
    <row r="517" customFormat="false" ht="35.05" hidden="false" customHeight="false" outlineLevel="0" collapsed="false">
      <c r="A517" s="13" t="s">
        <v>3</v>
      </c>
      <c r="B517" s="13" t="s">
        <v>4108</v>
      </c>
      <c r="C517" s="13" t="n">
        <v>401</v>
      </c>
      <c r="D517" s="13" t="s">
        <v>5269</v>
      </c>
      <c r="E517" s="13" t="n">
        <v>2</v>
      </c>
      <c r="F517" s="13" t="s">
        <v>15094</v>
      </c>
      <c r="G517" s="13" t="s">
        <v>15095</v>
      </c>
      <c r="H517" s="13" t="s">
        <v>5273</v>
      </c>
      <c r="I517" s="13" t="s">
        <v>5274</v>
      </c>
    </row>
    <row r="518" customFormat="false" ht="35.05" hidden="false" customHeight="false" outlineLevel="0" collapsed="false">
      <c r="A518" s="13" t="s">
        <v>3</v>
      </c>
      <c r="B518" s="13" t="s">
        <v>4108</v>
      </c>
      <c r="C518" s="13" t="n">
        <v>437</v>
      </c>
      <c r="D518" s="13" t="s">
        <v>5278</v>
      </c>
      <c r="E518" s="13" t="n">
        <v>2</v>
      </c>
      <c r="F518" s="13" t="s">
        <v>15094</v>
      </c>
      <c r="G518" s="13" t="s">
        <v>15095</v>
      </c>
      <c r="H518" s="13" t="s">
        <v>5283</v>
      </c>
      <c r="I518" s="13" t="s">
        <v>5284</v>
      </c>
    </row>
    <row r="519" customFormat="false" ht="68.65" hidden="false" customHeight="false" outlineLevel="0" collapsed="false">
      <c r="A519" s="13" t="s">
        <v>3</v>
      </c>
      <c r="B519" s="13" t="s">
        <v>4108</v>
      </c>
      <c r="C519" s="13" t="n">
        <v>437</v>
      </c>
      <c r="D519" s="13" t="s">
        <v>5288</v>
      </c>
      <c r="E519" s="13" t="n">
        <v>3</v>
      </c>
      <c r="F519" s="13" t="s">
        <v>15094</v>
      </c>
      <c r="G519" s="13" t="s">
        <v>15095</v>
      </c>
      <c r="H519" s="13" t="s">
        <v>5291</v>
      </c>
      <c r="I519" s="13" t="s">
        <v>5292</v>
      </c>
    </row>
    <row r="520" customFormat="false" ht="23.85" hidden="false" customHeight="false" outlineLevel="0" collapsed="false">
      <c r="A520" s="13" t="s">
        <v>3</v>
      </c>
      <c r="B520" s="13" t="s">
        <v>4108</v>
      </c>
      <c r="C520" s="13" t="n">
        <v>437</v>
      </c>
      <c r="D520" s="13" t="s">
        <v>5297</v>
      </c>
      <c r="E520" s="13" t="n">
        <v>1</v>
      </c>
      <c r="F520" s="13" t="s">
        <v>15094</v>
      </c>
      <c r="G520" s="13" t="s">
        <v>15095</v>
      </c>
      <c r="H520" s="13" t="s">
        <v>5301</v>
      </c>
      <c r="I520" s="13" t="s">
        <v>5302</v>
      </c>
    </row>
    <row r="521" customFormat="false" ht="68.65" hidden="false" customHeight="false" outlineLevel="0" collapsed="false">
      <c r="A521" s="13" t="s">
        <v>3</v>
      </c>
      <c r="B521" s="13" t="s">
        <v>4108</v>
      </c>
      <c r="C521" s="13" t="n">
        <v>437</v>
      </c>
      <c r="D521" s="13" t="s">
        <v>5303</v>
      </c>
      <c r="E521" s="13" t="n">
        <v>3</v>
      </c>
      <c r="F521" s="13" t="s">
        <v>15094</v>
      </c>
      <c r="G521" s="13" t="s">
        <v>15095</v>
      </c>
      <c r="H521" s="13" t="s">
        <v>5307</v>
      </c>
      <c r="I521" s="13" t="s">
        <v>5308</v>
      </c>
    </row>
    <row r="522" customFormat="false" ht="68.65" hidden="false" customHeight="false" outlineLevel="0" collapsed="false">
      <c r="A522" s="13" t="s">
        <v>3</v>
      </c>
      <c r="B522" s="13" t="s">
        <v>4108</v>
      </c>
      <c r="C522" s="13" t="n">
        <v>437</v>
      </c>
      <c r="D522" s="13" t="s">
        <v>5313</v>
      </c>
      <c r="E522" s="13" t="n">
        <v>4</v>
      </c>
      <c r="F522" s="13" t="s">
        <v>15094</v>
      </c>
      <c r="G522" s="13" t="s">
        <v>15095</v>
      </c>
      <c r="H522" s="13" t="s">
        <v>5317</v>
      </c>
      <c r="I522" s="13" t="s">
        <v>5318</v>
      </c>
    </row>
    <row r="523" customFormat="false" ht="91" hidden="false" customHeight="false" outlineLevel="0" collapsed="false">
      <c r="A523" s="13" t="s">
        <v>3</v>
      </c>
      <c r="B523" s="13" t="s">
        <v>4108</v>
      </c>
      <c r="C523" s="13" t="n">
        <v>437</v>
      </c>
      <c r="D523" s="13" t="s">
        <v>5327</v>
      </c>
      <c r="E523" s="13" t="n">
        <v>4</v>
      </c>
      <c r="F523" s="13" t="s">
        <v>15094</v>
      </c>
      <c r="G523" s="13" t="s">
        <v>15095</v>
      </c>
      <c r="H523" s="13" t="s">
        <v>5331</v>
      </c>
      <c r="I523" s="13" t="s">
        <v>5332</v>
      </c>
    </row>
    <row r="524" customFormat="false" ht="46.25" hidden="false" customHeight="false" outlineLevel="0" collapsed="false">
      <c r="A524" s="13" t="s">
        <v>3</v>
      </c>
      <c r="B524" s="13" t="s">
        <v>4108</v>
      </c>
      <c r="C524" s="13" t="n">
        <v>437</v>
      </c>
      <c r="D524" s="13" t="s">
        <v>5341</v>
      </c>
      <c r="E524" s="13" t="n">
        <v>2</v>
      </c>
      <c r="F524" s="13" t="s">
        <v>15094</v>
      </c>
      <c r="G524" s="13" t="s">
        <v>15095</v>
      </c>
      <c r="H524" s="13" t="s">
        <v>5345</v>
      </c>
      <c r="I524" s="13" t="s">
        <v>5346</v>
      </c>
    </row>
    <row r="525" customFormat="false" ht="35.05" hidden="false" customHeight="false" outlineLevel="0" collapsed="false">
      <c r="A525" s="13" t="s">
        <v>3</v>
      </c>
      <c r="B525" s="13" t="s">
        <v>4108</v>
      </c>
      <c r="C525" s="13" t="n">
        <v>437</v>
      </c>
      <c r="D525" s="13" t="s">
        <v>5350</v>
      </c>
      <c r="E525" s="13" t="n">
        <v>1</v>
      </c>
      <c r="F525" s="13" t="s">
        <v>15094</v>
      </c>
      <c r="G525" s="13" t="s">
        <v>15095</v>
      </c>
      <c r="H525" s="13" t="s">
        <v>5353</v>
      </c>
      <c r="I525" s="13" t="s">
        <v>5354</v>
      </c>
    </row>
    <row r="526" customFormat="false" ht="15" hidden="false" customHeight="false" outlineLevel="0" collapsed="false">
      <c r="A526" s="13" t="s">
        <v>3</v>
      </c>
      <c r="B526" s="13" t="s">
        <v>4108</v>
      </c>
      <c r="C526" s="13" t="n">
        <v>437</v>
      </c>
      <c r="D526" s="13" t="s">
        <v>5355</v>
      </c>
      <c r="E526" s="13" t="n">
        <v>1</v>
      </c>
      <c r="F526" s="13" t="s">
        <v>15094</v>
      </c>
      <c r="G526" s="13" t="s">
        <v>15095</v>
      </c>
      <c r="H526" s="13" t="s">
        <v>5359</v>
      </c>
      <c r="I526" s="13" t="s">
        <v>5360</v>
      </c>
    </row>
    <row r="527" customFormat="false" ht="35.05" hidden="false" customHeight="false" outlineLevel="0" collapsed="false">
      <c r="A527" s="13" t="s">
        <v>3</v>
      </c>
      <c r="B527" s="13" t="s">
        <v>4108</v>
      </c>
      <c r="C527" s="13" t="n">
        <v>437</v>
      </c>
      <c r="D527" s="13" t="s">
        <v>5361</v>
      </c>
      <c r="E527" s="13" t="n">
        <v>4</v>
      </c>
      <c r="F527" s="13" t="s">
        <v>15094</v>
      </c>
      <c r="G527" s="13" t="s">
        <v>15095</v>
      </c>
      <c r="H527" s="13" t="s">
        <v>5363</v>
      </c>
      <c r="I527" s="13" t="s">
        <v>5364</v>
      </c>
    </row>
    <row r="528" customFormat="false" ht="35.05" hidden="false" customHeight="false" outlineLevel="0" collapsed="false">
      <c r="A528" s="13" t="s">
        <v>3</v>
      </c>
      <c r="B528" s="13" t="s">
        <v>4108</v>
      </c>
      <c r="C528" s="13" t="n">
        <v>437</v>
      </c>
      <c r="D528" s="13" t="s">
        <v>5372</v>
      </c>
      <c r="E528" s="13" t="n">
        <v>2</v>
      </c>
      <c r="F528" s="13" t="s">
        <v>15094</v>
      </c>
      <c r="G528" s="13" t="s">
        <v>15095</v>
      </c>
      <c r="H528" s="13" t="s">
        <v>5375</v>
      </c>
      <c r="I528" s="13" t="s">
        <v>5376</v>
      </c>
    </row>
    <row r="529" customFormat="false" ht="23.85" hidden="false" customHeight="false" outlineLevel="0" collapsed="false">
      <c r="A529" s="13" t="s">
        <v>3</v>
      </c>
      <c r="B529" s="13" t="s">
        <v>4108</v>
      </c>
      <c r="C529" s="13" t="n">
        <v>440</v>
      </c>
      <c r="D529" s="13" t="s">
        <v>5379</v>
      </c>
      <c r="E529" s="13" t="n">
        <v>2</v>
      </c>
      <c r="F529" s="13" t="s">
        <v>15094</v>
      </c>
      <c r="G529" s="13" t="s">
        <v>15095</v>
      </c>
      <c r="H529" s="13" t="s">
        <v>5384</v>
      </c>
      <c r="I529" s="13" t="s">
        <v>5385</v>
      </c>
    </row>
    <row r="530" customFormat="false" ht="35.05" hidden="false" customHeight="false" outlineLevel="0" collapsed="false">
      <c r="A530" s="13" t="s">
        <v>3</v>
      </c>
      <c r="B530" s="13" t="s">
        <v>4108</v>
      </c>
      <c r="C530" s="13" t="n">
        <v>440</v>
      </c>
      <c r="D530" s="13" t="s">
        <v>5390</v>
      </c>
      <c r="E530" s="13" t="n">
        <v>3</v>
      </c>
      <c r="F530" s="13" t="s">
        <v>15094</v>
      </c>
      <c r="G530" s="13" t="s">
        <v>15095</v>
      </c>
      <c r="H530" s="13" t="s">
        <v>5395</v>
      </c>
      <c r="I530" s="13" t="s">
        <v>5396</v>
      </c>
    </row>
    <row r="531" customFormat="false" ht="23.85" hidden="false" customHeight="false" outlineLevel="0" collapsed="false">
      <c r="A531" s="13" t="s">
        <v>3</v>
      </c>
      <c r="B531" s="13" t="s">
        <v>4108</v>
      </c>
      <c r="C531" s="13" t="n">
        <v>440</v>
      </c>
      <c r="D531" s="13" t="s">
        <v>5403</v>
      </c>
      <c r="E531" s="13" t="n">
        <v>2</v>
      </c>
      <c r="F531" s="13" t="s">
        <v>15094</v>
      </c>
      <c r="G531" s="13" t="s">
        <v>15095</v>
      </c>
      <c r="H531" s="13" t="s">
        <v>5408</v>
      </c>
      <c r="I531" s="13" t="s">
        <v>5409</v>
      </c>
    </row>
    <row r="532" customFormat="false" ht="35.05" hidden="false" customHeight="false" outlineLevel="0" collapsed="false">
      <c r="A532" s="13" t="s">
        <v>3</v>
      </c>
      <c r="B532" s="13" t="s">
        <v>4108</v>
      </c>
      <c r="C532" s="13" t="n">
        <v>440</v>
      </c>
      <c r="D532" s="13" t="s">
        <v>5413</v>
      </c>
      <c r="E532" s="13" t="n">
        <v>2</v>
      </c>
      <c r="F532" s="13" t="s">
        <v>15094</v>
      </c>
      <c r="G532" s="13" t="s">
        <v>15095</v>
      </c>
      <c r="H532" s="13" t="s">
        <v>5417</v>
      </c>
      <c r="I532" s="13" t="s">
        <v>5418</v>
      </c>
    </row>
    <row r="533" customFormat="false" ht="46.25" hidden="false" customHeight="false" outlineLevel="0" collapsed="false">
      <c r="A533" s="13" t="s">
        <v>3</v>
      </c>
      <c r="B533" s="13" t="s">
        <v>4108</v>
      </c>
      <c r="C533" s="13" t="n">
        <v>440</v>
      </c>
      <c r="D533" s="13" t="s">
        <v>5422</v>
      </c>
      <c r="E533" s="13" t="n">
        <v>4</v>
      </c>
      <c r="F533" s="13" t="s">
        <v>15094</v>
      </c>
      <c r="G533" s="13" t="s">
        <v>15095</v>
      </c>
      <c r="H533" s="13" t="s">
        <v>5426</v>
      </c>
      <c r="I533" s="13" t="s">
        <v>5427</v>
      </c>
    </row>
    <row r="534" customFormat="false" ht="23.85" hidden="false" customHeight="false" outlineLevel="0" collapsed="false">
      <c r="A534" s="13" t="s">
        <v>3</v>
      </c>
      <c r="B534" s="13" t="s">
        <v>4108</v>
      </c>
      <c r="C534" s="13" t="n">
        <v>440</v>
      </c>
      <c r="D534" s="13" t="s">
        <v>5438</v>
      </c>
      <c r="E534" s="13" t="n">
        <v>2</v>
      </c>
      <c r="F534" s="13" t="s">
        <v>15094</v>
      </c>
      <c r="G534" s="13" t="s">
        <v>15095</v>
      </c>
      <c r="H534" s="13" t="s">
        <v>5442</v>
      </c>
      <c r="I534" s="13" t="s">
        <v>5443</v>
      </c>
    </row>
    <row r="535" customFormat="false" ht="91" hidden="false" customHeight="false" outlineLevel="0" collapsed="false">
      <c r="A535" s="13" t="s">
        <v>3</v>
      </c>
      <c r="B535" s="13" t="s">
        <v>4108</v>
      </c>
      <c r="C535" s="13" t="n">
        <v>440</v>
      </c>
      <c r="D535" s="13" t="s">
        <v>5447</v>
      </c>
      <c r="E535" s="13" t="n">
        <v>3</v>
      </c>
      <c r="F535" s="13" t="s">
        <v>15094</v>
      </c>
      <c r="G535" s="13" t="s">
        <v>15095</v>
      </c>
      <c r="H535" s="13" t="s">
        <v>5451</v>
      </c>
      <c r="I535" s="13" t="s">
        <v>5452</v>
      </c>
    </row>
    <row r="536" customFormat="false" ht="23.85" hidden="false" customHeight="false" outlineLevel="0" collapsed="false">
      <c r="A536" s="13" t="s">
        <v>3</v>
      </c>
      <c r="B536" s="13" t="s">
        <v>4108</v>
      </c>
      <c r="C536" s="13" t="n">
        <v>440</v>
      </c>
      <c r="D536" s="13" t="s">
        <v>5460</v>
      </c>
      <c r="E536" s="13" t="n">
        <v>1</v>
      </c>
      <c r="F536" s="13" t="s">
        <v>15094</v>
      </c>
      <c r="G536" s="13" t="s">
        <v>15095</v>
      </c>
      <c r="H536" s="13" t="s">
        <v>5464</v>
      </c>
      <c r="I536" s="13" t="s">
        <v>5465</v>
      </c>
    </row>
    <row r="537" customFormat="false" ht="35.05" hidden="false" customHeight="false" outlineLevel="0" collapsed="false">
      <c r="A537" s="13" t="s">
        <v>3</v>
      </c>
      <c r="B537" s="13" t="s">
        <v>4108</v>
      </c>
      <c r="C537" s="13" t="n">
        <v>440</v>
      </c>
      <c r="D537" s="13" t="s">
        <v>5466</v>
      </c>
      <c r="E537" s="13" t="n">
        <v>1</v>
      </c>
      <c r="F537" s="13" t="s">
        <v>15094</v>
      </c>
      <c r="G537" s="13" t="s">
        <v>15095</v>
      </c>
      <c r="H537" s="13" t="s">
        <v>5471</v>
      </c>
      <c r="I537" s="13" t="s">
        <v>5472</v>
      </c>
    </row>
    <row r="538" customFormat="false" ht="23.85" hidden="false" customHeight="false" outlineLevel="0" collapsed="false">
      <c r="A538" s="13" t="s">
        <v>3</v>
      </c>
      <c r="B538" s="13" t="s">
        <v>4108</v>
      </c>
      <c r="C538" s="13" t="n">
        <v>440</v>
      </c>
      <c r="D538" s="13" t="s">
        <v>5473</v>
      </c>
      <c r="E538" s="13" t="n">
        <v>2</v>
      </c>
      <c r="F538" s="13" t="s">
        <v>15094</v>
      </c>
      <c r="G538" s="13" t="s">
        <v>15095</v>
      </c>
      <c r="H538" s="13" t="s">
        <v>5476</v>
      </c>
      <c r="I538" s="13" t="s">
        <v>5477</v>
      </c>
    </row>
    <row r="539" customFormat="false" ht="35.05" hidden="false" customHeight="false" outlineLevel="0" collapsed="false">
      <c r="A539" s="13" t="s">
        <v>3</v>
      </c>
      <c r="B539" s="13" t="s">
        <v>4108</v>
      </c>
      <c r="C539" s="13" t="n">
        <v>440</v>
      </c>
      <c r="D539" s="13" t="s">
        <v>5481</v>
      </c>
      <c r="E539" s="13" t="n">
        <v>2</v>
      </c>
      <c r="F539" s="13" t="s">
        <v>15094</v>
      </c>
      <c r="G539" s="13" t="s">
        <v>15095</v>
      </c>
      <c r="H539" s="13" t="s">
        <v>5486</v>
      </c>
      <c r="I539" s="13" t="s">
        <v>5487</v>
      </c>
    </row>
    <row r="540" customFormat="false" ht="23.85" hidden="false" customHeight="false" outlineLevel="0" collapsed="false">
      <c r="A540" s="13" t="s">
        <v>3</v>
      </c>
      <c r="B540" s="13" t="s">
        <v>4108</v>
      </c>
      <c r="C540" s="13" t="n">
        <v>440</v>
      </c>
      <c r="D540" s="13" t="s">
        <v>5490</v>
      </c>
      <c r="E540" s="13" t="n">
        <v>2</v>
      </c>
      <c r="F540" s="13" t="s">
        <v>15094</v>
      </c>
      <c r="G540" s="13" t="s">
        <v>15095</v>
      </c>
      <c r="H540" s="13" t="s">
        <v>5493</v>
      </c>
      <c r="I540" s="13" t="s">
        <v>5494</v>
      </c>
    </row>
    <row r="541" customFormat="false" ht="23.85" hidden="false" customHeight="false" outlineLevel="0" collapsed="false">
      <c r="A541" s="13" t="s">
        <v>3</v>
      </c>
      <c r="B541" s="13" t="s">
        <v>4108</v>
      </c>
      <c r="C541" s="13" t="n">
        <v>440</v>
      </c>
      <c r="D541" s="13" t="s">
        <v>5498</v>
      </c>
      <c r="E541" s="13" t="n">
        <v>2</v>
      </c>
      <c r="F541" s="13" t="s">
        <v>15094</v>
      </c>
      <c r="G541" s="13" t="s">
        <v>15095</v>
      </c>
      <c r="H541" s="13" t="s">
        <v>5502</v>
      </c>
      <c r="I541" s="13" t="s">
        <v>5503</v>
      </c>
    </row>
    <row r="542" customFormat="false" ht="202.95" hidden="false" customHeight="false" outlineLevel="0" collapsed="false">
      <c r="A542" s="13" t="s">
        <v>3</v>
      </c>
      <c r="B542" s="13" t="s">
        <v>4108</v>
      </c>
      <c r="C542" s="13" t="n">
        <v>440</v>
      </c>
      <c r="D542" s="13" t="s">
        <v>5507</v>
      </c>
      <c r="E542" s="13" t="n">
        <v>6</v>
      </c>
      <c r="F542" s="13" t="s">
        <v>15094</v>
      </c>
      <c r="G542" s="13" t="s">
        <v>15095</v>
      </c>
      <c r="H542" s="13" t="s">
        <v>5511</v>
      </c>
      <c r="I542" s="13" t="s">
        <v>5512</v>
      </c>
    </row>
    <row r="543" customFormat="false" ht="46.25" hidden="false" customHeight="false" outlineLevel="0" collapsed="false">
      <c r="A543" s="13" t="s">
        <v>3</v>
      </c>
      <c r="B543" s="13" t="s">
        <v>4108</v>
      </c>
      <c r="C543" s="13" t="n">
        <v>445</v>
      </c>
      <c r="D543" s="13" t="s">
        <v>5530</v>
      </c>
      <c r="E543" s="13" t="n">
        <v>2</v>
      </c>
      <c r="F543" s="13" t="s">
        <v>15094</v>
      </c>
      <c r="G543" s="13" t="s">
        <v>15095</v>
      </c>
      <c r="H543" s="13" t="s">
        <v>5535</v>
      </c>
      <c r="I543" s="13" t="s">
        <v>5536</v>
      </c>
    </row>
    <row r="544" customFormat="false" ht="57.45" hidden="false" customHeight="false" outlineLevel="0" collapsed="false">
      <c r="A544" s="13" t="s">
        <v>3</v>
      </c>
      <c r="B544" s="13" t="s">
        <v>4108</v>
      </c>
      <c r="C544" s="13" t="n">
        <v>445</v>
      </c>
      <c r="D544" s="13" t="s">
        <v>5540</v>
      </c>
      <c r="E544" s="13" t="n">
        <v>2</v>
      </c>
      <c r="F544" s="13" t="s">
        <v>15094</v>
      </c>
      <c r="G544" s="13" t="s">
        <v>15095</v>
      </c>
      <c r="H544" s="13" t="s">
        <v>5543</v>
      </c>
      <c r="I544" s="13" t="s">
        <v>5544</v>
      </c>
    </row>
    <row r="545" customFormat="false" ht="68.65" hidden="false" customHeight="false" outlineLevel="0" collapsed="false">
      <c r="A545" s="13" t="s">
        <v>3</v>
      </c>
      <c r="B545" s="13" t="s">
        <v>4108</v>
      </c>
      <c r="C545" s="13" t="n">
        <v>445</v>
      </c>
      <c r="D545" s="13" t="s">
        <v>5549</v>
      </c>
      <c r="E545" s="13" t="n">
        <v>2</v>
      </c>
      <c r="F545" s="13" t="s">
        <v>15094</v>
      </c>
      <c r="G545" s="13" t="s">
        <v>15095</v>
      </c>
      <c r="H545" s="13" t="s">
        <v>5552</v>
      </c>
      <c r="I545" s="13" t="s">
        <v>5553</v>
      </c>
    </row>
    <row r="546" customFormat="false" ht="23.85" hidden="false" customHeight="false" outlineLevel="0" collapsed="false">
      <c r="A546" s="13" t="s">
        <v>3</v>
      </c>
      <c r="B546" s="13" t="s">
        <v>4108</v>
      </c>
      <c r="C546" s="13" t="n">
        <v>445</v>
      </c>
      <c r="D546" s="13" t="s">
        <v>5555</v>
      </c>
      <c r="E546" s="13" t="n">
        <v>1</v>
      </c>
      <c r="F546" s="13" t="s">
        <v>15094</v>
      </c>
      <c r="G546" s="13" t="s">
        <v>15095</v>
      </c>
      <c r="H546" s="13" t="s">
        <v>5560</v>
      </c>
      <c r="I546" s="13" t="s">
        <v>5561</v>
      </c>
    </row>
    <row r="547" customFormat="false" ht="23.85" hidden="false" customHeight="false" outlineLevel="0" collapsed="false">
      <c r="A547" s="13" t="s">
        <v>3</v>
      </c>
      <c r="B547" s="13" t="s">
        <v>4108</v>
      </c>
      <c r="C547" s="13" t="n">
        <v>445</v>
      </c>
      <c r="D547" s="13" t="s">
        <v>5562</v>
      </c>
      <c r="E547" s="13" t="n">
        <v>2</v>
      </c>
      <c r="F547" s="13" t="s">
        <v>15094</v>
      </c>
      <c r="G547" s="13" t="s">
        <v>15095</v>
      </c>
      <c r="H547" s="13" t="s">
        <v>5566</v>
      </c>
      <c r="I547" s="13" t="s">
        <v>5567</v>
      </c>
    </row>
    <row r="548" customFormat="false" ht="68.65" hidden="false" customHeight="false" outlineLevel="0" collapsed="false">
      <c r="A548" s="13" t="s">
        <v>3</v>
      </c>
      <c r="B548" s="13" t="s">
        <v>4108</v>
      </c>
      <c r="C548" s="13" t="n">
        <v>445</v>
      </c>
      <c r="D548" s="13" t="s">
        <v>5570</v>
      </c>
      <c r="E548" s="13" t="n">
        <v>13</v>
      </c>
      <c r="F548" s="13" t="s">
        <v>15094</v>
      </c>
      <c r="G548" s="13" t="s">
        <v>15095</v>
      </c>
      <c r="H548" s="13" t="s">
        <v>5573</v>
      </c>
      <c r="I548" s="13" t="s">
        <v>5574</v>
      </c>
    </row>
    <row r="549" customFormat="false" ht="68.65" hidden="false" customHeight="false" outlineLevel="0" collapsed="false">
      <c r="A549" s="13" t="s">
        <v>3</v>
      </c>
      <c r="B549" s="13" t="s">
        <v>4108</v>
      </c>
      <c r="C549" s="13" t="n">
        <v>476</v>
      </c>
      <c r="D549" s="13" t="s">
        <v>5603</v>
      </c>
      <c r="E549" s="13" t="n">
        <v>3</v>
      </c>
      <c r="F549" s="13" t="s">
        <v>15094</v>
      </c>
      <c r="G549" s="13" t="s">
        <v>15095</v>
      </c>
      <c r="H549" s="13" t="s">
        <v>5607</v>
      </c>
      <c r="I549" s="13" t="s">
        <v>5608</v>
      </c>
    </row>
    <row r="550" customFormat="false" ht="35.05" hidden="false" customHeight="false" outlineLevel="0" collapsed="false">
      <c r="A550" s="13" t="s">
        <v>3</v>
      </c>
      <c r="B550" s="13" t="s">
        <v>4108</v>
      </c>
      <c r="C550" s="13" t="n">
        <v>476</v>
      </c>
      <c r="D550" s="13" t="s">
        <v>5614</v>
      </c>
      <c r="E550" s="13" t="n">
        <v>1</v>
      </c>
      <c r="F550" s="13" t="s">
        <v>15094</v>
      </c>
      <c r="G550" s="13" t="s">
        <v>15095</v>
      </c>
      <c r="H550" s="13" t="s">
        <v>5619</v>
      </c>
      <c r="I550" s="13" t="s">
        <v>5620</v>
      </c>
    </row>
    <row r="551" customFormat="false" ht="35.05" hidden="false" customHeight="false" outlineLevel="0" collapsed="false">
      <c r="A551" s="13" t="s">
        <v>3</v>
      </c>
      <c r="B551" s="13" t="s">
        <v>4108</v>
      </c>
      <c r="C551" s="13" t="n">
        <v>476</v>
      </c>
      <c r="D551" s="13" t="s">
        <v>5621</v>
      </c>
      <c r="E551" s="13" t="n">
        <v>2</v>
      </c>
      <c r="F551" s="13" t="s">
        <v>15094</v>
      </c>
      <c r="G551" s="13" t="s">
        <v>15095</v>
      </c>
      <c r="H551" s="13" t="s">
        <v>5625</v>
      </c>
      <c r="I551" s="13" t="s">
        <v>5626</v>
      </c>
    </row>
    <row r="552" customFormat="false" ht="57.45" hidden="false" customHeight="false" outlineLevel="0" collapsed="false">
      <c r="A552" s="13" t="s">
        <v>3</v>
      </c>
      <c r="B552" s="13" t="s">
        <v>4108</v>
      </c>
      <c r="C552" s="13" t="n">
        <v>476</v>
      </c>
      <c r="D552" s="13" t="s">
        <v>5629</v>
      </c>
      <c r="E552" s="13" t="n">
        <v>2</v>
      </c>
      <c r="F552" s="13" t="s">
        <v>15094</v>
      </c>
      <c r="G552" s="13" t="s">
        <v>15095</v>
      </c>
      <c r="H552" s="13" t="s">
        <v>5632</v>
      </c>
      <c r="I552" s="13" t="s">
        <v>5633</v>
      </c>
    </row>
    <row r="553" customFormat="false" ht="79.85" hidden="false" customHeight="false" outlineLevel="0" collapsed="false">
      <c r="A553" s="13" t="s">
        <v>3</v>
      </c>
      <c r="B553" s="13" t="s">
        <v>4108</v>
      </c>
      <c r="C553" s="13" t="n">
        <v>476</v>
      </c>
      <c r="D553" s="13" t="s">
        <v>5636</v>
      </c>
      <c r="E553" s="13" t="n">
        <v>3</v>
      </c>
      <c r="F553" s="13" t="s">
        <v>15094</v>
      </c>
      <c r="G553" s="13" t="s">
        <v>15095</v>
      </c>
      <c r="H553" s="13" t="s">
        <v>5639</v>
      </c>
      <c r="I553" s="13" t="s">
        <v>5640</v>
      </c>
    </row>
    <row r="554" customFormat="false" ht="124.6" hidden="false" customHeight="false" outlineLevel="0" collapsed="false">
      <c r="A554" s="13" t="s">
        <v>3</v>
      </c>
      <c r="B554" s="13" t="s">
        <v>4108</v>
      </c>
      <c r="C554" s="13" t="n">
        <v>476</v>
      </c>
      <c r="D554" s="13" t="s">
        <v>5646</v>
      </c>
      <c r="E554" s="13" t="n">
        <v>4</v>
      </c>
      <c r="F554" s="13" t="s">
        <v>15094</v>
      </c>
      <c r="G554" s="13" t="s">
        <v>15095</v>
      </c>
      <c r="H554" s="13" t="s">
        <v>5649</v>
      </c>
      <c r="I554" s="13" t="s">
        <v>5650</v>
      </c>
    </row>
    <row r="555" customFormat="false" ht="57.45" hidden="false" customHeight="false" outlineLevel="0" collapsed="false">
      <c r="A555" s="13" t="s">
        <v>3</v>
      </c>
      <c r="B555" s="13" t="s">
        <v>4108</v>
      </c>
      <c r="C555" s="13" t="n">
        <v>476</v>
      </c>
      <c r="D555" s="13" t="s">
        <v>5657</v>
      </c>
      <c r="E555" s="13" t="n">
        <v>2</v>
      </c>
      <c r="F555" s="13" t="s">
        <v>15094</v>
      </c>
      <c r="G555" s="13" t="s">
        <v>15095</v>
      </c>
      <c r="H555" s="13" t="s">
        <v>5660</v>
      </c>
      <c r="I555" s="13" t="s">
        <v>5661</v>
      </c>
    </row>
    <row r="556" customFormat="false" ht="102.2" hidden="false" customHeight="false" outlineLevel="0" collapsed="false">
      <c r="A556" s="13" t="s">
        <v>3</v>
      </c>
      <c r="B556" s="13" t="s">
        <v>4108</v>
      </c>
      <c r="C556" s="13" t="n">
        <v>483</v>
      </c>
      <c r="D556" s="13" t="s">
        <v>5664</v>
      </c>
      <c r="E556" s="13" t="n">
        <v>3</v>
      </c>
      <c r="F556" s="13" t="s">
        <v>15094</v>
      </c>
      <c r="G556" s="13" t="s">
        <v>15095</v>
      </c>
      <c r="H556" s="13" t="s">
        <v>5668</v>
      </c>
      <c r="I556" s="13" t="s">
        <v>5669</v>
      </c>
    </row>
    <row r="557" customFormat="false" ht="202.95" hidden="false" customHeight="false" outlineLevel="0" collapsed="false">
      <c r="A557" s="13" t="s">
        <v>3</v>
      </c>
      <c r="B557" s="13" t="s">
        <v>4108</v>
      </c>
      <c r="C557" s="13" t="n">
        <v>483</v>
      </c>
      <c r="D557" s="13" t="s">
        <v>5676</v>
      </c>
      <c r="E557" s="13" t="n">
        <v>4</v>
      </c>
      <c r="F557" s="13" t="s">
        <v>15094</v>
      </c>
      <c r="G557" s="13" t="s">
        <v>15095</v>
      </c>
      <c r="H557" s="13" t="s">
        <v>5680</v>
      </c>
      <c r="I557" s="13" t="s">
        <v>5681</v>
      </c>
    </row>
    <row r="558" customFormat="false" ht="46.25" hidden="false" customHeight="false" outlineLevel="0" collapsed="false">
      <c r="A558" s="13" t="s">
        <v>3</v>
      </c>
      <c r="B558" s="13" t="s">
        <v>4108</v>
      </c>
      <c r="C558" s="13" t="n">
        <v>483</v>
      </c>
      <c r="D558" s="13" t="s">
        <v>5692</v>
      </c>
      <c r="E558" s="13" t="n">
        <v>2</v>
      </c>
      <c r="F558" s="13" t="s">
        <v>15094</v>
      </c>
      <c r="G558" s="13" t="s">
        <v>15095</v>
      </c>
      <c r="H558" s="13" t="s">
        <v>5696</v>
      </c>
      <c r="I558" s="13" t="s">
        <v>5697</v>
      </c>
    </row>
    <row r="559" customFormat="false" ht="68.65" hidden="false" customHeight="false" outlineLevel="0" collapsed="false">
      <c r="A559" s="13" t="s">
        <v>3</v>
      </c>
      <c r="B559" s="13" t="s">
        <v>4108</v>
      </c>
      <c r="C559" s="13" t="n">
        <v>483</v>
      </c>
      <c r="D559" s="13" t="s">
        <v>5701</v>
      </c>
      <c r="E559" s="13" t="n">
        <v>3</v>
      </c>
      <c r="F559" s="13" t="s">
        <v>15094</v>
      </c>
      <c r="G559" s="13" t="s">
        <v>15095</v>
      </c>
      <c r="H559" s="13" t="s">
        <v>5706</v>
      </c>
      <c r="I559" s="13" t="s">
        <v>5707</v>
      </c>
    </row>
    <row r="560" customFormat="false" ht="147" hidden="false" customHeight="false" outlineLevel="0" collapsed="false">
      <c r="A560" s="13" t="s">
        <v>4</v>
      </c>
      <c r="B560" s="13" t="s">
        <v>68</v>
      </c>
      <c r="C560" s="13" t="n">
        <v>68</v>
      </c>
      <c r="D560" s="13" t="s">
        <v>5714</v>
      </c>
      <c r="E560" s="13" t="n">
        <v>5</v>
      </c>
      <c r="F560" s="13" t="s">
        <v>15094</v>
      </c>
      <c r="G560" s="13" t="s">
        <v>15095</v>
      </c>
      <c r="H560" s="13" t="s">
        <v>5717</v>
      </c>
      <c r="I560" s="13" t="s">
        <v>5718</v>
      </c>
    </row>
    <row r="561" customFormat="false" ht="303.7" hidden="false" customHeight="false" outlineLevel="0" collapsed="false">
      <c r="A561" s="13" t="s">
        <v>4</v>
      </c>
      <c r="B561" s="13" t="s">
        <v>68</v>
      </c>
      <c r="C561" s="13" t="n">
        <v>68</v>
      </c>
      <c r="D561" s="13" t="s">
        <v>5731</v>
      </c>
      <c r="E561" s="13" t="n">
        <v>8</v>
      </c>
      <c r="F561" s="13" t="s">
        <v>15094</v>
      </c>
      <c r="G561" s="13" t="s">
        <v>15095</v>
      </c>
      <c r="H561" s="13" t="s">
        <v>5735</v>
      </c>
      <c r="I561" s="13" t="s">
        <v>5736</v>
      </c>
    </row>
    <row r="562" customFormat="false" ht="35.05" hidden="false" customHeight="false" outlineLevel="0" collapsed="false">
      <c r="A562" s="13" t="s">
        <v>4</v>
      </c>
      <c r="B562" s="13" t="s">
        <v>68</v>
      </c>
      <c r="C562" s="13" t="n">
        <v>90</v>
      </c>
      <c r="D562" s="13" t="s">
        <v>5754</v>
      </c>
      <c r="E562" s="13" t="n">
        <v>2</v>
      </c>
      <c r="F562" s="13" t="s">
        <v>15094</v>
      </c>
      <c r="G562" s="13" t="s">
        <v>15095</v>
      </c>
      <c r="H562" s="13" t="s">
        <v>5758</v>
      </c>
      <c r="I562" s="13" t="s">
        <v>5759</v>
      </c>
    </row>
    <row r="563" customFormat="false" ht="68.65" hidden="false" customHeight="false" outlineLevel="0" collapsed="false">
      <c r="A563" s="13" t="s">
        <v>4</v>
      </c>
      <c r="B563" s="13" t="s">
        <v>68</v>
      </c>
      <c r="C563" s="13" t="n">
        <v>90</v>
      </c>
      <c r="D563" s="13" t="s">
        <v>5763</v>
      </c>
      <c r="E563" s="13" t="n">
        <v>2</v>
      </c>
      <c r="F563" s="13" t="s">
        <v>15094</v>
      </c>
      <c r="G563" s="13" t="s">
        <v>15095</v>
      </c>
      <c r="H563" s="13" t="s">
        <v>5767</v>
      </c>
      <c r="I563" s="13" t="s">
        <v>5768</v>
      </c>
    </row>
    <row r="564" customFormat="false" ht="23.85" hidden="false" customHeight="false" outlineLevel="0" collapsed="false">
      <c r="A564" s="13" t="s">
        <v>4</v>
      </c>
      <c r="B564" s="13" t="s">
        <v>68</v>
      </c>
      <c r="C564" s="13" t="n">
        <v>90</v>
      </c>
      <c r="D564" s="13" t="s">
        <v>5773</v>
      </c>
      <c r="E564" s="13" t="n">
        <v>1</v>
      </c>
      <c r="F564" s="13" t="s">
        <v>15094</v>
      </c>
      <c r="G564" s="13" t="s">
        <v>15095</v>
      </c>
      <c r="H564" s="13" t="s">
        <v>5778</v>
      </c>
      <c r="I564" s="13" t="s">
        <v>5779</v>
      </c>
    </row>
    <row r="565" customFormat="false" ht="46.25" hidden="false" customHeight="false" outlineLevel="0" collapsed="false">
      <c r="A565" s="13" t="s">
        <v>4</v>
      </c>
      <c r="B565" s="13" t="s">
        <v>68</v>
      </c>
      <c r="C565" s="13" t="n">
        <v>90</v>
      </c>
      <c r="D565" s="13" t="s">
        <v>5780</v>
      </c>
      <c r="E565" s="13" t="n">
        <v>1</v>
      </c>
      <c r="F565" s="13" t="s">
        <v>15094</v>
      </c>
      <c r="G565" s="13" t="s">
        <v>15095</v>
      </c>
      <c r="H565" s="13" t="s">
        <v>5783</v>
      </c>
      <c r="I565" s="13" t="s">
        <v>5784</v>
      </c>
    </row>
    <row r="566" customFormat="false" ht="46.25" hidden="false" customHeight="false" outlineLevel="0" collapsed="false">
      <c r="A566" s="13" t="s">
        <v>4</v>
      </c>
      <c r="B566" s="13" t="s">
        <v>68</v>
      </c>
      <c r="C566" s="13" t="n">
        <v>90</v>
      </c>
      <c r="D566" s="13" t="s">
        <v>5785</v>
      </c>
      <c r="E566" s="13" t="n">
        <v>1</v>
      </c>
      <c r="F566" s="13" t="s">
        <v>15094</v>
      </c>
      <c r="G566" s="13" t="s">
        <v>15095</v>
      </c>
      <c r="H566" s="13" t="s">
        <v>5788</v>
      </c>
      <c r="I566" s="13" t="s">
        <v>5789</v>
      </c>
    </row>
    <row r="567" customFormat="false" ht="23.85" hidden="false" customHeight="false" outlineLevel="0" collapsed="false">
      <c r="A567" s="13" t="s">
        <v>4</v>
      </c>
      <c r="B567" s="13" t="s">
        <v>68</v>
      </c>
      <c r="C567" s="13" t="n">
        <v>90</v>
      </c>
      <c r="D567" s="13" t="s">
        <v>5790</v>
      </c>
      <c r="E567" s="13" t="n">
        <v>1</v>
      </c>
      <c r="F567" s="13" t="s">
        <v>15094</v>
      </c>
      <c r="G567" s="13" t="s">
        <v>15095</v>
      </c>
      <c r="H567" s="13" t="s">
        <v>5793</v>
      </c>
      <c r="I567" s="13" t="s">
        <v>5794</v>
      </c>
    </row>
    <row r="568" customFormat="false" ht="23.85" hidden="false" customHeight="false" outlineLevel="0" collapsed="false">
      <c r="A568" s="13" t="s">
        <v>4</v>
      </c>
      <c r="B568" s="13" t="s">
        <v>68</v>
      </c>
      <c r="C568" s="13" t="n">
        <v>90</v>
      </c>
      <c r="D568" s="13" t="s">
        <v>5795</v>
      </c>
      <c r="E568" s="13" t="n">
        <v>1</v>
      </c>
      <c r="F568" s="13" t="s">
        <v>15094</v>
      </c>
      <c r="G568" s="13" t="s">
        <v>15095</v>
      </c>
      <c r="H568" s="13" t="s">
        <v>5799</v>
      </c>
      <c r="I568" s="13" t="s">
        <v>5800</v>
      </c>
    </row>
    <row r="569" customFormat="false" ht="35.05" hidden="false" customHeight="false" outlineLevel="0" collapsed="false">
      <c r="A569" s="13" t="s">
        <v>4</v>
      </c>
      <c r="B569" s="13" t="s">
        <v>68</v>
      </c>
      <c r="C569" s="13" t="n">
        <v>90</v>
      </c>
      <c r="D569" s="13" t="s">
        <v>5801</v>
      </c>
      <c r="E569" s="13" t="n">
        <v>2</v>
      </c>
      <c r="F569" s="13" t="s">
        <v>15094</v>
      </c>
      <c r="G569" s="13" t="s">
        <v>15095</v>
      </c>
      <c r="H569" s="13" t="s">
        <v>5804</v>
      </c>
      <c r="I569" s="13" t="s">
        <v>5805</v>
      </c>
    </row>
    <row r="570" customFormat="false" ht="57.45" hidden="false" customHeight="false" outlineLevel="0" collapsed="false">
      <c r="A570" s="13" t="s">
        <v>4</v>
      </c>
      <c r="B570" s="13" t="s">
        <v>68</v>
      </c>
      <c r="C570" s="13" t="n">
        <v>90</v>
      </c>
      <c r="D570" s="13" t="s">
        <v>5810</v>
      </c>
      <c r="E570" s="13" t="n">
        <v>2</v>
      </c>
      <c r="F570" s="13" t="s">
        <v>15094</v>
      </c>
      <c r="G570" s="13" t="s">
        <v>15095</v>
      </c>
      <c r="H570" s="13" t="s">
        <v>5814</v>
      </c>
      <c r="I570" s="13" t="s">
        <v>5815</v>
      </c>
    </row>
    <row r="571" customFormat="false" ht="46.25" hidden="false" customHeight="false" outlineLevel="0" collapsed="false">
      <c r="A571" s="13" t="s">
        <v>4</v>
      </c>
      <c r="B571" s="13" t="s">
        <v>68</v>
      </c>
      <c r="C571" s="13" t="n">
        <v>90</v>
      </c>
      <c r="D571" s="13" t="s">
        <v>5820</v>
      </c>
      <c r="E571" s="13" t="n">
        <v>1</v>
      </c>
      <c r="F571" s="13" t="s">
        <v>15094</v>
      </c>
      <c r="G571" s="13" t="s">
        <v>15095</v>
      </c>
      <c r="H571" s="13" t="s">
        <v>5824</v>
      </c>
      <c r="I571" s="13" t="s">
        <v>5825</v>
      </c>
    </row>
    <row r="572" customFormat="false" ht="15" hidden="false" customHeight="false" outlineLevel="0" collapsed="false">
      <c r="A572" s="13" t="s">
        <v>4</v>
      </c>
      <c r="B572" s="13" t="s">
        <v>68</v>
      </c>
      <c r="C572" s="13" t="n">
        <v>90</v>
      </c>
      <c r="D572" s="13" t="s">
        <v>5826</v>
      </c>
      <c r="E572" s="13" t="n">
        <v>1</v>
      </c>
      <c r="F572" s="13" t="s">
        <v>15094</v>
      </c>
      <c r="G572" s="13" t="s">
        <v>15095</v>
      </c>
      <c r="H572" s="13" t="s">
        <v>5829</v>
      </c>
      <c r="I572" s="13" t="s">
        <v>5830</v>
      </c>
    </row>
    <row r="573" customFormat="false" ht="15" hidden="false" customHeight="false" outlineLevel="0" collapsed="false">
      <c r="A573" s="13" t="s">
        <v>4</v>
      </c>
      <c r="B573" s="13" t="s">
        <v>68</v>
      </c>
      <c r="C573" s="13" t="n">
        <v>90</v>
      </c>
      <c r="D573" s="13" t="s">
        <v>5831</v>
      </c>
      <c r="E573" s="13" t="n">
        <v>1</v>
      </c>
      <c r="F573" s="13" t="s">
        <v>15094</v>
      </c>
      <c r="G573" s="13" t="s">
        <v>15095</v>
      </c>
      <c r="H573" s="13" t="s">
        <v>5834</v>
      </c>
      <c r="I573" s="13" t="s">
        <v>5835</v>
      </c>
    </row>
    <row r="574" customFormat="false" ht="15" hidden="false" customHeight="false" outlineLevel="0" collapsed="false">
      <c r="A574" s="13" t="s">
        <v>4</v>
      </c>
      <c r="B574" s="13" t="s">
        <v>68</v>
      </c>
      <c r="C574" s="13" t="n">
        <v>90</v>
      </c>
      <c r="D574" s="13" t="s">
        <v>5836</v>
      </c>
      <c r="E574" s="13" t="n">
        <v>1</v>
      </c>
      <c r="F574" s="13" t="s">
        <v>15094</v>
      </c>
      <c r="G574" s="13" t="s">
        <v>15095</v>
      </c>
      <c r="H574" s="13" t="s">
        <v>5839</v>
      </c>
      <c r="I574" s="13" t="s">
        <v>5840</v>
      </c>
    </row>
    <row r="575" customFormat="false" ht="23.85" hidden="false" customHeight="false" outlineLevel="0" collapsed="false">
      <c r="A575" s="13" t="s">
        <v>4</v>
      </c>
      <c r="B575" s="13" t="s">
        <v>68</v>
      </c>
      <c r="C575" s="13" t="n">
        <v>90</v>
      </c>
      <c r="D575" s="13" t="s">
        <v>5841</v>
      </c>
      <c r="E575" s="13" t="n">
        <v>2</v>
      </c>
      <c r="F575" s="13" t="s">
        <v>15094</v>
      </c>
      <c r="G575" s="13" t="s">
        <v>15095</v>
      </c>
      <c r="H575" s="13" t="s">
        <v>5844</v>
      </c>
      <c r="I575" s="13" t="s">
        <v>5845</v>
      </c>
    </row>
    <row r="576" customFormat="false" ht="23.85" hidden="false" customHeight="false" outlineLevel="0" collapsed="false">
      <c r="A576" s="13" t="s">
        <v>4</v>
      </c>
      <c r="B576" s="13" t="s">
        <v>68</v>
      </c>
      <c r="C576" s="13" t="n">
        <v>90</v>
      </c>
      <c r="D576" s="13" t="s">
        <v>5848</v>
      </c>
      <c r="E576" s="13" t="n">
        <v>1</v>
      </c>
      <c r="F576" s="13" t="s">
        <v>15094</v>
      </c>
      <c r="G576" s="13" t="s">
        <v>15095</v>
      </c>
      <c r="H576" s="13" t="s">
        <v>5852</v>
      </c>
      <c r="I576" s="13" t="s">
        <v>5853</v>
      </c>
    </row>
    <row r="577" customFormat="false" ht="23.85" hidden="false" customHeight="false" outlineLevel="0" collapsed="false">
      <c r="A577" s="13" t="s">
        <v>4</v>
      </c>
      <c r="B577" s="13" t="s">
        <v>68</v>
      </c>
      <c r="C577" s="13" t="n">
        <v>90</v>
      </c>
      <c r="D577" s="13" t="s">
        <v>5854</v>
      </c>
      <c r="E577" s="13" t="n">
        <v>1</v>
      </c>
      <c r="F577" s="13" t="s">
        <v>15094</v>
      </c>
      <c r="G577" s="13" t="s">
        <v>15095</v>
      </c>
      <c r="H577" s="13" t="s">
        <v>5861</v>
      </c>
      <c r="I577" s="13" t="s">
        <v>5862</v>
      </c>
    </row>
    <row r="578" customFormat="false" ht="23.85" hidden="false" customHeight="false" outlineLevel="0" collapsed="false">
      <c r="A578" s="13" t="s">
        <v>4</v>
      </c>
      <c r="B578" s="13" t="s">
        <v>68</v>
      </c>
      <c r="C578" s="13" t="n">
        <v>104</v>
      </c>
      <c r="D578" s="13" t="s">
        <v>5863</v>
      </c>
      <c r="E578" s="13" t="n">
        <v>2</v>
      </c>
      <c r="F578" s="13" t="s">
        <v>15094</v>
      </c>
      <c r="G578" s="13" t="s">
        <v>15095</v>
      </c>
      <c r="H578" s="13" t="s">
        <v>5868</v>
      </c>
      <c r="I578" s="13" t="s">
        <v>5869</v>
      </c>
    </row>
    <row r="579" customFormat="false" ht="23.85" hidden="false" customHeight="false" outlineLevel="0" collapsed="false">
      <c r="A579" s="13" t="s">
        <v>4</v>
      </c>
      <c r="B579" s="13" t="s">
        <v>68</v>
      </c>
      <c r="C579" s="13" t="n">
        <v>104</v>
      </c>
      <c r="D579" s="13" t="s">
        <v>5876</v>
      </c>
      <c r="E579" s="13" t="n">
        <v>3</v>
      </c>
      <c r="F579" s="13" t="s">
        <v>15094</v>
      </c>
      <c r="G579" s="13" t="s">
        <v>15095</v>
      </c>
      <c r="H579" s="13" t="s">
        <v>5880</v>
      </c>
      <c r="I579" s="13" t="s">
        <v>5881</v>
      </c>
    </row>
    <row r="580" customFormat="false" ht="23.85" hidden="false" customHeight="false" outlineLevel="0" collapsed="false">
      <c r="A580" s="13" t="s">
        <v>4</v>
      </c>
      <c r="B580" s="13" t="s">
        <v>68</v>
      </c>
      <c r="C580" s="13" t="n">
        <v>104</v>
      </c>
      <c r="D580" s="13" t="s">
        <v>5888</v>
      </c>
      <c r="E580" s="13" t="n">
        <v>2</v>
      </c>
      <c r="F580" s="13" t="s">
        <v>15094</v>
      </c>
      <c r="G580" s="13" t="s">
        <v>15095</v>
      </c>
      <c r="H580" s="13" t="s">
        <v>5893</v>
      </c>
      <c r="I580" s="13" t="s">
        <v>5894</v>
      </c>
    </row>
    <row r="581" customFormat="false" ht="35.05" hidden="false" customHeight="false" outlineLevel="0" collapsed="false">
      <c r="A581" s="13" t="s">
        <v>4</v>
      </c>
      <c r="B581" s="13" t="s">
        <v>68</v>
      </c>
      <c r="C581" s="13" t="n">
        <v>104</v>
      </c>
      <c r="D581" s="13" t="s">
        <v>5899</v>
      </c>
      <c r="E581" s="13" t="n">
        <v>2</v>
      </c>
      <c r="F581" s="13" t="s">
        <v>15094</v>
      </c>
      <c r="G581" s="13" t="s">
        <v>15095</v>
      </c>
      <c r="H581" s="13" t="s">
        <v>5903</v>
      </c>
      <c r="I581" s="13" t="s">
        <v>5904</v>
      </c>
    </row>
    <row r="582" customFormat="false" ht="57.45" hidden="false" customHeight="false" outlineLevel="0" collapsed="false">
      <c r="A582" s="13" t="s">
        <v>4</v>
      </c>
      <c r="B582" s="13" t="s">
        <v>68</v>
      </c>
      <c r="C582" s="13" t="n">
        <v>104</v>
      </c>
      <c r="D582" s="13" t="s">
        <v>5908</v>
      </c>
      <c r="E582" s="13" t="n">
        <v>2</v>
      </c>
      <c r="F582" s="13" t="s">
        <v>15094</v>
      </c>
      <c r="G582" s="13" t="s">
        <v>15095</v>
      </c>
      <c r="H582" s="13" t="s">
        <v>5914</v>
      </c>
      <c r="I582" s="13" t="s">
        <v>5915</v>
      </c>
    </row>
    <row r="583" customFormat="false" ht="15" hidden="false" customHeight="false" outlineLevel="0" collapsed="false">
      <c r="A583" s="13" t="s">
        <v>4</v>
      </c>
      <c r="B583" s="13" t="s">
        <v>68</v>
      </c>
      <c r="C583" s="13" t="n">
        <v>104</v>
      </c>
      <c r="D583" s="13" t="s">
        <v>5920</v>
      </c>
      <c r="E583" s="13" t="n">
        <v>1</v>
      </c>
      <c r="F583" s="13" t="s">
        <v>15094</v>
      </c>
      <c r="G583" s="13" t="s">
        <v>15095</v>
      </c>
      <c r="H583" s="13" t="s">
        <v>5924</v>
      </c>
      <c r="I583" s="13" t="s">
        <v>5925</v>
      </c>
    </row>
    <row r="584" customFormat="false" ht="23.85" hidden="false" customHeight="false" outlineLevel="0" collapsed="false">
      <c r="A584" s="13" t="s">
        <v>4</v>
      </c>
      <c r="B584" s="13" t="s">
        <v>68</v>
      </c>
      <c r="C584" s="13" t="n">
        <v>104</v>
      </c>
      <c r="D584" s="13" t="s">
        <v>5926</v>
      </c>
      <c r="E584" s="13" t="n">
        <v>1</v>
      </c>
      <c r="F584" s="13" t="s">
        <v>15094</v>
      </c>
      <c r="G584" s="13" t="s">
        <v>15095</v>
      </c>
      <c r="H584" s="13" t="s">
        <v>5929</v>
      </c>
      <c r="I584" s="13" t="s">
        <v>5930</v>
      </c>
    </row>
    <row r="585" customFormat="false" ht="35.05" hidden="false" customHeight="false" outlineLevel="0" collapsed="false">
      <c r="A585" s="13" t="s">
        <v>4</v>
      </c>
      <c r="B585" s="13" t="s">
        <v>68</v>
      </c>
      <c r="C585" s="13" t="n">
        <v>104</v>
      </c>
      <c r="D585" s="13" t="s">
        <v>5931</v>
      </c>
      <c r="E585" s="13" t="n">
        <v>3</v>
      </c>
      <c r="F585" s="13" t="s">
        <v>15094</v>
      </c>
      <c r="G585" s="13" t="s">
        <v>15095</v>
      </c>
      <c r="H585" s="13" t="s">
        <v>5935</v>
      </c>
      <c r="I585" s="13" t="s">
        <v>5936</v>
      </c>
    </row>
    <row r="586" customFormat="false" ht="35.05" hidden="false" customHeight="false" outlineLevel="0" collapsed="false">
      <c r="A586" s="13" t="s">
        <v>4</v>
      </c>
      <c r="B586" s="13" t="s">
        <v>68</v>
      </c>
      <c r="C586" s="13" t="n">
        <v>104</v>
      </c>
      <c r="D586" s="13" t="s">
        <v>5942</v>
      </c>
      <c r="E586" s="13" t="n">
        <v>3</v>
      </c>
      <c r="F586" s="13" t="s">
        <v>15094</v>
      </c>
      <c r="G586" s="13" t="s">
        <v>15095</v>
      </c>
      <c r="H586" s="13" t="s">
        <v>5945</v>
      </c>
      <c r="I586" s="13" t="s">
        <v>5946</v>
      </c>
    </row>
    <row r="587" customFormat="false" ht="35.05" hidden="false" customHeight="false" outlineLevel="0" collapsed="false">
      <c r="A587" s="13" t="s">
        <v>4</v>
      </c>
      <c r="B587" s="13" t="s">
        <v>68</v>
      </c>
      <c r="C587" s="13" t="n">
        <v>104</v>
      </c>
      <c r="D587" s="13" t="s">
        <v>5952</v>
      </c>
      <c r="E587" s="13" t="n">
        <v>2</v>
      </c>
      <c r="F587" s="13" t="s">
        <v>15094</v>
      </c>
      <c r="G587" s="13" t="s">
        <v>15095</v>
      </c>
      <c r="H587" s="13" t="s">
        <v>5955</v>
      </c>
      <c r="I587" s="13" t="s">
        <v>5956</v>
      </c>
    </row>
    <row r="588" customFormat="false" ht="23.85" hidden="false" customHeight="false" outlineLevel="0" collapsed="false">
      <c r="A588" s="13" t="s">
        <v>4</v>
      </c>
      <c r="B588" s="13" t="s">
        <v>68</v>
      </c>
      <c r="C588" s="13" t="n">
        <v>104</v>
      </c>
      <c r="D588" s="13" t="s">
        <v>5959</v>
      </c>
      <c r="E588" s="13" t="n">
        <v>2</v>
      </c>
      <c r="F588" s="13" t="s">
        <v>15094</v>
      </c>
      <c r="G588" s="13" t="s">
        <v>15095</v>
      </c>
      <c r="H588" s="13" t="s">
        <v>5963</v>
      </c>
      <c r="I588" s="13" t="s">
        <v>5964</v>
      </c>
    </row>
    <row r="589" customFormat="false" ht="169.4" hidden="false" customHeight="false" outlineLevel="0" collapsed="false">
      <c r="A589" s="13" t="s">
        <v>4</v>
      </c>
      <c r="B589" s="13" t="s">
        <v>68</v>
      </c>
      <c r="C589" s="13" t="n">
        <v>104</v>
      </c>
      <c r="D589" s="13" t="s">
        <v>5968</v>
      </c>
      <c r="E589" s="13" t="n">
        <v>4</v>
      </c>
      <c r="F589" s="13" t="s">
        <v>15094</v>
      </c>
      <c r="G589" s="13" t="s">
        <v>15095</v>
      </c>
      <c r="H589" s="13" t="s">
        <v>5972</v>
      </c>
      <c r="I589" s="13" t="s">
        <v>5973</v>
      </c>
    </row>
    <row r="590" customFormat="false" ht="68.65" hidden="false" customHeight="false" outlineLevel="0" collapsed="false">
      <c r="A590" s="13" t="s">
        <v>4</v>
      </c>
      <c r="B590" s="13" t="s">
        <v>68</v>
      </c>
      <c r="C590" s="13" t="n">
        <v>117</v>
      </c>
      <c r="D590" s="13" t="s">
        <v>5983</v>
      </c>
      <c r="E590" s="13" t="n">
        <v>4</v>
      </c>
      <c r="F590" s="13" t="s">
        <v>15094</v>
      </c>
      <c r="G590" s="13" t="s">
        <v>15095</v>
      </c>
      <c r="H590" s="13" t="s">
        <v>5987</v>
      </c>
      <c r="I590" s="13" t="s">
        <v>5988</v>
      </c>
    </row>
    <row r="591" customFormat="false" ht="68.65" hidden="false" customHeight="false" outlineLevel="0" collapsed="false">
      <c r="A591" s="13" t="s">
        <v>4</v>
      </c>
      <c r="B591" s="13" t="s">
        <v>68</v>
      </c>
      <c r="C591" s="13" t="n">
        <v>117</v>
      </c>
      <c r="D591" s="13" t="s">
        <v>5998</v>
      </c>
      <c r="E591" s="13" t="n">
        <v>4</v>
      </c>
      <c r="F591" s="13" t="s">
        <v>15094</v>
      </c>
      <c r="G591" s="13" t="s">
        <v>15095</v>
      </c>
      <c r="H591" s="13" t="s">
        <v>6002</v>
      </c>
      <c r="I591" s="13" t="s">
        <v>6003</v>
      </c>
    </row>
    <row r="592" customFormat="false" ht="46.25" hidden="false" customHeight="false" outlineLevel="0" collapsed="false">
      <c r="A592" s="13" t="s">
        <v>4</v>
      </c>
      <c r="B592" s="13" t="s">
        <v>68</v>
      </c>
      <c r="C592" s="13" t="n">
        <v>117</v>
      </c>
      <c r="D592" s="13" t="s">
        <v>6014</v>
      </c>
      <c r="E592" s="13" t="n">
        <v>2</v>
      </c>
      <c r="F592" s="13" t="s">
        <v>15094</v>
      </c>
      <c r="G592" s="13" t="s">
        <v>15095</v>
      </c>
      <c r="H592" s="13" t="s">
        <v>6018</v>
      </c>
      <c r="I592" s="13" t="s">
        <v>6019</v>
      </c>
    </row>
    <row r="593" customFormat="false" ht="135.8" hidden="false" customHeight="false" outlineLevel="0" collapsed="false">
      <c r="A593" s="13" t="s">
        <v>4</v>
      </c>
      <c r="B593" s="13" t="s">
        <v>68</v>
      </c>
      <c r="C593" s="13" t="n">
        <v>117</v>
      </c>
      <c r="D593" s="13" t="s">
        <v>6023</v>
      </c>
      <c r="E593" s="13" t="n">
        <v>7</v>
      </c>
      <c r="F593" s="13" t="s">
        <v>15094</v>
      </c>
      <c r="G593" s="13" t="s">
        <v>15095</v>
      </c>
      <c r="H593" s="13" t="s">
        <v>6027</v>
      </c>
      <c r="I593" s="13" t="s">
        <v>6028</v>
      </c>
    </row>
    <row r="594" customFormat="false" ht="236.55" hidden="false" customHeight="false" outlineLevel="0" collapsed="false">
      <c r="A594" s="13" t="s">
        <v>4</v>
      </c>
      <c r="B594" s="13" t="s">
        <v>68</v>
      </c>
      <c r="C594" s="13" t="n">
        <v>117</v>
      </c>
      <c r="D594" s="13" t="s">
        <v>6044</v>
      </c>
      <c r="E594" s="13" t="n">
        <v>7</v>
      </c>
      <c r="F594" s="13" t="s">
        <v>15094</v>
      </c>
      <c r="G594" s="13" t="s">
        <v>15095</v>
      </c>
      <c r="H594" s="13" t="s">
        <v>6048</v>
      </c>
      <c r="I594" s="13" t="s">
        <v>6049</v>
      </c>
    </row>
    <row r="595" customFormat="false" ht="79.85" hidden="false" customHeight="false" outlineLevel="0" collapsed="false">
      <c r="A595" s="13" t="s">
        <v>4</v>
      </c>
      <c r="B595" s="13" t="s">
        <v>68</v>
      </c>
      <c r="C595" s="13" t="n">
        <v>143</v>
      </c>
      <c r="D595" s="13" t="s">
        <v>6063</v>
      </c>
      <c r="E595" s="13" t="n">
        <v>5</v>
      </c>
      <c r="F595" s="13" t="s">
        <v>15094</v>
      </c>
      <c r="G595" s="13" t="s">
        <v>15095</v>
      </c>
      <c r="H595" s="13" t="s">
        <v>6067</v>
      </c>
      <c r="I595" s="13" t="s">
        <v>6068</v>
      </c>
    </row>
    <row r="596" customFormat="false" ht="79.85" hidden="false" customHeight="false" outlineLevel="0" collapsed="false">
      <c r="A596" s="13" t="s">
        <v>4</v>
      </c>
      <c r="B596" s="13" t="s">
        <v>68</v>
      </c>
      <c r="C596" s="13" t="n">
        <v>143</v>
      </c>
      <c r="D596" s="13" t="s">
        <v>6079</v>
      </c>
      <c r="E596" s="13" t="n">
        <v>3</v>
      </c>
      <c r="F596" s="13" t="s">
        <v>15094</v>
      </c>
      <c r="G596" s="13" t="s">
        <v>15095</v>
      </c>
      <c r="H596" s="13" t="s">
        <v>6083</v>
      </c>
      <c r="I596" s="13" t="s">
        <v>6084</v>
      </c>
    </row>
    <row r="597" customFormat="false" ht="35.05" hidden="false" customHeight="false" outlineLevel="0" collapsed="false">
      <c r="A597" s="13" t="s">
        <v>4</v>
      </c>
      <c r="B597" s="13" t="s">
        <v>68</v>
      </c>
      <c r="C597" s="13" t="n">
        <v>143</v>
      </c>
      <c r="D597" s="13" t="s">
        <v>6090</v>
      </c>
      <c r="E597" s="13" t="n">
        <v>2</v>
      </c>
      <c r="F597" s="13" t="s">
        <v>15094</v>
      </c>
      <c r="G597" s="13" t="s">
        <v>15095</v>
      </c>
      <c r="H597" s="13" t="s">
        <v>6094</v>
      </c>
      <c r="I597" s="13" t="s">
        <v>6095</v>
      </c>
    </row>
    <row r="598" customFormat="false" ht="135.8" hidden="false" customHeight="false" outlineLevel="0" collapsed="false">
      <c r="A598" s="13" t="s">
        <v>4</v>
      </c>
      <c r="B598" s="13" t="s">
        <v>68</v>
      </c>
      <c r="C598" s="13" t="n">
        <v>143</v>
      </c>
      <c r="D598" s="13" t="s">
        <v>6098</v>
      </c>
      <c r="E598" s="13" t="n">
        <v>4</v>
      </c>
      <c r="F598" s="13" t="s">
        <v>15094</v>
      </c>
      <c r="G598" s="13" t="s">
        <v>15095</v>
      </c>
      <c r="H598" s="13" t="s">
        <v>6102</v>
      </c>
      <c r="I598" s="13" t="s">
        <v>6103</v>
      </c>
    </row>
    <row r="599" customFormat="false" ht="124.6" hidden="false" customHeight="false" outlineLevel="0" collapsed="false">
      <c r="A599" s="13" t="s">
        <v>4</v>
      </c>
      <c r="B599" s="13" t="s">
        <v>68</v>
      </c>
      <c r="C599" s="13" t="n">
        <v>143</v>
      </c>
      <c r="D599" s="13" t="s">
        <v>6111</v>
      </c>
      <c r="E599" s="13" t="n">
        <v>7</v>
      </c>
      <c r="F599" s="13" t="s">
        <v>15094</v>
      </c>
      <c r="G599" s="13" t="s">
        <v>15095</v>
      </c>
      <c r="H599" s="13" t="s">
        <v>6116</v>
      </c>
      <c r="I599" s="13" t="s">
        <v>6117</v>
      </c>
    </row>
    <row r="600" customFormat="false" ht="35.05" hidden="false" customHeight="false" outlineLevel="0" collapsed="false">
      <c r="A600" s="13" t="s">
        <v>4</v>
      </c>
      <c r="B600" s="13" t="s">
        <v>68</v>
      </c>
      <c r="C600" s="13" t="n">
        <v>150</v>
      </c>
      <c r="D600" s="13" t="s">
        <v>6131</v>
      </c>
      <c r="E600" s="13" t="n">
        <v>2</v>
      </c>
      <c r="F600" s="13" t="s">
        <v>15094</v>
      </c>
      <c r="G600" s="13" t="s">
        <v>15095</v>
      </c>
      <c r="H600" s="13" t="s">
        <v>6135</v>
      </c>
      <c r="I600" s="13" t="s">
        <v>6136</v>
      </c>
    </row>
    <row r="601" customFormat="false" ht="23.85" hidden="false" customHeight="false" outlineLevel="0" collapsed="false">
      <c r="A601" s="13" t="s">
        <v>4</v>
      </c>
      <c r="B601" s="13" t="s">
        <v>68</v>
      </c>
      <c r="C601" s="13" t="n">
        <v>150</v>
      </c>
      <c r="D601" s="13" t="s">
        <v>6139</v>
      </c>
      <c r="E601" s="13" t="n">
        <v>1</v>
      </c>
      <c r="F601" s="13" t="s">
        <v>15094</v>
      </c>
      <c r="G601" s="13" t="s">
        <v>15095</v>
      </c>
      <c r="H601" s="13" t="s">
        <v>6142</v>
      </c>
      <c r="I601" s="13" t="s">
        <v>6143</v>
      </c>
    </row>
    <row r="602" customFormat="false" ht="23.85" hidden="false" customHeight="false" outlineLevel="0" collapsed="false">
      <c r="A602" s="13" t="s">
        <v>4</v>
      </c>
      <c r="B602" s="13" t="s">
        <v>68</v>
      </c>
      <c r="C602" s="13" t="n">
        <v>150</v>
      </c>
      <c r="D602" s="13" t="s">
        <v>6144</v>
      </c>
      <c r="E602" s="13" t="n">
        <v>2</v>
      </c>
      <c r="F602" s="13" t="s">
        <v>15094</v>
      </c>
      <c r="G602" s="13" t="s">
        <v>15095</v>
      </c>
      <c r="H602" s="13" t="s">
        <v>6148</v>
      </c>
      <c r="I602" s="13" t="s">
        <v>6149</v>
      </c>
    </row>
    <row r="603" customFormat="false" ht="23.85" hidden="false" customHeight="false" outlineLevel="0" collapsed="false">
      <c r="A603" s="13" t="s">
        <v>4</v>
      </c>
      <c r="B603" s="13" t="s">
        <v>68</v>
      </c>
      <c r="C603" s="13" t="n">
        <v>150</v>
      </c>
      <c r="D603" s="13" t="s">
        <v>6153</v>
      </c>
      <c r="E603" s="13" t="n">
        <v>2</v>
      </c>
      <c r="F603" s="13" t="s">
        <v>15094</v>
      </c>
      <c r="G603" s="13" t="s">
        <v>15095</v>
      </c>
      <c r="H603" s="13" t="s">
        <v>6156</v>
      </c>
      <c r="I603" s="13" t="s">
        <v>6157</v>
      </c>
    </row>
    <row r="604" customFormat="false" ht="23.85" hidden="false" customHeight="false" outlineLevel="0" collapsed="false">
      <c r="A604" s="13" t="s">
        <v>4</v>
      </c>
      <c r="B604" s="13" t="s">
        <v>68</v>
      </c>
      <c r="C604" s="13" t="n">
        <v>150</v>
      </c>
      <c r="D604" s="13" t="s">
        <v>6162</v>
      </c>
      <c r="E604" s="13" t="n">
        <v>1</v>
      </c>
      <c r="F604" s="13" t="s">
        <v>15094</v>
      </c>
      <c r="G604" s="13" t="s">
        <v>15095</v>
      </c>
      <c r="H604" s="13" t="s">
        <v>6165</v>
      </c>
      <c r="I604" s="13" t="s">
        <v>6166</v>
      </c>
    </row>
    <row r="605" customFormat="false" ht="35.05" hidden="false" customHeight="false" outlineLevel="0" collapsed="false">
      <c r="A605" s="13" t="s">
        <v>4</v>
      </c>
      <c r="B605" s="13" t="s">
        <v>68</v>
      </c>
      <c r="C605" s="13" t="n">
        <v>150</v>
      </c>
      <c r="D605" s="13" t="s">
        <v>6167</v>
      </c>
      <c r="E605" s="13" t="n">
        <v>2</v>
      </c>
      <c r="F605" s="13" t="s">
        <v>15094</v>
      </c>
      <c r="G605" s="13" t="s">
        <v>15095</v>
      </c>
      <c r="H605" s="13" t="s">
        <v>6173</v>
      </c>
      <c r="I605" s="13" t="s">
        <v>6174</v>
      </c>
    </row>
    <row r="606" customFormat="false" ht="23.85" hidden="false" customHeight="false" outlineLevel="0" collapsed="false">
      <c r="A606" s="13" t="s">
        <v>4</v>
      </c>
      <c r="B606" s="13" t="s">
        <v>68</v>
      </c>
      <c r="C606" s="13" t="n">
        <v>150</v>
      </c>
      <c r="D606" s="13" t="s">
        <v>6178</v>
      </c>
      <c r="E606" s="13" t="n">
        <v>2</v>
      </c>
      <c r="F606" s="13" t="s">
        <v>15094</v>
      </c>
      <c r="G606" s="13" t="s">
        <v>15095</v>
      </c>
      <c r="H606" s="13" t="s">
        <v>6182</v>
      </c>
      <c r="I606" s="13" t="s">
        <v>6183</v>
      </c>
    </row>
    <row r="607" customFormat="false" ht="15" hidden="false" customHeight="false" outlineLevel="0" collapsed="false">
      <c r="A607" s="13" t="s">
        <v>4</v>
      </c>
      <c r="B607" s="13" t="s">
        <v>68</v>
      </c>
      <c r="C607" s="13" t="n">
        <v>150</v>
      </c>
      <c r="D607" s="13" t="s">
        <v>6186</v>
      </c>
      <c r="E607" s="13" t="n">
        <v>1</v>
      </c>
      <c r="F607" s="13" t="s">
        <v>15094</v>
      </c>
      <c r="G607" s="13" t="s">
        <v>15095</v>
      </c>
      <c r="H607" s="13" t="s">
        <v>6189</v>
      </c>
      <c r="I607" s="13" t="s">
        <v>6190</v>
      </c>
    </row>
    <row r="608" customFormat="false" ht="15" hidden="false" customHeight="false" outlineLevel="0" collapsed="false">
      <c r="A608" s="13" t="s">
        <v>4</v>
      </c>
      <c r="B608" s="13" t="s">
        <v>68</v>
      </c>
      <c r="C608" s="13" t="n">
        <v>150</v>
      </c>
      <c r="D608" s="13" t="s">
        <v>6191</v>
      </c>
      <c r="E608" s="13" t="n">
        <v>1</v>
      </c>
      <c r="F608" s="13" t="s">
        <v>15094</v>
      </c>
      <c r="G608" s="13" t="s">
        <v>15095</v>
      </c>
      <c r="H608" s="13" t="s">
        <v>6195</v>
      </c>
      <c r="I608" s="13" t="s">
        <v>6196</v>
      </c>
    </row>
    <row r="609" customFormat="false" ht="57.45" hidden="false" customHeight="false" outlineLevel="0" collapsed="false">
      <c r="A609" s="13" t="s">
        <v>4</v>
      </c>
      <c r="B609" s="13" t="s">
        <v>68</v>
      </c>
      <c r="C609" s="13" t="n">
        <v>150</v>
      </c>
      <c r="D609" s="13" t="s">
        <v>6197</v>
      </c>
      <c r="E609" s="13" t="n">
        <v>2</v>
      </c>
      <c r="F609" s="13" t="s">
        <v>15094</v>
      </c>
      <c r="G609" s="13" t="s">
        <v>15095</v>
      </c>
      <c r="H609" s="13" t="s">
        <v>6203</v>
      </c>
      <c r="I609" s="13" t="s">
        <v>6204</v>
      </c>
    </row>
    <row r="610" customFormat="false" ht="23.85" hidden="false" customHeight="false" outlineLevel="0" collapsed="false">
      <c r="A610" s="13" t="s">
        <v>4</v>
      </c>
      <c r="B610" s="13" t="s">
        <v>68</v>
      </c>
      <c r="C610" s="13" t="n">
        <v>150</v>
      </c>
      <c r="D610" s="13" t="s">
        <v>6209</v>
      </c>
      <c r="E610" s="13" t="n">
        <v>1</v>
      </c>
      <c r="F610" s="13" t="s">
        <v>15094</v>
      </c>
      <c r="G610" s="13" t="s">
        <v>15095</v>
      </c>
      <c r="H610" s="13" t="s">
        <v>6214</v>
      </c>
      <c r="I610" s="13" t="s">
        <v>6215</v>
      </c>
    </row>
    <row r="611" customFormat="false" ht="46.25" hidden="false" customHeight="false" outlineLevel="0" collapsed="false">
      <c r="A611" s="13" t="s">
        <v>4</v>
      </c>
      <c r="B611" s="13" t="s">
        <v>68</v>
      </c>
      <c r="C611" s="13" t="n">
        <v>150</v>
      </c>
      <c r="D611" s="13" t="s">
        <v>6216</v>
      </c>
      <c r="E611" s="13" t="n">
        <v>2</v>
      </c>
      <c r="F611" s="13" t="s">
        <v>15094</v>
      </c>
      <c r="G611" s="13" t="s">
        <v>15095</v>
      </c>
      <c r="H611" s="13" t="s">
        <v>6220</v>
      </c>
      <c r="I611" s="13" t="s">
        <v>6221</v>
      </c>
    </row>
    <row r="612" customFormat="false" ht="15" hidden="false" customHeight="false" outlineLevel="0" collapsed="false">
      <c r="A612" s="13" t="s">
        <v>4</v>
      </c>
      <c r="B612" s="13" t="s">
        <v>68</v>
      </c>
      <c r="C612" s="13" t="n">
        <v>150</v>
      </c>
      <c r="D612" s="13" t="s">
        <v>6225</v>
      </c>
      <c r="E612" s="13" t="n">
        <v>1</v>
      </c>
      <c r="F612" s="13" t="s">
        <v>15094</v>
      </c>
      <c r="G612" s="13" t="s">
        <v>15095</v>
      </c>
      <c r="H612" s="13" t="s">
        <v>6228</v>
      </c>
      <c r="I612" s="13" t="s">
        <v>6229</v>
      </c>
    </row>
    <row r="613" customFormat="false" ht="23.85" hidden="false" customHeight="false" outlineLevel="0" collapsed="false">
      <c r="A613" s="13" t="s">
        <v>4</v>
      </c>
      <c r="B613" s="13" t="s">
        <v>68</v>
      </c>
      <c r="C613" s="13" t="n">
        <v>150</v>
      </c>
      <c r="D613" s="13" t="s">
        <v>6230</v>
      </c>
      <c r="E613" s="13" t="n">
        <v>1</v>
      </c>
      <c r="F613" s="13" t="s">
        <v>15094</v>
      </c>
      <c r="G613" s="13" t="s">
        <v>15095</v>
      </c>
      <c r="H613" s="13" t="s">
        <v>6235</v>
      </c>
      <c r="I613" s="13" t="s">
        <v>6236</v>
      </c>
    </row>
    <row r="614" customFormat="false" ht="214.15" hidden="false" customHeight="false" outlineLevel="0" collapsed="false">
      <c r="A614" s="13" t="s">
        <v>4</v>
      </c>
      <c r="B614" s="13" t="s">
        <v>68</v>
      </c>
      <c r="C614" s="13" t="n">
        <v>150</v>
      </c>
      <c r="D614" s="13" t="s">
        <v>6237</v>
      </c>
      <c r="E614" s="13" t="n">
        <v>3</v>
      </c>
      <c r="F614" s="13" t="s">
        <v>15094</v>
      </c>
      <c r="G614" s="13" t="s">
        <v>15095</v>
      </c>
      <c r="H614" s="13" t="s">
        <v>6241</v>
      </c>
      <c r="I614" s="13" t="s">
        <v>6242</v>
      </c>
    </row>
    <row r="615" customFormat="false" ht="23.85" hidden="false" customHeight="false" outlineLevel="0" collapsed="false">
      <c r="A615" s="13" t="s">
        <v>4</v>
      </c>
      <c r="B615" s="13" t="s">
        <v>68</v>
      </c>
      <c r="C615" s="13" t="n">
        <v>155</v>
      </c>
      <c r="D615" s="13" t="s">
        <v>6249</v>
      </c>
      <c r="E615" s="13" t="n">
        <v>1</v>
      </c>
      <c r="F615" s="13" t="s">
        <v>15094</v>
      </c>
      <c r="G615" s="13" t="s">
        <v>15095</v>
      </c>
      <c r="H615" s="13" t="s">
        <v>6252</v>
      </c>
      <c r="I615" s="13" t="s">
        <v>6253</v>
      </c>
    </row>
    <row r="616" customFormat="false" ht="15" hidden="false" customHeight="false" outlineLevel="0" collapsed="false">
      <c r="A616" s="13" t="s">
        <v>4</v>
      </c>
      <c r="B616" s="13" t="s">
        <v>68</v>
      </c>
      <c r="C616" s="13" t="n">
        <v>155</v>
      </c>
      <c r="D616" s="13" t="s">
        <v>6254</v>
      </c>
      <c r="E616" s="13" t="n">
        <v>1</v>
      </c>
      <c r="F616" s="13" t="s">
        <v>15094</v>
      </c>
      <c r="G616" s="13" t="s">
        <v>15095</v>
      </c>
      <c r="H616" s="13" t="s">
        <v>6259</v>
      </c>
      <c r="I616" s="13" t="s">
        <v>6260</v>
      </c>
    </row>
    <row r="617" customFormat="false" ht="57.45" hidden="false" customHeight="false" outlineLevel="0" collapsed="false">
      <c r="A617" s="13" t="s">
        <v>4</v>
      </c>
      <c r="B617" s="13" t="s">
        <v>68</v>
      </c>
      <c r="C617" s="13" t="n">
        <v>155</v>
      </c>
      <c r="D617" s="13" t="s">
        <v>6261</v>
      </c>
      <c r="E617" s="13" t="n">
        <v>1</v>
      </c>
      <c r="F617" s="13" t="s">
        <v>15094</v>
      </c>
      <c r="G617" s="13" t="s">
        <v>15095</v>
      </c>
      <c r="H617" s="13" t="s">
        <v>6264</v>
      </c>
      <c r="I617" s="13" t="s">
        <v>6265</v>
      </c>
    </row>
    <row r="618" customFormat="false" ht="35.05" hidden="false" customHeight="false" outlineLevel="0" collapsed="false">
      <c r="A618" s="13" t="s">
        <v>4</v>
      </c>
      <c r="B618" s="13" t="s">
        <v>68</v>
      </c>
      <c r="C618" s="13" t="n">
        <v>155</v>
      </c>
      <c r="D618" s="13" t="s">
        <v>6266</v>
      </c>
      <c r="E618" s="13" t="n">
        <v>1</v>
      </c>
      <c r="F618" s="13" t="s">
        <v>15094</v>
      </c>
      <c r="G618" s="13" t="s">
        <v>15095</v>
      </c>
      <c r="H618" s="13" t="s">
        <v>6271</v>
      </c>
      <c r="I618" s="13" t="s">
        <v>6272</v>
      </c>
    </row>
    <row r="619" customFormat="false" ht="46.25" hidden="false" customHeight="false" outlineLevel="0" collapsed="false">
      <c r="A619" s="13" t="s">
        <v>4</v>
      </c>
      <c r="B619" s="13" t="s">
        <v>68</v>
      </c>
      <c r="C619" s="13" t="n">
        <v>155</v>
      </c>
      <c r="D619" s="13" t="s">
        <v>6273</v>
      </c>
      <c r="E619" s="13" t="n">
        <v>3</v>
      </c>
      <c r="F619" s="13" t="s">
        <v>15094</v>
      </c>
      <c r="G619" s="13" t="s">
        <v>15095</v>
      </c>
      <c r="H619" s="13" t="s">
        <v>6277</v>
      </c>
      <c r="I619" s="13" t="s">
        <v>6278</v>
      </c>
    </row>
    <row r="620" customFormat="false" ht="46.25" hidden="false" customHeight="false" outlineLevel="0" collapsed="false">
      <c r="A620" s="13" t="s">
        <v>4</v>
      </c>
      <c r="B620" s="13" t="s">
        <v>68</v>
      </c>
      <c r="C620" s="13" t="n">
        <v>155</v>
      </c>
      <c r="D620" s="13" t="s">
        <v>6285</v>
      </c>
      <c r="E620" s="13" t="n">
        <v>2</v>
      </c>
      <c r="F620" s="13" t="s">
        <v>15094</v>
      </c>
      <c r="G620" s="13" t="s">
        <v>15095</v>
      </c>
      <c r="H620" s="13" t="s">
        <v>6288</v>
      </c>
      <c r="I620" s="13" t="s">
        <v>6289</v>
      </c>
    </row>
    <row r="621" customFormat="false" ht="91" hidden="false" customHeight="false" outlineLevel="0" collapsed="false">
      <c r="A621" s="13" t="s">
        <v>4</v>
      </c>
      <c r="B621" s="13" t="s">
        <v>68</v>
      </c>
      <c r="C621" s="13" t="n">
        <v>155</v>
      </c>
      <c r="D621" s="13" t="s">
        <v>6293</v>
      </c>
      <c r="E621" s="13" t="n">
        <v>3</v>
      </c>
      <c r="F621" s="13" t="s">
        <v>15094</v>
      </c>
      <c r="G621" s="13" t="s">
        <v>15095</v>
      </c>
      <c r="H621" s="13" t="s">
        <v>6297</v>
      </c>
      <c r="I621" s="13" t="s">
        <v>6298</v>
      </c>
    </row>
    <row r="622" customFormat="false" ht="35.05" hidden="false" customHeight="false" outlineLevel="0" collapsed="false">
      <c r="A622" s="13" t="s">
        <v>4</v>
      </c>
      <c r="B622" s="13" t="s">
        <v>68</v>
      </c>
      <c r="C622" s="13" t="n">
        <v>157</v>
      </c>
      <c r="D622" s="13" t="s">
        <v>6305</v>
      </c>
      <c r="E622" s="13" t="n">
        <v>2</v>
      </c>
      <c r="F622" s="13" t="s">
        <v>15094</v>
      </c>
      <c r="G622" s="13" t="s">
        <v>15095</v>
      </c>
      <c r="H622" s="13" t="s">
        <v>6310</v>
      </c>
      <c r="I622" s="13" t="s">
        <v>6311</v>
      </c>
    </row>
    <row r="623" customFormat="false" ht="15" hidden="false" customHeight="false" outlineLevel="0" collapsed="false">
      <c r="A623" s="13" t="s">
        <v>4</v>
      </c>
      <c r="B623" s="13" t="s">
        <v>68</v>
      </c>
      <c r="C623" s="13" t="n">
        <v>157</v>
      </c>
      <c r="D623" s="13" t="s">
        <v>6315</v>
      </c>
      <c r="E623" s="13" t="n">
        <v>1</v>
      </c>
      <c r="F623" s="13" t="s">
        <v>15094</v>
      </c>
      <c r="G623" s="13" t="s">
        <v>15095</v>
      </c>
      <c r="H623" s="13" t="s">
        <v>6320</v>
      </c>
      <c r="I623" s="13" t="s">
        <v>6321</v>
      </c>
    </row>
    <row r="624" customFormat="false" ht="46.25" hidden="false" customHeight="false" outlineLevel="0" collapsed="false">
      <c r="A624" s="13" t="s">
        <v>4</v>
      </c>
      <c r="B624" s="13" t="s">
        <v>68</v>
      </c>
      <c r="C624" s="13" t="n">
        <v>157</v>
      </c>
      <c r="D624" s="13" t="s">
        <v>6322</v>
      </c>
      <c r="E624" s="13" t="n">
        <v>1</v>
      </c>
      <c r="F624" s="13" t="s">
        <v>15094</v>
      </c>
      <c r="G624" s="13" t="s">
        <v>15095</v>
      </c>
      <c r="H624" s="13" t="s">
        <v>6325</v>
      </c>
      <c r="I624" s="13" t="s">
        <v>6326</v>
      </c>
    </row>
    <row r="625" customFormat="false" ht="35.05" hidden="false" customHeight="false" outlineLevel="0" collapsed="false">
      <c r="A625" s="13" t="s">
        <v>4</v>
      </c>
      <c r="B625" s="13" t="s">
        <v>68</v>
      </c>
      <c r="C625" s="13" t="n">
        <v>157</v>
      </c>
      <c r="D625" s="13" t="s">
        <v>6327</v>
      </c>
      <c r="E625" s="13" t="n">
        <v>2</v>
      </c>
      <c r="F625" s="13" t="s">
        <v>15094</v>
      </c>
      <c r="G625" s="13" t="s">
        <v>15095</v>
      </c>
      <c r="H625" s="13" t="s">
        <v>6331</v>
      </c>
      <c r="I625" s="13" t="s">
        <v>6332</v>
      </c>
    </row>
    <row r="626" customFormat="false" ht="46.25" hidden="false" customHeight="false" outlineLevel="0" collapsed="false">
      <c r="A626" s="13" t="s">
        <v>4</v>
      </c>
      <c r="B626" s="13" t="s">
        <v>68</v>
      </c>
      <c r="C626" s="13" t="n">
        <v>157</v>
      </c>
      <c r="D626" s="13" t="s">
        <v>6337</v>
      </c>
      <c r="E626" s="13" t="n">
        <v>1</v>
      </c>
      <c r="F626" s="13" t="s">
        <v>15094</v>
      </c>
      <c r="G626" s="13" t="s">
        <v>15095</v>
      </c>
      <c r="H626" s="13" t="s">
        <v>6342</v>
      </c>
      <c r="I626" s="13" t="s">
        <v>6343</v>
      </c>
    </row>
    <row r="627" customFormat="false" ht="35.05" hidden="false" customHeight="false" outlineLevel="0" collapsed="false">
      <c r="A627" s="13" t="s">
        <v>4</v>
      </c>
      <c r="B627" s="13" t="s">
        <v>68</v>
      </c>
      <c r="C627" s="13" t="n">
        <v>157</v>
      </c>
      <c r="D627" s="13" t="s">
        <v>6344</v>
      </c>
      <c r="E627" s="13" t="n">
        <v>1</v>
      </c>
      <c r="F627" s="13" t="s">
        <v>15094</v>
      </c>
      <c r="G627" s="13" t="s">
        <v>15095</v>
      </c>
      <c r="H627" s="13" t="s">
        <v>6348</v>
      </c>
      <c r="I627" s="13" t="s">
        <v>6349</v>
      </c>
    </row>
    <row r="628" customFormat="false" ht="23.85" hidden="false" customHeight="false" outlineLevel="0" collapsed="false">
      <c r="A628" s="13" t="s">
        <v>4</v>
      </c>
      <c r="B628" s="13" t="s">
        <v>68</v>
      </c>
      <c r="C628" s="13" t="n">
        <v>157</v>
      </c>
      <c r="D628" s="13" t="s">
        <v>6350</v>
      </c>
      <c r="E628" s="13" t="n">
        <v>1</v>
      </c>
      <c r="F628" s="13" t="s">
        <v>15094</v>
      </c>
      <c r="G628" s="13" t="s">
        <v>15095</v>
      </c>
      <c r="H628" s="13" t="s">
        <v>6352</v>
      </c>
      <c r="I628" s="13" t="s">
        <v>6353</v>
      </c>
    </row>
    <row r="629" customFormat="false" ht="23.85" hidden="false" customHeight="false" outlineLevel="0" collapsed="false">
      <c r="A629" s="13" t="s">
        <v>4</v>
      </c>
      <c r="B629" s="13" t="s">
        <v>68</v>
      </c>
      <c r="C629" s="13" t="n">
        <v>157</v>
      </c>
      <c r="D629" s="13" t="s">
        <v>6354</v>
      </c>
      <c r="E629" s="13" t="n">
        <v>1</v>
      </c>
      <c r="F629" s="13" t="s">
        <v>15094</v>
      </c>
      <c r="G629" s="13" t="s">
        <v>15095</v>
      </c>
      <c r="H629" s="13" t="s">
        <v>6356</v>
      </c>
      <c r="I629" s="13" t="s">
        <v>6357</v>
      </c>
    </row>
    <row r="630" customFormat="false" ht="23.85" hidden="false" customHeight="false" outlineLevel="0" collapsed="false">
      <c r="A630" s="13" t="s">
        <v>4</v>
      </c>
      <c r="B630" s="13" t="s">
        <v>68</v>
      </c>
      <c r="C630" s="13" t="n">
        <v>157</v>
      </c>
      <c r="D630" s="13" t="s">
        <v>6358</v>
      </c>
      <c r="E630" s="13" t="n">
        <v>1</v>
      </c>
      <c r="F630" s="13" t="s">
        <v>15094</v>
      </c>
      <c r="G630" s="13" t="s">
        <v>15095</v>
      </c>
      <c r="H630" s="13" t="s">
        <v>6362</v>
      </c>
      <c r="I630" s="13" t="s">
        <v>6363</v>
      </c>
    </row>
    <row r="631" customFormat="false" ht="23.85" hidden="false" customHeight="false" outlineLevel="0" collapsed="false">
      <c r="A631" s="13" t="s">
        <v>4</v>
      </c>
      <c r="B631" s="13" t="s">
        <v>68</v>
      </c>
      <c r="C631" s="13" t="n">
        <v>157</v>
      </c>
      <c r="D631" s="13" t="s">
        <v>6364</v>
      </c>
      <c r="E631" s="13" t="n">
        <v>1</v>
      </c>
      <c r="F631" s="13" t="s">
        <v>15094</v>
      </c>
      <c r="G631" s="13" t="s">
        <v>15095</v>
      </c>
      <c r="H631" s="13" t="s">
        <v>6367</v>
      </c>
      <c r="I631" s="13" t="s">
        <v>6368</v>
      </c>
    </row>
    <row r="632" customFormat="false" ht="214.15" hidden="false" customHeight="false" outlineLevel="0" collapsed="false">
      <c r="A632" s="13" t="s">
        <v>4</v>
      </c>
      <c r="B632" s="13" t="s">
        <v>68</v>
      </c>
      <c r="C632" s="13" t="n">
        <v>157</v>
      </c>
      <c r="D632" s="13" t="s">
        <v>6369</v>
      </c>
      <c r="E632" s="13" t="n">
        <v>5</v>
      </c>
      <c r="F632" s="13" t="s">
        <v>15094</v>
      </c>
      <c r="G632" s="13" t="s">
        <v>15095</v>
      </c>
      <c r="H632" s="13" t="s">
        <v>6373</v>
      </c>
      <c r="I632" s="13" t="s">
        <v>6374</v>
      </c>
    </row>
    <row r="633" customFormat="false" ht="23.85" hidden="false" customHeight="false" outlineLevel="0" collapsed="false">
      <c r="A633" s="13" t="s">
        <v>4</v>
      </c>
      <c r="B633" s="13" t="s">
        <v>68</v>
      </c>
      <c r="C633" s="13" t="n">
        <v>157</v>
      </c>
      <c r="D633" s="13" t="s">
        <v>6386</v>
      </c>
      <c r="E633" s="13" t="n">
        <v>1</v>
      </c>
      <c r="F633" s="13" t="s">
        <v>15094</v>
      </c>
      <c r="G633" s="13" t="s">
        <v>15095</v>
      </c>
      <c r="H633" s="13" t="s">
        <v>6389</v>
      </c>
      <c r="I633" s="13" t="s">
        <v>6390</v>
      </c>
    </row>
    <row r="634" customFormat="false" ht="23.85" hidden="false" customHeight="false" outlineLevel="0" collapsed="false">
      <c r="A634" s="13" t="s">
        <v>4</v>
      </c>
      <c r="B634" s="13" t="s">
        <v>68</v>
      </c>
      <c r="C634" s="13" t="n">
        <v>165</v>
      </c>
      <c r="D634" s="13" t="s">
        <v>6391</v>
      </c>
      <c r="E634" s="13" t="n">
        <v>2</v>
      </c>
      <c r="F634" s="13" t="s">
        <v>15094</v>
      </c>
      <c r="G634" s="13" t="s">
        <v>15095</v>
      </c>
      <c r="H634" s="13" t="s">
        <v>6395</v>
      </c>
      <c r="I634" s="13" t="s">
        <v>6396</v>
      </c>
    </row>
    <row r="635" customFormat="false" ht="236.55" hidden="false" customHeight="false" outlineLevel="0" collapsed="false">
      <c r="A635" s="13" t="s">
        <v>4</v>
      </c>
      <c r="B635" s="13" t="s">
        <v>68</v>
      </c>
      <c r="C635" s="13" t="n">
        <v>165</v>
      </c>
      <c r="D635" s="13" t="s">
        <v>6400</v>
      </c>
      <c r="E635" s="13" t="n">
        <v>5</v>
      </c>
      <c r="F635" s="13" t="s">
        <v>15094</v>
      </c>
      <c r="G635" s="13" t="s">
        <v>15095</v>
      </c>
      <c r="H635" s="13" t="s">
        <v>6402</v>
      </c>
      <c r="I635" s="13" t="s">
        <v>6403</v>
      </c>
    </row>
    <row r="636" customFormat="false" ht="23.85" hidden="false" customHeight="false" outlineLevel="0" collapsed="false">
      <c r="A636" s="13" t="s">
        <v>4</v>
      </c>
      <c r="B636" s="13" t="s">
        <v>68</v>
      </c>
      <c r="C636" s="13" t="n">
        <v>165</v>
      </c>
      <c r="D636" s="13" t="s">
        <v>6413</v>
      </c>
      <c r="E636" s="13" t="n">
        <v>1</v>
      </c>
      <c r="F636" s="13" t="s">
        <v>15094</v>
      </c>
      <c r="G636" s="13" t="s">
        <v>15095</v>
      </c>
      <c r="H636" s="13" t="s">
        <v>6416</v>
      </c>
      <c r="I636" s="13" t="s">
        <v>6417</v>
      </c>
    </row>
    <row r="637" customFormat="false" ht="46.25" hidden="false" customHeight="false" outlineLevel="0" collapsed="false">
      <c r="A637" s="13" t="s">
        <v>4</v>
      </c>
      <c r="B637" s="13" t="s">
        <v>68</v>
      </c>
      <c r="C637" s="13" t="n">
        <v>165</v>
      </c>
      <c r="D637" s="13" t="s">
        <v>6418</v>
      </c>
      <c r="E637" s="13" t="n">
        <v>2</v>
      </c>
      <c r="F637" s="13" t="s">
        <v>15094</v>
      </c>
      <c r="G637" s="13" t="s">
        <v>15095</v>
      </c>
      <c r="H637" s="13" t="s">
        <v>6421</v>
      </c>
      <c r="I637" s="13" t="s">
        <v>6422</v>
      </c>
    </row>
    <row r="638" customFormat="false" ht="23.85" hidden="false" customHeight="false" outlineLevel="0" collapsed="false">
      <c r="A638" s="13" t="s">
        <v>4</v>
      </c>
      <c r="B638" s="13" t="s">
        <v>68</v>
      </c>
      <c r="C638" s="13" t="n">
        <v>165</v>
      </c>
      <c r="D638" s="13" t="s">
        <v>6425</v>
      </c>
      <c r="E638" s="13" t="n">
        <v>3</v>
      </c>
      <c r="F638" s="13" t="s">
        <v>15094</v>
      </c>
      <c r="G638" s="13" t="s">
        <v>15095</v>
      </c>
      <c r="H638" s="13" t="s">
        <v>6427</v>
      </c>
      <c r="I638" s="13" t="s">
        <v>6428</v>
      </c>
    </row>
    <row r="639" customFormat="false" ht="91" hidden="false" customHeight="false" outlineLevel="0" collapsed="false">
      <c r="A639" s="13" t="s">
        <v>4</v>
      </c>
      <c r="B639" s="13" t="s">
        <v>68</v>
      </c>
      <c r="C639" s="13" t="n">
        <v>213</v>
      </c>
      <c r="D639" s="13" t="s">
        <v>6434</v>
      </c>
      <c r="E639" s="13" t="n">
        <v>2</v>
      </c>
      <c r="F639" s="13" t="s">
        <v>15094</v>
      </c>
      <c r="G639" s="13" t="s">
        <v>15095</v>
      </c>
      <c r="H639" s="13" t="s">
        <v>6439</v>
      </c>
      <c r="I639" s="13" t="s">
        <v>6440</v>
      </c>
    </row>
    <row r="640" customFormat="false" ht="46.25" hidden="false" customHeight="false" outlineLevel="0" collapsed="false">
      <c r="A640" s="13" t="s">
        <v>4</v>
      </c>
      <c r="B640" s="13" t="s">
        <v>68</v>
      </c>
      <c r="C640" s="13" t="n">
        <v>213</v>
      </c>
      <c r="D640" s="13" t="s">
        <v>6444</v>
      </c>
      <c r="E640" s="13" t="n">
        <v>1</v>
      </c>
      <c r="F640" s="13" t="s">
        <v>15094</v>
      </c>
      <c r="G640" s="13" t="s">
        <v>15095</v>
      </c>
      <c r="H640" s="13" t="s">
        <v>6448</v>
      </c>
      <c r="I640" s="13" t="s">
        <v>6449</v>
      </c>
    </row>
    <row r="641" customFormat="false" ht="23.85" hidden="false" customHeight="false" outlineLevel="0" collapsed="false">
      <c r="A641" s="13" t="s">
        <v>4</v>
      </c>
      <c r="B641" s="13" t="s">
        <v>68</v>
      </c>
      <c r="C641" s="13" t="n">
        <v>213</v>
      </c>
      <c r="D641" s="13" t="s">
        <v>15127</v>
      </c>
      <c r="E641" s="13" t="n">
        <v>0</v>
      </c>
      <c r="F641" s="13" t="s">
        <v>15097</v>
      </c>
      <c r="G641" s="13" t="s">
        <v>15095</v>
      </c>
      <c r="H641" s="13" t="s">
        <v>15128</v>
      </c>
      <c r="I641" s="13" t="s">
        <v>15129</v>
      </c>
    </row>
    <row r="642" customFormat="false" ht="46.25" hidden="false" customHeight="false" outlineLevel="0" collapsed="false">
      <c r="A642" s="13" t="s">
        <v>4</v>
      </c>
      <c r="B642" s="13" t="s">
        <v>68</v>
      </c>
      <c r="C642" s="13" t="n">
        <v>213</v>
      </c>
      <c r="D642" s="13" t="s">
        <v>6450</v>
      </c>
      <c r="E642" s="13" t="n">
        <v>2</v>
      </c>
      <c r="F642" s="13" t="s">
        <v>15094</v>
      </c>
      <c r="G642" s="13" t="s">
        <v>15095</v>
      </c>
      <c r="H642" s="13" t="s">
        <v>6454</v>
      </c>
      <c r="I642" s="13" t="s">
        <v>6455</v>
      </c>
    </row>
    <row r="643" customFormat="false" ht="191.75" hidden="false" customHeight="false" outlineLevel="0" collapsed="false">
      <c r="A643" s="13" t="s">
        <v>4</v>
      </c>
      <c r="B643" s="13" t="s">
        <v>68</v>
      </c>
      <c r="C643" s="13" t="n">
        <v>213</v>
      </c>
      <c r="D643" s="13" t="s">
        <v>6459</v>
      </c>
      <c r="E643" s="13" t="n">
        <v>5</v>
      </c>
      <c r="F643" s="13" t="s">
        <v>15094</v>
      </c>
      <c r="G643" s="13" t="s">
        <v>15095</v>
      </c>
      <c r="H643" s="13" t="s">
        <v>6462</v>
      </c>
      <c r="I643" s="13" t="s">
        <v>6463</v>
      </c>
    </row>
    <row r="644" customFormat="false" ht="68.65" hidden="false" customHeight="false" outlineLevel="0" collapsed="false">
      <c r="A644" s="13" t="s">
        <v>4</v>
      </c>
      <c r="B644" s="13" t="s">
        <v>68</v>
      </c>
      <c r="C644" s="13" t="n">
        <v>258</v>
      </c>
      <c r="D644" s="13" t="s">
        <v>6475</v>
      </c>
      <c r="E644" s="13" t="n">
        <v>4</v>
      </c>
      <c r="F644" s="13" t="s">
        <v>15094</v>
      </c>
      <c r="G644" s="13" t="s">
        <v>15095</v>
      </c>
      <c r="H644" s="13" t="s">
        <v>6478</v>
      </c>
      <c r="I644" s="13" t="s">
        <v>6479</v>
      </c>
    </row>
    <row r="645" customFormat="false" ht="68.65" hidden="false" customHeight="false" outlineLevel="0" collapsed="false">
      <c r="A645" s="13" t="s">
        <v>4</v>
      </c>
      <c r="B645" s="13" t="s">
        <v>68</v>
      </c>
      <c r="C645" s="13" t="n">
        <v>258</v>
      </c>
      <c r="D645" s="13" t="s">
        <v>6488</v>
      </c>
      <c r="E645" s="13" t="n">
        <v>1</v>
      </c>
      <c r="F645" s="13" t="s">
        <v>15094</v>
      </c>
      <c r="G645" s="13" t="s">
        <v>15095</v>
      </c>
      <c r="H645" s="13" t="s">
        <v>6492</v>
      </c>
      <c r="I645" s="13" t="s">
        <v>6493</v>
      </c>
    </row>
    <row r="646" customFormat="false" ht="23.85" hidden="false" customHeight="false" outlineLevel="0" collapsed="false">
      <c r="A646" s="13" t="s">
        <v>4</v>
      </c>
      <c r="B646" s="13" t="s">
        <v>68</v>
      </c>
      <c r="C646" s="13" t="n">
        <v>258</v>
      </c>
      <c r="D646" s="13" t="s">
        <v>15130</v>
      </c>
      <c r="E646" s="13" t="n">
        <v>0</v>
      </c>
      <c r="F646" s="13" t="s">
        <v>15097</v>
      </c>
      <c r="G646" s="13" t="s">
        <v>15095</v>
      </c>
      <c r="H646" s="13" t="s">
        <v>15131</v>
      </c>
      <c r="I646" s="13" t="s">
        <v>15132</v>
      </c>
    </row>
    <row r="647" customFormat="false" ht="35.05" hidden="false" customHeight="false" outlineLevel="0" collapsed="false">
      <c r="A647" s="13" t="s">
        <v>4</v>
      </c>
      <c r="B647" s="13" t="s">
        <v>68</v>
      </c>
      <c r="C647" s="13" t="n">
        <v>258</v>
      </c>
      <c r="D647" s="13" t="s">
        <v>6494</v>
      </c>
      <c r="E647" s="13" t="n">
        <v>1</v>
      </c>
      <c r="F647" s="13" t="s">
        <v>15094</v>
      </c>
      <c r="G647" s="13" t="s">
        <v>15095</v>
      </c>
      <c r="H647" s="13" t="s">
        <v>6498</v>
      </c>
      <c r="I647" s="13" t="s">
        <v>6499</v>
      </c>
    </row>
    <row r="648" customFormat="false" ht="15" hidden="false" customHeight="false" outlineLevel="0" collapsed="false">
      <c r="A648" s="13" t="s">
        <v>4</v>
      </c>
      <c r="B648" s="13" t="s">
        <v>68</v>
      </c>
      <c r="C648" s="13" t="n">
        <v>258</v>
      </c>
      <c r="D648" s="13" t="s">
        <v>15133</v>
      </c>
      <c r="E648" s="13" t="n">
        <v>0</v>
      </c>
      <c r="F648" s="13" t="s">
        <v>15097</v>
      </c>
      <c r="G648" s="13" t="s">
        <v>15095</v>
      </c>
      <c r="H648" s="13" t="s">
        <v>15134</v>
      </c>
      <c r="I648" s="13" t="s">
        <v>15135</v>
      </c>
    </row>
    <row r="649" customFormat="false" ht="68.65" hidden="false" customHeight="false" outlineLevel="0" collapsed="false">
      <c r="A649" s="13" t="s">
        <v>4</v>
      </c>
      <c r="B649" s="13" t="s">
        <v>68</v>
      </c>
      <c r="C649" s="13" t="n">
        <v>258</v>
      </c>
      <c r="D649" s="13" t="s">
        <v>6500</v>
      </c>
      <c r="E649" s="13" t="n">
        <v>3</v>
      </c>
      <c r="F649" s="13" t="s">
        <v>15094</v>
      </c>
      <c r="G649" s="13" t="s">
        <v>15095</v>
      </c>
      <c r="H649" s="13" t="s">
        <v>6505</v>
      </c>
      <c r="I649" s="13" t="s">
        <v>6506</v>
      </c>
    </row>
    <row r="650" customFormat="false" ht="68.65" hidden="false" customHeight="false" outlineLevel="0" collapsed="false">
      <c r="A650" s="13" t="s">
        <v>4</v>
      </c>
      <c r="B650" s="13" t="s">
        <v>68</v>
      </c>
      <c r="C650" s="13" t="n">
        <v>258</v>
      </c>
      <c r="D650" s="13" t="s">
        <v>6513</v>
      </c>
      <c r="E650" s="13" t="n">
        <v>4</v>
      </c>
      <c r="F650" s="13" t="s">
        <v>15094</v>
      </c>
      <c r="G650" s="13" t="s">
        <v>15095</v>
      </c>
      <c r="H650" s="13" t="s">
        <v>6517</v>
      </c>
      <c r="I650" s="13" t="s">
        <v>6518</v>
      </c>
    </row>
    <row r="651" customFormat="false" ht="15" hidden="false" customHeight="false" outlineLevel="0" collapsed="false">
      <c r="A651" s="13" t="s">
        <v>4</v>
      </c>
      <c r="B651" s="13" t="s">
        <v>68</v>
      </c>
      <c r="C651" s="13" t="n">
        <v>258</v>
      </c>
      <c r="D651" s="13" t="s">
        <v>6528</v>
      </c>
      <c r="E651" s="13" t="n">
        <v>1</v>
      </c>
      <c r="F651" s="13" t="s">
        <v>15094</v>
      </c>
      <c r="G651" s="13" t="s">
        <v>15095</v>
      </c>
      <c r="H651" s="13" t="s">
        <v>6531</v>
      </c>
      <c r="I651" s="13" t="s">
        <v>6532</v>
      </c>
    </row>
    <row r="652" customFormat="false" ht="113.4" hidden="false" customHeight="false" outlineLevel="0" collapsed="false">
      <c r="A652" s="13" t="s">
        <v>4</v>
      </c>
      <c r="B652" s="13" t="s">
        <v>68</v>
      </c>
      <c r="C652" s="13" t="n">
        <v>258</v>
      </c>
      <c r="D652" s="13" t="s">
        <v>6533</v>
      </c>
      <c r="E652" s="13" t="n">
        <v>13</v>
      </c>
      <c r="F652" s="13" t="s">
        <v>15094</v>
      </c>
      <c r="G652" s="13" t="s">
        <v>15095</v>
      </c>
      <c r="H652" s="13" t="s">
        <v>6537</v>
      </c>
      <c r="I652" s="13" t="s">
        <v>6538</v>
      </c>
    </row>
    <row r="653" customFormat="false" ht="158.2" hidden="false" customHeight="false" outlineLevel="0" collapsed="false">
      <c r="A653" s="13" t="s">
        <v>4</v>
      </c>
      <c r="B653" s="13" t="s">
        <v>68</v>
      </c>
      <c r="C653" s="13" t="n">
        <v>291</v>
      </c>
      <c r="D653" s="13" t="s">
        <v>6565</v>
      </c>
      <c r="E653" s="13" t="n">
        <v>6</v>
      </c>
      <c r="F653" s="13" t="s">
        <v>15094</v>
      </c>
      <c r="G653" s="13" t="s">
        <v>15095</v>
      </c>
      <c r="H653" s="13" t="s">
        <v>6570</v>
      </c>
      <c r="I653" s="13" t="s">
        <v>6571</v>
      </c>
    </row>
    <row r="654" customFormat="false" ht="79.85" hidden="false" customHeight="false" outlineLevel="0" collapsed="false">
      <c r="A654" s="13" t="s">
        <v>4</v>
      </c>
      <c r="B654" s="13" t="s">
        <v>68</v>
      </c>
      <c r="C654" s="13" t="n">
        <v>291</v>
      </c>
      <c r="D654" s="13" t="s">
        <v>6585</v>
      </c>
      <c r="E654" s="13" t="n">
        <v>2</v>
      </c>
      <c r="F654" s="13" t="s">
        <v>15094</v>
      </c>
      <c r="G654" s="13" t="s">
        <v>15095</v>
      </c>
      <c r="H654" s="13" t="s">
        <v>6587</v>
      </c>
      <c r="I654" s="13" t="s">
        <v>6588</v>
      </c>
    </row>
    <row r="655" customFormat="false" ht="79.85" hidden="false" customHeight="false" outlineLevel="0" collapsed="false">
      <c r="A655" s="13" t="s">
        <v>4</v>
      </c>
      <c r="B655" s="13" t="s">
        <v>68</v>
      </c>
      <c r="C655" s="13" t="n">
        <v>291</v>
      </c>
      <c r="D655" s="13" t="s">
        <v>6591</v>
      </c>
      <c r="E655" s="13" t="n">
        <v>2</v>
      </c>
      <c r="F655" s="13" t="s">
        <v>15094</v>
      </c>
      <c r="G655" s="13" t="s">
        <v>15095</v>
      </c>
      <c r="H655" s="13" t="s">
        <v>6593</v>
      </c>
      <c r="I655" s="13" t="s">
        <v>6594</v>
      </c>
    </row>
    <row r="656" customFormat="false" ht="68.65" hidden="false" customHeight="false" outlineLevel="0" collapsed="false">
      <c r="A656" s="13" t="s">
        <v>4</v>
      </c>
      <c r="B656" s="13" t="s">
        <v>68</v>
      </c>
      <c r="C656" s="13" t="n">
        <v>291</v>
      </c>
      <c r="D656" s="13" t="s">
        <v>6597</v>
      </c>
      <c r="E656" s="13" t="n">
        <v>2</v>
      </c>
      <c r="F656" s="13" t="s">
        <v>15094</v>
      </c>
      <c r="G656" s="13" t="s">
        <v>15095</v>
      </c>
      <c r="H656" s="13" t="s">
        <v>6599</v>
      </c>
      <c r="I656" s="13" t="s">
        <v>6600</v>
      </c>
    </row>
    <row r="657" customFormat="false" ht="23.85" hidden="false" customHeight="false" outlineLevel="0" collapsed="false">
      <c r="A657" s="13" t="s">
        <v>4</v>
      </c>
      <c r="B657" s="13" t="s">
        <v>68</v>
      </c>
      <c r="C657" s="13" t="n">
        <v>291</v>
      </c>
      <c r="D657" s="13" t="s">
        <v>6603</v>
      </c>
      <c r="E657" s="13" t="n">
        <v>1</v>
      </c>
      <c r="F657" s="13" t="s">
        <v>15094</v>
      </c>
      <c r="G657" s="13" t="s">
        <v>15095</v>
      </c>
      <c r="H657" s="13" t="s">
        <v>6607</v>
      </c>
      <c r="I657" s="13" t="s">
        <v>6608</v>
      </c>
    </row>
    <row r="658" customFormat="false" ht="91" hidden="false" customHeight="false" outlineLevel="0" collapsed="false">
      <c r="A658" s="13" t="s">
        <v>4</v>
      </c>
      <c r="B658" s="13" t="s">
        <v>68</v>
      </c>
      <c r="C658" s="13" t="n">
        <v>291</v>
      </c>
      <c r="D658" s="13" t="s">
        <v>6609</v>
      </c>
      <c r="E658" s="13" t="n">
        <v>3</v>
      </c>
      <c r="F658" s="13" t="s">
        <v>15094</v>
      </c>
      <c r="G658" s="13" t="s">
        <v>15095</v>
      </c>
      <c r="H658" s="13" t="s">
        <v>6612</v>
      </c>
      <c r="I658" s="13" t="s">
        <v>6613</v>
      </c>
    </row>
    <row r="659" customFormat="false" ht="135.8" hidden="false" customHeight="false" outlineLevel="0" collapsed="false">
      <c r="A659" s="13" t="s">
        <v>4</v>
      </c>
      <c r="B659" s="13" t="s">
        <v>68</v>
      </c>
      <c r="C659" s="13" t="n">
        <v>310</v>
      </c>
      <c r="D659" s="13" t="s">
        <v>6620</v>
      </c>
      <c r="E659" s="13" t="n">
        <v>4</v>
      </c>
      <c r="F659" s="13" t="s">
        <v>15094</v>
      </c>
      <c r="G659" s="13" t="s">
        <v>15095</v>
      </c>
      <c r="H659" s="13" t="s">
        <v>6624</v>
      </c>
      <c r="I659" s="13" t="s">
        <v>6625</v>
      </c>
    </row>
    <row r="660" customFormat="false" ht="91" hidden="false" customHeight="false" outlineLevel="0" collapsed="false">
      <c r="A660" s="13" t="s">
        <v>4</v>
      </c>
      <c r="B660" s="13" t="s">
        <v>68</v>
      </c>
      <c r="C660" s="13" t="n">
        <v>310</v>
      </c>
      <c r="D660" s="13" t="s">
        <v>6635</v>
      </c>
      <c r="E660" s="13" t="n">
        <v>2</v>
      </c>
      <c r="F660" s="13" t="s">
        <v>15094</v>
      </c>
      <c r="G660" s="13" t="s">
        <v>15095</v>
      </c>
      <c r="H660" s="13" t="s">
        <v>6640</v>
      </c>
      <c r="I660" s="13" t="s">
        <v>6641</v>
      </c>
    </row>
    <row r="661" customFormat="false" ht="23.85" hidden="false" customHeight="false" outlineLevel="0" collapsed="false">
      <c r="A661" s="13" t="s">
        <v>4</v>
      </c>
      <c r="B661" s="13" t="s">
        <v>68</v>
      </c>
      <c r="C661" s="13" t="n">
        <v>310</v>
      </c>
      <c r="D661" s="13" t="s">
        <v>6645</v>
      </c>
      <c r="E661" s="13" t="n">
        <v>2</v>
      </c>
      <c r="F661" s="13" t="s">
        <v>15094</v>
      </c>
      <c r="G661" s="13" t="s">
        <v>15095</v>
      </c>
      <c r="H661" s="13" t="s">
        <v>6648</v>
      </c>
      <c r="I661" s="13" t="s">
        <v>6649</v>
      </c>
    </row>
    <row r="662" customFormat="false" ht="23.85" hidden="false" customHeight="false" outlineLevel="0" collapsed="false">
      <c r="A662" s="13" t="s">
        <v>4</v>
      </c>
      <c r="B662" s="13" t="s">
        <v>68</v>
      </c>
      <c r="C662" s="13" t="n">
        <v>310</v>
      </c>
      <c r="D662" s="13" t="s">
        <v>6653</v>
      </c>
      <c r="E662" s="13" t="n">
        <v>1</v>
      </c>
      <c r="F662" s="13" t="s">
        <v>15094</v>
      </c>
      <c r="G662" s="13" t="s">
        <v>15095</v>
      </c>
      <c r="H662" s="13" t="s">
        <v>6657</v>
      </c>
      <c r="I662" s="13" t="s">
        <v>6658</v>
      </c>
    </row>
    <row r="663" customFormat="false" ht="15" hidden="false" customHeight="false" outlineLevel="0" collapsed="false">
      <c r="A663" s="13" t="s">
        <v>4</v>
      </c>
      <c r="B663" s="13" t="s">
        <v>68</v>
      </c>
      <c r="C663" s="13" t="n">
        <v>310</v>
      </c>
      <c r="D663" s="13" t="s">
        <v>6659</v>
      </c>
      <c r="E663" s="13" t="n">
        <v>1</v>
      </c>
      <c r="F663" s="13" t="s">
        <v>15094</v>
      </c>
      <c r="G663" s="13" t="s">
        <v>15095</v>
      </c>
      <c r="H663" s="13" t="s">
        <v>6663</v>
      </c>
      <c r="I663" s="13" t="s">
        <v>6664</v>
      </c>
    </row>
    <row r="664" customFormat="false" ht="370.85" hidden="false" customHeight="false" outlineLevel="0" collapsed="false">
      <c r="A664" s="13" t="s">
        <v>4</v>
      </c>
      <c r="B664" s="13" t="s">
        <v>68</v>
      </c>
      <c r="C664" s="13" t="n">
        <v>310</v>
      </c>
      <c r="D664" s="13" t="s">
        <v>6665</v>
      </c>
      <c r="E664" s="13" t="n">
        <v>7</v>
      </c>
      <c r="F664" s="13" t="s">
        <v>15094</v>
      </c>
      <c r="G664" s="13" t="s">
        <v>15095</v>
      </c>
      <c r="H664" s="13" t="s">
        <v>6669</v>
      </c>
      <c r="I664" s="13" t="s">
        <v>6670</v>
      </c>
    </row>
    <row r="665" customFormat="false" ht="79.85" hidden="false" customHeight="false" outlineLevel="0" collapsed="false">
      <c r="A665" s="13" t="s">
        <v>4</v>
      </c>
      <c r="B665" s="13" t="s">
        <v>68</v>
      </c>
      <c r="C665" s="13" t="n">
        <v>313</v>
      </c>
      <c r="D665" s="13" t="s">
        <v>6689</v>
      </c>
      <c r="E665" s="13" t="n">
        <v>4</v>
      </c>
      <c r="F665" s="13" t="s">
        <v>15094</v>
      </c>
      <c r="G665" s="13" t="s">
        <v>15095</v>
      </c>
      <c r="H665" s="13" t="s">
        <v>6694</v>
      </c>
      <c r="I665" s="13" t="s">
        <v>6695</v>
      </c>
    </row>
    <row r="666" customFormat="false" ht="79.85" hidden="false" customHeight="false" outlineLevel="0" collapsed="false">
      <c r="A666" s="13" t="s">
        <v>4</v>
      </c>
      <c r="B666" s="13" t="s">
        <v>68</v>
      </c>
      <c r="C666" s="13" t="n">
        <v>313</v>
      </c>
      <c r="D666" s="13" t="s">
        <v>6704</v>
      </c>
      <c r="E666" s="13" t="n">
        <v>5</v>
      </c>
      <c r="F666" s="13" t="s">
        <v>15094</v>
      </c>
      <c r="G666" s="13" t="s">
        <v>15095</v>
      </c>
      <c r="H666" s="13" t="s">
        <v>6707</v>
      </c>
      <c r="I666" s="13" t="s">
        <v>6708</v>
      </c>
    </row>
    <row r="667" customFormat="false" ht="79.85" hidden="false" customHeight="false" outlineLevel="0" collapsed="false">
      <c r="A667" s="13" t="s">
        <v>4</v>
      </c>
      <c r="B667" s="13" t="s">
        <v>68</v>
      </c>
      <c r="C667" s="13" t="n">
        <v>313</v>
      </c>
      <c r="D667" s="13" t="s">
        <v>6718</v>
      </c>
      <c r="E667" s="13" t="n">
        <v>6</v>
      </c>
      <c r="F667" s="13" t="s">
        <v>15094</v>
      </c>
      <c r="G667" s="13" t="s">
        <v>15095</v>
      </c>
      <c r="H667" s="13" t="s">
        <v>6721</v>
      </c>
      <c r="I667" s="13" t="s">
        <v>6722</v>
      </c>
    </row>
    <row r="668" customFormat="false" ht="180.55" hidden="false" customHeight="false" outlineLevel="0" collapsed="false">
      <c r="A668" s="13" t="s">
        <v>4</v>
      </c>
      <c r="B668" s="13" t="s">
        <v>68</v>
      </c>
      <c r="C668" s="13" t="n">
        <v>313</v>
      </c>
      <c r="D668" s="13" t="s">
        <v>6735</v>
      </c>
      <c r="E668" s="13" t="n">
        <v>8</v>
      </c>
      <c r="F668" s="13" t="s">
        <v>15094</v>
      </c>
      <c r="G668" s="13" t="s">
        <v>15095</v>
      </c>
      <c r="H668" s="13" t="s">
        <v>6738</v>
      </c>
      <c r="I668" s="13" t="s">
        <v>6739</v>
      </c>
    </row>
    <row r="669" customFormat="false" ht="270.1" hidden="false" customHeight="false" outlineLevel="0" collapsed="false">
      <c r="A669" s="13" t="s">
        <v>4</v>
      </c>
      <c r="B669" s="13" t="s">
        <v>68</v>
      </c>
      <c r="C669" s="13" t="n">
        <v>313</v>
      </c>
      <c r="D669" s="13" t="s">
        <v>6759</v>
      </c>
      <c r="E669" s="13" t="n">
        <v>8</v>
      </c>
      <c r="F669" s="13" t="s">
        <v>15094</v>
      </c>
      <c r="G669" s="13" t="s">
        <v>15095</v>
      </c>
      <c r="H669" s="13" t="s">
        <v>6763</v>
      </c>
      <c r="I669" s="13" t="s">
        <v>6764</v>
      </c>
    </row>
    <row r="670" customFormat="false" ht="46.25" hidden="false" customHeight="false" outlineLevel="0" collapsed="false">
      <c r="A670" s="13" t="s">
        <v>4</v>
      </c>
      <c r="B670" s="13" t="s">
        <v>68</v>
      </c>
      <c r="C670" s="13" t="n">
        <v>323</v>
      </c>
      <c r="D670" s="13" t="s">
        <v>6781</v>
      </c>
      <c r="E670" s="13" t="n">
        <v>2</v>
      </c>
      <c r="F670" s="13" t="s">
        <v>15094</v>
      </c>
      <c r="G670" s="13" t="s">
        <v>15095</v>
      </c>
      <c r="H670" s="13" t="s">
        <v>6785</v>
      </c>
      <c r="I670" s="13" t="s">
        <v>6786</v>
      </c>
    </row>
    <row r="671" customFormat="false" ht="35.05" hidden="false" customHeight="false" outlineLevel="0" collapsed="false">
      <c r="A671" s="13" t="s">
        <v>4</v>
      </c>
      <c r="B671" s="13" t="s">
        <v>68</v>
      </c>
      <c r="C671" s="13" t="n">
        <v>323</v>
      </c>
      <c r="D671" s="13" t="s">
        <v>6789</v>
      </c>
      <c r="E671" s="13" t="n">
        <v>2</v>
      </c>
      <c r="F671" s="13" t="s">
        <v>15094</v>
      </c>
      <c r="G671" s="13" t="s">
        <v>15095</v>
      </c>
      <c r="H671" s="13" t="s">
        <v>6792</v>
      </c>
      <c r="I671" s="13" t="s">
        <v>6793</v>
      </c>
    </row>
    <row r="672" customFormat="false" ht="57.45" hidden="false" customHeight="false" outlineLevel="0" collapsed="false">
      <c r="A672" s="13" t="s">
        <v>4</v>
      </c>
      <c r="B672" s="13" t="s">
        <v>68</v>
      </c>
      <c r="C672" s="13" t="n">
        <v>323</v>
      </c>
      <c r="D672" s="13" t="s">
        <v>6797</v>
      </c>
      <c r="E672" s="13" t="n">
        <v>2</v>
      </c>
      <c r="F672" s="13" t="s">
        <v>15094</v>
      </c>
      <c r="G672" s="13" t="s">
        <v>15095</v>
      </c>
      <c r="H672" s="13" t="s">
        <v>6801</v>
      </c>
      <c r="I672" s="13" t="s">
        <v>6802</v>
      </c>
    </row>
    <row r="673" customFormat="false" ht="46.25" hidden="false" customHeight="false" outlineLevel="0" collapsed="false">
      <c r="A673" s="13" t="s">
        <v>4</v>
      </c>
      <c r="B673" s="13" t="s">
        <v>68</v>
      </c>
      <c r="C673" s="13" t="n">
        <v>323</v>
      </c>
      <c r="D673" s="13" t="s">
        <v>6806</v>
      </c>
      <c r="E673" s="13" t="n">
        <v>3</v>
      </c>
      <c r="F673" s="13" t="s">
        <v>15094</v>
      </c>
      <c r="G673" s="13" t="s">
        <v>15095</v>
      </c>
      <c r="H673" s="13" t="s">
        <v>6808</v>
      </c>
      <c r="I673" s="13" t="s">
        <v>6809</v>
      </c>
    </row>
    <row r="674" customFormat="false" ht="35.05" hidden="false" customHeight="false" outlineLevel="0" collapsed="false">
      <c r="A674" s="13" t="s">
        <v>4</v>
      </c>
      <c r="B674" s="13" t="s">
        <v>68</v>
      </c>
      <c r="C674" s="13" t="n">
        <v>323</v>
      </c>
      <c r="D674" s="13" t="s">
        <v>6812</v>
      </c>
      <c r="E674" s="13" t="n">
        <v>1</v>
      </c>
      <c r="F674" s="13" t="s">
        <v>15094</v>
      </c>
      <c r="G674" s="13" t="s">
        <v>15095</v>
      </c>
      <c r="H674" s="13" t="s">
        <v>6817</v>
      </c>
      <c r="I674" s="13" t="s">
        <v>6818</v>
      </c>
    </row>
    <row r="675" customFormat="false" ht="426.85" hidden="false" customHeight="false" outlineLevel="0" collapsed="false">
      <c r="A675" s="13" t="s">
        <v>4</v>
      </c>
      <c r="B675" s="13" t="s">
        <v>68</v>
      </c>
      <c r="C675" s="13" t="n">
        <v>323</v>
      </c>
      <c r="D675" s="13" t="s">
        <v>6819</v>
      </c>
      <c r="E675" s="13" t="n">
        <v>7</v>
      </c>
      <c r="F675" s="13" t="s">
        <v>15094</v>
      </c>
      <c r="G675" s="13" t="s">
        <v>15095</v>
      </c>
      <c r="H675" s="13" t="s">
        <v>6824</v>
      </c>
      <c r="I675" s="13" t="s">
        <v>6825</v>
      </c>
    </row>
    <row r="676" customFormat="false" ht="113.4" hidden="false" customHeight="false" outlineLevel="0" collapsed="false">
      <c r="A676" s="13" t="s">
        <v>4</v>
      </c>
      <c r="B676" s="13" t="s">
        <v>68</v>
      </c>
      <c r="C676" s="13" t="n">
        <v>336</v>
      </c>
      <c r="D676" s="13" t="s">
        <v>6840</v>
      </c>
      <c r="E676" s="13" t="n">
        <v>4</v>
      </c>
      <c r="F676" s="13" t="s">
        <v>15094</v>
      </c>
      <c r="G676" s="13" t="s">
        <v>15095</v>
      </c>
      <c r="H676" s="13" t="s">
        <v>6845</v>
      </c>
      <c r="I676" s="13" t="s">
        <v>6846</v>
      </c>
    </row>
    <row r="677" customFormat="false" ht="147" hidden="false" customHeight="false" outlineLevel="0" collapsed="false">
      <c r="A677" s="13" t="s">
        <v>4</v>
      </c>
      <c r="B677" s="13" t="s">
        <v>68</v>
      </c>
      <c r="C677" s="13" t="n">
        <v>336</v>
      </c>
      <c r="D677" s="13" t="s">
        <v>6853</v>
      </c>
      <c r="E677" s="13" t="n">
        <v>4</v>
      </c>
      <c r="F677" s="13" t="s">
        <v>15094</v>
      </c>
      <c r="G677" s="13" t="s">
        <v>15095</v>
      </c>
      <c r="H677" s="13" t="s">
        <v>6856</v>
      </c>
      <c r="I677" s="13" t="s">
        <v>6857</v>
      </c>
    </row>
    <row r="678" customFormat="false" ht="113.4" hidden="false" customHeight="false" outlineLevel="0" collapsed="false">
      <c r="A678" s="13" t="s">
        <v>4</v>
      </c>
      <c r="B678" s="13" t="s">
        <v>68</v>
      </c>
      <c r="C678" s="13" t="n">
        <v>336</v>
      </c>
      <c r="D678" s="13" t="s">
        <v>6866</v>
      </c>
      <c r="E678" s="13" t="n">
        <v>4</v>
      </c>
      <c r="F678" s="13" t="s">
        <v>15094</v>
      </c>
      <c r="G678" s="13" t="s">
        <v>15095</v>
      </c>
      <c r="H678" s="13" t="s">
        <v>6869</v>
      </c>
      <c r="I678" s="13" t="s">
        <v>6870</v>
      </c>
    </row>
    <row r="679" customFormat="false" ht="79.85" hidden="false" customHeight="false" outlineLevel="0" collapsed="false">
      <c r="A679" s="13" t="s">
        <v>4</v>
      </c>
      <c r="B679" s="13" t="s">
        <v>68</v>
      </c>
      <c r="C679" s="13" t="n">
        <v>336</v>
      </c>
      <c r="D679" s="13" t="s">
        <v>6877</v>
      </c>
      <c r="E679" s="13" t="n">
        <v>4</v>
      </c>
      <c r="F679" s="13" t="s">
        <v>15094</v>
      </c>
      <c r="G679" s="13" t="s">
        <v>15095</v>
      </c>
      <c r="H679" s="13" t="s">
        <v>6880</v>
      </c>
      <c r="I679" s="13" t="s">
        <v>6881</v>
      </c>
    </row>
    <row r="680" customFormat="false" ht="57.45" hidden="false" customHeight="false" outlineLevel="0" collapsed="false">
      <c r="A680" s="13" t="s">
        <v>4</v>
      </c>
      <c r="B680" s="13" t="s">
        <v>68</v>
      </c>
      <c r="C680" s="13" t="n">
        <v>339</v>
      </c>
      <c r="D680" s="13" t="s">
        <v>6892</v>
      </c>
      <c r="E680" s="13" t="n">
        <v>3</v>
      </c>
      <c r="F680" s="13" t="s">
        <v>15094</v>
      </c>
      <c r="G680" s="13" t="s">
        <v>15095</v>
      </c>
      <c r="H680" s="13" t="s">
        <v>6899</v>
      </c>
      <c r="I680" s="13" t="s">
        <v>6900</v>
      </c>
    </row>
    <row r="681" customFormat="false" ht="270.1" hidden="false" customHeight="false" outlineLevel="0" collapsed="false">
      <c r="A681" s="13" t="s">
        <v>4</v>
      </c>
      <c r="B681" s="13" t="s">
        <v>68</v>
      </c>
      <c r="C681" s="13" t="n">
        <v>339</v>
      </c>
      <c r="D681" s="13" t="s">
        <v>6907</v>
      </c>
      <c r="E681" s="13" t="n">
        <v>5</v>
      </c>
      <c r="F681" s="13" t="s">
        <v>15094</v>
      </c>
      <c r="G681" s="13" t="s">
        <v>15095</v>
      </c>
      <c r="H681" s="13" t="s">
        <v>6911</v>
      </c>
      <c r="I681" s="13" t="s">
        <v>6912</v>
      </c>
    </row>
    <row r="682" customFormat="false" ht="91" hidden="false" customHeight="false" outlineLevel="0" collapsed="false">
      <c r="A682" s="13" t="s">
        <v>4</v>
      </c>
      <c r="B682" s="13" t="s">
        <v>68</v>
      </c>
      <c r="C682" s="13" t="n">
        <v>339</v>
      </c>
      <c r="D682" s="13" t="s">
        <v>6925</v>
      </c>
      <c r="E682" s="13" t="n">
        <v>5</v>
      </c>
      <c r="F682" s="13" t="s">
        <v>15094</v>
      </c>
      <c r="G682" s="13" t="s">
        <v>15095</v>
      </c>
      <c r="H682" s="13" t="s">
        <v>6929</v>
      </c>
      <c r="I682" s="13" t="s">
        <v>6930</v>
      </c>
    </row>
    <row r="683" customFormat="false" ht="46.25" hidden="false" customHeight="false" outlineLevel="0" collapsed="false">
      <c r="A683" s="13" t="s">
        <v>4</v>
      </c>
      <c r="B683" s="13" t="s">
        <v>68</v>
      </c>
      <c r="C683" s="13" t="n">
        <v>408</v>
      </c>
      <c r="D683" s="13" t="s">
        <v>6944</v>
      </c>
      <c r="E683" s="13" t="n">
        <v>2</v>
      </c>
      <c r="F683" s="13" t="s">
        <v>15094</v>
      </c>
      <c r="G683" s="13" t="s">
        <v>15095</v>
      </c>
      <c r="H683" s="13" t="s">
        <v>6948</v>
      </c>
      <c r="I683" s="13" t="s">
        <v>6949</v>
      </c>
    </row>
    <row r="684" customFormat="false" ht="46.25" hidden="false" customHeight="false" outlineLevel="0" collapsed="false">
      <c r="A684" s="13" t="s">
        <v>4</v>
      </c>
      <c r="B684" s="13" t="s">
        <v>68</v>
      </c>
      <c r="C684" s="13" t="n">
        <v>408</v>
      </c>
      <c r="D684" s="13" t="s">
        <v>6953</v>
      </c>
      <c r="E684" s="13" t="n">
        <v>2</v>
      </c>
      <c r="F684" s="13" t="s">
        <v>15094</v>
      </c>
      <c r="G684" s="13" t="s">
        <v>15095</v>
      </c>
      <c r="H684" s="13" t="s">
        <v>6956</v>
      </c>
      <c r="I684" s="13" t="s">
        <v>6957</v>
      </c>
    </row>
    <row r="685" customFormat="false" ht="35.05" hidden="false" customHeight="false" outlineLevel="0" collapsed="false">
      <c r="A685" s="13" t="s">
        <v>4</v>
      </c>
      <c r="B685" s="13" t="s">
        <v>68</v>
      </c>
      <c r="C685" s="13" t="n">
        <v>408</v>
      </c>
      <c r="D685" s="13" t="s">
        <v>6959</v>
      </c>
      <c r="E685" s="13" t="n">
        <v>2</v>
      </c>
      <c r="F685" s="13" t="s">
        <v>15094</v>
      </c>
      <c r="G685" s="13" t="s">
        <v>15095</v>
      </c>
      <c r="H685" s="13" t="s">
        <v>6962</v>
      </c>
      <c r="I685" s="13" t="s">
        <v>6963</v>
      </c>
    </row>
    <row r="686" customFormat="false" ht="57.45" hidden="false" customHeight="false" outlineLevel="0" collapsed="false">
      <c r="A686" s="13" t="s">
        <v>4</v>
      </c>
      <c r="B686" s="13" t="s">
        <v>68</v>
      </c>
      <c r="C686" s="13" t="n">
        <v>408</v>
      </c>
      <c r="D686" s="13" t="s">
        <v>6965</v>
      </c>
      <c r="E686" s="13" t="n">
        <v>4</v>
      </c>
      <c r="F686" s="13" t="s">
        <v>15094</v>
      </c>
      <c r="G686" s="13" t="s">
        <v>15095</v>
      </c>
      <c r="H686" s="13" t="s">
        <v>6968</v>
      </c>
      <c r="I686" s="13" t="s">
        <v>6969</v>
      </c>
    </row>
    <row r="687" customFormat="false" ht="57.45" hidden="false" customHeight="false" outlineLevel="0" collapsed="false">
      <c r="A687" s="13" t="s">
        <v>4</v>
      </c>
      <c r="B687" s="13" t="s">
        <v>68</v>
      </c>
      <c r="C687" s="13" t="n">
        <v>408</v>
      </c>
      <c r="D687" s="13" t="s">
        <v>6976</v>
      </c>
      <c r="E687" s="13" t="n">
        <v>4</v>
      </c>
      <c r="F687" s="13" t="s">
        <v>15094</v>
      </c>
      <c r="G687" s="13" t="s">
        <v>15095</v>
      </c>
      <c r="H687" s="13" t="s">
        <v>6980</v>
      </c>
      <c r="I687" s="13" t="s">
        <v>6981</v>
      </c>
    </row>
    <row r="688" customFormat="false" ht="23.85" hidden="false" customHeight="false" outlineLevel="0" collapsed="false">
      <c r="A688" s="13" t="s">
        <v>4</v>
      </c>
      <c r="B688" s="13" t="s">
        <v>68</v>
      </c>
      <c r="C688" s="13" t="n">
        <v>408</v>
      </c>
      <c r="D688" s="13" t="s">
        <v>6987</v>
      </c>
      <c r="E688" s="13" t="n">
        <v>4</v>
      </c>
      <c r="F688" s="13" t="s">
        <v>15094</v>
      </c>
      <c r="G688" s="13" t="s">
        <v>15095</v>
      </c>
      <c r="H688" s="13" t="s">
        <v>6989</v>
      </c>
      <c r="I688" s="13" t="s">
        <v>6990</v>
      </c>
    </row>
    <row r="689" customFormat="false" ht="102.2" hidden="false" customHeight="false" outlineLevel="0" collapsed="false">
      <c r="A689" s="13" t="s">
        <v>4</v>
      </c>
      <c r="B689" s="13" t="s">
        <v>68</v>
      </c>
      <c r="C689" s="13" t="n">
        <v>408</v>
      </c>
      <c r="D689" s="13" t="s">
        <v>6997</v>
      </c>
      <c r="E689" s="13" t="n">
        <v>5</v>
      </c>
      <c r="F689" s="13" t="s">
        <v>15094</v>
      </c>
      <c r="G689" s="13" t="s">
        <v>15095</v>
      </c>
      <c r="H689" s="13" t="s">
        <v>7000</v>
      </c>
      <c r="I689" s="13" t="s">
        <v>7001</v>
      </c>
    </row>
    <row r="690" customFormat="false" ht="79.85" hidden="false" customHeight="false" outlineLevel="0" collapsed="false">
      <c r="A690" s="13" t="s">
        <v>4</v>
      </c>
      <c r="B690" s="13" t="s">
        <v>68</v>
      </c>
      <c r="C690" s="13" t="n">
        <v>408</v>
      </c>
      <c r="D690" s="13" t="s">
        <v>7011</v>
      </c>
      <c r="E690" s="13" t="n">
        <v>5</v>
      </c>
      <c r="F690" s="13" t="s">
        <v>15094</v>
      </c>
      <c r="G690" s="13" t="s">
        <v>15095</v>
      </c>
      <c r="H690" s="13" t="s">
        <v>7014</v>
      </c>
      <c r="I690" s="13" t="s">
        <v>7015</v>
      </c>
    </row>
    <row r="691" customFormat="false" ht="91" hidden="false" customHeight="false" outlineLevel="0" collapsed="false">
      <c r="A691" s="13" t="s">
        <v>4</v>
      </c>
      <c r="B691" s="13" t="s">
        <v>68</v>
      </c>
      <c r="C691" s="13" t="n">
        <v>408</v>
      </c>
      <c r="D691" s="13" t="s">
        <v>7025</v>
      </c>
      <c r="E691" s="13" t="n">
        <v>5</v>
      </c>
      <c r="F691" s="13" t="s">
        <v>15094</v>
      </c>
      <c r="G691" s="13" t="s">
        <v>15095</v>
      </c>
      <c r="H691" s="13" t="s">
        <v>7029</v>
      </c>
      <c r="I691" s="13" t="s">
        <v>7030</v>
      </c>
    </row>
    <row r="692" customFormat="false" ht="35.05" hidden="false" customHeight="false" outlineLevel="0" collapsed="false">
      <c r="A692" s="13" t="s">
        <v>4</v>
      </c>
      <c r="B692" s="13" t="s">
        <v>2150</v>
      </c>
      <c r="C692" s="13" t="n">
        <v>27</v>
      </c>
      <c r="D692" s="13" t="s">
        <v>7038</v>
      </c>
      <c r="E692" s="13" t="n">
        <v>1</v>
      </c>
      <c r="F692" s="13" t="s">
        <v>15094</v>
      </c>
      <c r="G692" s="13" t="s">
        <v>15095</v>
      </c>
      <c r="H692" s="13" t="s">
        <v>7043</v>
      </c>
      <c r="I692" s="13" t="s">
        <v>7044</v>
      </c>
    </row>
    <row r="693" customFormat="false" ht="35.05" hidden="false" customHeight="false" outlineLevel="0" collapsed="false">
      <c r="A693" s="13" t="s">
        <v>4</v>
      </c>
      <c r="B693" s="13" t="s">
        <v>2150</v>
      </c>
      <c r="C693" s="13" t="n">
        <v>27</v>
      </c>
      <c r="D693" s="13" t="s">
        <v>7045</v>
      </c>
      <c r="E693" s="13" t="n">
        <v>3</v>
      </c>
      <c r="F693" s="13" t="s">
        <v>15094</v>
      </c>
      <c r="G693" s="13" t="s">
        <v>15095</v>
      </c>
      <c r="H693" s="13" t="s">
        <v>7048</v>
      </c>
      <c r="I693" s="13" t="s">
        <v>7049</v>
      </c>
    </row>
    <row r="694" customFormat="false" ht="23.85" hidden="false" customHeight="false" outlineLevel="0" collapsed="false">
      <c r="A694" s="13" t="s">
        <v>4</v>
      </c>
      <c r="B694" s="13" t="s">
        <v>2150</v>
      </c>
      <c r="C694" s="13" t="n">
        <v>27</v>
      </c>
      <c r="D694" s="13" t="s">
        <v>7055</v>
      </c>
      <c r="E694" s="13" t="n">
        <v>1</v>
      </c>
      <c r="F694" s="13" t="s">
        <v>15094</v>
      </c>
      <c r="G694" s="13" t="s">
        <v>15095</v>
      </c>
      <c r="H694" s="13" t="s">
        <v>7062</v>
      </c>
      <c r="I694" s="13" t="s">
        <v>7063</v>
      </c>
    </row>
    <row r="695" customFormat="false" ht="15" hidden="false" customHeight="false" outlineLevel="0" collapsed="false">
      <c r="A695" s="13" t="s">
        <v>4</v>
      </c>
      <c r="B695" s="13" t="s">
        <v>2150</v>
      </c>
      <c r="C695" s="13" t="n">
        <v>27</v>
      </c>
      <c r="D695" s="13" t="s">
        <v>7064</v>
      </c>
      <c r="E695" s="13" t="n">
        <v>1</v>
      </c>
      <c r="F695" s="13" t="s">
        <v>15094</v>
      </c>
      <c r="G695" s="13" t="s">
        <v>15095</v>
      </c>
      <c r="H695" s="13" t="s">
        <v>7068</v>
      </c>
      <c r="I695" s="13" t="s">
        <v>7069</v>
      </c>
    </row>
    <row r="696" customFormat="false" ht="79.85" hidden="false" customHeight="false" outlineLevel="0" collapsed="false">
      <c r="A696" s="13" t="s">
        <v>4</v>
      </c>
      <c r="B696" s="13" t="s">
        <v>2150</v>
      </c>
      <c r="C696" s="13" t="n">
        <v>27</v>
      </c>
      <c r="D696" s="13" t="s">
        <v>7070</v>
      </c>
      <c r="E696" s="13" t="n">
        <v>1</v>
      </c>
      <c r="F696" s="13" t="s">
        <v>15094</v>
      </c>
      <c r="G696" s="13" t="s">
        <v>15095</v>
      </c>
      <c r="H696" s="13" t="s">
        <v>7073</v>
      </c>
      <c r="I696" s="13" t="s">
        <v>7074</v>
      </c>
    </row>
    <row r="697" customFormat="false" ht="46.25" hidden="false" customHeight="false" outlineLevel="0" collapsed="false">
      <c r="A697" s="13" t="s">
        <v>4</v>
      </c>
      <c r="B697" s="13" t="s">
        <v>2150</v>
      </c>
      <c r="C697" s="13" t="n">
        <v>27</v>
      </c>
      <c r="D697" s="13" t="s">
        <v>7075</v>
      </c>
      <c r="E697" s="13" t="n">
        <v>2</v>
      </c>
      <c r="F697" s="13" t="s">
        <v>15094</v>
      </c>
      <c r="G697" s="13" t="s">
        <v>15095</v>
      </c>
      <c r="H697" s="13" t="s">
        <v>7078</v>
      </c>
      <c r="I697" s="13" t="s">
        <v>7079</v>
      </c>
    </row>
    <row r="698" customFormat="false" ht="23.85" hidden="false" customHeight="false" outlineLevel="0" collapsed="false">
      <c r="A698" s="13" t="s">
        <v>4</v>
      </c>
      <c r="B698" s="13" t="s">
        <v>2150</v>
      </c>
      <c r="C698" s="13" t="n">
        <v>27</v>
      </c>
      <c r="D698" s="13" t="s">
        <v>7083</v>
      </c>
      <c r="E698" s="13" t="n">
        <v>1</v>
      </c>
      <c r="F698" s="13" t="s">
        <v>15094</v>
      </c>
      <c r="G698" s="13" t="s">
        <v>15095</v>
      </c>
      <c r="H698" s="13" t="s">
        <v>7086</v>
      </c>
      <c r="I698" s="13" t="s">
        <v>7087</v>
      </c>
    </row>
    <row r="699" customFormat="false" ht="68.65" hidden="false" customHeight="false" outlineLevel="0" collapsed="false">
      <c r="A699" s="13" t="s">
        <v>4</v>
      </c>
      <c r="B699" s="13" t="s">
        <v>2150</v>
      </c>
      <c r="C699" s="13" t="n">
        <v>27</v>
      </c>
      <c r="D699" s="13" t="s">
        <v>7088</v>
      </c>
      <c r="E699" s="13" t="n">
        <v>2</v>
      </c>
      <c r="F699" s="13" t="s">
        <v>15094</v>
      </c>
      <c r="G699" s="13" t="s">
        <v>15095</v>
      </c>
      <c r="H699" s="13" t="s">
        <v>7091</v>
      </c>
      <c r="I699" s="13" t="s">
        <v>7092</v>
      </c>
    </row>
    <row r="700" customFormat="false" ht="46.25" hidden="false" customHeight="false" outlineLevel="0" collapsed="false">
      <c r="A700" s="13" t="s">
        <v>4</v>
      </c>
      <c r="B700" s="13" t="s">
        <v>2150</v>
      </c>
      <c r="C700" s="13" t="n">
        <v>27</v>
      </c>
      <c r="D700" s="13" t="s">
        <v>7096</v>
      </c>
      <c r="E700" s="13" t="n">
        <v>1</v>
      </c>
      <c r="F700" s="13" t="s">
        <v>15094</v>
      </c>
      <c r="G700" s="13" t="s">
        <v>15095</v>
      </c>
      <c r="H700" s="13" t="s">
        <v>7099</v>
      </c>
      <c r="I700" s="13" t="s">
        <v>7100</v>
      </c>
    </row>
    <row r="701" customFormat="false" ht="46.25" hidden="false" customHeight="false" outlineLevel="0" collapsed="false">
      <c r="A701" s="13" t="s">
        <v>4</v>
      </c>
      <c r="B701" s="13" t="s">
        <v>2150</v>
      </c>
      <c r="C701" s="13" t="n">
        <v>27</v>
      </c>
      <c r="D701" s="13" t="s">
        <v>7101</v>
      </c>
      <c r="E701" s="13" t="n">
        <v>1</v>
      </c>
      <c r="F701" s="13" t="s">
        <v>15094</v>
      </c>
      <c r="G701" s="13" t="s">
        <v>15095</v>
      </c>
      <c r="H701" s="13" t="s">
        <v>7104</v>
      </c>
      <c r="I701" s="13" t="s">
        <v>7105</v>
      </c>
    </row>
    <row r="702" customFormat="false" ht="23.85" hidden="false" customHeight="false" outlineLevel="0" collapsed="false">
      <c r="A702" s="13" t="s">
        <v>4</v>
      </c>
      <c r="B702" s="13" t="s">
        <v>2150</v>
      </c>
      <c r="C702" s="13" t="n">
        <v>27</v>
      </c>
      <c r="D702" s="13" t="s">
        <v>7106</v>
      </c>
      <c r="E702" s="13" t="n">
        <v>1</v>
      </c>
      <c r="F702" s="13" t="s">
        <v>15094</v>
      </c>
      <c r="G702" s="13" t="s">
        <v>15095</v>
      </c>
      <c r="H702" s="13" t="s">
        <v>7109</v>
      </c>
      <c r="I702" s="13" t="s">
        <v>7110</v>
      </c>
    </row>
    <row r="703" customFormat="false" ht="23.85" hidden="false" customHeight="false" outlineLevel="0" collapsed="false">
      <c r="A703" s="13" t="s">
        <v>4</v>
      </c>
      <c r="B703" s="13" t="s">
        <v>2150</v>
      </c>
      <c r="C703" s="13" t="n">
        <v>27</v>
      </c>
      <c r="D703" s="13" t="s">
        <v>7111</v>
      </c>
      <c r="E703" s="13" t="n">
        <v>1</v>
      </c>
      <c r="F703" s="13" t="s">
        <v>15094</v>
      </c>
      <c r="G703" s="13" t="s">
        <v>15095</v>
      </c>
      <c r="H703" s="13" t="s">
        <v>7114</v>
      </c>
      <c r="I703" s="13" t="s">
        <v>7115</v>
      </c>
    </row>
    <row r="704" customFormat="false" ht="68.65" hidden="false" customHeight="false" outlineLevel="0" collapsed="false">
      <c r="A704" s="13" t="s">
        <v>4</v>
      </c>
      <c r="B704" s="13" t="s">
        <v>2150</v>
      </c>
      <c r="C704" s="13" t="n">
        <v>27</v>
      </c>
      <c r="D704" s="13" t="s">
        <v>7116</v>
      </c>
      <c r="E704" s="13" t="n">
        <v>3</v>
      </c>
      <c r="F704" s="13" t="s">
        <v>15094</v>
      </c>
      <c r="G704" s="13" t="s">
        <v>15095</v>
      </c>
      <c r="H704" s="13" t="s">
        <v>7120</v>
      </c>
      <c r="I704" s="13" t="s">
        <v>7121</v>
      </c>
    </row>
    <row r="705" customFormat="false" ht="23.85" hidden="false" customHeight="false" outlineLevel="0" collapsed="false">
      <c r="A705" s="13" t="s">
        <v>4</v>
      </c>
      <c r="B705" s="13" t="s">
        <v>2150</v>
      </c>
      <c r="C705" s="13" t="n">
        <v>29</v>
      </c>
      <c r="D705" s="13" t="s">
        <v>7128</v>
      </c>
      <c r="E705" s="13" t="n">
        <v>1</v>
      </c>
      <c r="F705" s="13" t="s">
        <v>15094</v>
      </c>
      <c r="G705" s="13" t="s">
        <v>15095</v>
      </c>
      <c r="H705" s="13" t="s">
        <v>7133</v>
      </c>
      <c r="I705" s="13" t="s">
        <v>7134</v>
      </c>
    </row>
    <row r="706" customFormat="false" ht="15" hidden="false" customHeight="false" outlineLevel="0" collapsed="false">
      <c r="A706" s="13" t="s">
        <v>4</v>
      </c>
      <c r="B706" s="13" t="s">
        <v>2150</v>
      </c>
      <c r="C706" s="13" t="n">
        <v>29</v>
      </c>
      <c r="D706" s="13" t="s">
        <v>7135</v>
      </c>
      <c r="E706" s="13" t="n">
        <v>1</v>
      </c>
      <c r="F706" s="13" t="s">
        <v>15094</v>
      </c>
      <c r="G706" s="13" t="s">
        <v>15095</v>
      </c>
      <c r="H706" s="13" t="s">
        <v>7139</v>
      </c>
      <c r="I706" s="13" t="s">
        <v>7140</v>
      </c>
    </row>
    <row r="707" customFormat="false" ht="23.85" hidden="false" customHeight="false" outlineLevel="0" collapsed="false">
      <c r="A707" s="13" t="s">
        <v>4</v>
      </c>
      <c r="B707" s="13" t="s">
        <v>2150</v>
      </c>
      <c r="C707" s="13" t="n">
        <v>29</v>
      </c>
      <c r="D707" s="13" t="s">
        <v>7141</v>
      </c>
      <c r="E707" s="13" t="n">
        <v>1</v>
      </c>
      <c r="F707" s="13" t="s">
        <v>15094</v>
      </c>
      <c r="G707" s="13" t="s">
        <v>15095</v>
      </c>
      <c r="H707" s="13" t="s">
        <v>7144</v>
      </c>
      <c r="I707" s="13" t="s">
        <v>7145</v>
      </c>
    </row>
    <row r="708" customFormat="false" ht="23.85" hidden="false" customHeight="false" outlineLevel="0" collapsed="false">
      <c r="A708" s="13" t="s">
        <v>4</v>
      </c>
      <c r="B708" s="13" t="s">
        <v>2150</v>
      </c>
      <c r="C708" s="13" t="n">
        <v>29</v>
      </c>
      <c r="D708" s="13" t="s">
        <v>7146</v>
      </c>
      <c r="E708" s="13" t="n">
        <v>1</v>
      </c>
      <c r="F708" s="13" t="s">
        <v>15094</v>
      </c>
      <c r="G708" s="13" t="s">
        <v>15095</v>
      </c>
      <c r="H708" s="13" t="s">
        <v>7149</v>
      </c>
      <c r="I708" s="13" t="s">
        <v>7150</v>
      </c>
    </row>
    <row r="709" customFormat="false" ht="15" hidden="false" customHeight="false" outlineLevel="0" collapsed="false">
      <c r="A709" s="13" t="s">
        <v>4</v>
      </c>
      <c r="B709" s="13" t="s">
        <v>2150</v>
      </c>
      <c r="C709" s="13" t="n">
        <v>29</v>
      </c>
      <c r="D709" s="13" t="s">
        <v>7151</v>
      </c>
      <c r="E709" s="13" t="n">
        <v>1</v>
      </c>
      <c r="F709" s="13" t="s">
        <v>15094</v>
      </c>
      <c r="G709" s="13" t="s">
        <v>15095</v>
      </c>
      <c r="H709" s="13" t="s">
        <v>7155</v>
      </c>
      <c r="I709" s="13" t="s">
        <v>7156</v>
      </c>
    </row>
    <row r="710" customFormat="false" ht="15" hidden="false" customHeight="false" outlineLevel="0" collapsed="false">
      <c r="A710" s="13" t="s">
        <v>4</v>
      </c>
      <c r="B710" s="13" t="s">
        <v>2150</v>
      </c>
      <c r="C710" s="13" t="n">
        <v>29</v>
      </c>
      <c r="D710" s="13" t="s">
        <v>7157</v>
      </c>
      <c r="E710" s="13" t="n">
        <v>1</v>
      </c>
      <c r="F710" s="13" t="s">
        <v>15094</v>
      </c>
      <c r="G710" s="13" t="s">
        <v>15095</v>
      </c>
      <c r="H710" s="13" t="s">
        <v>7162</v>
      </c>
      <c r="I710" s="13" t="s">
        <v>7163</v>
      </c>
    </row>
    <row r="711" customFormat="false" ht="15" hidden="false" customHeight="false" outlineLevel="0" collapsed="false">
      <c r="A711" s="13" t="s">
        <v>4</v>
      </c>
      <c r="B711" s="13" t="s">
        <v>2150</v>
      </c>
      <c r="C711" s="13" t="n">
        <v>29</v>
      </c>
      <c r="D711" s="13" t="s">
        <v>7164</v>
      </c>
      <c r="E711" s="13" t="n">
        <v>1</v>
      </c>
      <c r="F711" s="13" t="s">
        <v>15094</v>
      </c>
      <c r="G711" s="13" t="s">
        <v>15095</v>
      </c>
      <c r="H711" s="13" t="s">
        <v>7169</v>
      </c>
      <c r="I711" s="13" t="s">
        <v>7170</v>
      </c>
    </row>
    <row r="712" customFormat="false" ht="15" hidden="false" customHeight="false" outlineLevel="0" collapsed="false">
      <c r="A712" s="13" t="s">
        <v>4</v>
      </c>
      <c r="B712" s="13" t="s">
        <v>2150</v>
      </c>
      <c r="C712" s="13" t="n">
        <v>29</v>
      </c>
      <c r="D712" s="13" t="s">
        <v>7171</v>
      </c>
      <c r="E712" s="13" t="n">
        <v>1</v>
      </c>
      <c r="F712" s="13" t="s">
        <v>15094</v>
      </c>
      <c r="G712" s="13" t="s">
        <v>15095</v>
      </c>
      <c r="H712" s="13" t="s">
        <v>7175</v>
      </c>
      <c r="I712" s="13" t="s">
        <v>7176</v>
      </c>
    </row>
    <row r="713" customFormat="false" ht="35.05" hidden="false" customHeight="false" outlineLevel="0" collapsed="false">
      <c r="A713" s="13" t="s">
        <v>4</v>
      </c>
      <c r="B713" s="13" t="s">
        <v>2150</v>
      </c>
      <c r="C713" s="13" t="n">
        <v>29</v>
      </c>
      <c r="D713" s="13" t="s">
        <v>7177</v>
      </c>
      <c r="E713" s="13" t="n">
        <v>2</v>
      </c>
      <c r="F713" s="13" t="s">
        <v>15094</v>
      </c>
      <c r="G713" s="13" t="s">
        <v>15095</v>
      </c>
      <c r="H713" s="13" t="s">
        <v>7182</v>
      </c>
      <c r="I713" s="13" t="s">
        <v>7183</v>
      </c>
    </row>
    <row r="714" customFormat="false" ht="35.05" hidden="false" customHeight="false" outlineLevel="0" collapsed="false">
      <c r="A714" s="13" t="s">
        <v>4</v>
      </c>
      <c r="B714" s="13" t="s">
        <v>2150</v>
      </c>
      <c r="C714" s="13" t="n">
        <v>29</v>
      </c>
      <c r="D714" s="13" t="s">
        <v>7187</v>
      </c>
      <c r="E714" s="13" t="n">
        <v>1</v>
      </c>
      <c r="F714" s="13" t="s">
        <v>15094</v>
      </c>
      <c r="G714" s="13" t="s">
        <v>15095</v>
      </c>
      <c r="H714" s="13" t="s">
        <v>7192</v>
      </c>
      <c r="I714" s="13" t="s">
        <v>7193</v>
      </c>
    </row>
    <row r="715" customFormat="false" ht="46.25" hidden="false" customHeight="false" outlineLevel="0" collapsed="false">
      <c r="A715" s="13" t="s">
        <v>4</v>
      </c>
      <c r="B715" s="13" t="s">
        <v>2150</v>
      </c>
      <c r="C715" s="13" t="n">
        <v>29</v>
      </c>
      <c r="D715" s="13" t="s">
        <v>7194</v>
      </c>
      <c r="E715" s="13" t="n">
        <v>1</v>
      </c>
      <c r="F715" s="13" t="s">
        <v>15094</v>
      </c>
      <c r="G715" s="13" t="s">
        <v>15095</v>
      </c>
      <c r="H715" s="13" t="s">
        <v>7198</v>
      </c>
      <c r="I715" s="13" t="s">
        <v>7199</v>
      </c>
    </row>
    <row r="716" customFormat="false" ht="15" hidden="false" customHeight="false" outlineLevel="0" collapsed="false">
      <c r="A716" s="13" t="s">
        <v>4</v>
      </c>
      <c r="B716" s="13" t="s">
        <v>2150</v>
      </c>
      <c r="C716" s="13" t="n">
        <v>29</v>
      </c>
      <c r="D716" s="13" t="s">
        <v>7200</v>
      </c>
      <c r="E716" s="13" t="n">
        <v>1</v>
      </c>
      <c r="F716" s="13" t="s">
        <v>15094</v>
      </c>
      <c r="G716" s="13" t="s">
        <v>15095</v>
      </c>
      <c r="H716" s="13" t="s">
        <v>7203</v>
      </c>
      <c r="I716" s="13" t="s">
        <v>7204</v>
      </c>
    </row>
    <row r="717" customFormat="false" ht="15" hidden="false" customHeight="false" outlineLevel="0" collapsed="false">
      <c r="A717" s="13" t="s">
        <v>4</v>
      </c>
      <c r="B717" s="13" t="s">
        <v>2150</v>
      </c>
      <c r="C717" s="13" t="n">
        <v>29</v>
      </c>
      <c r="D717" s="13" t="s">
        <v>7205</v>
      </c>
      <c r="E717" s="13" t="n">
        <v>1</v>
      </c>
      <c r="F717" s="13" t="s">
        <v>15094</v>
      </c>
      <c r="G717" s="13" t="s">
        <v>15095</v>
      </c>
      <c r="H717" s="13" t="s">
        <v>7209</v>
      </c>
      <c r="I717" s="13" t="s">
        <v>7210</v>
      </c>
    </row>
    <row r="718" customFormat="false" ht="23.85" hidden="false" customHeight="false" outlineLevel="0" collapsed="false">
      <c r="A718" s="13" t="s">
        <v>4</v>
      </c>
      <c r="B718" s="13" t="s">
        <v>2150</v>
      </c>
      <c r="C718" s="13" t="n">
        <v>29</v>
      </c>
      <c r="D718" s="13" t="s">
        <v>7211</v>
      </c>
      <c r="E718" s="13" t="n">
        <v>1</v>
      </c>
      <c r="F718" s="13" t="s">
        <v>15094</v>
      </c>
      <c r="G718" s="13" t="s">
        <v>15095</v>
      </c>
      <c r="H718" s="13" t="s">
        <v>7215</v>
      </c>
      <c r="I718" s="13" t="s">
        <v>7216</v>
      </c>
    </row>
    <row r="719" customFormat="false" ht="15" hidden="false" customHeight="false" outlineLevel="0" collapsed="false">
      <c r="A719" s="13" t="s">
        <v>4</v>
      </c>
      <c r="B719" s="13" t="s">
        <v>2150</v>
      </c>
      <c r="C719" s="13" t="n">
        <v>29</v>
      </c>
      <c r="D719" s="13" t="s">
        <v>7217</v>
      </c>
      <c r="E719" s="13" t="n">
        <v>1</v>
      </c>
      <c r="F719" s="13" t="s">
        <v>15094</v>
      </c>
      <c r="G719" s="13" t="s">
        <v>15095</v>
      </c>
      <c r="H719" s="13" t="s">
        <v>7220</v>
      </c>
      <c r="I719" s="13" t="s">
        <v>7221</v>
      </c>
    </row>
    <row r="720" customFormat="false" ht="15" hidden="false" customHeight="false" outlineLevel="0" collapsed="false">
      <c r="A720" s="13" t="s">
        <v>4</v>
      </c>
      <c r="B720" s="13" t="s">
        <v>2150</v>
      </c>
      <c r="C720" s="13" t="n">
        <v>29</v>
      </c>
      <c r="D720" s="13" t="s">
        <v>7222</v>
      </c>
      <c r="E720" s="13" t="n">
        <v>1</v>
      </c>
      <c r="F720" s="13" t="s">
        <v>15094</v>
      </c>
      <c r="G720" s="13" t="s">
        <v>15095</v>
      </c>
      <c r="H720" s="13" t="s">
        <v>7226</v>
      </c>
      <c r="I720" s="13" t="s">
        <v>7227</v>
      </c>
    </row>
    <row r="721" customFormat="false" ht="15" hidden="false" customHeight="false" outlineLevel="0" collapsed="false">
      <c r="A721" s="13" t="s">
        <v>4</v>
      </c>
      <c r="B721" s="13" t="s">
        <v>2150</v>
      </c>
      <c r="C721" s="13" t="n">
        <v>29</v>
      </c>
      <c r="D721" s="13" t="s">
        <v>7228</v>
      </c>
      <c r="E721" s="13" t="n">
        <v>1</v>
      </c>
      <c r="F721" s="13" t="s">
        <v>15094</v>
      </c>
      <c r="G721" s="13" t="s">
        <v>15095</v>
      </c>
      <c r="H721" s="13" t="s">
        <v>7232</v>
      </c>
      <c r="I721" s="13" t="s">
        <v>7233</v>
      </c>
    </row>
    <row r="722" customFormat="false" ht="15" hidden="false" customHeight="false" outlineLevel="0" collapsed="false">
      <c r="A722" s="13" t="s">
        <v>4</v>
      </c>
      <c r="B722" s="13" t="s">
        <v>2150</v>
      </c>
      <c r="C722" s="13" t="n">
        <v>29</v>
      </c>
      <c r="D722" s="13" t="s">
        <v>7234</v>
      </c>
      <c r="E722" s="13" t="n">
        <v>1</v>
      </c>
      <c r="F722" s="13" t="s">
        <v>15094</v>
      </c>
      <c r="G722" s="13" t="s">
        <v>15095</v>
      </c>
      <c r="H722" s="13" t="s">
        <v>7238</v>
      </c>
      <c r="I722" s="13" t="s">
        <v>7239</v>
      </c>
    </row>
    <row r="723" customFormat="false" ht="15" hidden="false" customHeight="false" outlineLevel="0" collapsed="false">
      <c r="A723" s="13" t="s">
        <v>4</v>
      </c>
      <c r="B723" s="13" t="s">
        <v>2150</v>
      </c>
      <c r="C723" s="13" t="n">
        <v>29</v>
      </c>
      <c r="D723" s="13" t="s">
        <v>7240</v>
      </c>
      <c r="E723" s="13" t="n">
        <v>1</v>
      </c>
      <c r="F723" s="13" t="s">
        <v>15094</v>
      </c>
      <c r="G723" s="13" t="s">
        <v>15095</v>
      </c>
      <c r="H723" s="13" t="s">
        <v>7244</v>
      </c>
      <c r="I723" s="13" t="s">
        <v>7245</v>
      </c>
    </row>
    <row r="724" customFormat="false" ht="23.85" hidden="false" customHeight="false" outlineLevel="0" collapsed="false">
      <c r="A724" s="13" t="s">
        <v>4</v>
      </c>
      <c r="B724" s="13" t="s">
        <v>2150</v>
      </c>
      <c r="C724" s="13" t="n">
        <v>29</v>
      </c>
      <c r="D724" s="13" t="s">
        <v>7246</v>
      </c>
      <c r="E724" s="13" t="n">
        <v>2</v>
      </c>
      <c r="F724" s="13" t="s">
        <v>15094</v>
      </c>
      <c r="G724" s="13" t="s">
        <v>15095</v>
      </c>
      <c r="H724" s="13" t="s">
        <v>7250</v>
      </c>
      <c r="I724" s="13" t="s">
        <v>7251</v>
      </c>
    </row>
    <row r="725" customFormat="false" ht="23.85" hidden="false" customHeight="false" outlineLevel="0" collapsed="false">
      <c r="A725" s="13" t="s">
        <v>4</v>
      </c>
      <c r="B725" s="13" t="s">
        <v>2150</v>
      </c>
      <c r="C725" s="13" t="n">
        <v>29</v>
      </c>
      <c r="D725" s="13" t="s">
        <v>7255</v>
      </c>
      <c r="E725" s="13" t="n">
        <v>1</v>
      </c>
      <c r="F725" s="13" t="s">
        <v>15094</v>
      </c>
      <c r="G725" s="13" t="s">
        <v>15095</v>
      </c>
      <c r="H725" s="13" t="s">
        <v>7259</v>
      </c>
      <c r="I725" s="13" t="s">
        <v>7260</v>
      </c>
    </row>
    <row r="726" customFormat="false" ht="15" hidden="false" customHeight="false" outlineLevel="0" collapsed="false">
      <c r="A726" s="13" t="s">
        <v>4</v>
      </c>
      <c r="B726" s="13" t="s">
        <v>2150</v>
      </c>
      <c r="C726" s="13" t="n">
        <v>29</v>
      </c>
      <c r="D726" s="13" t="s">
        <v>7261</v>
      </c>
      <c r="E726" s="13" t="n">
        <v>2</v>
      </c>
      <c r="F726" s="13" t="s">
        <v>15094</v>
      </c>
      <c r="G726" s="13" t="s">
        <v>15095</v>
      </c>
      <c r="H726" s="13" t="s">
        <v>7264</v>
      </c>
      <c r="I726" s="13" t="s">
        <v>7265</v>
      </c>
    </row>
    <row r="727" customFormat="false" ht="23.85" hidden="false" customHeight="false" outlineLevel="0" collapsed="false">
      <c r="A727" s="13" t="s">
        <v>4</v>
      </c>
      <c r="B727" s="13" t="s">
        <v>2150</v>
      </c>
      <c r="C727" s="13" t="n">
        <v>29</v>
      </c>
      <c r="D727" s="13" t="s">
        <v>7269</v>
      </c>
      <c r="E727" s="13" t="n">
        <v>1</v>
      </c>
      <c r="F727" s="13" t="s">
        <v>15094</v>
      </c>
      <c r="G727" s="13" t="s">
        <v>15095</v>
      </c>
      <c r="H727" s="13" t="s">
        <v>7273</v>
      </c>
      <c r="I727" s="13" t="s">
        <v>7274</v>
      </c>
    </row>
    <row r="728" customFormat="false" ht="460.4" hidden="false" customHeight="false" outlineLevel="0" collapsed="false">
      <c r="A728" s="13" t="s">
        <v>4</v>
      </c>
      <c r="B728" s="13" t="s">
        <v>2150</v>
      </c>
      <c r="C728" s="13" t="n">
        <v>29</v>
      </c>
      <c r="D728" s="13" t="s">
        <v>7275</v>
      </c>
      <c r="E728" s="13" t="n">
        <v>3</v>
      </c>
      <c r="F728" s="13" t="s">
        <v>15094</v>
      </c>
      <c r="G728" s="13" t="s">
        <v>15095</v>
      </c>
      <c r="H728" s="13" t="s">
        <v>7280</v>
      </c>
      <c r="I728" s="13" t="s">
        <v>7281</v>
      </c>
    </row>
    <row r="729" customFormat="false" ht="23.85" hidden="false" customHeight="false" outlineLevel="0" collapsed="false">
      <c r="A729" s="13" t="s">
        <v>4</v>
      </c>
      <c r="B729" s="13" t="s">
        <v>2150</v>
      </c>
      <c r="C729" s="13" t="n">
        <v>42</v>
      </c>
      <c r="D729" s="13" t="s">
        <v>7287</v>
      </c>
      <c r="E729" s="13" t="n">
        <v>2</v>
      </c>
      <c r="F729" s="13" t="s">
        <v>15094</v>
      </c>
      <c r="G729" s="13" t="s">
        <v>15095</v>
      </c>
      <c r="H729" s="13" t="s">
        <v>7291</v>
      </c>
      <c r="I729" s="13" t="s">
        <v>7292</v>
      </c>
    </row>
    <row r="730" customFormat="false" ht="15" hidden="false" customHeight="false" outlineLevel="0" collapsed="false">
      <c r="A730" s="13" t="s">
        <v>4</v>
      </c>
      <c r="B730" s="13" t="s">
        <v>2150</v>
      </c>
      <c r="C730" s="13" t="n">
        <v>42</v>
      </c>
      <c r="D730" s="13" t="s">
        <v>7296</v>
      </c>
      <c r="E730" s="13" t="n">
        <v>2</v>
      </c>
      <c r="F730" s="13" t="s">
        <v>15094</v>
      </c>
      <c r="G730" s="13" t="s">
        <v>15095</v>
      </c>
      <c r="H730" s="13" t="s">
        <v>7299</v>
      </c>
      <c r="I730" s="13" t="s">
        <v>7300</v>
      </c>
    </row>
    <row r="731" customFormat="false" ht="15" hidden="false" customHeight="false" outlineLevel="0" collapsed="false">
      <c r="A731" s="13" t="s">
        <v>4</v>
      </c>
      <c r="B731" s="13" t="s">
        <v>2150</v>
      </c>
      <c r="C731" s="13" t="n">
        <v>42</v>
      </c>
      <c r="D731" s="13" t="s">
        <v>7303</v>
      </c>
      <c r="E731" s="13" t="n">
        <v>2</v>
      </c>
      <c r="F731" s="13" t="s">
        <v>15094</v>
      </c>
      <c r="G731" s="13" t="s">
        <v>15095</v>
      </c>
      <c r="H731" s="13" t="s">
        <v>7306</v>
      </c>
      <c r="I731" s="13" t="s">
        <v>7307</v>
      </c>
    </row>
    <row r="732" customFormat="false" ht="15" hidden="false" customHeight="false" outlineLevel="0" collapsed="false">
      <c r="A732" s="13" t="s">
        <v>4</v>
      </c>
      <c r="B732" s="13" t="s">
        <v>2150</v>
      </c>
      <c r="C732" s="13" t="n">
        <v>42</v>
      </c>
      <c r="D732" s="13" t="s">
        <v>7310</v>
      </c>
      <c r="E732" s="13" t="n">
        <v>2</v>
      </c>
      <c r="F732" s="13" t="s">
        <v>15094</v>
      </c>
      <c r="G732" s="13" t="s">
        <v>15095</v>
      </c>
      <c r="H732" s="13" t="s">
        <v>7313</v>
      </c>
      <c r="I732" s="13" t="s">
        <v>7314</v>
      </c>
    </row>
    <row r="733" customFormat="false" ht="23.85" hidden="false" customHeight="false" outlineLevel="0" collapsed="false">
      <c r="A733" s="13" t="s">
        <v>4</v>
      </c>
      <c r="B733" s="13" t="s">
        <v>2150</v>
      </c>
      <c r="C733" s="13" t="n">
        <v>42</v>
      </c>
      <c r="D733" s="13" t="s">
        <v>7317</v>
      </c>
      <c r="E733" s="13" t="n">
        <v>2</v>
      </c>
      <c r="F733" s="13" t="s">
        <v>15094</v>
      </c>
      <c r="G733" s="13" t="s">
        <v>15095</v>
      </c>
      <c r="H733" s="13" t="s">
        <v>7321</v>
      </c>
      <c r="I733" s="13" t="s">
        <v>7322</v>
      </c>
    </row>
    <row r="734" customFormat="false" ht="35.05" hidden="false" customHeight="false" outlineLevel="0" collapsed="false">
      <c r="A734" s="13" t="s">
        <v>4</v>
      </c>
      <c r="B734" s="13" t="s">
        <v>2150</v>
      </c>
      <c r="C734" s="13" t="n">
        <v>42</v>
      </c>
      <c r="D734" s="13" t="s">
        <v>7325</v>
      </c>
      <c r="E734" s="13" t="n">
        <v>3</v>
      </c>
      <c r="F734" s="13" t="s">
        <v>15094</v>
      </c>
      <c r="G734" s="13" t="s">
        <v>15095</v>
      </c>
      <c r="H734" s="13" t="s">
        <v>7329</v>
      </c>
      <c r="I734" s="13" t="s">
        <v>7330</v>
      </c>
    </row>
    <row r="735" customFormat="false" ht="57.45" hidden="false" customHeight="false" outlineLevel="0" collapsed="false">
      <c r="A735" s="13" t="s">
        <v>4</v>
      </c>
      <c r="B735" s="13" t="s">
        <v>2150</v>
      </c>
      <c r="C735" s="13" t="n">
        <v>42</v>
      </c>
      <c r="D735" s="13" t="s">
        <v>7339</v>
      </c>
      <c r="E735" s="13" t="n">
        <v>2</v>
      </c>
      <c r="F735" s="13" t="s">
        <v>15094</v>
      </c>
      <c r="G735" s="13" t="s">
        <v>15095</v>
      </c>
      <c r="H735" s="13" t="s">
        <v>7343</v>
      </c>
      <c r="I735" s="13" t="s">
        <v>7344</v>
      </c>
    </row>
    <row r="736" customFormat="false" ht="23.85" hidden="false" customHeight="false" outlineLevel="0" collapsed="false">
      <c r="A736" s="13" t="s">
        <v>4</v>
      </c>
      <c r="B736" s="13" t="s">
        <v>2150</v>
      </c>
      <c r="C736" s="13" t="n">
        <v>42</v>
      </c>
      <c r="D736" s="13" t="s">
        <v>7348</v>
      </c>
      <c r="E736" s="13" t="n">
        <v>2</v>
      </c>
      <c r="F736" s="13" t="s">
        <v>15094</v>
      </c>
      <c r="G736" s="13" t="s">
        <v>15095</v>
      </c>
      <c r="H736" s="13" t="s">
        <v>7352</v>
      </c>
      <c r="I736" s="13" t="s">
        <v>7353</v>
      </c>
    </row>
    <row r="737" customFormat="false" ht="35.05" hidden="false" customHeight="false" outlineLevel="0" collapsed="false">
      <c r="A737" s="13" t="s">
        <v>4</v>
      </c>
      <c r="B737" s="13" t="s">
        <v>2150</v>
      </c>
      <c r="C737" s="13" t="n">
        <v>42</v>
      </c>
      <c r="D737" s="13" t="s">
        <v>7357</v>
      </c>
      <c r="E737" s="13" t="n">
        <v>1</v>
      </c>
      <c r="F737" s="13" t="s">
        <v>15094</v>
      </c>
      <c r="G737" s="13" t="s">
        <v>15095</v>
      </c>
      <c r="H737" s="13" t="s">
        <v>7362</v>
      </c>
      <c r="I737" s="13" t="s">
        <v>7363</v>
      </c>
    </row>
    <row r="738" customFormat="false" ht="46.25" hidden="false" customHeight="false" outlineLevel="0" collapsed="false">
      <c r="A738" s="13" t="s">
        <v>4</v>
      </c>
      <c r="B738" s="13" t="s">
        <v>2150</v>
      </c>
      <c r="C738" s="13" t="n">
        <v>42</v>
      </c>
      <c r="D738" s="13" t="s">
        <v>7364</v>
      </c>
      <c r="E738" s="13" t="n">
        <v>2</v>
      </c>
      <c r="F738" s="13" t="s">
        <v>15094</v>
      </c>
      <c r="G738" s="13" t="s">
        <v>15095</v>
      </c>
      <c r="H738" s="13" t="s">
        <v>7368</v>
      </c>
      <c r="I738" s="13" t="s">
        <v>7369</v>
      </c>
    </row>
    <row r="739" customFormat="false" ht="124.6" hidden="false" customHeight="false" outlineLevel="0" collapsed="false">
      <c r="A739" s="13" t="s">
        <v>4</v>
      </c>
      <c r="B739" s="13" t="s">
        <v>2150</v>
      </c>
      <c r="C739" s="13" t="n">
        <v>42</v>
      </c>
      <c r="D739" s="13" t="s">
        <v>7373</v>
      </c>
      <c r="E739" s="13" t="n">
        <v>4</v>
      </c>
      <c r="F739" s="13" t="s">
        <v>15094</v>
      </c>
      <c r="G739" s="13" t="s">
        <v>15095</v>
      </c>
      <c r="H739" s="13" t="s">
        <v>7377</v>
      </c>
      <c r="I739" s="13" t="s">
        <v>7378</v>
      </c>
    </row>
    <row r="740" customFormat="false" ht="15" hidden="false" customHeight="false" outlineLevel="0" collapsed="false">
      <c r="A740" s="13" t="s">
        <v>4</v>
      </c>
      <c r="B740" s="13" t="s">
        <v>2150</v>
      </c>
      <c r="C740" s="13" t="n">
        <v>42</v>
      </c>
      <c r="D740" s="13" t="s">
        <v>7388</v>
      </c>
      <c r="E740" s="13" t="n">
        <v>1</v>
      </c>
      <c r="F740" s="13" t="s">
        <v>15094</v>
      </c>
      <c r="G740" s="13" t="s">
        <v>15095</v>
      </c>
      <c r="H740" s="13" t="s">
        <v>7392</v>
      </c>
      <c r="I740" s="13" t="s">
        <v>7393</v>
      </c>
    </row>
    <row r="741" customFormat="false" ht="15" hidden="false" customHeight="false" outlineLevel="0" collapsed="false">
      <c r="A741" s="13" t="s">
        <v>4</v>
      </c>
      <c r="B741" s="13" t="s">
        <v>2150</v>
      </c>
      <c r="C741" s="13" t="n">
        <v>42</v>
      </c>
      <c r="D741" s="13" t="s">
        <v>7394</v>
      </c>
      <c r="E741" s="13" t="n">
        <v>1</v>
      </c>
      <c r="F741" s="13" t="s">
        <v>15094</v>
      </c>
      <c r="G741" s="13" t="s">
        <v>15095</v>
      </c>
      <c r="H741" s="13" t="s">
        <v>7396</v>
      </c>
      <c r="I741" s="13" t="s">
        <v>7397</v>
      </c>
    </row>
    <row r="742" customFormat="false" ht="23.85" hidden="false" customHeight="false" outlineLevel="0" collapsed="false">
      <c r="A742" s="13" t="s">
        <v>4</v>
      </c>
      <c r="B742" s="13" t="s">
        <v>2150</v>
      </c>
      <c r="C742" s="13" t="n">
        <v>42</v>
      </c>
      <c r="D742" s="13" t="s">
        <v>7398</v>
      </c>
      <c r="E742" s="13" t="n">
        <v>1</v>
      </c>
      <c r="F742" s="13" t="s">
        <v>15094</v>
      </c>
      <c r="G742" s="13" t="s">
        <v>15095</v>
      </c>
      <c r="H742" s="13" t="s">
        <v>7402</v>
      </c>
      <c r="I742" s="13" t="s">
        <v>7403</v>
      </c>
    </row>
    <row r="743" customFormat="false" ht="35.05" hidden="false" customHeight="false" outlineLevel="0" collapsed="false">
      <c r="A743" s="13" t="s">
        <v>4</v>
      </c>
      <c r="B743" s="13" t="s">
        <v>2150</v>
      </c>
      <c r="C743" s="13" t="n">
        <v>42</v>
      </c>
      <c r="D743" s="13" t="s">
        <v>7404</v>
      </c>
      <c r="E743" s="13" t="n">
        <v>2</v>
      </c>
      <c r="F743" s="13" t="s">
        <v>15094</v>
      </c>
      <c r="G743" s="13" t="s">
        <v>15095</v>
      </c>
      <c r="H743" s="13" t="s">
        <v>7408</v>
      </c>
      <c r="I743" s="13" t="s">
        <v>7409</v>
      </c>
    </row>
    <row r="744" customFormat="false" ht="23.85" hidden="false" customHeight="false" outlineLevel="0" collapsed="false">
      <c r="A744" s="13" t="s">
        <v>4</v>
      </c>
      <c r="B744" s="13" t="s">
        <v>2150</v>
      </c>
      <c r="C744" s="13" t="n">
        <v>42</v>
      </c>
      <c r="D744" s="13" t="s">
        <v>7413</v>
      </c>
      <c r="E744" s="13" t="n">
        <v>2</v>
      </c>
      <c r="F744" s="13" t="s">
        <v>15094</v>
      </c>
      <c r="G744" s="13" t="s">
        <v>15095</v>
      </c>
      <c r="H744" s="13" t="s">
        <v>7417</v>
      </c>
      <c r="I744" s="13" t="s">
        <v>7418</v>
      </c>
    </row>
    <row r="745" customFormat="false" ht="23.85" hidden="false" customHeight="false" outlineLevel="0" collapsed="false">
      <c r="A745" s="13" t="s">
        <v>4</v>
      </c>
      <c r="B745" s="13" t="s">
        <v>2150</v>
      </c>
      <c r="C745" s="13" t="n">
        <v>42</v>
      </c>
      <c r="D745" s="13" t="s">
        <v>7422</v>
      </c>
      <c r="E745" s="13" t="n">
        <v>3</v>
      </c>
      <c r="F745" s="13" t="s">
        <v>15094</v>
      </c>
      <c r="G745" s="13" t="s">
        <v>15095</v>
      </c>
      <c r="H745" s="13" t="s">
        <v>7426</v>
      </c>
      <c r="I745" s="13" t="s">
        <v>7427</v>
      </c>
    </row>
    <row r="746" customFormat="false" ht="23.85" hidden="false" customHeight="false" outlineLevel="0" collapsed="false">
      <c r="A746" s="13" t="s">
        <v>4</v>
      </c>
      <c r="B746" s="13" t="s">
        <v>2150</v>
      </c>
      <c r="C746" s="13" t="n">
        <v>62</v>
      </c>
      <c r="D746" s="13" t="s">
        <v>7433</v>
      </c>
      <c r="E746" s="13" t="n">
        <v>2</v>
      </c>
      <c r="F746" s="13" t="s">
        <v>15094</v>
      </c>
      <c r="G746" s="13" t="s">
        <v>15095</v>
      </c>
      <c r="H746" s="13" t="s">
        <v>7435</v>
      </c>
      <c r="I746" s="13" t="s">
        <v>7436</v>
      </c>
    </row>
    <row r="747" customFormat="false" ht="46.25" hidden="false" customHeight="false" outlineLevel="0" collapsed="false">
      <c r="A747" s="13" t="s">
        <v>4</v>
      </c>
      <c r="B747" s="13" t="s">
        <v>2150</v>
      </c>
      <c r="C747" s="13" t="n">
        <v>62</v>
      </c>
      <c r="D747" s="13" t="s">
        <v>7439</v>
      </c>
      <c r="E747" s="13" t="n">
        <v>3</v>
      </c>
      <c r="F747" s="13" t="s">
        <v>15094</v>
      </c>
      <c r="G747" s="13" t="s">
        <v>15095</v>
      </c>
      <c r="H747" s="13" t="s">
        <v>7442</v>
      </c>
      <c r="I747" s="13" t="s">
        <v>7443</v>
      </c>
    </row>
    <row r="748" customFormat="false" ht="23.85" hidden="false" customHeight="false" outlineLevel="0" collapsed="false">
      <c r="A748" s="13" t="s">
        <v>4</v>
      </c>
      <c r="B748" s="13" t="s">
        <v>2150</v>
      </c>
      <c r="C748" s="13" t="n">
        <v>62</v>
      </c>
      <c r="D748" s="13" t="s">
        <v>7450</v>
      </c>
      <c r="E748" s="13" t="n">
        <v>1</v>
      </c>
      <c r="F748" s="13" t="s">
        <v>15094</v>
      </c>
      <c r="G748" s="13" t="s">
        <v>15095</v>
      </c>
      <c r="H748" s="13" t="s">
        <v>7453</v>
      </c>
      <c r="I748" s="13" t="s">
        <v>7454</v>
      </c>
    </row>
    <row r="749" customFormat="false" ht="23.85" hidden="false" customHeight="false" outlineLevel="0" collapsed="false">
      <c r="A749" s="13" t="s">
        <v>4</v>
      </c>
      <c r="B749" s="13" t="s">
        <v>2150</v>
      </c>
      <c r="C749" s="13" t="n">
        <v>62</v>
      </c>
      <c r="D749" s="13" t="s">
        <v>7455</v>
      </c>
      <c r="E749" s="13" t="n">
        <v>1</v>
      </c>
      <c r="F749" s="13" t="s">
        <v>15094</v>
      </c>
      <c r="G749" s="13" t="s">
        <v>15095</v>
      </c>
      <c r="H749" s="13" t="s">
        <v>7459</v>
      </c>
      <c r="I749" s="13" t="s">
        <v>7460</v>
      </c>
    </row>
    <row r="750" customFormat="false" ht="35.05" hidden="false" customHeight="false" outlineLevel="0" collapsed="false">
      <c r="A750" s="13" t="s">
        <v>4</v>
      </c>
      <c r="B750" s="13" t="s">
        <v>2150</v>
      </c>
      <c r="C750" s="13" t="n">
        <v>62</v>
      </c>
      <c r="D750" s="13" t="s">
        <v>7461</v>
      </c>
      <c r="E750" s="13" t="n">
        <v>2</v>
      </c>
      <c r="F750" s="13" t="s">
        <v>15094</v>
      </c>
      <c r="G750" s="13" t="s">
        <v>15095</v>
      </c>
      <c r="H750" s="13" t="s">
        <v>7464</v>
      </c>
      <c r="I750" s="13" t="s">
        <v>7465</v>
      </c>
    </row>
    <row r="751" customFormat="false" ht="23.85" hidden="false" customHeight="false" outlineLevel="0" collapsed="false">
      <c r="A751" s="13" t="s">
        <v>4</v>
      </c>
      <c r="B751" s="13" t="s">
        <v>2150</v>
      </c>
      <c r="C751" s="13" t="n">
        <v>62</v>
      </c>
      <c r="D751" s="13" t="s">
        <v>7468</v>
      </c>
      <c r="E751" s="13" t="n">
        <v>1</v>
      </c>
      <c r="F751" s="13" t="s">
        <v>15094</v>
      </c>
      <c r="G751" s="13" t="s">
        <v>15095</v>
      </c>
      <c r="H751" s="13" t="s">
        <v>7473</v>
      </c>
      <c r="I751" s="13" t="s">
        <v>7474</v>
      </c>
    </row>
    <row r="752" customFormat="false" ht="23.85" hidden="false" customHeight="false" outlineLevel="0" collapsed="false">
      <c r="A752" s="13" t="s">
        <v>4</v>
      </c>
      <c r="B752" s="13" t="s">
        <v>2150</v>
      </c>
      <c r="C752" s="13" t="n">
        <v>62</v>
      </c>
      <c r="D752" s="13" t="s">
        <v>7475</v>
      </c>
      <c r="E752" s="13" t="n">
        <v>1</v>
      </c>
      <c r="F752" s="13" t="s">
        <v>15094</v>
      </c>
      <c r="G752" s="13" t="s">
        <v>15095</v>
      </c>
      <c r="H752" s="13" t="s">
        <v>7478</v>
      </c>
      <c r="I752" s="13" t="s">
        <v>7479</v>
      </c>
    </row>
    <row r="753" customFormat="false" ht="15" hidden="false" customHeight="false" outlineLevel="0" collapsed="false">
      <c r="A753" s="13" t="s">
        <v>4</v>
      </c>
      <c r="B753" s="13" t="s">
        <v>2150</v>
      </c>
      <c r="C753" s="13" t="n">
        <v>62</v>
      </c>
      <c r="D753" s="13" t="s">
        <v>15136</v>
      </c>
      <c r="E753" s="13" t="n">
        <v>0</v>
      </c>
      <c r="F753" s="13" t="s">
        <v>15097</v>
      </c>
      <c r="G753" s="13" t="s">
        <v>15095</v>
      </c>
      <c r="H753" s="13" t="s">
        <v>15137</v>
      </c>
      <c r="I753" s="13" t="s">
        <v>15138</v>
      </c>
    </row>
    <row r="754" customFormat="false" ht="57.45" hidden="false" customHeight="false" outlineLevel="0" collapsed="false">
      <c r="A754" s="13" t="s">
        <v>4</v>
      </c>
      <c r="B754" s="13" t="s">
        <v>2150</v>
      </c>
      <c r="C754" s="13" t="n">
        <v>62</v>
      </c>
      <c r="D754" s="13" t="s">
        <v>7480</v>
      </c>
      <c r="E754" s="13" t="n">
        <v>3</v>
      </c>
      <c r="F754" s="13" t="s">
        <v>15094</v>
      </c>
      <c r="G754" s="13" t="s">
        <v>15095</v>
      </c>
      <c r="H754" s="13" t="s">
        <v>7484</v>
      </c>
      <c r="I754" s="13" t="s">
        <v>7485</v>
      </c>
    </row>
    <row r="755" customFormat="false" ht="57.45" hidden="false" customHeight="false" outlineLevel="0" collapsed="false">
      <c r="A755" s="13" t="s">
        <v>4</v>
      </c>
      <c r="B755" s="13" t="s">
        <v>2150</v>
      </c>
      <c r="C755" s="13" t="n">
        <v>62</v>
      </c>
      <c r="D755" s="13" t="s">
        <v>7490</v>
      </c>
      <c r="E755" s="13" t="n">
        <v>5</v>
      </c>
      <c r="F755" s="13" t="s">
        <v>15094</v>
      </c>
      <c r="G755" s="13" t="s">
        <v>15095</v>
      </c>
      <c r="H755" s="13" t="s">
        <v>7494</v>
      </c>
      <c r="I755" s="13" t="s">
        <v>7495</v>
      </c>
    </row>
    <row r="756" customFormat="false" ht="35.05" hidden="false" customHeight="false" outlineLevel="0" collapsed="false">
      <c r="A756" s="13" t="s">
        <v>4</v>
      </c>
      <c r="B756" s="13" t="s">
        <v>2150</v>
      </c>
      <c r="C756" s="13" t="n">
        <v>62</v>
      </c>
      <c r="D756" s="13" t="s">
        <v>7506</v>
      </c>
      <c r="E756" s="13" t="n">
        <v>2</v>
      </c>
      <c r="F756" s="13" t="s">
        <v>15094</v>
      </c>
      <c r="G756" s="13" t="s">
        <v>15095</v>
      </c>
      <c r="H756" s="13" t="s">
        <v>7509</v>
      </c>
      <c r="I756" s="13" t="s">
        <v>7510</v>
      </c>
    </row>
    <row r="757" customFormat="false" ht="23.85" hidden="false" customHeight="false" outlineLevel="0" collapsed="false">
      <c r="A757" s="13" t="s">
        <v>4</v>
      </c>
      <c r="B757" s="13" t="s">
        <v>2150</v>
      </c>
      <c r="C757" s="13" t="n">
        <v>62</v>
      </c>
      <c r="D757" s="13" t="s">
        <v>7514</v>
      </c>
      <c r="E757" s="13" t="n">
        <v>3</v>
      </c>
      <c r="F757" s="13" t="s">
        <v>15094</v>
      </c>
      <c r="G757" s="13" t="s">
        <v>15095</v>
      </c>
      <c r="H757" s="13" t="s">
        <v>7518</v>
      </c>
      <c r="I757" s="13" t="s">
        <v>7519</v>
      </c>
    </row>
    <row r="758" customFormat="false" ht="23.85" hidden="false" customHeight="false" outlineLevel="0" collapsed="false">
      <c r="A758" s="13" t="s">
        <v>4</v>
      </c>
      <c r="B758" s="13" t="s">
        <v>2150</v>
      </c>
      <c r="C758" s="13" t="n">
        <v>62</v>
      </c>
      <c r="D758" s="13" t="s">
        <v>7524</v>
      </c>
      <c r="E758" s="13" t="n">
        <v>1</v>
      </c>
      <c r="F758" s="13" t="s">
        <v>15094</v>
      </c>
      <c r="G758" s="13" t="s">
        <v>15095</v>
      </c>
      <c r="H758" s="13" t="s">
        <v>7526</v>
      </c>
      <c r="I758" s="13" t="s">
        <v>7527</v>
      </c>
    </row>
    <row r="759" customFormat="false" ht="23.85" hidden="false" customHeight="false" outlineLevel="0" collapsed="false">
      <c r="A759" s="13" t="s">
        <v>4</v>
      </c>
      <c r="B759" s="13" t="s">
        <v>2150</v>
      </c>
      <c r="C759" s="13" t="n">
        <v>79</v>
      </c>
      <c r="D759" s="13" t="s">
        <v>7528</v>
      </c>
      <c r="E759" s="13" t="n">
        <v>2</v>
      </c>
      <c r="F759" s="13" t="s">
        <v>15094</v>
      </c>
      <c r="G759" s="13" t="s">
        <v>15095</v>
      </c>
      <c r="H759" s="13" t="s">
        <v>7531</v>
      </c>
      <c r="I759" s="13" t="s">
        <v>7532</v>
      </c>
    </row>
    <row r="760" customFormat="false" ht="57.45" hidden="false" customHeight="false" outlineLevel="0" collapsed="false">
      <c r="A760" s="13" t="s">
        <v>4</v>
      </c>
      <c r="B760" s="13" t="s">
        <v>2150</v>
      </c>
      <c r="C760" s="13" t="n">
        <v>79</v>
      </c>
      <c r="D760" s="13" t="s">
        <v>7535</v>
      </c>
      <c r="E760" s="13" t="n">
        <v>7</v>
      </c>
      <c r="F760" s="13" t="s">
        <v>15094</v>
      </c>
      <c r="G760" s="13" t="s">
        <v>15095</v>
      </c>
      <c r="H760" s="13" t="s">
        <v>7541</v>
      </c>
      <c r="I760" s="13" t="s">
        <v>7542</v>
      </c>
    </row>
    <row r="761" customFormat="false" ht="57.45" hidden="false" customHeight="false" outlineLevel="0" collapsed="false">
      <c r="A761" s="13" t="s">
        <v>4</v>
      </c>
      <c r="B761" s="13" t="s">
        <v>2150</v>
      </c>
      <c r="C761" s="13" t="n">
        <v>79</v>
      </c>
      <c r="D761" s="13" t="s">
        <v>7557</v>
      </c>
      <c r="E761" s="13" t="n">
        <v>1</v>
      </c>
      <c r="F761" s="13" t="s">
        <v>15094</v>
      </c>
      <c r="G761" s="13" t="s">
        <v>15095</v>
      </c>
      <c r="H761" s="13" t="s">
        <v>7560</v>
      </c>
      <c r="I761" s="13" t="s">
        <v>7561</v>
      </c>
    </row>
    <row r="762" customFormat="false" ht="23.85" hidden="false" customHeight="false" outlineLevel="0" collapsed="false">
      <c r="A762" s="13" t="s">
        <v>4</v>
      </c>
      <c r="B762" s="13" t="s">
        <v>2150</v>
      </c>
      <c r="C762" s="13" t="n">
        <v>79</v>
      </c>
      <c r="D762" s="13" t="s">
        <v>7562</v>
      </c>
      <c r="E762" s="13" t="n">
        <v>1</v>
      </c>
      <c r="F762" s="13" t="s">
        <v>15094</v>
      </c>
      <c r="G762" s="13" t="s">
        <v>15095</v>
      </c>
      <c r="H762" s="13" t="s">
        <v>7566</v>
      </c>
      <c r="I762" s="13" t="s">
        <v>7567</v>
      </c>
    </row>
    <row r="763" customFormat="false" ht="35.05" hidden="false" customHeight="false" outlineLevel="0" collapsed="false">
      <c r="A763" s="13" t="s">
        <v>4</v>
      </c>
      <c r="B763" s="13" t="s">
        <v>2150</v>
      </c>
      <c r="C763" s="13" t="n">
        <v>79</v>
      </c>
      <c r="D763" s="13" t="s">
        <v>7568</v>
      </c>
      <c r="E763" s="13" t="n">
        <v>1</v>
      </c>
      <c r="F763" s="13" t="s">
        <v>15094</v>
      </c>
      <c r="G763" s="13" t="s">
        <v>15095</v>
      </c>
      <c r="H763" s="13" t="s">
        <v>7572</v>
      </c>
      <c r="I763" s="13" t="s">
        <v>7573</v>
      </c>
    </row>
    <row r="764" customFormat="false" ht="35.05" hidden="false" customHeight="false" outlineLevel="0" collapsed="false">
      <c r="A764" s="13" t="s">
        <v>4</v>
      </c>
      <c r="B764" s="13" t="s">
        <v>2150</v>
      </c>
      <c r="C764" s="13" t="n">
        <v>79</v>
      </c>
      <c r="D764" s="13" t="s">
        <v>7574</v>
      </c>
      <c r="E764" s="13" t="n">
        <v>1</v>
      </c>
      <c r="F764" s="13" t="s">
        <v>15094</v>
      </c>
      <c r="G764" s="13" t="s">
        <v>15095</v>
      </c>
      <c r="H764" s="13" t="s">
        <v>7576</v>
      </c>
      <c r="I764" s="13" t="s">
        <v>7577</v>
      </c>
    </row>
    <row r="765" customFormat="false" ht="15" hidden="false" customHeight="false" outlineLevel="0" collapsed="false">
      <c r="A765" s="13" t="s">
        <v>4</v>
      </c>
      <c r="B765" s="13" t="s">
        <v>2150</v>
      </c>
      <c r="C765" s="13" t="n">
        <v>79</v>
      </c>
      <c r="D765" s="13" t="s">
        <v>15139</v>
      </c>
      <c r="E765" s="13" t="n">
        <v>0</v>
      </c>
      <c r="F765" s="13" t="s">
        <v>15097</v>
      </c>
      <c r="G765" s="13" t="s">
        <v>15095</v>
      </c>
      <c r="H765" s="13" t="s">
        <v>15140</v>
      </c>
      <c r="I765" s="13" t="s">
        <v>15141</v>
      </c>
    </row>
    <row r="766" customFormat="false" ht="35.05" hidden="false" customHeight="false" outlineLevel="0" collapsed="false">
      <c r="A766" s="13" t="s">
        <v>4</v>
      </c>
      <c r="B766" s="13" t="s">
        <v>2150</v>
      </c>
      <c r="C766" s="13" t="n">
        <v>79</v>
      </c>
      <c r="D766" s="13" t="s">
        <v>7578</v>
      </c>
      <c r="E766" s="13" t="n">
        <v>2</v>
      </c>
      <c r="F766" s="13" t="s">
        <v>15094</v>
      </c>
      <c r="G766" s="13" t="s">
        <v>15095</v>
      </c>
      <c r="H766" s="13" t="s">
        <v>7581</v>
      </c>
      <c r="I766" s="13" t="s">
        <v>7582</v>
      </c>
    </row>
    <row r="767" customFormat="false" ht="35.05" hidden="false" customHeight="false" outlineLevel="0" collapsed="false">
      <c r="A767" s="13" t="s">
        <v>4</v>
      </c>
      <c r="B767" s="13" t="s">
        <v>2150</v>
      </c>
      <c r="C767" s="13" t="n">
        <v>79</v>
      </c>
      <c r="D767" s="13" t="s">
        <v>7586</v>
      </c>
      <c r="E767" s="13" t="n">
        <v>1</v>
      </c>
      <c r="F767" s="13" t="s">
        <v>15094</v>
      </c>
      <c r="G767" s="13" t="s">
        <v>15095</v>
      </c>
      <c r="H767" s="13" t="s">
        <v>7590</v>
      </c>
      <c r="I767" s="13" t="s">
        <v>7591</v>
      </c>
    </row>
    <row r="768" customFormat="false" ht="15" hidden="false" customHeight="false" outlineLevel="0" collapsed="false">
      <c r="A768" s="13" t="s">
        <v>4</v>
      </c>
      <c r="B768" s="13" t="s">
        <v>2150</v>
      </c>
      <c r="C768" s="13" t="n">
        <v>79</v>
      </c>
      <c r="D768" s="13" t="s">
        <v>7592</v>
      </c>
      <c r="E768" s="13" t="n">
        <v>1</v>
      </c>
      <c r="F768" s="13" t="s">
        <v>15094</v>
      </c>
      <c r="G768" s="13" t="s">
        <v>15095</v>
      </c>
      <c r="H768" s="13" t="s">
        <v>7597</v>
      </c>
      <c r="I768" s="13" t="s">
        <v>7598</v>
      </c>
    </row>
    <row r="769" customFormat="false" ht="46.25" hidden="false" customHeight="false" outlineLevel="0" collapsed="false">
      <c r="A769" s="13" t="s">
        <v>4</v>
      </c>
      <c r="B769" s="13" t="s">
        <v>2150</v>
      </c>
      <c r="C769" s="13" t="n">
        <v>79</v>
      </c>
      <c r="D769" s="13" t="s">
        <v>7599</v>
      </c>
      <c r="E769" s="13" t="n">
        <v>2</v>
      </c>
      <c r="F769" s="13" t="s">
        <v>15094</v>
      </c>
      <c r="G769" s="13" t="s">
        <v>15095</v>
      </c>
      <c r="H769" s="13" t="s">
        <v>7605</v>
      </c>
      <c r="I769" s="13" t="s">
        <v>7606</v>
      </c>
    </row>
    <row r="770" customFormat="false" ht="23.85" hidden="false" customHeight="false" outlineLevel="0" collapsed="false">
      <c r="A770" s="13" t="s">
        <v>4</v>
      </c>
      <c r="B770" s="13" t="s">
        <v>2150</v>
      </c>
      <c r="C770" s="13" t="n">
        <v>134</v>
      </c>
      <c r="D770" s="13" t="s">
        <v>15142</v>
      </c>
      <c r="E770" s="13" t="n">
        <v>0</v>
      </c>
      <c r="F770" s="13" t="s">
        <v>15097</v>
      </c>
      <c r="G770" s="13" t="s">
        <v>15095</v>
      </c>
      <c r="H770" s="13" t="s">
        <v>15143</v>
      </c>
      <c r="I770" s="13" t="s">
        <v>15144</v>
      </c>
    </row>
    <row r="771" customFormat="false" ht="23.85" hidden="false" customHeight="false" outlineLevel="0" collapsed="false">
      <c r="A771" s="13" t="s">
        <v>4</v>
      </c>
      <c r="B771" s="13" t="s">
        <v>2150</v>
      </c>
      <c r="C771" s="13" t="n">
        <v>134</v>
      </c>
      <c r="D771" s="13" t="s">
        <v>7611</v>
      </c>
      <c r="E771" s="13" t="n">
        <v>2</v>
      </c>
      <c r="F771" s="13" t="s">
        <v>15094</v>
      </c>
      <c r="G771" s="13" t="s">
        <v>15095</v>
      </c>
      <c r="H771" s="13" t="s">
        <v>7616</v>
      </c>
      <c r="I771" s="13" t="s">
        <v>7617</v>
      </c>
    </row>
    <row r="772" customFormat="false" ht="23.85" hidden="false" customHeight="false" outlineLevel="0" collapsed="false">
      <c r="A772" s="13" t="s">
        <v>4</v>
      </c>
      <c r="B772" s="13" t="s">
        <v>2150</v>
      </c>
      <c r="C772" s="13" t="n">
        <v>134</v>
      </c>
      <c r="D772" s="13" t="s">
        <v>7621</v>
      </c>
      <c r="E772" s="13" t="n">
        <v>2</v>
      </c>
      <c r="F772" s="13" t="s">
        <v>15094</v>
      </c>
      <c r="G772" s="13" t="s">
        <v>15095</v>
      </c>
      <c r="H772" s="13" t="s">
        <v>7625</v>
      </c>
      <c r="I772" s="13" t="s">
        <v>7626</v>
      </c>
    </row>
    <row r="773" customFormat="false" ht="15" hidden="false" customHeight="false" outlineLevel="0" collapsed="false">
      <c r="A773" s="13" t="s">
        <v>4</v>
      </c>
      <c r="B773" s="13" t="s">
        <v>2150</v>
      </c>
      <c r="C773" s="13" t="n">
        <v>134</v>
      </c>
      <c r="D773" s="13" t="s">
        <v>7628</v>
      </c>
      <c r="E773" s="13" t="n">
        <v>2</v>
      </c>
      <c r="F773" s="13" t="s">
        <v>15094</v>
      </c>
      <c r="G773" s="13" t="s">
        <v>15095</v>
      </c>
      <c r="H773" s="13" t="s">
        <v>7631</v>
      </c>
      <c r="I773" s="13" t="s">
        <v>7632</v>
      </c>
    </row>
    <row r="774" customFormat="false" ht="79.85" hidden="false" customHeight="false" outlineLevel="0" collapsed="false">
      <c r="A774" s="13" t="s">
        <v>4</v>
      </c>
      <c r="B774" s="13" t="s">
        <v>2150</v>
      </c>
      <c r="C774" s="13" t="n">
        <v>134</v>
      </c>
      <c r="D774" s="13" t="s">
        <v>7634</v>
      </c>
      <c r="E774" s="13" t="n">
        <v>4</v>
      </c>
      <c r="F774" s="13" t="s">
        <v>15094</v>
      </c>
      <c r="G774" s="13" t="s">
        <v>15095</v>
      </c>
      <c r="H774" s="13" t="s">
        <v>7637</v>
      </c>
      <c r="I774" s="13" t="s">
        <v>7638</v>
      </c>
    </row>
    <row r="775" customFormat="false" ht="15" hidden="false" customHeight="false" outlineLevel="0" collapsed="false">
      <c r="A775" s="13" t="s">
        <v>4</v>
      </c>
      <c r="B775" s="13" t="s">
        <v>2150</v>
      </c>
      <c r="C775" s="13" t="n">
        <v>134</v>
      </c>
      <c r="D775" s="13" t="s">
        <v>7648</v>
      </c>
      <c r="E775" s="13" t="n">
        <v>2</v>
      </c>
      <c r="F775" s="13" t="s">
        <v>15094</v>
      </c>
      <c r="G775" s="13" t="s">
        <v>15095</v>
      </c>
      <c r="H775" s="13" t="s">
        <v>7652</v>
      </c>
      <c r="I775" s="13" t="s">
        <v>7653</v>
      </c>
    </row>
    <row r="776" customFormat="false" ht="102.2" hidden="false" customHeight="false" outlineLevel="0" collapsed="false">
      <c r="A776" s="13" t="s">
        <v>4</v>
      </c>
      <c r="B776" s="13" t="s">
        <v>2150</v>
      </c>
      <c r="C776" s="13" t="n">
        <v>134</v>
      </c>
      <c r="D776" s="13" t="s">
        <v>7657</v>
      </c>
      <c r="E776" s="13" t="n">
        <v>3</v>
      </c>
      <c r="F776" s="13" t="s">
        <v>15094</v>
      </c>
      <c r="G776" s="13" t="s">
        <v>15095</v>
      </c>
      <c r="H776" s="13" t="s">
        <v>7661</v>
      </c>
      <c r="I776" s="13" t="s">
        <v>7662</v>
      </c>
    </row>
    <row r="777" customFormat="false" ht="35.05" hidden="false" customHeight="false" outlineLevel="0" collapsed="false">
      <c r="A777" s="13" t="s">
        <v>4</v>
      </c>
      <c r="B777" s="13" t="s">
        <v>2150</v>
      </c>
      <c r="C777" s="13" t="n">
        <v>134</v>
      </c>
      <c r="D777" s="13" t="s">
        <v>7668</v>
      </c>
      <c r="E777" s="13" t="n">
        <v>2</v>
      </c>
      <c r="F777" s="13" t="s">
        <v>15094</v>
      </c>
      <c r="G777" s="13" t="s">
        <v>15095</v>
      </c>
      <c r="H777" s="13" t="s">
        <v>7673</v>
      </c>
      <c r="I777" s="13" t="s">
        <v>7674</v>
      </c>
    </row>
    <row r="778" customFormat="false" ht="35.05" hidden="false" customHeight="false" outlineLevel="0" collapsed="false">
      <c r="A778" s="13" t="s">
        <v>4</v>
      </c>
      <c r="B778" s="13" t="s">
        <v>2150</v>
      </c>
      <c r="C778" s="13" t="n">
        <v>134</v>
      </c>
      <c r="D778" s="13" t="s">
        <v>7676</v>
      </c>
      <c r="E778" s="13" t="n">
        <v>2</v>
      </c>
      <c r="F778" s="13" t="s">
        <v>15094</v>
      </c>
      <c r="G778" s="13" t="s">
        <v>15095</v>
      </c>
      <c r="H778" s="13" t="s">
        <v>7680</v>
      </c>
      <c r="I778" s="13" t="s">
        <v>7681</v>
      </c>
    </row>
    <row r="779" customFormat="false" ht="68.65" hidden="false" customHeight="false" outlineLevel="0" collapsed="false">
      <c r="A779" s="13" t="s">
        <v>4</v>
      </c>
      <c r="B779" s="13" t="s">
        <v>2150</v>
      </c>
      <c r="C779" s="13" t="n">
        <v>134</v>
      </c>
      <c r="D779" s="13" t="s">
        <v>7685</v>
      </c>
      <c r="E779" s="13" t="n">
        <v>3</v>
      </c>
      <c r="F779" s="13" t="s">
        <v>15094</v>
      </c>
      <c r="G779" s="13" t="s">
        <v>15095</v>
      </c>
      <c r="H779" s="13" t="s">
        <v>7691</v>
      </c>
      <c r="I779" s="13" t="s">
        <v>7692</v>
      </c>
    </row>
    <row r="780" customFormat="false" ht="23.85" hidden="false" customHeight="false" outlineLevel="0" collapsed="false">
      <c r="A780" s="13" t="s">
        <v>4</v>
      </c>
      <c r="B780" s="13" t="s">
        <v>2150</v>
      </c>
      <c r="C780" s="13" t="n">
        <v>134</v>
      </c>
      <c r="D780" s="13" t="s">
        <v>7697</v>
      </c>
      <c r="E780" s="13" t="n">
        <v>2</v>
      </c>
      <c r="F780" s="13" t="s">
        <v>15094</v>
      </c>
      <c r="G780" s="13" t="s">
        <v>15095</v>
      </c>
      <c r="H780" s="13" t="s">
        <v>7702</v>
      </c>
      <c r="I780" s="13" t="s">
        <v>7703</v>
      </c>
    </row>
    <row r="781" customFormat="false" ht="23.85" hidden="false" customHeight="false" outlineLevel="0" collapsed="false">
      <c r="A781" s="13" t="s">
        <v>4</v>
      </c>
      <c r="B781" s="13" t="s">
        <v>2150</v>
      </c>
      <c r="C781" s="13" t="n">
        <v>134</v>
      </c>
      <c r="D781" s="13" t="s">
        <v>7707</v>
      </c>
      <c r="E781" s="13" t="n">
        <v>2</v>
      </c>
      <c r="F781" s="13" t="s">
        <v>15094</v>
      </c>
      <c r="G781" s="13" t="s">
        <v>15095</v>
      </c>
      <c r="H781" s="13" t="s">
        <v>7710</v>
      </c>
      <c r="I781" s="13" t="s">
        <v>7711</v>
      </c>
    </row>
    <row r="782" customFormat="false" ht="23.85" hidden="false" customHeight="false" outlineLevel="0" collapsed="false">
      <c r="A782" s="13" t="s">
        <v>4</v>
      </c>
      <c r="B782" s="13" t="s">
        <v>2150</v>
      </c>
      <c r="C782" s="13" t="n">
        <v>134</v>
      </c>
      <c r="D782" s="13" t="s">
        <v>7714</v>
      </c>
      <c r="E782" s="13" t="n">
        <v>2</v>
      </c>
      <c r="F782" s="13" t="s">
        <v>15094</v>
      </c>
      <c r="G782" s="13" t="s">
        <v>15095</v>
      </c>
      <c r="H782" s="13" t="s">
        <v>7717</v>
      </c>
      <c r="I782" s="13" t="s">
        <v>7718</v>
      </c>
    </row>
    <row r="783" customFormat="false" ht="35.05" hidden="false" customHeight="false" outlineLevel="0" collapsed="false">
      <c r="A783" s="13" t="s">
        <v>4</v>
      </c>
      <c r="B783" s="13" t="s">
        <v>2150</v>
      </c>
      <c r="C783" s="13" t="n">
        <v>147</v>
      </c>
      <c r="D783" s="13" t="s">
        <v>7721</v>
      </c>
      <c r="E783" s="13" t="n">
        <v>3</v>
      </c>
      <c r="F783" s="13" t="s">
        <v>15094</v>
      </c>
      <c r="G783" s="13" t="s">
        <v>15095</v>
      </c>
      <c r="H783" s="13" t="s">
        <v>7725</v>
      </c>
      <c r="I783" s="13" t="s">
        <v>7726</v>
      </c>
    </row>
    <row r="784" customFormat="false" ht="46.25" hidden="false" customHeight="false" outlineLevel="0" collapsed="false">
      <c r="A784" s="13" t="s">
        <v>4</v>
      </c>
      <c r="B784" s="13" t="s">
        <v>2150</v>
      </c>
      <c r="C784" s="13" t="n">
        <v>147</v>
      </c>
      <c r="D784" s="13" t="s">
        <v>7732</v>
      </c>
      <c r="E784" s="13" t="n">
        <v>3</v>
      </c>
      <c r="F784" s="13" t="s">
        <v>15094</v>
      </c>
      <c r="G784" s="13" t="s">
        <v>15095</v>
      </c>
      <c r="H784" s="13" t="s">
        <v>7735</v>
      </c>
      <c r="I784" s="13" t="s">
        <v>7736</v>
      </c>
    </row>
    <row r="785" customFormat="false" ht="57.45" hidden="false" customHeight="false" outlineLevel="0" collapsed="false">
      <c r="A785" s="13" t="s">
        <v>4</v>
      </c>
      <c r="B785" s="13" t="s">
        <v>2150</v>
      </c>
      <c r="C785" s="13" t="n">
        <v>147</v>
      </c>
      <c r="D785" s="13" t="s">
        <v>7741</v>
      </c>
      <c r="E785" s="13" t="n">
        <v>5</v>
      </c>
      <c r="F785" s="13" t="s">
        <v>15094</v>
      </c>
      <c r="G785" s="13" t="s">
        <v>15095</v>
      </c>
      <c r="H785" s="13" t="s">
        <v>7746</v>
      </c>
      <c r="I785" s="13" t="s">
        <v>7747</v>
      </c>
    </row>
    <row r="786" customFormat="false" ht="23.85" hidden="false" customHeight="false" outlineLevel="0" collapsed="false">
      <c r="A786" s="13" t="s">
        <v>4</v>
      </c>
      <c r="B786" s="13" t="s">
        <v>2150</v>
      </c>
      <c r="C786" s="13" t="n">
        <v>147</v>
      </c>
      <c r="D786" s="13" t="s">
        <v>7758</v>
      </c>
      <c r="E786" s="13" t="n">
        <v>2</v>
      </c>
      <c r="F786" s="13" t="s">
        <v>15094</v>
      </c>
      <c r="G786" s="13" t="s">
        <v>15095</v>
      </c>
      <c r="H786" s="13" t="s">
        <v>7762</v>
      </c>
      <c r="I786" s="13" t="s">
        <v>7763</v>
      </c>
    </row>
    <row r="787" customFormat="false" ht="57.45" hidden="false" customHeight="false" outlineLevel="0" collapsed="false">
      <c r="A787" s="13" t="s">
        <v>4</v>
      </c>
      <c r="B787" s="13" t="s">
        <v>2150</v>
      </c>
      <c r="C787" s="13" t="n">
        <v>147</v>
      </c>
      <c r="D787" s="13" t="s">
        <v>7767</v>
      </c>
      <c r="E787" s="13" t="n">
        <v>4</v>
      </c>
      <c r="F787" s="13" t="s">
        <v>15094</v>
      </c>
      <c r="G787" s="13" t="s">
        <v>15095</v>
      </c>
      <c r="H787" s="13" t="s">
        <v>7771</v>
      </c>
      <c r="I787" s="13" t="s">
        <v>7772</v>
      </c>
    </row>
    <row r="788" customFormat="false" ht="225.35" hidden="false" customHeight="false" outlineLevel="0" collapsed="false">
      <c r="A788" s="13" t="s">
        <v>4</v>
      </c>
      <c r="B788" s="13" t="s">
        <v>2150</v>
      </c>
      <c r="C788" s="13" t="n">
        <v>147</v>
      </c>
      <c r="D788" s="13" t="s">
        <v>7778</v>
      </c>
      <c r="E788" s="13" t="n">
        <v>6</v>
      </c>
      <c r="F788" s="13" t="s">
        <v>15094</v>
      </c>
      <c r="G788" s="13" t="s">
        <v>15095</v>
      </c>
      <c r="H788" s="13" t="s">
        <v>7782</v>
      </c>
      <c r="I788" s="13" t="s">
        <v>7783</v>
      </c>
    </row>
    <row r="789" customFormat="false" ht="23.85" hidden="false" customHeight="false" outlineLevel="0" collapsed="false">
      <c r="A789" s="13" t="s">
        <v>4</v>
      </c>
      <c r="B789" s="13" t="s">
        <v>2150</v>
      </c>
      <c r="C789" s="13" t="n">
        <v>147</v>
      </c>
      <c r="D789" s="13" t="s">
        <v>7795</v>
      </c>
      <c r="E789" s="13" t="n">
        <v>1</v>
      </c>
      <c r="F789" s="13" t="s">
        <v>15094</v>
      </c>
      <c r="G789" s="13" t="s">
        <v>15095</v>
      </c>
      <c r="H789" s="13" t="s">
        <v>7798</v>
      </c>
      <c r="I789" s="13" t="s">
        <v>7799</v>
      </c>
    </row>
    <row r="790" customFormat="false" ht="23.85" hidden="false" customHeight="false" outlineLevel="0" collapsed="false">
      <c r="A790" s="13" t="s">
        <v>4</v>
      </c>
      <c r="B790" s="13" t="s">
        <v>2150</v>
      </c>
      <c r="C790" s="13" t="n">
        <v>147</v>
      </c>
      <c r="D790" s="13" t="s">
        <v>7800</v>
      </c>
      <c r="E790" s="13" t="n">
        <v>2</v>
      </c>
      <c r="F790" s="13" t="s">
        <v>15094</v>
      </c>
      <c r="G790" s="13" t="s">
        <v>15095</v>
      </c>
      <c r="H790" s="13" t="s">
        <v>7803</v>
      </c>
      <c r="I790" s="13" t="s">
        <v>7804</v>
      </c>
    </row>
    <row r="791" customFormat="false" ht="23.85" hidden="false" customHeight="false" outlineLevel="0" collapsed="false">
      <c r="A791" s="13" t="s">
        <v>4</v>
      </c>
      <c r="B791" s="13" t="s">
        <v>2150</v>
      </c>
      <c r="C791" s="13" t="n">
        <v>147</v>
      </c>
      <c r="D791" s="13" t="s">
        <v>7806</v>
      </c>
      <c r="E791" s="13" t="n">
        <v>2</v>
      </c>
      <c r="F791" s="13" t="s">
        <v>15094</v>
      </c>
      <c r="G791" s="13" t="s">
        <v>15095</v>
      </c>
      <c r="H791" s="13" t="s">
        <v>7809</v>
      </c>
      <c r="I791" s="13" t="s">
        <v>7810</v>
      </c>
    </row>
    <row r="792" customFormat="false" ht="247.75" hidden="false" customHeight="false" outlineLevel="0" collapsed="false">
      <c r="A792" s="13" t="s">
        <v>4</v>
      </c>
      <c r="B792" s="13" t="s">
        <v>2150</v>
      </c>
      <c r="C792" s="13" t="n">
        <v>190</v>
      </c>
      <c r="D792" s="13" t="s">
        <v>7813</v>
      </c>
      <c r="E792" s="13" t="n">
        <v>5</v>
      </c>
      <c r="F792" s="13" t="s">
        <v>15094</v>
      </c>
      <c r="G792" s="13" t="s">
        <v>15095</v>
      </c>
      <c r="H792" s="13" t="s">
        <v>7817</v>
      </c>
      <c r="I792" s="13" t="s">
        <v>7818</v>
      </c>
    </row>
    <row r="793" customFormat="false" ht="23.85" hidden="false" customHeight="false" outlineLevel="0" collapsed="false">
      <c r="A793" s="13" t="s">
        <v>4</v>
      </c>
      <c r="B793" s="13" t="s">
        <v>2150</v>
      </c>
      <c r="C793" s="13" t="n">
        <v>190</v>
      </c>
      <c r="D793" s="13" t="s">
        <v>7830</v>
      </c>
      <c r="E793" s="13" t="n">
        <v>2</v>
      </c>
      <c r="F793" s="13" t="s">
        <v>15094</v>
      </c>
      <c r="G793" s="13" t="s">
        <v>15095</v>
      </c>
      <c r="H793" s="13" t="s">
        <v>7836</v>
      </c>
      <c r="I793" s="13" t="s">
        <v>7837</v>
      </c>
    </row>
    <row r="794" customFormat="false" ht="79.85" hidden="false" customHeight="false" outlineLevel="0" collapsed="false">
      <c r="A794" s="13" t="s">
        <v>4</v>
      </c>
      <c r="B794" s="13" t="s">
        <v>2150</v>
      </c>
      <c r="C794" s="13" t="n">
        <v>190</v>
      </c>
      <c r="D794" s="13" t="s">
        <v>7841</v>
      </c>
      <c r="E794" s="13" t="n">
        <v>3</v>
      </c>
      <c r="F794" s="13" t="s">
        <v>15094</v>
      </c>
      <c r="G794" s="13" t="s">
        <v>15095</v>
      </c>
      <c r="H794" s="13" t="s">
        <v>7846</v>
      </c>
      <c r="I794" s="13" t="s">
        <v>7847</v>
      </c>
    </row>
    <row r="795" customFormat="false" ht="35.05" hidden="false" customHeight="false" outlineLevel="0" collapsed="false">
      <c r="A795" s="13" t="s">
        <v>4</v>
      </c>
      <c r="B795" s="13" t="s">
        <v>2150</v>
      </c>
      <c r="C795" s="13" t="n">
        <v>190</v>
      </c>
      <c r="D795" s="13" t="s">
        <v>7854</v>
      </c>
      <c r="E795" s="13" t="n">
        <v>2</v>
      </c>
      <c r="F795" s="13" t="s">
        <v>15094</v>
      </c>
      <c r="G795" s="13" t="s">
        <v>15095</v>
      </c>
      <c r="H795" s="13" t="s">
        <v>7858</v>
      </c>
      <c r="I795" s="13" t="s">
        <v>7859</v>
      </c>
    </row>
    <row r="796" customFormat="false" ht="46.25" hidden="false" customHeight="false" outlineLevel="0" collapsed="false">
      <c r="A796" s="13" t="s">
        <v>4</v>
      </c>
      <c r="B796" s="13" t="s">
        <v>2150</v>
      </c>
      <c r="C796" s="13" t="n">
        <v>190</v>
      </c>
      <c r="D796" s="13" t="s">
        <v>7862</v>
      </c>
      <c r="E796" s="13" t="n">
        <v>2</v>
      </c>
      <c r="F796" s="13" t="s">
        <v>15094</v>
      </c>
      <c r="G796" s="13" t="s">
        <v>15095</v>
      </c>
      <c r="H796" s="13" t="s">
        <v>7865</v>
      </c>
      <c r="I796" s="13" t="s">
        <v>7866</v>
      </c>
    </row>
    <row r="797" customFormat="false" ht="68.65" hidden="false" customHeight="false" outlineLevel="0" collapsed="false">
      <c r="A797" s="13" t="s">
        <v>4</v>
      </c>
      <c r="B797" s="13" t="s">
        <v>2150</v>
      </c>
      <c r="C797" s="13" t="n">
        <v>190</v>
      </c>
      <c r="D797" s="13" t="s">
        <v>7869</v>
      </c>
      <c r="E797" s="13" t="n">
        <v>3</v>
      </c>
      <c r="F797" s="13" t="s">
        <v>15094</v>
      </c>
      <c r="G797" s="13" t="s">
        <v>15095</v>
      </c>
      <c r="H797" s="13" t="s">
        <v>7872</v>
      </c>
      <c r="I797" s="13" t="s">
        <v>7873</v>
      </c>
    </row>
    <row r="798" customFormat="false" ht="23.85" hidden="false" customHeight="false" outlineLevel="0" collapsed="false">
      <c r="A798" s="13" t="s">
        <v>4</v>
      </c>
      <c r="B798" s="13" t="s">
        <v>2150</v>
      </c>
      <c r="C798" s="13" t="n">
        <v>190</v>
      </c>
      <c r="D798" s="13" t="s">
        <v>7878</v>
      </c>
      <c r="E798" s="13" t="n">
        <v>1</v>
      </c>
      <c r="F798" s="13" t="s">
        <v>15094</v>
      </c>
      <c r="G798" s="13" t="s">
        <v>15095</v>
      </c>
      <c r="H798" s="13" t="s">
        <v>7882</v>
      </c>
      <c r="I798" s="13" t="s">
        <v>7883</v>
      </c>
    </row>
    <row r="799" customFormat="false" ht="15" hidden="false" customHeight="false" outlineLevel="0" collapsed="false">
      <c r="A799" s="13" t="s">
        <v>4</v>
      </c>
      <c r="B799" s="13" t="s">
        <v>2150</v>
      </c>
      <c r="C799" s="13" t="n">
        <v>190</v>
      </c>
      <c r="D799" s="13" t="s">
        <v>7884</v>
      </c>
      <c r="E799" s="13" t="n">
        <v>1</v>
      </c>
      <c r="F799" s="13" t="s">
        <v>15094</v>
      </c>
      <c r="G799" s="13" t="s">
        <v>15095</v>
      </c>
      <c r="H799" s="13" t="s">
        <v>7888</v>
      </c>
      <c r="I799" s="13" t="s">
        <v>7889</v>
      </c>
    </row>
    <row r="800" customFormat="false" ht="23.85" hidden="false" customHeight="false" outlineLevel="0" collapsed="false">
      <c r="A800" s="13" t="s">
        <v>4</v>
      </c>
      <c r="B800" s="13" t="s">
        <v>2150</v>
      </c>
      <c r="C800" s="13" t="n">
        <v>190</v>
      </c>
      <c r="D800" s="13" t="s">
        <v>7890</v>
      </c>
      <c r="E800" s="13" t="n">
        <v>2</v>
      </c>
      <c r="F800" s="13" t="s">
        <v>15094</v>
      </c>
      <c r="G800" s="13" t="s">
        <v>15095</v>
      </c>
      <c r="H800" s="13" t="s">
        <v>7894</v>
      </c>
      <c r="I800" s="13" t="s">
        <v>7895</v>
      </c>
    </row>
    <row r="801" customFormat="false" ht="91" hidden="false" customHeight="false" outlineLevel="0" collapsed="false">
      <c r="A801" s="13" t="s">
        <v>4</v>
      </c>
      <c r="B801" s="13" t="s">
        <v>2150</v>
      </c>
      <c r="C801" s="13" t="n">
        <v>193</v>
      </c>
      <c r="D801" s="13" t="s">
        <v>7898</v>
      </c>
      <c r="E801" s="13" t="n">
        <v>7</v>
      </c>
      <c r="F801" s="13" t="s">
        <v>15094</v>
      </c>
      <c r="G801" s="13" t="s">
        <v>15095</v>
      </c>
      <c r="H801" s="13" t="s">
        <v>7904</v>
      </c>
      <c r="I801" s="13" t="s">
        <v>7905</v>
      </c>
    </row>
    <row r="802" customFormat="false" ht="35.05" hidden="false" customHeight="false" outlineLevel="0" collapsed="false">
      <c r="A802" s="13" t="s">
        <v>4</v>
      </c>
      <c r="B802" s="13" t="s">
        <v>2150</v>
      </c>
      <c r="C802" s="13" t="n">
        <v>193</v>
      </c>
      <c r="D802" s="13" t="s">
        <v>7922</v>
      </c>
      <c r="E802" s="13" t="n">
        <v>3</v>
      </c>
      <c r="F802" s="13" t="s">
        <v>15094</v>
      </c>
      <c r="G802" s="13" t="s">
        <v>15095</v>
      </c>
      <c r="H802" s="13" t="s">
        <v>7926</v>
      </c>
      <c r="I802" s="13" t="s">
        <v>7927</v>
      </c>
    </row>
    <row r="803" customFormat="false" ht="91" hidden="false" customHeight="false" outlineLevel="0" collapsed="false">
      <c r="A803" s="13" t="s">
        <v>4</v>
      </c>
      <c r="B803" s="13" t="s">
        <v>2150</v>
      </c>
      <c r="C803" s="13" t="n">
        <v>193</v>
      </c>
      <c r="D803" s="13" t="s">
        <v>7930</v>
      </c>
      <c r="E803" s="13" t="n">
        <v>3</v>
      </c>
      <c r="F803" s="13" t="s">
        <v>15094</v>
      </c>
      <c r="G803" s="13" t="s">
        <v>15095</v>
      </c>
      <c r="H803" s="13" t="s">
        <v>7933</v>
      </c>
      <c r="I803" s="13" t="s">
        <v>7934</v>
      </c>
    </row>
    <row r="804" customFormat="false" ht="57.45" hidden="false" customHeight="false" outlineLevel="0" collapsed="false">
      <c r="A804" s="13" t="s">
        <v>4</v>
      </c>
      <c r="B804" s="13" t="s">
        <v>2150</v>
      </c>
      <c r="C804" s="13" t="n">
        <v>193</v>
      </c>
      <c r="D804" s="13" t="s">
        <v>7940</v>
      </c>
      <c r="E804" s="13" t="n">
        <v>2</v>
      </c>
      <c r="F804" s="13" t="s">
        <v>15094</v>
      </c>
      <c r="G804" s="13" t="s">
        <v>15095</v>
      </c>
      <c r="H804" s="13" t="s">
        <v>7943</v>
      </c>
      <c r="I804" s="13" t="s">
        <v>7944</v>
      </c>
    </row>
    <row r="805" customFormat="false" ht="35.05" hidden="false" customHeight="false" outlineLevel="0" collapsed="false">
      <c r="A805" s="13" t="s">
        <v>4</v>
      </c>
      <c r="B805" s="13" t="s">
        <v>2150</v>
      </c>
      <c r="C805" s="13" t="n">
        <v>193</v>
      </c>
      <c r="D805" s="13" t="s">
        <v>7947</v>
      </c>
      <c r="E805" s="13" t="n">
        <v>2</v>
      </c>
      <c r="F805" s="13" t="s">
        <v>15094</v>
      </c>
      <c r="G805" s="13" t="s">
        <v>15095</v>
      </c>
      <c r="H805" s="13" t="s">
        <v>7949</v>
      </c>
      <c r="I805" s="13" t="s">
        <v>7950</v>
      </c>
    </row>
    <row r="806" customFormat="false" ht="23.85" hidden="false" customHeight="false" outlineLevel="0" collapsed="false">
      <c r="A806" s="13" t="s">
        <v>4</v>
      </c>
      <c r="B806" s="13" t="s">
        <v>2150</v>
      </c>
      <c r="C806" s="13" t="n">
        <v>193</v>
      </c>
      <c r="D806" s="13" t="s">
        <v>7953</v>
      </c>
      <c r="E806" s="13" t="n">
        <v>1</v>
      </c>
      <c r="F806" s="13" t="s">
        <v>15094</v>
      </c>
      <c r="G806" s="13" t="s">
        <v>15095</v>
      </c>
      <c r="H806" s="13" t="s">
        <v>7955</v>
      </c>
      <c r="I806" s="13" t="s">
        <v>7956</v>
      </c>
    </row>
    <row r="807" customFormat="false" ht="46.25" hidden="false" customHeight="false" outlineLevel="0" collapsed="false">
      <c r="A807" s="13" t="s">
        <v>4</v>
      </c>
      <c r="B807" s="13" t="s">
        <v>2150</v>
      </c>
      <c r="C807" s="13" t="n">
        <v>193</v>
      </c>
      <c r="D807" s="13" t="s">
        <v>7957</v>
      </c>
      <c r="E807" s="13" t="n">
        <v>2</v>
      </c>
      <c r="F807" s="13" t="s">
        <v>15094</v>
      </c>
      <c r="G807" s="13" t="s">
        <v>15095</v>
      </c>
      <c r="H807" s="13" t="s">
        <v>7960</v>
      </c>
      <c r="I807" s="13" t="s">
        <v>7961</v>
      </c>
    </row>
    <row r="808" customFormat="false" ht="23.85" hidden="false" customHeight="false" outlineLevel="0" collapsed="false">
      <c r="A808" s="13" t="s">
        <v>4</v>
      </c>
      <c r="B808" s="13" t="s">
        <v>2150</v>
      </c>
      <c r="C808" s="13" t="n">
        <v>193</v>
      </c>
      <c r="D808" s="13" t="s">
        <v>7964</v>
      </c>
      <c r="E808" s="13" t="n">
        <v>1</v>
      </c>
      <c r="F808" s="13" t="s">
        <v>15094</v>
      </c>
      <c r="G808" s="13" t="s">
        <v>15095</v>
      </c>
      <c r="H808" s="13" t="s">
        <v>7966</v>
      </c>
      <c r="I808" s="13" t="s">
        <v>7967</v>
      </c>
    </row>
    <row r="809" customFormat="false" ht="124.6" hidden="false" customHeight="false" outlineLevel="0" collapsed="false">
      <c r="A809" s="13" t="s">
        <v>4</v>
      </c>
      <c r="B809" s="13" t="s">
        <v>2150</v>
      </c>
      <c r="C809" s="13" t="n">
        <v>193</v>
      </c>
      <c r="D809" s="13" t="s">
        <v>7968</v>
      </c>
      <c r="E809" s="13" t="n">
        <v>3</v>
      </c>
      <c r="F809" s="13" t="s">
        <v>15094</v>
      </c>
      <c r="G809" s="13" t="s">
        <v>15095</v>
      </c>
      <c r="H809" s="13" t="s">
        <v>7973</v>
      </c>
      <c r="I809" s="13" t="s">
        <v>7974</v>
      </c>
    </row>
    <row r="810" customFormat="false" ht="35.05" hidden="false" customHeight="false" outlineLevel="0" collapsed="false">
      <c r="A810" s="13" t="s">
        <v>4</v>
      </c>
      <c r="B810" s="13" t="s">
        <v>2150</v>
      </c>
      <c r="C810" s="13" t="n">
        <v>205</v>
      </c>
      <c r="D810" s="13" t="s">
        <v>7981</v>
      </c>
      <c r="E810" s="13" t="n">
        <v>2</v>
      </c>
      <c r="F810" s="13" t="s">
        <v>15094</v>
      </c>
      <c r="G810" s="13" t="s">
        <v>15095</v>
      </c>
      <c r="H810" s="13" t="s">
        <v>7985</v>
      </c>
      <c r="I810" s="13" t="s">
        <v>7986</v>
      </c>
    </row>
    <row r="811" customFormat="false" ht="68.65" hidden="false" customHeight="false" outlineLevel="0" collapsed="false">
      <c r="A811" s="13" t="s">
        <v>4</v>
      </c>
      <c r="B811" s="13" t="s">
        <v>2150</v>
      </c>
      <c r="C811" s="13" t="n">
        <v>205</v>
      </c>
      <c r="D811" s="13" t="s">
        <v>7989</v>
      </c>
      <c r="E811" s="13" t="n">
        <v>2</v>
      </c>
      <c r="F811" s="13" t="s">
        <v>15094</v>
      </c>
      <c r="G811" s="13" t="s">
        <v>15095</v>
      </c>
      <c r="H811" s="13" t="s">
        <v>7994</v>
      </c>
      <c r="I811" s="13" t="s">
        <v>7995</v>
      </c>
    </row>
    <row r="812" customFormat="false" ht="113.4" hidden="false" customHeight="false" outlineLevel="0" collapsed="false">
      <c r="A812" s="13" t="s">
        <v>4</v>
      </c>
      <c r="B812" s="13" t="s">
        <v>2150</v>
      </c>
      <c r="C812" s="13" t="n">
        <v>205</v>
      </c>
      <c r="D812" s="13" t="s">
        <v>7999</v>
      </c>
      <c r="E812" s="13" t="n">
        <v>2</v>
      </c>
      <c r="F812" s="13" t="s">
        <v>15094</v>
      </c>
      <c r="G812" s="13" t="s">
        <v>15095</v>
      </c>
      <c r="H812" s="13" t="s">
        <v>8003</v>
      </c>
      <c r="I812" s="13" t="s">
        <v>8004</v>
      </c>
    </row>
    <row r="813" customFormat="false" ht="57.45" hidden="false" customHeight="false" outlineLevel="0" collapsed="false">
      <c r="A813" s="13" t="s">
        <v>4</v>
      </c>
      <c r="B813" s="13" t="s">
        <v>2150</v>
      </c>
      <c r="C813" s="13" t="n">
        <v>205</v>
      </c>
      <c r="D813" s="13" t="s">
        <v>8008</v>
      </c>
      <c r="E813" s="13" t="n">
        <v>1</v>
      </c>
      <c r="F813" s="13" t="s">
        <v>15094</v>
      </c>
      <c r="G813" s="13" t="s">
        <v>15095</v>
      </c>
      <c r="H813" s="13" t="s">
        <v>8012</v>
      </c>
      <c r="I813" s="13" t="s">
        <v>8013</v>
      </c>
    </row>
    <row r="814" customFormat="false" ht="35.05" hidden="false" customHeight="false" outlineLevel="0" collapsed="false">
      <c r="A814" s="13" t="s">
        <v>4</v>
      </c>
      <c r="B814" s="13" t="s">
        <v>2150</v>
      </c>
      <c r="C814" s="13" t="n">
        <v>205</v>
      </c>
      <c r="D814" s="13" t="s">
        <v>8014</v>
      </c>
      <c r="E814" s="13" t="n">
        <v>2</v>
      </c>
      <c r="F814" s="13" t="s">
        <v>15094</v>
      </c>
      <c r="G814" s="13" t="s">
        <v>15095</v>
      </c>
      <c r="H814" s="13" t="s">
        <v>8019</v>
      </c>
      <c r="I814" s="13" t="s">
        <v>8020</v>
      </c>
    </row>
    <row r="815" customFormat="false" ht="23.85" hidden="false" customHeight="false" outlineLevel="0" collapsed="false">
      <c r="A815" s="13" t="s">
        <v>4</v>
      </c>
      <c r="B815" s="13" t="s">
        <v>2150</v>
      </c>
      <c r="C815" s="13" t="n">
        <v>205</v>
      </c>
      <c r="D815" s="13" t="s">
        <v>8025</v>
      </c>
      <c r="E815" s="13" t="n">
        <v>1</v>
      </c>
      <c r="F815" s="13" t="s">
        <v>15094</v>
      </c>
      <c r="G815" s="13" t="s">
        <v>15095</v>
      </c>
      <c r="H815" s="13" t="s">
        <v>8029</v>
      </c>
      <c r="I815" s="13" t="s">
        <v>8030</v>
      </c>
    </row>
    <row r="816" customFormat="false" ht="15" hidden="false" customHeight="false" outlineLevel="0" collapsed="false">
      <c r="A816" s="13" t="s">
        <v>4</v>
      </c>
      <c r="B816" s="13" t="s">
        <v>2150</v>
      </c>
      <c r="C816" s="13" t="n">
        <v>228</v>
      </c>
      <c r="D816" s="13" t="s">
        <v>15145</v>
      </c>
      <c r="E816" s="13" t="n">
        <v>0</v>
      </c>
      <c r="F816" s="13" t="s">
        <v>15097</v>
      </c>
      <c r="G816" s="13" t="s">
        <v>15095</v>
      </c>
      <c r="H816" s="13" t="s">
        <v>15146</v>
      </c>
      <c r="I816" s="13" t="s">
        <v>15147</v>
      </c>
    </row>
    <row r="817" customFormat="false" ht="15" hidden="false" customHeight="false" outlineLevel="0" collapsed="false">
      <c r="A817" s="13" t="s">
        <v>4</v>
      </c>
      <c r="B817" s="13" t="s">
        <v>2150</v>
      </c>
      <c r="C817" s="13" t="n">
        <v>228</v>
      </c>
      <c r="D817" s="13" t="s">
        <v>8031</v>
      </c>
      <c r="E817" s="13" t="n">
        <v>1</v>
      </c>
      <c r="F817" s="13" t="s">
        <v>15094</v>
      </c>
      <c r="G817" s="13" t="s">
        <v>15095</v>
      </c>
      <c r="H817" s="13" t="s">
        <v>8035</v>
      </c>
      <c r="I817" s="13" t="s">
        <v>8036</v>
      </c>
    </row>
    <row r="818" customFormat="false" ht="23.85" hidden="false" customHeight="false" outlineLevel="0" collapsed="false">
      <c r="A818" s="13" t="s">
        <v>4</v>
      </c>
      <c r="B818" s="13" t="s">
        <v>2150</v>
      </c>
      <c r="C818" s="13" t="n">
        <v>228</v>
      </c>
      <c r="D818" s="13" t="s">
        <v>8037</v>
      </c>
      <c r="E818" s="13" t="n">
        <v>2</v>
      </c>
      <c r="F818" s="13" t="s">
        <v>15094</v>
      </c>
      <c r="G818" s="13" t="s">
        <v>15095</v>
      </c>
      <c r="H818" s="13" t="s">
        <v>8041</v>
      </c>
      <c r="I818" s="13" t="s">
        <v>8042</v>
      </c>
    </row>
    <row r="819" customFormat="false" ht="15" hidden="false" customHeight="false" outlineLevel="0" collapsed="false">
      <c r="A819" s="13" t="s">
        <v>4</v>
      </c>
      <c r="B819" s="13" t="s">
        <v>2150</v>
      </c>
      <c r="C819" s="13" t="n">
        <v>228</v>
      </c>
      <c r="D819" s="13" t="s">
        <v>8046</v>
      </c>
      <c r="E819" s="13" t="n">
        <v>1</v>
      </c>
      <c r="F819" s="13" t="s">
        <v>15094</v>
      </c>
      <c r="G819" s="13" t="s">
        <v>15095</v>
      </c>
      <c r="H819" s="13" t="s">
        <v>8050</v>
      </c>
      <c r="I819" s="13" t="s">
        <v>8051</v>
      </c>
    </row>
    <row r="820" customFormat="false" ht="15" hidden="false" customHeight="false" outlineLevel="0" collapsed="false">
      <c r="A820" s="13" t="s">
        <v>4</v>
      </c>
      <c r="B820" s="13" t="s">
        <v>2150</v>
      </c>
      <c r="C820" s="13" t="n">
        <v>228</v>
      </c>
      <c r="D820" s="13" t="s">
        <v>15148</v>
      </c>
      <c r="E820" s="13" t="n">
        <v>0</v>
      </c>
      <c r="F820" s="13" t="s">
        <v>15097</v>
      </c>
      <c r="G820" s="13" t="s">
        <v>15095</v>
      </c>
      <c r="H820" s="13" t="s">
        <v>15149</v>
      </c>
      <c r="I820" s="13" t="s">
        <v>15150</v>
      </c>
    </row>
    <row r="821" customFormat="false" ht="15" hidden="false" customHeight="false" outlineLevel="0" collapsed="false">
      <c r="A821" s="13" t="s">
        <v>4</v>
      </c>
      <c r="B821" s="13" t="s">
        <v>2150</v>
      </c>
      <c r="C821" s="13" t="n">
        <v>228</v>
      </c>
      <c r="D821" s="13" t="s">
        <v>8052</v>
      </c>
      <c r="E821" s="13" t="n">
        <v>1</v>
      </c>
      <c r="F821" s="13" t="s">
        <v>15094</v>
      </c>
      <c r="G821" s="13" t="s">
        <v>15095</v>
      </c>
      <c r="H821" s="13" t="s">
        <v>8057</v>
      </c>
      <c r="I821" s="13" t="s">
        <v>8058</v>
      </c>
    </row>
    <row r="822" customFormat="false" ht="15" hidden="false" customHeight="false" outlineLevel="0" collapsed="false">
      <c r="A822" s="13" t="s">
        <v>4</v>
      </c>
      <c r="B822" s="13" t="s">
        <v>2150</v>
      </c>
      <c r="C822" s="13" t="n">
        <v>228</v>
      </c>
      <c r="D822" s="13" t="s">
        <v>15151</v>
      </c>
      <c r="E822" s="13" t="n">
        <v>0</v>
      </c>
      <c r="F822" s="13" t="s">
        <v>15097</v>
      </c>
      <c r="G822" s="13" t="s">
        <v>15095</v>
      </c>
      <c r="H822" s="13" t="s">
        <v>15152</v>
      </c>
      <c r="I822" s="13" t="s">
        <v>15153</v>
      </c>
    </row>
    <row r="823" customFormat="false" ht="15" hidden="false" customHeight="false" outlineLevel="0" collapsed="false">
      <c r="A823" s="13" t="s">
        <v>4</v>
      </c>
      <c r="B823" s="13" t="s">
        <v>2150</v>
      </c>
      <c r="C823" s="13" t="n">
        <v>228</v>
      </c>
      <c r="D823" s="13" t="s">
        <v>13973</v>
      </c>
      <c r="E823" s="13" t="n">
        <v>0</v>
      </c>
      <c r="F823" s="13" t="s">
        <v>15097</v>
      </c>
      <c r="G823" s="13" t="s">
        <v>15095</v>
      </c>
      <c r="H823" s="13" t="s">
        <v>13977</v>
      </c>
      <c r="I823" s="13" t="s">
        <v>13978</v>
      </c>
    </row>
    <row r="824" customFormat="false" ht="15" hidden="false" customHeight="false" outlineLevel="0" collapsed="false">
      <c r="A824" s="13" t="s">
        <v>4</v>
      </c>
      <c r="B824" s="13" t="s">
        <v>2150</v>
      </c>
      <c r="C824" s="13" t="n">
        <v>228</v>
      </c>
      <c r="D824" s="13" t="s">
        <v>15154</v>
      </c>
      <c r="E824" s="13" t="n">
        <v>0</v>
      </c>
      <c r="F824" s="13" t="s">
        <v>15097</v>
      </c>
      <c r="G824" s="13" t="s">
        <v>15095</v>
      </c>
      <c r="H824" s="13" t="s">
        <v>15155</v>
      </c>
      <c r="I824" s="13" t="s">
        <v>15156</v>
      </c>
    </row>
    <row r="825" customFormat="false" ht="15" hidden="false" customHeight="false" outlineLevel="0" collapsed="false">
      <c r="A825" s="13" t="s">
        <v>4</v>
      </c>
      <c r="B825" s="13" t="s">
        <v>2150</v>
      </c>
      <c r="C825" s="13" t="n">
        <v>228</v>
      </c>
      <c r="D825" s="13" t="s">
        <v>8059</v>
      </c>
      <c r="E825" s="13" t="n">
        <v>1</v>
      </c>
      <c r="F825" s="13" t="s">
        <v>15094</v>
      </c>
      <c r="G825" s="13" t="s">
        <v>15095</v>
      </c>
      <c r="H825" s="13" t="s">
        <v>8063</v>
      </c>
      <c r="I825" s="13" t="s">
        <v>8064</v>
      </c>
    </row>
    <row r="826" customFormat="false" ht="15" hidden="false" customHeight="false" outlineLevel="0" collapsed="false">
      <c r="A826" s="13" t="s">
        <v>4</v>
      </c>
      <c r="B826" s="13" t="s">
        <v>2150</v>
      </c>
      <c r="C826" s="13" t="n">
        <v>228</v>
      </c>
      <c r="D826" s="13" t="s">
        <v>8065</v>
      </c>
      <c r="E826" s="13" t="n">
        <v>1</v>
      </c>
      <c r="F826" s="13" t="s">
        <v>15094</v>
      </c>
      <c r="G826" s="13" t="s">
        <v>15095</v>
      </c>
      <c r="H826" s="13" t="s">
        <v>8069</v>
      </c>
      <c r="I826" s="13" t="s">
        <v>8070</v>
      </c>
    </row>
    <row r="827" customFormat="false" ht="15" hidden="false" customHeight="false" outlineLevel="0" collapsed="false">
      <c r="A827" s="13" t="s">
        <v>4</v>
      </c>
      <c r="B827" s="13" t="s">
        <v>2150</v>
      </c>
      <c r="C827" s="13" t="n">
        <v>228</v>
      </c>
      <c r="D827" s="13" t="s">
        <v>15157</v>
      </c>
      <c r="E827" s="13" t="n">
        <v>0</v>
      </c>
      <c r="F827" s="13" t="s">
        <v>15097</v>
      </c>
      <c r="G827" s="13" t="s">
        <v>15095</v>
      </c>
      <c r="H827" s="13" t="s">
        <v>15158</v>
      </c>
      <c r="I827" s="13" t="s">
        <v>15159</v>
      </c>
    </row>
    <row r="828" customFormat="false" ht="15" hidden="false" customHeight="false" outlineLevel="0" collapsed="false">
      <c r="A828" s="13" t="s">
        <v>4</v>
      </c>
      <c r="B828" s="13" t="s">
        <v>2150</v>
      </c>
      <c r="C828" s="13" t="n">
        <v>228</v>
      </c>
      <c r="D828" s="13" t="s">
        <v>15160</v>
      </c>
      <c r="E828" s="13" t="n">
        <v>0</v>
      </c>
      <c r="F828" s="13" t="s">
        <v>15097</v>
      </c>
      <c r="G828" s="13" t="s">
        <v>15095</v>
      </c>
      <c r="H828" s="13" t="s">
        <v>15161</v>
      </c>
      <c r="I828" s="13" t="s">
        <v>15162</v>
      </c>
    </row>
    <row r="829" customFormat="false" ht="15" hidden="false" customHeight="false" outlineLevel="0" collapsed="false">
      <c r="A829" s="13" t="s">
        <v>4</v>
      </c>
      <c r="B829" s="13" t="s">
        <v>2150</v>
      </c>
      <c r="C829" s="13" t="n">
        <v>228</v>
      </c>
      <c r="D829" s="13" t="s">
        <v>8071</v>
      </c>
      <c r="E829" s="13" t="n">
        <v>1</v>
      </c>
      <c r="F829" s="13" t="s">
        <v>15094</v>
      </c>
      <c r="G829" s="13" t="s">
        <v>15095</v>
      </c>
      <c r="H829" s="13" t="s">
        <v>8075</v>
      </c>
      <c r="I829" s="13" t="s">
        <v>8076</v>
      </c>
    </row>
    <row r="830" customFormat="false" ht="15" hidden="false" customHeight="false" outlineLevel="0" collapsed="false">
      <c r="A830" s="13" t="s">
        <v>4</v>
      </c>
      <c r="B830" s="13" t="s">
        <v>2150</v>
      </c>
      <c r="C830" s="13" t="n">
        <v>228</v>
      </c>
      <c r="D830" s="13" t="s">
        <v>15163</v>
      </c>
      <c r="E830" s="13" t="n">
        <v>0</v>
      </c>
      <c r="F830" s="13" t="s">
        <v>15097</v>
      </c>
      <c r="G830" s="13" t="s">
        <v>15095</v>
      </c>
      <c r="H830" s="13" t="s">
        <v>15164</v>
      </c>
      <c r="I830" s="13" t="s">
        <v>15165</v>
      </c>
    </row>
    <row r="831" customFormat="false" ht="15" hidden="false" customHeight="false" outlineLevel="0" collapsed="false">
      <c r="A831" s="13" t="s">
        <v>4</v>
      </c>
      <c r="B831" s="13" t="s">
        <v>2150</v>
      </c>
      <c r="C831" s="13" t="n">
        <v>228</v>
      </c>
      <c r="D831" s="13" t="s">
        <v>15166</v>
      </c>
      <c r="E831" s="13" t="n">
        <v>0</v>
      </c>
      <c r="F831" s="13" t="s">
        <v>15097</v>
      </c>
      <c r="G831" s="13" t="s">
        <v>15095</v>
      </c>
      <c r="H831" s="13" t="s">
        <v>15167</v>
      </c>
      <c r="I831" s="13" t="s">
        <v>15168</v>
      </c>
    </row>
    <row r="832" customFormat="false" ht="23.85" hidden="false" customHeight="false" outlineLevel="0" collapsed="false">
      <c r="A832" s="13" t="s">
        <v>4</v>
      </c>
      <c r="B832" s="13" t="s">
        <v>2150</v>
      </c>
      <c r="C832" s="13" t="n">
        <v>228</v>
      </c>
      <c r="D832" s="13" t="s">
        <v>8077</v>
      </c>
      <c r="E832" s="13" t="n">
        <v>1</v>
      </c>
      <c r="F832" s="13" t="s">
        <v>15094</v>
      </c>
      <c r="G832" s="13" t="s">
        <v>15095</v>
      </c>
      <c r="H832" s="13" t="s">
        <v>8081</v>
      </c>
      <c r="I832" s="13" t="s">
        <v>8082</v>
      </c>
    </row>
    <row r="833" customFormat="false" ht="23.85" hidden="false" customHeight="false" outlineLevel="0" collapsed="false">
      <c r="A833" s="13" t="s">
        <v>4</v>
      </c>
      <c r="B833" s="13" t="s">
        <v>2150</v>
      </c>
      <c r="C833" s="13" t="n">
        <v>228</v>
      </c>
      <c r="D833" s="13" t="s">
        <v>8083</v>
      </c>
      <c r="E833" s="13" t="n">
        <v>2</v>
      </c>
      <c r="F833" s="13" t="s">
        <v>15094</v>
      </c>
      <c r="G833" s="13" t="s">
        <v>15095</v>
      </c>
      <c r="H833" s="13" t="s">
        <v>8086</v>
      </c>
      <c r="I833" s="13" t="s">
        <v>8087</v>
      </c>
    </row>
    <row r="834" customFormat="false" ht="15" hidden="false" customHeight="false" outlineLevel="0" collapsed="false">
      <c r="A834" s="13" t="s">
        <v>4</v>
      </c>
      <c r="B834" s="13" t="s">
        <v>2150</v>
      </c>
      <c r="C834" s="13" t="n">
        <v>228</v>
      </c>
      <c r="D834" s="13" t="s">
        <v>15169</v>
      </c>
      <c r="E834" s="13" t="n">
        <v>0</v>
      </c>
      <c r="F834" s="13" t="s">
        <v>15097</v>
      </c>
      <c r="G834" s="13" t="s">
        <v>15095</v>
      </c>
      <c r="H834" s="13" t="s">
        <v>15170</v>
      </c>
      <c r="I834" s="13" t="s">
        <v>15171</v>
      </c>
    </row>
    <row r="835" customFormat="false" ht="15" hidden="false" customHeight="false" outlineLevel="0" collapsed="false">
      <c r="A835" s="13" t="s">
        <v>4</v>
      </c>
      <c r="B835" s="13" t="s">
        <v>2150</v>
      </c>
      <c r="C835" s="13" t="n">
        <v>228</v>
      </c>
      <c r="D835" s="13" t="s">
        <v>15172</v>
      </c>
      <c r="E835" s="13" t="n">
        <v>0</v>
      </c>
      <c r="F835" s="13" t="s">
        <v>15097</v>
      </c>
      <c r="G835" s="13" t="s">
        <v>15095</v>
      </c>
      <c r="H835" s="13" t="s">
        <v>15173</v>
      </c>
      <c r="I835" s="13" t="s">
        <v>15174</v>
      </c>
    </row>
    <row r="836" customFormat="false" ht="15" hidden="false" customHeight="false" outlineLevel="0" collapsed="false">
      <c r="A836" s="13" t="s">
        <v>4</v>
      </c>
      <c r="B836" s="13" t="s">
        <v>2150</v>
      </c>
      <c r="C836" s="13" t="n">
        <v>228</v>
      </c>
      <c r="D836" s="13" t="s">
        <v>8091</v>
      </c>
      <c r="E836" s="13" t="n">
        <v>1</v>
      </c>
      <c r="F836" s="13" t="s">
        <v>15094</v>
      </c>
      <c r="G836" s="13" t="s">
        <v>15095</v>
      </c>
      <c r="H836" s="13" t="s">
        <v>8095</v>
      </c>
      <c r="I836" s="13" t="s">
        <v>8096</v>
      </c>
    </row>
    <row r="837" customFormat="false" ht="15" hidden="false" customHeight="false" outlineLevel="0" collapsed="false">
      <c r="A837" s="13" t="s">
        <v>4</v>
      </c>
      <c r="B837" s="13" t="s">
        <v>2150</v>
      </c>
      <c r="C837" s="13" t="n">
        <v>228</v>
      </c>
      <c r="D837" s="13" t="s">
        <v>8097</v>
      </c>
      <c r="E837" s="13" t="n">
        <v>1</v>
      </c>
      <c r="F837" s="13" t="s">
        <v>15094</v>
      </c>
      <c r="G837" s="13" t="s">
        <v>15095</v>
      </c>
      <c r="H837" s="13" t="s">
        <v>8099</v>
      </c>
      <c r="I837" s="13" t="s">
        <v>8100</v>
      </c>
    </row>
    <row r="838" customFormat="false" ht="15" hidden="false" customHeight="false" outlineLevel="0" collapsed="false">
      <c r="A838" s="13" t="s">
        <v>4</v>
      </c>
      <c r="B838" s="13" t="s">
        <v>2150</v>
      </c>
      <c r="C838" s="13" t="n">
        <v>228</v>
      </c>
      <c r="D838" s="13" t="s">
        <v>15175</v>
      </c>
      <c r="E838" s="13" t="n">
        <v>0</v>
      </c>
      <c r="F838" s="13" t="s">
        <v>15097</v>
      </c>
      <c r="G838" s="13" t="s">
        <v>15095</v>
      </c>
      <c r="H838" s="13" t="s">
        <v>15176</v>
      </c>
      <c r="I838" s="13" t="s">
        <v>15177</v>
      </c>
    </row>
    <row r="839" customFormat="false" ht="15" hidden="false" customHeight="false" outlineLevel="0" collapsed="false">
      <c r="A839" s="13" t="s">
        <v>4</v>
      </c>
      <c r="B839" s="13" t="s">
        <v>2150</v>
      </c>
      <c r="C839" s="13" t="n">
        <v>228</v>
      </c>
      <c r="D839" s="13" t="s">
        <v>8101</v>
      </c>
      <c r="E839" s="13" t="n">
        <v>1</v>
      </c>
      <c r="F839" s="13" t="s">
        <v>15094</v>
      </c>
      <c r="G839" s="13" t="s">
        <v>15095</v>
      </c>
      <c r="H839" s="13" t="s">
        <v>8104</v>
      </c>
      <c r="I839" s="13" t="s">
        <v>8105</v>
      </c>
    </row>
    <row r="840" customFormat="false" ht="15" hidden="false" customHeight="false" outlineLevel="0" collapsed="false">
      <c r="A840" s="13" t="s">
        <v>4</v>
      </c>
      <c r="B840" s="13" t="s">
        <v>2150</v>
      </c>
      <c r="C840" s="13" t="n">
        <v>228</v>
      </c>
      <c r="D840" s="13" t="s">
        <v>15178</v>
      </c>
      <c r="E840" s="13" t="n">
        <v>0</v>
      </c>
      <c r="F840" s="13" t="s">
        <v>15097</v>
      </c>
      <c r="G840" s="13" t="s">
        <v>15095</v>
      </c>
      <c r="H840" s="13" t="s">
        <v>15179</v>
      </c>
      <c r="I840" s="13" t="s">
        <v>15180</v>
      </c>
    </row>
    <row r="841" customFormat="false" ht="15" hidden="false" customHeight="false" outlineLevel="0" collapsed="false">
      <c r="A841" s="13" t="s">
        <v>4</v>
      </c>
      <c r="B841" s="13" t="s">
        <v>2150</v>
      </c>
      <c r="C841" s="13" t="n">
        <v>228</v>
      </c>
      <c r="D841" s="13" t="s">
        <v>15181</v>
      </c>
      <c r="E841" s="13" t="n">
        <v>0</v>
      </c>
      <c r="F841" s="13" t="s">
        <v>15097</v>
      </c>
      <c r="G841" s="13" t="s">
        <v>15095</v>
      </c>
      <c r="H841" s="13" t="s">
        <v>15182</v>
      </c>
      <c r="I841" s="13" t="s">
        <v>15159</v>
      </c>
    </row>
    <row r="842" customFormat="false" ht="15" hidden="false" customHeight="false" outlineLevel="0" collapsed="false">
      <c r="A842" s="13" t="s">
        <v>4</v>
      </c>
      <c r="B842" s="13" t="s">
        <v>2150</v>
      </c>
      <c r="C842" s="13" t="n">
        <v>228</v>
      </c>
      <c r="D842" s="13" t="s">
        <v>15183</v>
      </c>
      <c r="E842" s="13" t="n">
        <v>0</v>
      </c>
      <c r="F842" s="13" t="s">
        <v>15097</v>
      </c>
      <c r="G842" s="13" t="s">
        <v>15095</v>
      </c>
      <c r="H842" s="13" t="s">
        <v>15184</v>
      </c>
      <c r="I842" s="13" t="s">
        <v>15185</v>
      </c>
    </row>
    <row r="843" customFormat="false" ht="15" hidden="false" customHeight="false" outlineLevel="0" collapsed="false">
      <c r="A843" s="13" t="s">
        <v>4</v>
      </c>
      <c r="B843" s="13" t="s">
        <v>2150</v>
      </c>
      <c r="C843" s="13" t="n">
        <v>228</v>
      </c>
      <c r="D843" s="13" t="s">
        <v>8106</v>
      </c>
      <c r="E843" s="13" t="n">
        <v>1</v>
      </c>
      <c r="F843" s="13" t="s">
        <v>15094</v>
      </c>
      <c r="G843" s="13" t="s">
        <v>15095</v>
      </c>
      <c r="H843" s="13" t="s">
        <v>8110</v>
      </c>
      <c r="I843" s="13" t="s">
        <v>8111</v>
      </c>
    </row>
    <row r="844" customFormat="false" ht="15" hidden="false" customHeight="false" outlineLevel="0" collapsed="false">
      <c r="A844" s="13" t="s">
        <v>4</v>
      </c>
      <c r="B844" s="13" t="s">
        <v>2150</v>
      </c>
      <c r="C844" s="13" t="n">
        <v>228</v>
      </c>
      <c r="D844" s="13" t="s">
        <v>15186</v>
      </c>
      <c r="E844" s="13" t="n">
        <v>0</v>
      </c>
      <c r="F844" s="13" t="s">
        <v>15097</v>
      </c>
      <c r="G844" s="13" t="s">
        <v>15095</v>
      </c>
      <c r="H844" s="13" t="s">
        <v>15187</v>
      </c>
      <c r="I844" s="13" t="s">
        <v>15188</v>
      </c>
    </row>
    <row r="845" customFormat="false" ht="15" hidden="false" customHeight="false" outlineLevel="0" collapsed="false">
      <c r="A845" s="13" t="s">
        <v>4</v>
      </c>
      <c r="B845" s="13" t="s">
        <v>2150</v>
      </c>
      <c r="C845" s="13" t="n">
        <v>228</v>
      </c>
      <c r="D845" s="13" t="s">
        <v>15189</v>
      </c>
      <c r="E845" s="13" t="n">
        <v>0</v>
      </c>
      <c r="F845" s="13" t="s">
        <v>15097</v>
      </c>
      <c r="G845" s="13" t="s">
        <v>15095</v>
      </c>
      <c r="H845" s="13" t="s">
        <v>15190</v>
      </c>
      <c r="I845" s="13" t="s">
        <v>15191</v>
      </c>
    </row>
    <row r="846" customFormat="false" ht="15" hidden="false" customHeight="false" outlineLevel="0" collapsed="false">
      <c r="A846" s="13" t="s">
        <v>4</v>
      </c>
      <c r="B846" s="13" t="s">
        <v>2150</v>
      </c>
      <c r="C846" s="13" t="n">
        <v>228</v>
      </c>
      <c r="D846" s="13" t="s">
        <v>8112</v>
      </c>
      <c r="E846" s="13" t="n">
        <v>1</v>
      </c>
      <c r="F846" s="13" t="s">
        <v>15094</v>
      </c>
      <c r="G846" s="13" t="s">
        <v>15095</v>
      </c>
      <c r="H846" s="13" t="s">
        <v>8116</v>
      </c>
      <c r="I846" s="13" t="s">
        <v>8117</v>
      </c>
    </row>
    <row r="847" customFormat="false" ht="15" hidden="false" customHeight="false" outlineLevel="0" collapsed="false">
      <c r="A847" s="13" t="s">
        <v>4</v>
      </c>
      <c r="B847" s="13" t="s">
        <v>2150</v>
      </c>
      <c r="C847" s="13" t="n">
        <v>228</v>
      </c>
      <c r="D847" s="13" t="s">
        <v>8118</v>
      </c>
      <c r="E847" s="13" t="n">
        <v>1</v>
      </c>
      <c r="F847" s="13" t="s">
        <v>15094</v>
      </c>
      <c r="G847" s="13" t="s">
        <v>15095</v>
      </c>
      <c r="H847" s="13" t="s">
        <v>8122</v>
      </c>
      <c r="I847" s="13" t="s">
        <v>8123</v>
      </c>
    </row>
    <row r="848" customFormat="false" ht="15" hidden="false" customHeight="false" outlineLevel="0" collapsed="false">
      <c r="A848" s="13" t="s">
        <v>4</v>
      </c>
      <c r="B848" s="13" t="s">
        <v>2150</v>
      </c>
      <c r="C848" s="13" t="n">
        <v>228</v>
      </c>
      <c r="D848" s="13" t="s">
        <v>8124</v>
      </c>
      <c r="E848" s="13" t="n">
        <v>1</v>
      </c>
      <c r="F848" s="13" t="s">
        <v>15094</v>
      </c>
      <c r="G848" s="13" t="s">
        <v>15095</v>
      </c>
      <c r="H848" s="13" t="s">
        <v>8128</v>
      </c>
      <c r="I848" s="13" t="s">
        <v>8129</v>
      </c>
    </row>
    <row r="849" customFormat="false" ht="15" hidden="false" customHeight="false" outlineLevel="0" collapsed="false">
      <c r="A849" s="13" t="s">
        <v>4</v>
      </c>
      <c r="B849" s="13" t="s">
        <v>2150</v>
      </c>
      <c r="C849" s="13" t="n">
        <v>228</v>
      </c>
      <c r="D849" s="13" t="s">
        <v>15192</v>
      </c>
      <c r="E849" s="13" t="n">
        <v>0</v>
      </c>
      <c r="F849" s="13" t="s">
        <v>15097</v>
      </c>
      <c r="G849" s="13" t="s">
        <v>15095</v>
      </c>
      <c r="H849" s="13" t="s">
        <v>15193</v>
      </c>
      <c r="I849" s="13" t="s">
        <v>15194</v>
      </c>
    </row>
    <row r="850" customFormat="false" ht="15" hidden="false" customHeight="false" outlineLevel="0" collapsed="false">
      <c r="A850" s="13" t="s">
        <v>4</v>
      </c>
      <c r="B850" s="13" t="s">
        <v>2150</v>
      </c>
      <c r="C850" s="13" t="n">
        <v>228</v>
      </c>
      <c r="D850" s="13" t="s">
        <v>8130</v>
      </c>
      <c r="E850" s="13" t="n">
        <v>1</v>
      </c>
      <c r="F850" s="13" t="s">
        <v>15094</v>
      </c>
      <c r="G850" s="13" t="s">
        <v>15095</v>
      </c>
      <c r="H850" s="13" t="s">
        <v>8135</v>
      </c>
      <c r="I850" s="13" t="s">
        <v>8136</v>
      </c>
    </row>
    <row r="851" customFormat="false" ht="15" hidden="false" customHeight="false" outlineLevel="0" collapsed="false">
      <c r="A851" s="13" t="s">
        <v>4</v>
      </c>
      <c r="B851" s="13" t="s">
        <v>2150</v>
      </c>
      <c r="C851" s="13" t="n">
        <v>228</v>
      </c>
      <c r="D851" s="13" t="s">
        <v>15195</v>
      </c>
      <c r="E851" s="13" t="n">
        <v>0</v>
      </c>
      <c r="F851" s="13" t="s">
        <v>15097</v>
      </c>
      <c r="G851" s="13" t="s">
        <v>15095</v>
      </c>
      <c r="H851" s="13" t="s">
        <v>15196</v>
      </c>
      <c r="I851" s="13" t="s">
        <v>15197</v>
      </c>
    </row>
    <row r="852" customFormat="false" ht="15" hidden="false" customHeight="false" outlineLevel="0" collapsed="false">
      <c r="A852" s="13" t="s">
        <v>4</v>
      </c>
      <c r="B852" s="13" t="s">
        <v>2150</v>
      </c>
      <c r="C852" s="13" t="n">
        <v>228</v>
      </c>
      <c r="D852" s="13" t="s">
        <v>8137</v>
      </c>
      <c r="E852" s="13" t="n">
        <v>1</v>
      </c>
      <c r="F852" s="13" t="s">
        <v>15094</v>
      </c>
      <c r="G852" s="13" t="s">
        <v>15095</v>
      </c>
      <c r="H852" s="13" t="s">
        <v>8142</v>
      </c>
      <c r="I852" s="13" t="s">
        <v>8143</v>
      </c>
    </row>
    <row r="853" customFormat="false" ht="15" hidden="false" customHeight="false" outlineLevel="0" collapsed="false">
      <c r="A853" s="13" t="s">
        <v>4</v>
      </c>
      <c r="B853" s="13" t="s">
        <v>2150</v>
      </c>
      <c r="C853" s="13" t="n">
        <v>228</v>
      </c>
      <c r="D853" s="13" t="s">
        <v>8144</v>
      </c>
      <c r="E853" s="13" t="n">
        <v>1</v>
      </c>
      <c r="F853" s="13" t="s">
        <v>15094</v>
      </c>
      <c r="G853" s="13" t="s">
        <v>15095</v>
      </c>
      <c r="H853" s="13" t="s">
        <v>8150</v>
      </c>
      <c r="I853" s="13" t="s">
        <v>8151</v>
      </c>
    </row>
    <row r="854" customFormat="false" ht="15" hidden="false" customHeight="false" outlineLevel="0" collapsed="false">
      <c r="A854" s="13" t="s">
        <v>4</v>
      </c>
      <c r="B854" s="13" t="s">
        <v>2150</v>
      </c>
      <c r="C854" s="13" t="n">
        <v>228</v>
      </c>
      <c r="D854" s="13" t="s">
        <v>15198</v>
      </c>
      <c r="E854" s="13" t="n">
        <v>0</v>
      </c>
      <c r="F854" s="13" t="s">
        <v>15097</v>
      </c>
      <c r="G854" s="13" t="s">
        <v>15095</v>
      </c>
      <c r="H854" s="13" t="s">
        <v>15199</v>
      </c>
      <c r="I854" s="13" t="s">
        <v>15200</v>
      </c>
    </row>
    <row r="855" customFormat="false" ht="15" hidden="false" customHeight="false" outlineLevel="0" collapsed="false">
      <c r="A855" s="13" t="s">
        <v>4</v>
      </c>
      <c r="B855" s="13" t="s">
        <v>2150</v>
      </c>
      <c r="C855" s="13" t="n">
        <v>228</v>
      </c>
      <c r="D855" s="13" t="s">
        <v>8152</v>
      </c>
      <c r="E855" s="13" t="n">
        <v>1</v>
      </c>
      <c r="F855" s="13" t="s">
        <v>15094</v>
      </c>
      <c r="G855" s="13" t="s">
        <v>15095</v>
      </c>
      <c r="H855" s="13" t="s">
        <v>8157</v>
      </c>
      <c r="I855" s="13" t="s">
        <v>8158</v>
      </c>
    </row>
    <row r="856" customFormat="false" ht="15" hidden="false" customHeight="false" outlineLevel="0" collapsed="false">
      <c r="A856" s="13" t="s">
        <v>4</v>
      </c>
      <c r="B856" s="13" t="s">
        <v>2150</v>
      </c>
      <c r="C856" s="13" t="n">
        <v>228</v>
      </c>
      <c r="D856" s="13" t="s">
        <v>15201</v>
      </c>
      <c r="E856" s="13" t="n">
        <v>0</v>
      </c>
      <c r="F856" s="13" t="s">
        <v>15097</v>
      </c>
      <c r="G856" s="13" t="s">
        <v>15095</v>
      </c>
      <c r="H856" s="13" t="s">
        <v>15202</v>
      </c>
      <c r="I856" s="13" t="s">
        <v>15203</v>
      </c>
    </row>
    <row r="857" customFormat="false" ht="15" hidden="false" customHeight="false" outlineLevel="0" collapsed="false">
      <c r="A857" s="13" t="s">
        <v>4</v>
      </c>
      <c r="B857" s="13" t="s">
        <v>2150</v>
      </c>
      <c r="C857" s="13" t="n">
        <v>228</v>
      </c>
      <c r="D857" s="13" t="s">
        <v>8159</v>
      </c>
      <c r="E857" s="13" t="n">
        <v>1</v>
      </c>
      <c r="F857" s="13" t="s">
        <v>15094</v>
      </c>
      <c r="G857" s="13" t="s">
        <v>15095</v>
      </c>
      <c r="H857" s="13" t="s">
        <v>8163</v>
      </c>
      <c r="I857" s="13" t="s">
        <v>8164</v>
      </c>
    </row>
    <row r="858" customFormat="false" ht="15" hidden="false" customHeight="false" outlineLevel="0" collapsed="false">
      <c r="A858" s="13" t="s">
        <v>4</v>
      </c>
      <c r="B858" s="13" t="s">
        <v>2150</v>
      </c>
      <c r="C858" s="13" t="n">
        <v>228</v>
      </c>
      <c r="D858" s="13" t="s">
        <v>15204</v>
      </c>
      <c r="E858" s="13" t="n">
        <v>0</v>
      </c>
      <c r="F858" s="13" t="s">
        <v>15097</v>
      </c>
      <c r="G858" s="13" t="s">
        <v>15095</v>
      </c>
      <c r="H858" s="13" t="s">
        <v>15205</v>
      </c>
      <c r="I858" s="13" t="s">
        <v>15206</v>
      </c>
    </row>
    <row r="859" customFormat="false" ht="15" hidden="false" customHeight="false" outlineLevel="0" collapsed="false">
      <c r="A859" s="13" t="s">
        <v>4</v>
      </c>
      <c r="B859" s="13" t="s">
        <v>2150</v>
      </c>
      <c r="C859" s="13" t="n">
        <v>228</v>
      </c>
      <c r="D859" s="13" t="s">
        <v>8165</v>
      </c>
      <c r="E859" s="13" t="n">
        <v>1</v>
      </c>
      <c r="F859" s="13" t="s">
        <v>15094</v>
      </c>
      <c r="G859" s="13" t="s">
        <v>15095</v>
      </c>
      <c r="H859" s="13" t="s">
        <v>8170</v>
      </c>
      <c r="I859" s="13" t="s">
        <v>8171</v>
      </c>
    </row>
    <row r="860" customFormat="false" ht="15" hidden="false" customHeight="false" outlineLevel="0" collapsed="false">
      <c r="A860" s="13" t="s">
        <v>4</v>
      </c>
      <c r="B860" s="13" t="s">
        <v>2150</v>
      </c>
      <c r="C860" s="13" t="n">
        <v>228</v>
      </c>
      <c r="D860" s="13" t="s">
        <v>8172</v>
      </c>
      <c r="E860" s="13" t="n">
        <v>1</v>
      </c>
      <c r="F860" s="13" t="s">
        <v>15094</v>
      </c>
      <c r="G860" s="13" t="s">
        <v>15095</v>
      </c>
      <c r="H860" s="13" t="s">
        <v>8176</v>
      </c>
      <c r="I860" s="13" t="s">
        <v>8177</v>
      </c>
    </row>
    <row r="861" customFormat="false" ht="15" hidden="false" customHeight="false" outlineLevel="0" collapsed="false">
      <c r="A861" s="13" t="s">
        <v>4</v>
      </c>
      <c r="B861" s="13" t="s">
        <v>2150</v>
      </c>
      <c r="C861" s="13" t="n">
        <v>228</v>
      </c>
      <c r="D861" s="13" t="s">
        <v>15207</v>
      </c>
      <c r="E861" s="13" t="n">
        <v>0</v>
      </c>
      <c r="F861" s="13" t="s">
        <v>15097</v>
      </c>
      <c r="G861" s="13" t="s">
        <v>15095</v>
      </c>
      <c r="H861" s="13" t="s">
        <v>15208</v>
      </c>
      <c r="I861" s="13" t="s">
        <v>15209</v>
      </c>
    </row>
    <row r="862" customFormat="false" ht="15" hidden="false" customHeight="false" outlineLevel="0" collapsed="false">
      <c r="A862" s="13" t="s">
        <v>4</v>
      </c>
      <c r="B862" s="13" t="s">
        <v>2150</v>
      </c>
      <c r="C862" s="13" t="n">
        <v>228</v>
      </c>
      <c r="D862" s="13" t="s">
        <v>15210</v>
      </c>
      <c r="E862" s="13" t="n">
        <v>0</v>
      </c>
      <c r="F862" s="13" t="s">
        <v>15097</v>
      </c>
      <c r="G862" s="13" t="s">
        <v>15095</v>
      </c>
      <c r="H862" s="13" t="s">
        <v>15211</v>
      </c>
      <c r="I862" s="13" t="s">
        <v>15212</v>
      </c>
    </row>
    <row r="863" customFormat="false" ht="15" hidden="false" customHeight="false" outlineLevel="0" collapsed="false">
      <c r="A863" s="13" t="s">
        <v>4</v>
      </c>
      <c r="B863" s="13" t="s">
        <v>2150</v>
      </c>
      <c r="C863" s="13" t="n">
        <v>228</v>
      </c>
      <c r="D863" s="13" t="s">
        <v>8178</v>
      </c>
      <c r="E863" s="13" t="n">
        <v>1</v>
      </c>
      <c r="F863" s="13" t="s">
        <v>15094</v>
      </c>
      <c r="G863" s="13" t="s">
        <v>15095</v>
      </c>
      <c r="H863" s="13" t="s">
        <v>8181</v>
      </c>
      <c r="I863" s="13" t="s">
        <v>8182</v>
      </c>
    </row>
    <row r="864" customFormat="false" ht="15" hidden="false" customHeight="false" outlineLevel="0" collapsed="false">
      <c r="A864" s="13" t="s">
        <v>4</v>
      </c>
      <c r="B864" s="13" t="s">
        <v>2150</v>
      </c>
      <c r="C864" s="13" t="n">
        <v>228</v>
      </c>
      <c r="D864" s="13" t="s">
        <v>8183</v>
      </c>
      <c r="E864" s="13" t="n">
        <v>1</v>
      </c>
      <c r="F864" s="13" t="s">
        <v>15094</v>
      </c>
      <c r="G864" s="13" t="s">
        <v>15095</v>
      </c>
      <c r="H864" s="13" t="s">
        <v>8186</v>
      </c>
      <c r="I864" s="13" t="s">
        <v>8187</v>
      </c>
    </row>
    <row r="865" customFormat="false" ht="15" hidden="false" customHeight="false" outlineLevel="0" collapsed="false">
      <c r="A865" s="13" t="s">
        <v>4</v>
      </c>
      <c r="B865" s="13" t="s">
        <v>2150</v>
      </c>
      <c r="C865" s="13" t="n">
        <v>228</v>
      </c>
      <c r="D865" s="13" t="s">
        <v>15213</v>
      </c>
      <c r="E865" s="13" t="n">
        <v>0</v>
      </c>
      <c r="F865" s="13" t="s">
        <v>15097</v>
      </c>
      <c r="G865" s="13" t="s">
        <v>15095</v>
      </c>
      <c r="H865" s="13" t="s">
        <v>15214</v>
      </c>
      <c r="I865" s="13" t="s">
        <v>15215</v>
      </c>
    </row>
    <row r="866" customFormat="false" ht="15" hidden="false" customHeight="false" outlineLevel="0" collapsed="false">
      <c r="A866" s="13" t="s">
        <v>4</v>
      </c>
      <c r="B866" s="13" t="s">
        <v>2150</v>
      </c>
      <c r="C866" s="13" t="n">
        <v>228</v>
      </c>
      <c r="D866" s="13" t="s">
        <v>8188</v>
      </c>
      <c r="E866" s="13" t="n">
        <v>1</v>
      </c>
      <c r="F866" s="13" t="s">
        <v>15094</v>
      </c>
      <c r="G866" s="13" t="s">
        <v>15095</v>
      </c>
      <c r="H866" s="13" t="s">
        <v>8191</v>
      </c>
      <c r="I866" s="13" t="s">
        <v>8192</v>
      </c>
    </row>
    <row r="867" customFormat="false" ht="15" hidden="false" customHeight="false" outlineLevel="0" collapsed="false">
      <c r="A867" s="13" t="s">
        <v>4</v>
      </c>
      <c r="B867" s="13" t="s">
        <v>2150</v>
      </c>
      <c r="C867" s="13" t="n">
        <v>228</v>
      </c>
      <c r="D867" s="13" t="s">
        <v>8193</v>
      </c>
      <c r="E867" s="13" t="n">
        <v>1</v>
      </c>
      <c r="F867" s="13" t="s">
        <v>15094</v>
      </c>
      <c r="G867" s="13" t="s">
        <v>15095</v>
      </c>
      <c r="H867" s="13" t="s">
        <v>8196</v>
      </c>
      <c r="I867" s="13" t="s">
        <v>8197</v>
      </c>
    </row>
    <row r="868" customFormat="false" ht="15" hidden="false" customHeight="false" outlineLevel="0" collapsed="false">
      <c r="A868" s="13" t="s">
        <v>4</v>
      </c>
      <c r="B868" s="13" t="s">
        <v>2150</v>
      </c>
      <c r="C868" s="13" t="n">
        <v>228</v>
      </c>
      <c r="D868" s="13" t="s">
        <v>15216</v>
      </c>
      <c r="E868" s="13" t="n">
        <v>0</v>
      </c>
      <c r="F868" s="13" t="s">
        <v>15097</v>
      </c>
      <c r="G868" s="13" t="s">
        <v>15095</v>
      </c>
      <c r="H868" s="13" t="s">
        <v>15217</v>
      </c>
      <c r="I868" s="13" t="s">
        <v>15218</v>
      </c>
    </row>
    <row r="869" customFormat="false" ht="15" hidden="false" customHeight="false" outlineLevel="0" collapsed="false">
      <c r="A869" s="13" t="s">
        <v>4</v>
      </c>
      <c r="B869" s="13" t="s">
        <v>2150</v>
      </c>
      <c r="C869" s="13" t="n">
        <v>228</v>
      </c>
      <c r="D869" s="13" t="s">
        <v>8198</v>
      </c>
      <c r="E869" s="13" t="n">
        <v>1</v>
      </c>
      <c r="F869" s="13" t="s">
        <v>15094</v>
      </c>
      <c r="G869" s="13" t="s">
        <v>15095</v>
      </c>
      <c r="H869" s="13" t="s">
        <v>8202</v>
      </c>
      <c r="I869" s="13" t="s">
        <v>8203</v>
      </c>
    </row>
    <row r="870" customFormat="false" ht="15" hidden="false" customHeight="false" outlineLevel="0" collapsed="false">
      <c r="A870" s="13" t="s">
        <v>4</v>
      </c>
      <c r="B870" s="13" t="s">
        <v>2150</v>
      </c>
      <c r="C870" s="13" t="n">
        <v>228</v>
      </c>
      <c r="D870" s="13" t="s">
        <v>15219</v>
      </c>
      <c r="E870" s="13" t="n">
        <v>0</v>
      </c>
      <c r="F870" s="13" t="s">
        <v>15097</v>
      </c>
      <c r="G870" s="13" t="s">
        <v>15095</v>
      </c>
      <c r="H870" s="13" t="s">
        <v>15220</v>
      </c>
      <c r="I870" s="13" t="s">
        <v>15221</v>
      </c>
    </row>
    <row r="871" customFormat="false" ht="15" hidden="false" customHeight="false" outlineLevel="0" collapsed="false">
      <c r="A871" s="13" t="s">
        <v>4</v>
      </c>
      <c r="B871" s="13" t="s">
        <v>2150</v>
      </c>
      <c r="C871" s="13" t="n">
        <v>228</v>
      </c>
      <c r="D871" s="13" t="s">
        <v>15222</v>
      </c>
      <c r="E871" s="13" t="n">
        <v>0</v>
      </c>
      <c r="F871" s="13" t="s">
        <v>15097</v>
      </c>
      <c r="G871" s="13" t="s">
        <v>15095</v>
      </c>
      <c r="H871" s="13" t="s">
        <v>15223</v>
      </c>
      <c r="I871" s="13" t="s">
        <v>15224</v>
      </c>
    </row>
    <row r="872" customFormat="false" ht="15" hidden="false" customHeight="false" outlineLevel="0" collapsed="false">
      <c r="A872" s="13" t="s">
        <v>4</v>
      </c>
      <c r="B872" s="13" t="s">
        <v>2150</v>
      </c>
      <c r="C872" s="13" t="n">
        <v>228</v>
      </c>
      <c r="D872" s="13" t="s">
        <v>8204</v>
      </c>
      <c r="E872" s="13" t="n">
        <v>1</v>
      </c>
      <c r="F872" s="13" t="s">
        <v>15094</v>
      </c>
      <c r="G872" s="13" t="s">
        <v>15095</v>
      </c>
      <c r="H872" s="13" t="s">
        <v>8208</v>
      </c>
      <c r="I872" s="13" t="s">
        <v>8209</v>
      </c>
    </row>
    <row r="873" customFormat="false" ht="15" hidden="false" customHeight="false" outlineLevel="0" collapsed="false">
      <c r="A873" s="13" t="s">
        <v>4</v>
      </c>
      <c r="B873" s="13" t="s">
        <v>2150</v>
      </c>
      <c r="C873" s="13" t="n">
        <v>228</v>
      </c>
      <c r="D873" s="13" t="s">
        <v>14011</v>
      </c>
      <c r="E873" s="13" t="n">
        <v>0</v>
      </c>
      <c r="F873" s="13" t="s">
        <v>15097</v>
      </c>
      <c r="G873" s="13" t="s">
        <v>15095</v>
      </c>
      <c r="H873" s="13" t="s">
        <v>14015</v>
      </c>
      <c r="I873" s="13" t="s">
        <v>14016</v>
      </c>
    </row>
    <row r="874" customFormat="false" ht="15" hidden="false" customHeight="false" outlineLevel="0" collapsed="false">
      <c r="A874" s="13" t="s">
        <v>4</v>
      </c>
      <c r="B874" s="13" t="s">
        <v>2150</v>
      </c>
      <c r="C874" s="13" t="n">
        <v>228</v>
      </c>
      <c r="D874" s="13" t="s">
        <v>8210</v>
      </c>
      <c r="E874" s="13" t="n">
        <v>1</v>
      </c>
      <c r="F874" s="13" t="s">
        <v>15094</v>
      </c>
      <c r="G874" s="13" t="s">
        <v>15095</v>
      </c>
      <c r="H874" s="13" t="s">
        <v>8214</v>
      </c>
      <c r="I874" s="13" t="s">
        <v>8215</v>
      </c>
    </row>
    <row r="875" customFormat="false" ht="15" hidden="false" customHeight="false" outlineLevel="0" collapsed="false">
      <c r="A875" s="13" t="s">
        <v>4</v>
      </c>
      <c r="B875" s="13" t="s">
        <v>2150</v>
      </c>
      <c r="C875" s="13" t="n">
        <v>228</v>
      </c>
      <c r="D875" s="13" t="s">
        <v>15225</v>
      </c>
      <c r="E875" s="13" t="n">
        <v>0</v>
      </c>
      <c r="F875" s="13" t="s">
        <v>15097</v>
      </c>
      <c r="G875" s="13" t="s">
        <v>15095</v>
      </c>
      <c r="H875" s="13" t="s">
        <v>15226</v>
      </c>
      <c r="I875" s="13" t="s">
        <v>15227</v>
      </c>
    </row>
    <row r="876" customFormat="false" ht="15" hidden="false" customHeight="false" outlineLevel="0" collapsed="false">
      <c r="A876" s="13" t="s">
        <v>4</v>
      </c>
      <c r="B876" s="13" t="s">
        <v>2150</v>
      </c>
      <c r="C876" s="13" t="n">
        <v>228</v>
      </c>
      <c r="D876" s="13" t="s">
        <v>8216</v>
      </c>
      <c r="E876" s="13" t="n">
        <v>1</v>
      </c>
      <c r="F876" s="13" t="s">
        <v>15094</v>
      </c>
      <c r="G876" s="13" t="s">
        <v>15095</v>
      </c>
      <c r="H876" s="13" t="s">
        <v>8218</v>
      </c>
      <c r="I876" s="13" t="s">
        <v>8219</v>
      </c>
    </row>
    <row r="877" customFormat="false" ht="15" hidden="false" customHeight="false" outlineLevel="0" collapsed="false">
      <c r="A877" s="13" t="s">
        <v>4</v>
      </c>
      <c r="B877" s="13" t="s">
        <v>2150</v>
      </c>
      <c r="C877" s="13" t="n">
        <v>228</v>
      </c>
      <c r="D877" s="13" t="s">
        <v>8220</v>
      </c>
      <c r="E877" s="13" t="n">
        <v>1</v>
      </c>
      <c r="F877" s="13" t="s">
        <v>15094</v>
      </c>
      <c r="G877" s="13" t="s">
        <v>15095</v>
      </c>
      <c r="H877" s="13" t="s">
        <v>8225</v>
      </c>
      <c r="I877" s="13" t="s">
        <v>8226</v>
      </c>
    </row>
    <row r="878" customFormat="false" ht="23.85" hidden="false" customHeight="false" outlineLevel="0" collapsed="false">
      <c r="A878" s="13" t="s">
        <v>4</v>
      </c>
      <c r="B878" s="13" t="s">
        <v>2150</v>
      </c>
      <c r="C878" s="13" t="n">
        <v>228</v>
      </c>
      <c r="D878" s="13" t="s">
        <v>8227</v>
      </c>
      <c r="E878" s="13" t="n">
        <v>1</v>
      </c>
      <c r="F878" s="13" t="s">
        <v>15094</v>
      </c>
      <c r="G878" s="13" t="s">
        <v>15095</v>
      </c>
      <c r="H878" s="13" t="s">
        <v>8231</v>
      </c>
      <c r="I878" s="13" t="s">
        <v>8232</v>
      </c>
    </row>
    <row r="879" customFormat="false" ht="15" hidden="false" customHeight="false" outlineLevel="0" collapsed="false">
      <c r="A879" s="13" t="s">
        <v>4</v>
      </c>
      <c r="B879" s="13" t="s">
        <v>2150</v>
      </c>
      <c r="C879" s="13" t="n">
        <v>228</v>
      </c>
      <c r="D879" s="13" t="s">
        <v>8233</v>
      </c>
      <c r="E879" s="13" t="n">
        <v>1</v>
      </c>
      <c r="F879" s="13" t="s">
        <v>15094</v>
      </c>
      <c r="G879" s="13" t="s">
        <v>15095</v>
      </c>
      <c r="H879" s="13" t="s">
        <v>8237</v>
      </c>
      <c r="I879" s="13" t="s">
        <v>8238</v>
      </c>
    </row>
    <row r="880" customFormat="false" ht="15" hidden="false" customHeight="false" outlineLevel="0" collapsed="false">
      <c r="A880" s="13" t="s">
        <v>4</v>
      </c>
      <c r="B880" s="13" t="s">
        <v>2150</v>
      </c>
      <c r="C880" s="13" t="n">
        <v>228</v>
      </c>
      <c r="D880" s="13" t="s">
        <v>15228</v>
      </c>
      <c r="E880" s="13" t="n">
        <v>0</v>
      </c>
      <c r="F880" s="13" t="s">
        <v>15097</v>
      </c>
      <c r="G880" s="13" t="s">
        <v>15095</v>
      </c>
      <c r="H880" s="13" t="s">
        <v>15229</v>
      </c>
      <c r="I880" s="13" t="s">
        <v>15230</v>
      </c>
    </row>
    <row r="881" customFormat="false" ht="15" hidden="false" customHeight="false" outlineLevel="0" collapsed="false">
      <c r="A881" s="13" t="s">
        <v>4</v>
      </c>
      <c r="B881" s="13" t="s">
        <v>2150</v>
      </c>
      <c r="C881" s="13" t="n">
        <v>228</v>
      </c>
      <c r="D881" s="13" t="s">
        <v>15231</v>
      </c>
      <c r="E881" s="13" t="n">
        <v>0</v>
      </c>
      <c r="F881" s="13" t="s">
        <v>15097</v>
      </c>
      <c r="G881" s="13" t="s">
        <v>15095</v>
      </c>
      <c r="H881" s="13" t="s">
        <v>15232</v>
      </c>
      <c r="I881" s="13" t="s">
        <v>15233</v>
      </c>
    </row>
    <row r="882" customFormat="false" ht="15" hidden="false" customHeight="false" outlineLevel="0" collapsed="false">
      <c r="A882" s="13" t="s">
        <v>4</v>
      </c>
      <c r="B882" s="13" t="s">
        <v>2150</v>
      </c>
      <c r="C882" s="13" t="n">
        <v>228</v>
      </c>
      <c r="D882" s="13" t="s">
        <v>15234</v>
      </c>
      <c r="E882" s="13" t="n">
        <v>0</v>
      </c>
      <c r="F882" s="13" t="s">
        <v>15097</v>
      </c>
      <c r="G882" s="13" t="s">
        <v>15095</v>
      </c>
      <c r="H882" s="13" t="s">
        <v>15235</v>
      </c>
      <c r="I882" s="13" t="s">
        <v>15236</v>
      </c>
    </row>
    <row r="883" customFormat="false" ht="15" hidden="false" customHeight="false" outlineLevel="0" collapsed="false">
      <c r="A883" s="13" t="s">
        <v>4</v>
      </c>
      <c r="B883" s="13" t="s">
        <v>2150</v>
      </c>
      <c r="C883" s="13" t="n">
        <v>228</v>
      </c>
      <c r="D883" s="13" t="s">
        <v>8239</v>
      </c>
      <c r="E883" s="13" t="n">
        <v>1</v>
      </c>
      <c r="F883" s="13" t="s">
        <v>15094</v>
      </c>
      <c r="G883" s="13" t="s">
        <v>15095</v>
      </c>
      <c r="H883" s="13" t="s">
        <v>8243</v>
      </c>
      <c r="I883" s="13" t="s">
        <v>8244</v>
      </c>
    </row>
    <row r="884" customFormat="false" ht="15" hidden="false" customHeight="false" outlineLevel="0" collapsed="false">
      <c r="A884" s="13" t="s">
        <v>4</v>
      </c>
      <c r="B884" s="13" t="s">
        <v>2150</v>
      </c>
      <c r="C884" s="13" t="n">
        <v>228</v>
      </c>
      <c r="D884" s="13" t="s">
        <v>8245</v>
      </c>
      <c r="E884" s="13" t="n">
        <v>1</v>
      </c>
      <c r="F884" s="13" t="s">
        <v>15094</v>
      </c>
      <c r="G884" s="13" t="s">
        <v>15095</v>
      </c>
      <c r="H884" s="13" t="s">
        <v>8249</v>
      </c>
      <c r="I884" s="13" t="s">
        <v>8250</v>
      </c>
    </row>
    <row r="885" customFormat="false" ht="15" hidden="false" customHeight="false" outlineLevel="0" collapsed="false">
      <c r="A885" s="13" t="s">
        <v>4</v>
      </c>
      <c r="B885" s="13" t="s">
        <v>2150</v>
      </c>
      <c r="C885" s="13" t="n">
        <v>228</v>
      </c>
      <c r="D885" s="13" t="s">
        <v>15237</v>
      </c>
      <c r="E885" s="13" t="n">
        <v>0</v>
      </c>
      <c r="F885" s="13" t="s">
        <v>15097</v>
      </c>
      <c r="G885" s="13" t="s">
        <v>15095</v>
      </c>
      <c r="H885" s="13" t="s">
        <v>15238</v>
      </c>
      <c r="I885" s="13" t="s">
        <v>15239</v>
      </c>
    </row>
    <row r="886" customFormat="false" ht="15" hidden="false" customHeight="false" outlineLevel="0" collapsed="false">
      <c r="A886" s="13" t="s">
        <v>4</v>
      </c>
      <c r="B886" s="13" t="s">
        <v>2150</v>
      </c>
      <c r="C886" s="13" t="n">
        <v>228</v>
      </c>
      <c r="D886" s="13" t="s">
        <v>8251</v>
      </c>
      <c r="E886" s="13" t="n">
        <v>1</v>
      </c>
      <c r="F886" s="13" t="s">
        <v>15094</v>
      </c>
      <c r="G886" s="13" t="s">
        <v>15095</v>
      </c>
      <c r="H886" s="13" t="s">
        <v>8255</v>
      </c>
      <c r="I886" s="13" t="s">
        <v>8256</v>
      </c>
    </row>
    <row r="887" customFormat="false" ht="15" hidden="false" customHeight="false" outlineLevel="0" collapsed="false">
      <c r="A887" s="13" t="s">
        <v>4</v>
      </c>
      <c r="B887" s="13" t="s">
        <v>2150</v>
      </c>
      <c r="C887" s="13" t="n">
        <v>228</v>
      </c>
      <c r="D887" s="13" t="s">
        <v>15240</v>
      </c>
      <c r="E887" s="13" t="n">
        <v>0</v>
      </c>
      <c r="F887" s="13" t="s">
        <v>15097</v>
      </c>
      <c r="G887" s="13" t="s">
        <v>15095</v>
      </c>
      <c r="H887" s="13" t="s">
        <v>15241</v>
      </c>
      <c r="I887" s="13" t="s">
        <v>15242</v>
      </c>
    </row>
    <row r="888" customFormat="false" ht="15" hidden="false" customHeight="false" outlineLevel="0" collapsed="false">
      <c r="A888" s="13" t="s">
        <v>4</v>
      </c>
      <c r="B888" s="13" t="s">
        <v>2150</v>
      </c>
      <c r="C888" s="13" t="n">
        <v>228</v>
      </c>
      <c r="D888" s="13" t="s">
        <v>15243</v>
      </c>
      <c r="E888" s="13" t="n">
        <v>0</v>
      </c>
      <c r="F888" s="13" t="s">
        <v>15097</v>
      </c>
      <c r="G888" s="13" t="s">
        <v>15095</v>
      </c>
      <c r="H888" s="13" t="s">
        <v>15244</v>
      </c>
      <c r="I888" s="13" t="s">
        <v>15245</v>
      </c>
    </row>
    <row r="889" customFormat="false" ht="15" hidden="false" customHeight="false" outlineLevel="0" collapsed="false">
      <c r="A889" s="13" t="s">
        <v>4</v>
      </c>
      <c r="B889" s="13" t="s">
        <v>2150</v>
      </c>
      <c r="C889" s="13" t="n">
        <v>228</v>
      </c>
      <c r="D889" s="13" t="s">
        <v>8257</v>
      </c>
      <c r="E889" s="13" t="n">
        <v>1</v>
      </c>
      <c r="F889" s="13" t="s">
        <v>15094</v>
      </c>
      <c r="G889" s="13" t="s">
        <v>15095</v>
      </c>
      <c r="H889" s="13" t="s">
        <v>8260</v>
      </c>
      <c r="I889" s="13" t="s">
        <v>8261</v>
      </c>
    </row>
    <row r="890" customFormat="false" ht="15" hidden="false" customHeight="false" outlineLevel="0" collapsed="false">
      <c r="A890" s="13" t="s">
        <v>4</v>
      </c>
      <c r="B890" s="13" t="s">
        <v>2150</v>
      </c>
      <c r="C890" s="13" t="n">
        <v>228</v>
      </c>
      <c r="D890" s="13" t="s">
        <v>8262</v>
      </c>
      <c r="E890" s="13" t="n">
        <v>1</v>
      </c>
      <c r="F890" s="13" t="s">
        <v>15094</v>
      </c>
      <c r="G890" s="13" t="s">
        <v>15095</v>
      </c>
      <c r="H890" s="13" t="s">
        <v>8265</v>
      </c>
      <c r="I890" s="13" t="s">
        <v>8266</v>
      </c>
    </row>
    <row r="891" customFormat="false" ht="15" hidden="false" customHeight="false" outlineLevel="0" collapsed="false">
      <c r="A891" s="13" t="s">
        <v>4</v>
      </c>
      <c r="B891" s="13" t="s">
        <v>2150</v>
      </c>
      <c r="C891" s="13" t="n">
        <v>228</v>
      </c>
      <c r="D891" s="13" t="s">
        <v>15246</v>
      </c>
      <c r="E891" s="13" t="n">
        <v>0</v>
      </c>
      <c r="F891" s="13" t="s">
        <v>15097</v>
      </c>
      <c r="G891" s="13" t="s">
        <v>15095</v>
      </c>
      <c r="H891" s="13" t="s">
        <v>15247</v>
      </c>
      <c r="I891" s="13" t="s">
        <v>15248</v>
      </c>
    </row>
    <row r="892" customFormat="false" ht="15" hidden="false" customHeight="false" outlineLevel="0" collapsed="false">
      <c r="A892" s="13" t="s">
        <v>4</v>
      </c>
      <c r="B892" s="13" t="s">
        <v>2150</v>
      </c>
      <c r="C892" s="13" t="n">
        <v>228</v>
      </c>
      <c r="D892" s="13" t="s">
        <v>8267</v>
      </c>
      <c r="E892" s="13" t="n">
        <v>1</v>
      </c>
      <c r="F892" s="13" t="s">
        <v>15094</v>
      </c>
      <c r="G892" s="13" t="s">
        <v>15095</v>
      </c>
      <c r="H892" s="13" t="s">
        <v>8271</v>
      </c>
      <c r="I892" s="13" t="s">
        <v>8272</v>
      </c>
    </row>
    <row r="893" customFormat="false" ht="15" hidden="false" customHeight="false" outlineLevel="0" collapsed="false">
      <c r="A893" s="13" t="s">
        <v>4</v>
      </c>
      <c r="B893" s="13" t="s">
        <v>2150</v>
      </c>
      <c r="C893" s="13" t="n">
        <v>228</v>
      </c>
      <c r="D893" s="13" t="s">
        <v>8273</v>
      </c>
      <c r="E893" s="13" t="n">
        <v>1</v>
      </c>
      <c r="F893" s="13" t="s">
        <v>15094</v>
      </c>
      <c r="G893" s="13" t="s">
        <v>15095</v>
      </c>
      <c r="H893" s="13" t="s">
        <v>8276</v>
      </c>
      <c r="I893" s="13" t="s">
        <v>8277</v>
      </c>
    </row>
    <row r="894" customFormat="false" ht="79.85" hidden="false" customHeight="false" outlineLevel="0" collapsed="false">
      <c r="A894" s="13" t="s">
        <v>4</v>
      </c>
      <c r="B894" s="13" t="s">
        <v>2150</v>
      </c>
      <c r="C894" s="13" t="n">
        <v>248</v>
      </c>
      <c r="D894" s="13" t="s">
        <v>8278</v>
      </c>
      <c r="E894" s="13" t="n">
        <v>3</v>
      </c>
      <c r="F894" s="13" t="s">
        <v>15094</v>
      </c>
      <c r="G894" s="13" t="s">
        <v>15095</v>
      </c>
      <c r="H894" s="13" t="s">
        <v>8283</v>
      </c>
      <c r="I894" s="13" t="s">
        <v>8284</v>
      </c>
    </row>
    <row r="895" customFormat="false" ht="102.2" hidden="false" customHeight="false" outlineLevel="0" collapsed="false">
      <c r="A895" s="13" t="s">
        <v>4</v>
      </c>
      <c r="B895" s="13" t="s">
        <v>2150</v>
      </c>
      <c r="C895" s="13" t="n">
        <v>248</v>
      </c>
      <c r="D895" s="13" t="s">
        <v>8290</v>
      </c>
      <c r="E895" s="13" t="n">
        <v>8</v>
      </c>
      <c r="F895" s="13" t="s">
        <v>15094</v>
      </c>
      <c r="G895" s="13" t="s">
        <v>15095</v>
      </c>
      <c r="H895" s="13" t="s">
        <v>8293</v>
      </c>
      <c r="I895" s="13" t="s">
        <v>8294</v>
      </c>
    </row>
    <row r="896" customFormat="false" ht="15" hidden="false" customHeight="false" outlineLevel="0" collapsed="false">
      <c r="A896" s="13" t="s">
        <v>4</v>
      </c>
      <c r="B896" s="13" t="s">
        <v>2150</v>
      </c>
      <c r="C896" s="13" t="n">
        <v>248</v>
      </c>
      <c r="D896" s="13" t="s">
        <v>8313</v>
      </c>
      <c r="E896" s="13" t="n">
        <v>1</v>
      </c>
      <c r="F896" s="13" t="s">
        <v>15094</v>
      </c>
      <c r="G896" s="13" t="s">
        <v>15095</v>
      </c>
      <c r="H896" s="13" t="s">
        <v>8318</v>
      </c>
      <c r="I896" s="13" t="s">
        <v>8319</v>
      </c>
    </row>
    <row r="897" customFormat="false" ht="180.55" hidden="false" customHeight="false" outlineLevel="0" collapsed="false">
      <c r="A897" s="13" t="s">
        <v>4</v>
      </c>
      <c r="B897" s="13" t="s">
        <v>2150</v>
      </c>
      <c r="C897" s="13" t="n">
        <v>248</v>
      </c>
      <c r="D897" s="13" t="s">
        <v>8320</v>
      </c>
      <c r="E897" s="13" t="n">
        <v>4</v>
      </c>
      <c r="F897" s="13" t="s">
        <v>15094</v>
      </c>
      <c r="G897" s="13" t="s">
        <v>15095</v>
      </c>
      <c r="H897" s="13" t="s">
        <v>8325</v>
      </c>
      <c r="I897" s="13" t="s">
        <v>8326</v>
      </c>
    </row>
    <row r="898" customFormat="false" ht="35.05" hidden="false" customHeight="false" outlineLevel="0" collapsed="false">
      <c r="A898" s="13" t="s">
        <v>4</v>
      </c>
      <c r="B898" s="13" t="s">
        <v>2150</v>
      </c>
      <c r="C898" s="13" t="n">
        <v>248</v>
      </c>
      <c r="D898" s="13" t="s">
        <v>8336</v>
      </c>
      <c r="E898" s="13" t="n">
        <v>1</v>
      </c>
      <c r="F898" s="13" t="s">
        <v>15094</v>
      </c>
      <c r="G898" s="13" t="s">
        <v>15095</v>
      </c>
      <c r="H898" s="13" t="s">
        <v>8340</v>
      </c>
      <c r="I898" s="13" t="s">
        <v>8341</v>
      </c>
    </row>
    <row r="899" customFormat="false" ht="57.45" hidden="false" customHeight="false" outlineLevel="0" collapsed="false">
      <c r="A899" s="13" t="s">
        <v>4</v>
      </c>
      <c r="B899" s="13" t="s">
        <v>2150</v>
      </c>
      <c r="C899" s="13" t="n">
        <v>248</v>
      </c>
      <c r="D899" s="13" t="s">
        <v>8342</v>
      </c>
      <c r="E899" s="13" t="n">
        <v>1</v>
      </c>
      <c r="F899" s="13" t="s">
        <v>15094</v>
      </c>
      <c r="G899" s="13" t="s">
        <v>15095</v>
      </c>
      <c r="H899" s="13" t="s">
        <v>8346</v>
      </c>
      <c r="I899" s="13" t="s">
        <v>8347</v>
      </c>
    </row>
    <row r="900" customFormat="false" ht="158.2" hidden="false" customHeight="false" outlineLevel="0" collapsed="false">
      <c r="A900" s="13" t="s">
        <v>4</v>
      </c>
      <c r="B900" s="13" t="s">
        <v>2150</v>
      </c>
      <c r="C900" s="13" t="n">
        <v>248</v>
      </c>
      <c r="D900" s="13" t="s">
        <v>8348</v>
      </c>
      <c r="E900" s="13" t="n">
        <v>4</v>
      </c>
      <c r="F900" s="13" t="s">
        <v>15094</v>
      </c>
      <c r="G900" s="13" t="s">
        <v>15095</v>
      </c>
      <c r="H900" s="13" t="s">
        <v>8351</v>
      </c>
      <c r="I900" s="13" t="s">
        <v>8352</v>
      </c>
    </row>
    <row r="901" customFormat="false" ht="57.45" hidden="false" customHeight="false" outlineLevel="0" collapsed="false">
      <c r="A901" s="13" t="s">
        <v>4</v>
      </c>
      <c r="B901" s="13" t="s">
        <v>2150</v>
      </c>
      <c r="C901" s="13" t="n">
        <v>274</v>
      </c>
      <c r="D901" s="13" t="s">
        <v>8362</v>
      </c>
      <c r="E901" s="13" t="n">
        <v>4</v>
      </c>
      <c r="F901" s="13" t="s">
        <v>15094</v>
      </c>
      <c r="G901" s="13" t="s">
        <v>15095</v>
      </c>
      <c r="H901" s="13" t="s">
        <v>8367</v>
      </c>
      <c r="I901" s="13" t="s">
        <v>8368</v>
      </c>
    </row>
    <row r="902" customFormat="false" ht="147" hidden="false" customHeight="false" outlineLevel="0" collapsed="false">
      <c r="A902" s="13" t="s">
        <v>4</v>
      </c>
      <c r="B902" s="13" t="s">
        <v>2150</v>
      </c>
      <c r="C902" s="13" t="n">
        <v>274</v>
      </c>
      <c r="D902" s="13" t="s">
        <v>8376</v>
      </c>
      <c r="E902" s="13" t="n">
        <v>6</v>
      </c>
      <c r="F902" s="13" t="s">
        <v>15094</v>
      </c>
      <c r="G902" s="13" t="s">
        <v>15095</v>
      </c>
      <c r="H902" s="13" t="s">
        <v>8380</v>
      </c>
      <c r="I902" s="13" t="s">
        <v>8381</v>
      </c>
    </row>
    <row r="903" customFormat="false" ht="91" hidden="false" customHeight="false" outlineLevel="0" collapsed="false">
      <c r="A903" s="13" t="s">
        <v>4</v>
      </c>
      <c r="B903" s="13" t="s">
        <v>2150</v>
      </c>
      <c r="C903" s="13" t="n">
        <v>274</v>
      </c>
      <c r="D903" s="13" t="s">
        <v>8396</v>
      </c>
      <c r="E903" s="13" t="n">
        <v>5</v>
      </c>
      <c r="F903" s="13" t="s">
        <v>15094</v>
      </c>
      <c r="G903" s="13" t="s">
        <v>15095</v>
      </c>
      <c r="H903" s="13" t="s">
        <v>8400</v>
      </c>
      <c r="I903" s="13" t="s">
        <v>8401</v>
      </c>
    </row>
    <row r="904" customFormat="false" ht="79.85" hidden="false" customHeight="false" outlineLevel="0" collapsed="false">
      <c r="A904" s="13" t="s">
        <v>4</v>
      </c>
      <c r="B904" s="13" t="s">
        <v>2150</v>
      </c>
      <c r="C904" s="13" t="n">
        <v>274</v>
      </c>
      <c r="D904" s="13" t="s">
        <v>8413</v>
      </c>
      <c r="E904" s="13" t="n">
        <v>4</v>
      </c>
      <c r="F904" s="13" t="s">
        <v>15094</v>
      </c>
      <c r="G904" s="13" t="s">
        <v>15095</v>
      </c>
      <c r="H904" s="13" t="s">
        <v>8417</v>
      </c>
      <c r="I904" s="13" t="s">
        <v>8418</v>
      </c>
    </row>
    <row r="905" customFormat="false" ht="15" hidden="false" customHeight="false" outlineLevel="0" collapsed="false">
      <c r="A905" s="13" t="s">
        <v>4</v>
      </c>
      <c r="B905" s="13" t="s">
        <v>2150</v>
      </c>
      <c r="C905" s="13" t="n">
        <v>274</v>
      </c>
      <c r="D905" s="13" t="s">
        <v>8427</v>
      </c>
      <c r="E905" s="13" t="n">
        <v>1</v>
      </c>
      <c r="F905" s="13" t="s">
        <v>15094</v>
      </c>
      <c r="G905" s="13" t="s">
        <v>15095</v>
      </c>
      <c r="H905" s="13" t="s">
        <v>8431</v>
      </c>
      <c r="I905" s="13" t="s">
        <v>8432</v>
      </c>
    </row>
    <row r="906" customFormat="false" ht="102.2" hidden="false" customHeight="false" outlineLevel="0" collapsed="false">
      <c r="A906" s="13" t="s">
        <v>4</v>
      </c>
      <c r="B906" s="13" t="s">
        <v>2150</v>
      </c>
      <c r="C906" s="13" t="n">
        <v>274</v>
      </c>
      <c r="D906" s="13" t="s">
        <v>8433</v>
      </c>
      <c r="E906" s="13" t="n">
        <v>7</v>
      </c>
      <c r="F906" s="13" t="s">
        <v>15094</v>
      </c>
      <c r="G906" s="13" t="s">
        <v>15095</v>
      </c>
      <c r="H906" s="13" t="s">
        <v>8437</v>
      </c>
      <c r="I906" s="13" t="s">
        <v>8438</v>
      </c>
    </row>
    <row r="907" customFormat="false" ht="35.05" hidden="false" customHeight="false" outlineLevel="0" collapsed="false">
      <c r="A907" s="13" t="s">
        <v>4</v>
      </c>
      <c r="B907" s="13" t="s">
        <v>2150</v>
      </c>
      <c r="C907" s="13" t="n">
        <v>335</v>
      </c>
      <c r="D907" s="13" t="s">
        <v>8455</v>
      </c>
      <c r="E907" s="13" t="n">
        <v>3</v>
      </c>
      <c r="F907" s="13" t="s">
        <v>15094</v>
      </c>
      <c r="G907" s="13" t="s">
        <v>15095</v>
      </c>
      <c r="H907" s="13" t="s">
        <v>8459</v>
      </c>
      <c r="I907" s="13" t="s">
        <v>8460</v>
      </c>
    </row>
    <row r="908" customFormat="false" ht="68.65" hidden="false" customHeight="false" outlineLevel="0" collapsed="false">
      <c r="A908" s="13" t="s">
        <v>4</v>
      </c>
      <c r="B908" s="13" t="s">
        <v>2150</v>
      </c>
      <c r="C908" s="13" t="n">
        <v>335</v>
      </c>
      <c r="D908" s="13" t="s">
        <v>8467</v>
      </c>
      <c r="E908" s="13" t="n">
        <v>3</v>
      </c>
      <c r="F908" s="13" t="s">
        <v>15094</v>
      </c>
      <c r="G908" s="13" t="s">
        <v>15095</v>
      </c>
      <c r="H908" s="13" t="s">
        <v>8470</v>
      </c>
      <c r="I908" s="13" t="s">
        <v>8471</v>
      </c>
    </row>
    <row r="909" customFormat="false" ht="23.85" hidden="false" customHeight="false" outlineLevel="0" collapsed="false">
      <c r="A909" s="13" t="s">
        <v>4</v>
      </c>
      <c r="B909" s="13" t="s">
        <v>2150</v>
      </c>
      <c r="C909" s="13" t="n">
        <v>335</v>
      </c>
      <c r="D909" s="13" t="s">
        <v>8478</v>
      </c>
      <c r="E909" s="13" t="n">
        <v>2</v>
      </c>
      <c r="F909" s="13" t="s">
        <v>15094</v>
      </c>
      <c r="G909" s="13" t="s">
        <v>15095</v>
      </c>
      <c r="H909" s="13" t="s">
        <v>8481</v>
      </c>
      <c r="I909" s="13" t="s">
        <v>8482</v>
      </c>
    </row>
    <row r="910" customFormat="false" ht="91" hidden="false" customHeight="false" outlineLevel="0" collapsed="false">
      <c r="A910" s="13" t="s">
        <v>4</v>
      </c>
      <c r="B910" s="13" t="s">
        <v>2150</v>
      </c>
      <c r="C910" s="13" t="n">
        <v>335</v>
      </c>
      <c r="D910" s="13" t="s">
        <v>8484</v>
      </c>
      <c r="E910" s="13" t="n">
        <v>4</v>
      </c>
      <c r="F910" s="13" t="s">
        <v>15094</v>
      </c>
      <c r="G910" s="13" t="s">
        <v>15095</v>
      </c>
      <c r="H910" s="13" t="s">
        <v>8488</v>
      </c>
      <c r="I910" s="13" t="s">
        <v>8489</v>
      </c>
    </row>
    <row r="911" customFormat="false" ht="23.85" hidden="false" customHeight="false" outlineLevel="0" collapsed="false">
      <c r="A911" s="13" t="s">
        <v>4</v>
      </c>
      <c r="B911" s="13" t="s">
        <v>2150</v>
      </c>
      <c r="C911" s="13" t="n">
        <v>335</v>
      </c>
      <c r="D911" s="13" t="s">
        <v>8496</v>
      </c>
      <c r="E911" s="13" t="n">
        <v>1</v>
      </c>
      <c r="F911" s="13" t="s">
        <v>15094</v>
      </c>
      <c r="G911" s="13" t="s">
        <v>15095</v>
      </c>
      <c r="H911" s="13" t="s">
        <v>8499</v>
      </c>
      <c r="I911" s="13" t="s">
        <v>8500</v>
      </c>
    </row>
    <row r="912" customFormat="false" ht="23.85" hidden="false" customHeight="false" outlineLevel="0" collapsed="false">
      <c r="A912" s="13" t="s">
        <v>4</v>
      </c>
      <c r="B912" s="13" t="s">
        <v>2150</v>
      </c>
      <c r="C912" s="13" t="n">
        <v>335</v>
      </c>
      <c r="D912" s="13" t="s">
        <v>8501</v>
      </c>
      <c r="E912" s="13" t="n">
        <v>1</v>
      </c>
      <c r="F912" s="13" t="s">
        <v>15094</v>
      </c>
      <c r="G912" s="13" t="s">
        <v>15095</v>
      </c>
      <c r="H912" s="13" t="s">
        <v>8504</v>
      </c>
      <c r="I912" s="13" t="s">
        <v>8505</v>
      </c>
    </row>
    <row r="913" customFormat="false" ht="35.05" hidden="false" customHeight="false" outlineLevel="0" collapsed="false">
      <c r="A913" s="13" t="s">
        <v>4</v>
      </c>
      <c r="B913" s="13" t="s">
        <v>2150</v>
      </c>
      <c r="C913" s="13" t="n">
        <v>335</v>
      </c>
      <c r="D913" s="13" t="s">
        <v>8506</v>
      </c>
      <c r="E913" s="13" t="n">
        <v>2</v>
      </c>
      <c r="F913" s="13" t="s">
        <v>15094</v>
      </c>
      <c r="G913" s="13" t="s">
        <v>15095</v>
      </c>
      <c r="H913" s="13" t="s">
        <v>8510</v>
      </c>
      <c r="I913" s="13" t="s">
        <v>8511</v>
      </c>
    </row>
    <row r="914" customFormat="false" ht="23.85" hidden="false" customHeight="false" outlineLevel="0" collapsed="false">
      <c r="A914" s="13" t="s">
        <v>4</v>
      </c>
      <c r="B914" s="13" t="s">
        <v>2150</v>
      </c>
      <c r="C914" s="13" t="n">
        <v>335</v>
      </c>
      <c r="D914" s="13" t="s">
        <v>8514</v>
      </c>
      <c r="E914" s="13" t="n">
        <v>1</v>
      </c>
      <c r="F914" s="13" t="s">
        <v>15094</v>
      </c>
      <c r="G914" s="13" t="s">
        <v>15095</v>
      </c>
      <c r="H914" s="13" t="s">
        <v>8517</v>
      </c>
      <c r="I914" s="13" t="s">
        <v>8518</v>
      </c>
    </row>
    <row r="915" customFormat="false" ht="247.75" hidden="false" customHeight="false" outlineLevel="0" collapsed="false">
      <c r="A915" s="13" t="s">
        <v>4</v>
      </c>
      <c r="B915" s="13" t="s">
        <v>2150</v>
      </c>
      <c r="C915" s="13" t="n">
        <v>335</v>
      </c>
      <c r="D915" s="13" t="s">
        <v>8519</v>
      </c>
      <c r="E915" s="13" t="n">
        <v>8</v>
      </c>
      <c r="F915" s="13" t="s">
        <v>15094</v>
      </c>
      <c r="G915" s="13" t="s">
        <v>15095</v>
      </c>
      <c r="H915" s="13" t="s">
        <v>8522</v>
      </c>
      <c r="I915" s="13" t="s">
        <v>8523</v>
      </c>
    </row>
    <row r="916" customFormat="false" ht="46.25" hidden="false" customHeight="false" outlineLevel="0" collapsed="false">
      <c r="A916" s="13" t="s">
        <v>4</v>
      </c>
      <c r="B916" s="13" t="s">
        <v>2150</v>
      </c>
      <c r="C916" s="13" t="n">
        <v>342</v>
      </c>
      <c r="D916" s="13" t="s">
        <v>8548</v>
      </c>
      <c r="E916" s="13" t="n">
        <v>4</v>
      </c>
      <c r="F916" s="13" t="s">
        <v>15094</v>
      </c>
      <c r="G916" s="13" t="s">
        <v>15095</v>
      </c>
      <c r="H916" s="13" t="s">
        <v>8552</v>
      </c>
      <c r="I916" s="13" t="s">
        <v>8553</v>
      </c>
    </row>
    <row r="917" customFormat="false" ht="15" hidden="false" customHeight="false" outlineLevel="0" collapsed="false">
      <c r="A917" s="13" t="s">
        <v>4</v>
      </c>
      <c r="B917" s="13" t="s">
        <v>2150</v>
      </c>
      <c r="C917" s="13" t="n">
        <v>342</v>
      </c>
      <c r="D917" s="13" t="s">
        <v>8563</v>
      </c>
      <c r="E917" s="13" t="n">
        <v>1</v>
      </c>
      <c r="F917" s="13" t="s">
        <v>15094</v>
      </c>
      <c r="G917" s="13" t="s">
        <v>15095</v>
      </c>
      <c r="H917" s="13" t="s">
        <v>8568</v>
      </c>
      <c r="I917" s="13" t="s">
        <v>8569</v>
      </c>
    </row>
    <row r="918" customFormat="false" ht="23.85" hidden="false" customHeight="false" outlineLevel="0" collapsed="false">
      <c r="A918" s="13" t="s">
        <v>4</v>
      </c>
      <c r="B918" s="13" t="s">
        <v>2150</v>
      </c>
      <c r="C918" s="13" t="n">
        <v>342</v>
      </c>
      <c r="D918" s="13" t="s">
        <v>8570</v>
      </c>
      <c r="E918" s="13" t="n">
        <v>2</v>
      </c>
      <c r="F918" s="13" t="s">
        <v>15094</v>
      </c>
      <c r="G918" s="13" t="s">
        <v>15095</v>
      </c>
      <c r="H918" s="13" t="s">
        <v>8574</v>
      </c>
      <c r="I918" s="13" t="s">
        <v>8575</v>
      </c>
    </row>
    <row r="919" customFormat="false" ht="46.25" hidden="false" customHeight="false" outlineLevel="0" collapsed="false">
      <c r="A919" s="13" t="s">
        <v>4</v>
      </c>
      <c r="B919" s="13" t="s">
        <v>2150</v>
      </c>
      <c r="C919" s="13" t="n">
        <v>342</v>
      </c>
      <c r="D919" s="13" t="s">
        <v>8579</v>
      </c>
      <c r="E919" s="13" t="n">
        <v>3</v>
      </c>
      <c r="F919" s="13" t="s">
        <v>15094</v>
      </c>
      <c r="G919" s="13" t="s">
        <v>15095</v>
      </c>
      <c r="H919" s="13" t="s">
        <v>8582</v>
      </c>
      <c r="I919" s="13" t="s">
        <v>8583</v>
      </c>
    </row>
    <row r="920" customFormat="false" ht="247.75" hidden="false" customHeight="false" outlineLevel="0" collapsed="false">
      <c r="A920" s="13" t="s">
        <v>4</v>
      </c>
      <c r="B920" s="13" t="s">
        <v>2150</v>
      </c>
      <c r="C920" s="13" t="n">
        <v>342</v>
      </c>
      <c r="D920" s="13" t="s">
        <v>8589</v>
      </c>
      <c r="E920" s="13" t="n">
        <v>8</v>
      </c>
      <c r="F920" s="13" t="s">
        <v>15094</v>
      </c>
      <c r="G920" s="13" t="s">
        <v>15095</v>
      </c>
      <c r="H920" s="13" t="s">
        <v>8591</v>
      </c>
      <c r="I920" s="13" t="s">
        <v>8592</v>
      </c>
    </row>
    <row r="921" customFormat="false" ht="79.85" hidden="false" customHeight="false" outlineLevel="0" collapsed="false">
      <c r="A921" s="13" t="s">
        <v>4</v>
      </c>
      <c r="B921" s="13" t="s">
        <v>2150</v>
      </c>
      <c r="C921" s="13" t="n">
        <v>342</v>
      </c>
      <c r="D921" s="13" t="s">
        <v>8610</v>
      </c>
      <c r="E921" s="13" t="n">
        <v>2</v>
      </c>
      <c r="F921" s="13" t="s">
        <v>15094</v>
      </c>
      <c r="G921" s="13" t="s">
        <v>15095</v>
      </c>
      <c r="H921" s="13" t="s">
        <v>8614</v>
      </c>
      <c r="I921" s="13" t="s">
        <v>8615</v>
      </c>
    </row>
    <row r="922" customFormat="false" ht="46.25" hidden="false" customHeight="false" outlineLevel="0" collapsed="false">
      <c r="A922" s="13" t="s">
        <v>4</v>
      </c>
      <c r="B922" s="13" t="s">
        <v>2150</v>
      </c>
      <c r="C922" s="13" t="n">
        <v>342</v>
      </c>
      <c r="D922" s="13" t="s">
        <v>8617</v>
      </c>
      <c r="E922" s="13" t="n">
        <v>2</v>
      </c>
      <c r="F922" s="13" t="s">
        <v>15094</v>
      </c>
      <c r="G922" s="13" t="s">
        <v>15095</v>
      </c>
      <c r="H922" s="13" t="s">
        <v>8621</v>
      </c>
      <c r="I922" s="13" t="s">
        <v>8622</v>
      </c>
    </row>
    <row r="923" customFormat="false" ht="46.25" hidden="false" customHeight="false" outlineLevel="0" collapsed="false">
      <c r="A923" s="13" t="s">
        <v>4</v>
      </c>
      <c r="B923" s="13" t="s">
        <v>2150</v>
      </c>
      <c r="C923" s="13" t="n">
        <v>387</v>
      </c>
      <c r="D923" s="13" t="s">
        <v>8625</v>
      </c>
      <c r="E923" s="13" t="n">
        <v>4</v>
      </c>
      <c r="F923" s="13" t="s">
        <v>15094</v>
      </c>
      <c r="G923" s="13" t="s">
        <v>15095</v>
      </c>
      <c r="H923" s="13" t="s">
        <v>8628</v>
      </c>
      <c r="I923" s="13" t="s">
        <v>8629</v>
      </c>
    </row>
    <row r="924" customFormat="false" ht="46.25" hidden="false" customHeight="false" outlineLevel="0" collapsed="false">
      <c r="A924" s="13" t="s">
        <v>4</v>
      </c>
      <c r="B924" s="13" t="s">
        <v>2150</v>
      </c>
      <c r="C924" s="13" t="n">
        <v>387</v>
      </c>
      <c r="D924" s="13" t="s">
        <v>8638</v>
      </c>
      <c r="E924" s="13" t="n">
        <v>3</v>
      </c>
      <c r="F924" s="13" t="s">
        <v>15094</v>
      </c>
      <c r="G924" s="13" t="s">
        <v>15095</v>
      </c>
      <c r="H924" s="13" t="s">
        <v>8642</v>
      </c>
      <c r="I924" s="13" t="s">
        <v>8643</v>
      </c>
    </row>
    <row r="925" customFormat="false" ht="79.85" hidden="false" customHeight="false" outlineLevel="0" collapsed="false">
      <c r="A925" s="13" t="s">
        <v>4</v>
      </c>
      <c r="B925" s="13" t="s">
        <v>2150</v>
      </c>
      <c r="C925" s="13" t="n">
        <v>387</v>
      </c>
      <c r="D925" s="13" t="s">
        <v>8649</v>
      </c>
      <c r="E925" s="13" t="n">
        <v>4</v>
      </c>
      <c r="F925" s="13" t="s">
        <v>15094</v>
      </c>
      <c r="G925" s="13" t="s">
        <v>15095</v>
      </c>
      <c r="H925" s="13" t="s">
        <v>8653</v>
      </c>
      <c r="I925" s="13" t="s">
        <v>8654</v>
      </c>
    </row>
    <row r="926" customFormat="false" ht="23.85" hidden="false" customHeight="false" outlineLevel="0" collapsed="false">
      <c r="A926" s="13" t="s">
        <v>4</v>
      </c>
      <c r="B926" s="13" t="s">
        <v>2150</v>
      </c>
      <c r="C926" s="13" t="n">
        <v>387</v>
      </c>
      <c r="D926" s="13" t="s">
        <v>8659</v>
      </c>
      <c r="E926" s="13" t="n">
        <v>3</v>
      </c>
      <c r="F926" s="13" t="s">
        <v>15094</v>
      </c>
      <c r="G926" s="13" t="s">
        <v>15095</v>
      </c>
      <c r="H926" s="13" t="s">
        <v>8663</v>
      </c>
      <c r="I926" s="13" t="s">
        <v>8664</v>
      </c>
    </row>
    <row r="927" customFormat="false" ht="35.05" hidden="false" customHeight="false" outlineLevel="0" collapsed="false">
      <c r="A927" s="13" t="s">
        <v>4</v>
      </c>
      <c r="B927" s="13" t="s">
        <v>2150</v>
      </c>
      <c r="C927" s="13" t="n">
        <v>387</v>
      </c>
      <c r="D927" s="13" t="s">
        <v>8668</v>
      </c>
      <c r="E927" s="13" t="n">
        <v>5</v>
      </c>
      <c r="F927" s="13" t="s">
        <v>15094</v>
      </c>
      <c r="G927" s="13" t="s">
        <v>15095</v>
      </c>
      <c r="H927" s="13" t="s">
        <v>8672</v>
      </c>
      <c r="I927" s="13" t="s">
        <v>8673</v>
      </c>
    </row>
    <row r="928" customFormat="false" ht="35.05" hidden="false" customHeight="false" outlineLevel="0" collapsed="false">
      <c r="A928" s="13" t="s">
        <v>4</v>
      </c>
      <c r="B928" s="13" t="s">
        <v>2150</v>
      </c>
      <c r="C928" s="13" t="n">
        <v>387</v>
      </c>
      <c r="D928" s="13" t="s">
        <v>8681</v>
      </c>
      <c r="E928" s="13" t="n">
        <v>3</v>
      </c>
      <c r="F928" s="13" t="s">
        <v>15094</v>
      </c>
      <c r="G928" s="13" t="s">
        <v>15095</v>
      </c>
      <c r="H928" s="13" t="s">
        <v>8685</v>
      </c>
      <c r="I928" s="13" t="s">
        <v>8686</v>
      </c>
    </row>
    <row r="929" customFormat="false" ht="57.45" hidden="false" customHeight="false" outlineLevel="0" collapsed="false">
      <c r="A929" s="13" t="s">
        <v>4</v>
      </c>
      <c r="B929" s="13" t="s">
        <v>2150</v>
      </c>
      <c r="C929" s="13" t="n">
        <v>420</v>
      </c>
      <c r="D929" s="13" t="s">
        <v>8690</v>
      </c>
      <c r="E929" s="13" t="n">
        <v>5</v>
      </c>
      <c r="F929" s="13" t="s">
        <v>15094</v>
      </c>
      <c r="G929" s="13" t="s">
        <v>15095</v>
      </c>
      <c r="H929" s="13" t="s">
        <v>8695</v>
      </c>
      <c r="I929" s="13" t="s">
        <v>8696</v>
      </c>
    </row>
    <row r="930" customFormat="false" ht="46.25" hidden="false" customHeight="false" outlineLevel="0" collapsed="false">
      <c r="A930" s="13" t="s">
        <v>4</v>
      </c>
      <c r="B930" s="13" t="s">
        <v>2150</v>
      </c>
      <c r="C930" s="13" t="n">
        <v>420</v>
      </c>
      <c r="D930" s="13" t="s">
        <v>8705</v>
      </c>
      <c r="E930" s="13" t="n">
        <v>3</v>
      </c>
      <c r="F930" s="13" t="s">
        <v>15094</v>
      </c>
      <c r="G930" s="13" t="s">
        <v>15095</v>
      </c>
      <c r="H930" s="13" t="s">
        <v>8710</v>
      </c>
      <c r="I930" s="13" t="s">
        <v>8711</v>
      </c>
    </row>
    <row r="931" customFormat="false" ht="15" hidden="false" customHeight="false" outlineLevel="0" collapsed="false">
      <c r="A931" s="13" t="s">
        <v>4</v>
      </c>
      <c r="B931" s="13" t="s">
        <v>2150</v>
      </c>
      <c r="C931" s="13" t="n">
        <v>420</v>
      </c>
      <c r="D931" s="13" t="s">
        <v>8715</v>
      </c>
      <c r="E931" s="13" t="n">
        <v>1</v>
      </c>
      <c r="F931" s="13" t="s">
        <v>15094</v>
      </c>
      <c r="G931" s="13" t="s">
        <v>15095</v>
      </c>
      <c r="H931" s="13" t="s">
        <v>8718</v>
      </c>
      <c r="I931" s="13" t="s">
        <v>8719</v>
      </c>
    </row>
    <row r="932" customFormat="false" ht="15" hidden="false" customHeight="false" outlineLevel="0" collapsed="false">
      <c r="A932" s="13" t="s">
        <v>4</v>
      </c>
      <c r="B932" s="13" t="s">
        <v>2150</v>
      </c>
      <c r="C932" s="13" t="n">
        <v>420</v>
      </c>
      <c r="D932" s="13" t="s">
        <v>8720</v>
      </c>
      <c r="E932" s="13" t="n">
        <v>1</v>
      </c>
      <c r="F932" s="13" t="s">
        <v>15094</v>
      </c>
      <c r="G932" s="13" t="s">
        <v>15095</v>
      </c>
      <c r="H932" s="13" t="s">
        <v>8723</v>
      </c>
      <c r="I932" s="13" t="s">
        <v>8724</v>
      </c>
    </row>
    <row r="933" customFormat="false" ht="35.05" hidden="false" customHeight="false" outlineLevel="0" collapsed="false">
      <c r="A933" s="13" t="s">
        <v>4</v>
      </c>
      <c r="B933" s="13" t="s">
        <v>2150</v>
      </c>
      <c r="C933" s="13" t="n">
        <v>420</v>
      </c>
      <c r="D933" s="13" t="s">
        <v>8725</v>
      </c>
      <c r="E933" s="13" t="n">
        <v>3</v>
      </c>
      <c r="F933" s="13" t="s">
        <v>15094</v>
      </c>
      <c r="G933" s="13" t="s">
        <v>15095</v>
      </c>
      <c r="H933" s="13" t="s">
        <v>8729</v>
      </c>
      <c r="I933" s="13" t="s">
        <v>8730</v>
      </c>
    </row>
    <row r="934" customFormat="false" ht="35.05" hidden="false" customHeight="false" outlineLevel="0" collapsed="false">
      <c r="A934" s="13" t="s">
        <v>4</v>
      </c>
      <c r="B934" s="13" t="s">
        <v>2150</v>
      </c>
      <c r="C934" s="13" t="n">
        <v>420</v>
      </c>
      <c r="D934" s="13" t="s">
        <v>8737</v>
      </c>
      <c r="E934" s="13" t="n">
        <v>3</v>
      </c>
      <c r="F934" s="13" t="s">
        <v>15094</v>
      </c>
      <c r="G934" s="13" t="s">
        <v>15095</v>
      </c>
      <c r="H934" s="13" t="s">
        <v>8740</v>
      </c>
      <c r="I934" s="13" t="s">
        <v>8741</v>
      </c>
    </row>
    <row r="935" customFormat="false" ht="23.85" hidden="false" customHeight="false" outlineLevel="0" collapsed="false">
      <c r="A935" s="13" t="s">
        <v>4</v>
      </c>
      <c r="B935" s="13" t="s">
        <v>2150</v>
      </c>
      <c r="C935" s="13" t="n">
        <v>420</v>
      </c>
      <c r="D935" s="13" t="s">
        <v>8745</v>
      </c>
      <c r="E935" s="13" t="n">
        <v>2</v>
      </c>
      <c r="F935" s="13" t="s">
        <v>15094</v>
      </c>
      <c r="G935" s="13" t="s">
        <v>15095</v>
      </c>
      <c r="H935" s="13" t="s">
        <v>8748</v>
      </c>
      <c r="I935" s="13" t="s">
        <v>8749</v>
      </c>
    </row>
    <row r="936" customFormat="false" ht="35.05" hidden="false" customHeight="false" outlineLevel="0" collapsed="false">
      <c r="A936" s="13" t="s">
        <v>4</v>
      </c>
      <c r="B936" s="13" t="s">
        <v>2150</v>
      </c>
      <c r="C936" s="13" t="n">
        <v>420</v>
      </c>
      <c r="D936" s="13" t="s">
        <v>8752</v>
      </c>
      <c r="E936" s="13" t="n">
        <v>2</v>
      </c>
      <c r="F936" s="13" t="s">
        <v>15094</v>
      </c>
      <c r="G936" s="13" t="s">
        <v>15095</v>
      </c>
      <c r="H936" s="13" t="s">
        <v>8757</v>
      </c>
      <c r="I936" s="13" t="s">
        <v>8758</v>
      </c>
    </row>
    <row r="937" customFormat="false" ht="23.85" hidden="false" customHeight="false" outlineLevel="0" collapsed="false">
      <c r="A937" s="13" t="s">
        <v>4</v>
      </c>
      <c r="B937" s="13" t="s">
        <v>2150</v>
      </c>
      <c r="C937" s="13" t="n">
        <v>420</v>
      </c>
      <c r="D937" s="13" t="s">
        <v>8764</v>
      </c>
      <c r="E937" s="13" t="n">
        <v>1</v>
      </c>
      <c r="F937" s="13" t="s">
        <v>15094</v>
      </c>
      <c r="G937" s="13" t="s">
        <v>15095</v>
      </c>
      <c r="H937" s="13" t="s">
        <v>8767</v>
      </c>
      <c r="I937" s="13" t="s">
        <v>8768</v>
      </c>
    </row>
    <row r="938" customFormat="false" ht="35.05" hidden="false" customHeight="false" outlineLevel="0" collapsed="false">
      <c r="A938" s="13" t="s">
        <v>4</v>
      </c>
      <c r="B938" s="13" t="s">
        <v>2150</v>
      </c>
      <c r="C938" s="13" t="n">
        <v>420</v>
      </c>
      <c r="D938" s="13" t="s">
        <v>8769</v>
      </c>
      <c r="E938" s="13" t="n">
        <v>2</v>
      </c>
      <c r="F938" s="13" t="s">
        <v>15094</v>
      </c>
      <c r="G938" s="13" t="s">
        <v>15095</v>
      </c>
      <c r="H938" s="13" t="s">
        <v>8773</v>
      </c>
      <c r="I938" s="13" t="s">
        <v>8774</v>
      </c>
    </row>
    <row r="939" customFormat="false" ht="35.05" hidden="false" customHeight="false" outlineLevel="0" collapsed="false">
      <c r="A939" s="13" t="s">
        <v>4</v>
      </c>
      <c r="B939" s="13" t="s">
        <v>2150</v>
      </c>
      <c r="C939" s="13" t="n">
        <v>420</v>
      </c>
      <c r="D939" s="13" t="s">
        <v>8777</v>
      </c>
      <c r="E939" s="13" t="n">
        <v>2</v>
      </c>
      <c r="F939" s="13" t="s">
        <v>15094</v>
      </c>
      <c r="G939" s="13" t="s">
        <v>15095</v>
      </c>
      <c r="H939" s="13" t="s">
        <v>8780</v>
      </c>
      <c r="I939" s="13" t="s">
        <v>8781</v>
      </c>
    </row>
    <row r="940" customFormat="false" ht="23.85" hidden="false" customHeight="false" outlineLevel="0" collapsed="false">
      <c r="A940" s="13" t="s">
        <v>4</v>
      </c>
      <c r="B940" s="13" t="s">
        <v>2150</v>
      </c>
      <c r="C940" s="13" t="n">
        <v>420</v>
      </c>
      <c r="D940" s="13" t="s">
        <v>8783</v>
      </c>
      <c r="E940" s="13" t="n">
        <v>1</v>
      </c>
      <c r="F940" s="13" t="s">
        <v>15094</v>
      </c>
      <c r="G940" s="13" t="s">
        <v>15095</v>
      </c>
      <c r="H940" s="13" t="s">
        <v>8788</v>
      </c>
      <c r="I940" s="13" t="s">
        <v>8789</v>
      </c>
    </row>
    <row r="941" customFormat="false" ht="23.85" hidden="false" customHeight="false" outlineLevel="0" collapsed="false">
      <c r="A941" s="13" t="s">
        <v>4</v>
      </c>
      <c r="B941" s="13" t="s">
        <v>2150</v>
      </c>
      <c r="C941" s="13" t="n">
        <v>420</v>
      </c>
      <c r="D941" s="13" t="s">
        <v>8790</v>
      </c>
      <c r="E941" s="13" t="n">
        <v>1</v>
      </c>
      <c r="F941" s="13" t="s">
        <v>15094</v>
      </c>
      <c r="G941" s="13" t="s">
        <v>15095</v>
      </c>
      <c r="H941" s="13" t="s">
        <v>8794</v>
      </c>
      <c r="I941" s="13" t="s">
        <v>8795</v>
      </c>
    </row>
    <row r="942" customFormat="false" ht="23.85" hidden="false" customHeight="false" outlineLevel="0" collapsed="false">
      <c r="A942" s="13" t="s">
        <v>4</v>
      </c>
      <c r="B942" s="13" t="s">
        <v>2150</v>
      </c>
      <c r="C942" s="13" t="n">
        <v>420</v>
      </c>
      <c r="D942" s="13" t="s">
        <v>15249</v>
      </c>
      <c r="E942" s="13" t="n">
        <v>0</v>
      </c>
      <c r="F942" s="13" t="s">
        <v>15097</v>
      </c>
      <c r="G942" s="13" t="s">
        <v>15095</v>
      </c>
      <c r="H942" s="13" t="s">
        <v>15250</v>
      </c>
      <c r="I942" s="13" t="s">
        <v>15251</v>
      </c>
    </row>
    <row r="943" customFormat="false" ht="35.05" hidden="false" customHeight="false" outlineLevel="0" collapsed="false">
      <c r="A943" s="13" t="s">
        <v>4</v>
      </c>
      <c r="B943" s="13" t="s">
        <v>2150</v>
      </c>
      <c r="C943" s="13" t="n">
        <v>420</v>
      </c>
      <c r="D943" s="13" t="s">
        <v>15252</v>
      </c>
      <c r="E943" s="13" t="n">
        <v>0</v>
      </c>
      <c r="F943" s="13" t="s">
        <v>15097</v>
      </c>
      <c r="G943" s="13" t="s">
        <v>15095</v>
      </c>
      <c r="H943" s="13" t="s">
        <v>15253</v>
      </c>
      <c r="I943" s="13" t="s">
        <v>15254</v>
      </c>
    </row>
    <row r="944" customFormat="false" ht="23.85" hidden="false" customHeight="false" outlineLevel="0" collapsed="false">
      <c r="A944" s="13" t="s">
        <v>4</v>
      </c>
      <c r="B944" s="13" t="s">
        <v>2150</v>
      </c>
      <c r="C944" s="13" t="n">
        <v>420</v>
      </c>
      <c r="D944" s="13" t="s">
        <v>8796</v>
      </c>
      <c r="E944" s="13" t="n">
        <v>2</v>
      </c>
      <c r="F944" s="13" t="s">
        <v>15094</v>
      </c>
      <c r="G944" s="13" t="s">
        <v>15095</v>
      </c>
      <c r="H944" s="13" t="s">
        <v>8800</v>
      </c>
      <c r="I944" s="13" t="s">
        <v>8801</v>
      </c>
    </row>
    <row r="945" customFormat="false" ht="35.05" hidden="false" customHeight="false" outlineLevel="0" collapsed="false">
      <c r="A945" s="13" t="s">
        <v>4</v>
      </c>
      <c r="B945" s="13" t="s">
        <v>2150</v>
      </c>
      <c r="C945" s="13" t="n">
        <v>420</v>
      </c>
      <c r="D945" s="13" t="s">
        <v>8806</v>
      </c>
      <c r="E945" s="13" t="n">
        <v>2</v>
      </c>
      <c r="F945" s="13" t="s">
        <v>15094</v>
      </c>
      <c r="G945" s="13" t="s">
        <v>15095</v>
      </c>
      <c r="H945" s="13" t="s">
        <v>8809</v>
      </c>
      <c r="I945" s="13" t="s">
        <v>8810</v>
      </c>
    </row>
    <row r="946" customFormat="false" ht="79.85" hidden="false" customHeight="false" outlineLevel="0" collapsed="false">
      <c r="A946" s="13" t="s">
        <v>4</v>
      </c>
      <c r="B946" s="13" t="s">
        <v>4108</v>
      </c>
      <c r="C946" s="13" t="n">
        <v>59</v>
      </c>
      <c r="D946" s="13" t="s">
        <v>8813</v>
      </c>
      <c r="E946" s="13" t="n">
        <v>8</v>
      </c>
      <c r="F946" s="13" t="s">
        <v>15094</v>
      </c>
      <c r="G946" s="13" t="s">
        <v>15095</v>
      </c>
      <c r="H946" s="13" t="s">
        <v>8817</v>
      </c>
      <c r="I946" s="13" t="s">
        <v>8818</v>
      </c>
    </row>
    <row r="947" customFormat="false" ht="46.25" hidden="false" customHeight="false" outlineLevel="0" collapsed="false">
      <c r="A947" s="13" t="s">
        <v>4</v>
      </c>
      <c r="B947" s="13" t="s">
        <v>4108</v>
      </c>
      <c r="C947" s="13" t="n">
        <v>59</v>
      </c>
      <c r="D947" s="13" t="s">
        <v>8836</v>
      </c>
      <c r="E947" s="13" t="n">
        <v>6</v>
      </c>
      <c r="F947" s="13" t="s">
        <v>15094</v>
      </c>
      <c r="G947" s="13" t="s">
        <v>15095</v>
      </c>
      <c r="H947" s="13" t="s">
        <v>8840</v>
      </c>
      <c r="I947" s="13" t="s">
        <v>8841</v>
      </c>
    </row>
    <row r="948" customFormat="false" ht="79.85" hidden="false" customHeight="false" outlineLevel="0" collapsed="false">
      <c r="A948" s="13" t="s">
        <v>4</v>
      </c>
      <c r="B948" s="13" t="s">
        <v>4108</v>
      </c>
      <c r="C948" s="13" t="n">
        <v>59</v>
      </c>
      <c r="D948" s="13" t="s">
        <v>8859</v>
      </c>
      <c r="E948" s="13" t="n">
        <v>6</v>
      </c>
      <c r="F948" s="13" t="s">
        <v>15094</v>
      </c>
      <c r="G948" s="13" t="s">
        <v>15095</v>
      </c>
      <c r="H948" s="13" t="s">
        <v>8863</v>
      </c>
      <c r="I948" s="13" t="s">
        <v>8864</v>
      </c>
    </row>
    <row r="949" customFormat="false" ht="35.05" hidden="false" customHeight="false" outlineLevel="0" collapsed="false">
      <c r="A949" s="13" t="s">
        <v>4</v>
      </c>
      <c r="B949" s="13" t="s">
        <v>4108</v>
      </c>
      <c r="C949" s="13" t="n">
        <v>59</v>
      </c>
      <c r="D949" s="13" t="s">
        <v>8883</v>
      </c>
      <c r="E949" s="13" t="n">
        <v>3</v>
      </c>
      <c r="F949" s="13" t="s">
        <v>15094</v>
      </c>
      <c r="G949" s="13" t="s">
        <v>15095</v>
      </c>
      <c r="H949" s="13" t="s">
        <v>8887</v>
      </c>
      <c r="I949" s="13" t="s">
        <v>8888</v>
      </c>
    </row>
    <row r="950" customFormat="false" ht="46.25" hidden="false" customHeight="false" outlineLevel="0" collapsed="false">
      <c r="A950" s="13" t="s">
        <v>4</v>
      </c>
      <c r="B950" s="13" t="s">
        <v>4108</v>
      </c>
      <c r="C950" s="13" t="n">
        <v>59</v>
      </c>
      <c r="D950" s="13" t="s">
        <v>8897</v>
      </c>
      <c r="E950" s="13" t="n">
        <v>4</v>
      </c>
      <c r="F950" s="13" t="s">
        <v>15094</v>
      </c>
      <c r="G950" s="13" t="s">
        <v>15095</v>
      </c>
      <c r="H950" s="13" t="s">
        <v>8901</v>
      </c>
      <c r="I950" s="13" t="s">
        <v>8902</v>
      </c>
    </row>
    <row r="951" customFormat="false" ht="35.05" hidden="false" customHeight="false" outlineLevel="0" collapsed="false">
      <c r="A951" s="13" t="s">
        <v>4</v>
      </c>
      <c r="B951" s="13" t="s">
        <v>4108</v>
      </c>
      <c r="C951" s="13" t="n">
        <v>59</v>
      </c>
      <c r="D951" s="13" t="s">
        <v>8911</v>
      </c>
      <c r="E951" s="13" t="n">
        <v>1</v>
      </c>
      <c r="F951" s="13" t="s">
        <v>15094</v>
      </c>
      <c r="G951" s="13" t="s">
        <v>15095</v>
      </c>
      <c r="H951" s="13" t="s">
        <v>8915</v>
      </c>
      <c r="I951" s="13" t="s">
        <v>8916</v>
      </c>
    </row>
    <row r="952" customFormat="false" ht="57.45" hidden="false" customHeight="false" outlineLevel="0" collapsed="false">
      <c r="A952" s="13" t="s">
        <v>4</v>
      </c>
      <c r="B952" s="13" t="s">
        <v>4108</v>
      </c>
      <c r="C952" s="13" t="n">
        <v>59</v>
      </c>
      <c r="D952" s="13" t="s">
        <v>8917</v>
      </c>
      <c r="E952" s="13" t="n">
        <v>2</v>
      </c>
      <c r="F952" s="13" t="s">
        <v>15094</v>
      </c>
      <c r="G952" s="13" t="s">
        <v>15095</v>
      </c>
      <c r="H952" s="13" t="s">
        <v>8921</v>
      </c>
      <c r="I952" s="13" t="s">
        <v>8922</v>
      </c>
    </row>
    <row r="953" customFormat="false" ht="35.05" hidden="false" customHeight="false" outlineLevel="0" collapsed="false">
      <c r="A953" s="13" t="s">
        <v>4</v>
      </c>
      <c r="B953" s="13" t="s">
        <v>4108</v>
      </c>
      <c r="C953" s="13" t="n">
        <v>59</v>
      </c>
      <c r="D953" s="13" t="s">
        <v>8926</v>
      </c>
      <c r="E953" s="13" t="n">
        <v>1</v>
      </c>
      <c r="F953" s="13" t="s">
        <v>15094</v>
      </c>
      <c r="G953" s="13" t="s">
        <v>15095</v>
      </c>
      <c r="H953" s="13" t="s">
        <v>8930</v>
      </c>
      <c r="I953" s="13" t="s">
        <v>8931</v>
      </c>
    </row>
    <row r="954" customFormat="false" ht="23.85" hidden="false" customHeight="false" outlineLevel="0" collapsed="false">
      <c r="A954" s="13" t="s">
        <v>4</v>
      </c>
      <c r="B954" s="13" t="s">
        <v>4108</v>
      </c>
      <c r="C954" s="13" t="n">
        <v>59</v>
      </c>
      <c r="D954" s="13" t="s">
        <v>8932</v>
      </c>
      <c r="E954" s="13" t="n">
        <v>1</v>
      </c>
      <c r="F954" s="13" t="s">
        <v>15094</v>
      </c>
      <c r="G954" s="13" t="s">
        <v>15095</v>
      </c>
      <c r="H954" s="13" t="s">
        <v>8935</v>
      </c>
      <c r="I954" s="13" t="s">
        <v>8936</v>
      </c>
    </row>
    <row r="955" customFormat="false" ht="35.05" hidden="false" customHeight="false" outlineLevel="0" collapsed="false">
      <c r="A955" s="13" t="s">
        <v>4</v>
      </c>
      <c r="B955" s="13" t="s">
        <v>4108</v>
      </c>
      <c r="C955" s="13" t="n">
        <v>59</v>
      </c>
      <c r="D955" s="13" t="s">
        <v>8937</v>
      </c>
      <c r="E955" s="13" t="n">
        <v>2</v>
      </c>
      <c r="F955" s="13" t="s">
        <v>15094</v>
      </c>
      <c r="G955" s="13" t="s">
        <v>15095</v>
      </c>
      <c r="H955" s="13" t="s">
        <v>8942</v>
      </c>
      <c r="I955" s="13" t="s">
        <v>8943</v>
      </c>
    </row>
    <row r="956" customFormat="false" ht="35.05" hidden="false" customHeight="false" outlineLevel="0" collapsed="false">
      <c r="A956" s="13" t="s">
        <v>4</v>
      </c>
      <c r="B956" s="13" t="s">
        <v>4108</v>
      </c>
      <c r="C956" s="13" t="n">
        <v>59</v>
      </c>
      <c r="D956" s="13" t="s">
        <v>8945</v>
      </c>
      <c r="E956" s="13" t="n">
        <v>2</v>
      </c>
      <c r="F956" s="13" t="s">
        <v>15094</v>
      </c>
      <c r="G956" s="13" t="s">
        <v>15095</v>
      </c>
      <c r="H956" s="13" t="s">
        <v>8948</v>
      </c>
      <c r="I956" s="13" t="s">
        <v>8949</v>
      </c>
    </row>
    <row r="957" customFormat="false" ht="23.85" hidden="false" customHeight="false" outlineLevel="0" collapsed="false">
      <c r="A957" s="13" t="s">
        <v>4</v>
      </c>
      <c r="B957" s="13" t="s">
        <v>4108</v>
      </c>
      <c r="C957" s="13" t="n">
        <v>59</v>
      </c>
      <c r="D957" s="13" t="s">
        <v>8952</v>
      </c>
      <c r="E957" s="13" t="n">
        <v>2</v>
      </c>
      <c r="F957" s="13" t="s">
        <v>15094</v>
      </c>
      <c r="G957" s="13" t="s">
        <v>15095</v>
      </c>
      <c r="H957" s="13" t="s">
        <v>8954</v>
      </c>
      <c r="I957" s="13" t="s">
        <v>8955</v>
      </c>
    </row>
    <row r="958" customFormat="false" ht="46.25" hidden="false" customHeight="false" outlineLevel="0" collapsed="false">
      <c r="A958" s="13" t="s">
        <v>4</v>
      </c>
      <c r="B958" s="13" t="s">
        <v>4108</v>
      </c>
      <c r="C958" s="13" t="n">
        <v>68</v>
      </c>
      <c r="D958" s="13" t="s">
        <v>8957</v>
      </c>
      <c r="E958" s="13" t="n">
        <v>3</v>
      </c>
      <c r="F958" s="13" t="s">
        <v>15094</v>
      </c>
      <c r="G958" s="13" t="s">
        <v>15095</v>
      </c>
      <c r="H958" s="13" t="s">
        <v>8961</v>
      </c>
      <c r="I958" s="13" t="s">
        <v>8962</v>
      </c>
    </row>
    <row r="959" customFormat="false" ht="46.25" hidden="false" customHeight="false" outlineLevel="0" collapsed="false">
      <c r="A959" s="13" t="s">
        <v>4</v>
      </c>
      <c r="B959" s="13" t="s">
        <v>4108</v>
      </c>
      <c r="C959" s="13" t="n">
        <v>68</v>
      </c>
      <c r="D959" s="13" t="s">
        <v>8969</v>
      </c>
      <c r="E959" s="13" t="n">
        <v>2</v>
      </c>
      <c r="F959" s="13" t="s">
        <v>15094</v>
      </c>
      <c r="G959" s="13" t="s">
        <v>15095</v>
      </c>
      <c r="H959" s="13" t="s">
        <v>8972</v>
      </c>
      <c r="I959" s="13" t="s">
        <v>8973</v>
      </c>
    </row>
    <row r="960" customFormat="false" ht="23.85" hidden="false" customHeight="false" outlineLevel="0" collapsed="false">
      <c r="A960" s="13" t="s">
        <v>4</v>
      </c>
      <c r="B960" s="13" t="s">
        <v>4108</v>
      </c>
      <c r="C960" s="13" t="n">
        <v>68</v>
      </c>
      <c r="D960" s="13" t="s">
        <v>8977</v>
      </c>
      <c r="E960" s="13" t="n">
        <v>2</v>
      </c>
      <c r="F960" s="13" t="s">
        <v>15094</v>
      </c>
      <c r="G960" s="13" t="s">
        <v>15095</v>
      </c>
      <c r="H960" s="13" t="s">
        <v>8982</v>
      </c>
      <c r="I960" s="13" t="s">
        <v>8983</v>
      </c>
    </row>
    <row r="961" customFormat="false" ht="46.25" hidden="false" customHeight="false" outlineLevel="0" collapsed="false">
      <c r="A961" s="13" t="s">
        <v>4</v>
      </c>
      <c r="B961" s="13" t="s">
        <v>4108</v>
      </c>
      <c r="C961" s="13" t="n">
        <v>68</v>
      </c>
      <c r="D961" s="13" t="s">
        <v>8987</v>
      </c>
      <c r="E961" s="13" t="n">
        <v>2</v>
      </c>
      <c r="F961" s="13" t="s">
        <v>15094</v>
      </c>
      <c r="G961" s="13" t="s">
        <v>15095</v>
      </c>
      <c r="H961" s="13" t="s">
        <v>8992</v>
      </c>
      <c r="I961" s="13" t="s">
        <v>8993</v>
      </c>
    </row>
    <row r="962" customFormat="false" ht="135.8" hidden="false" customHeight="false" outlineLevel="0" collapsed="false">
      <c r="A962" s="13" t="s">
        <v>4</v>
      </c>
      <c r="B962" s="13" t="s">
        <v>4108</v>
      </c>
      <c r="C962" s="13" t="n">
        <v>68</v>
      </c>
      <c r="D962" s="13" t="s">
        <v>8998</v>
      </c>
      <c r="E962" s="13" t="n">
        <v>4</v>
      </c>
      <c r="F962" s="13" t="s">
        <v>15094</v>
      </c>
      <c r="G962" s="13" t="s">
        <v>15095</v>
      </c>
      <c r="H962" s="13" t="s">
        <v>9002</v>
      </c>
      <c r="I962" s="13" t="s">
        <v>9003</v>
      </c>
    </row>
    <row r="963" customFormat="false" ht="68.65" hidden="false" customHeight="false" outlineLevel="0" collapsed="false">
      <c r="A963" s="13" t="s">
        <v>4</v>
      </c>
      <c r="B963" s="13" t="s">
        <v>4108</v>
      </c>
      <c r="C963" s="13" t="n">
        <v>68</v>
      </c>
      <c r="D963" s="13" t="s">
        <v>9013</v>
      </c>
      <c r="E963" s="13" t="n">
        <v>3</v>
      </c>
      <c r="F963" s="13" t="s">
        <v>15094</v>
      </c>
      <c r="G963" s="13" t="s">
        <v>15095</v>
      </c>
      <c r="H963" s="13" t="s">
        <v>9017</v>
      </c>
      <c r="I963" s="13" t="s">
        <v>9018</v>
      </c>
    </row>
    <row r="964" customFormat="false" ht="23.85" hidden="false" customHeight="false" outlineLevel="0" collapsed="false">
      <c r="A964" s="13" t="s">
        <v>4</v>
      </c>
      <c r="B964" s="13" t="s">
        <v>4108</v>
      </c>
      <c r="C964" s="13" t="n">
        <v>68</v>
      </c>
      <c r="D964" s="13" t="s">
        <v>9023</v>
      </c>
      <c r="E964" s="13" t="n">
        <v>1</v>
      </c>
      <c r="F964" s="13" t="s">
        <v>15094</v>
      </c>
      <c r="G964" s="13" t="s">
        <v>15095</v>
      </c>
      <c r="H964" s="13" t="s">
        <v>9027</v>
      </c>
      <c r="I964" s="13" t="s">
        <v>9028</v>
      </c>
    </row>
    <row r="965" customFormat="false" ht="46.25" hidden="false" customHeight="false" outlineLevel="0" collapsed="false">
      <c r="A965" s="13" t="s">
        <v>4</v>
      </c>
      <c r="B965" s="13" t="s">
        <v>4108</v>
      </c>
      <c r="C965" s="13" t="n">
        <v>68</v>
      </c>
      <c r="D965" s="13" t="s">
        <v>9029</v>
      </c>
      <c r="E965" s="13" t="n">
        <v>2</v>
      </c>
      <c r="F965" s="13" t="s">
        <v>15094</v>
      </c>
      <c r="G965" s="13" t="s">
        <v>15095</v>
      </c>
      <c r="H965" s="13" t="s">
        <v>9033</v>
      </c>
      <c r="I965" s="13" t="s">
        <v>9034</v>
      </c>
    </row>
    <row r="966" customFormat="false" ht="46.25" hidden="false" customHeight="false" outlineLevel="0" collapsed="false">
      <c r="A966" s="13" t="s">
        <v>4</v>
      </c>
      <c r="B966" s="13" t="s">
        <v>4108</v>
      </c>
      <c r="C966" s="13" t="n">
        <v>68</v>
      </c>
      <c r="D966" s="13" t="s">
        <v>9038</v>
      </c>
      <c r="E966" s="13" t="n">
        <v>2</v>
      </c>
      <c r="F966" s="13" t="s">
        <v>15094</v>
      </c>
      <c r="G966" s="13" t="s">
        <v>15095</v>
      </c>
      <c r="H966" s="13" t="s">
        <v>9041</v>
      </c>
      <c r="I966" s="13" t="s">
        <v>9042</v>
      </c>
    </row>
    <row r="967" customFormat="false" ht="46.25" hidden="false" customHeight="false" outlineLevel="0" collapsed="false">
      <c r="A967" s="13" t="s">
        <v>4</v>
      </c>
      <c r="B967" s="13" t="s">
        <v>4108</v>
      </c>
      <c r="C967" s="13" t="n">
        <v>68</v>
      </c>
      <c r="D967" s="13" t="s">
        <v>9046</v>
      </c>
      <c r="E967" s="13" t="n">
        <v>3</v>
      </c>
      <c r="F967" s="13" t="s">
        <v>15094</v>
      </c>
      <c r="G967" s="13" t="s">
        <v>15095</v>
      </c>
      <c r="H967" s="13" t="s">
        <v>9050</v>
      </c>
      <c r="I967" s="13" t="s">
        <v>9051</v>
      </c>
    </row>
    <row r="968" customFormat="false" ht="35.05" hidden="false" customHeight="false" outlineLevel="0" collapsed="false">
      <c r="A968" s="13" t="s">
        <v>4</v>
      </c>
      <c r="B968" s="13" t="s">
        <v>4108</v>
      </c>
      <c r="C968" s="13" t="n">
        <v>105</v>
      </c>
      <c r="D968" s="13" t="s">
        <v>9059</v>
      </c>
      <c r="E968" s="13" t="n">
        <v>2</v>
      </c>
      <c r="F968" s="13" t="s">
        <v>15094</v>
      </c>
      <c r="G968" s="13" t="s">
        <v>15095</v>
      </c>
      <c r="H968" s="13" t="s">
        <v>9063</v>
      </c>
      <c r="I968" s="13" t="s">
        <v>9064</v>
      </c>
    </row>
    <row r="969" customFormat="false" ht="46.25" hidden="false" customHeight="false" outlineLevel="0" collapsed="false">
      <c r="A969" s="13" t="s">
        <v>4</v>
      </c>
      <c r="B969" s="13" t="s">
        <v>4108</v>
      </c>
      <c r="C969" s="13" t="n">
        <v>105</v>
      </c>
      <c r="D969" s="13" t="s">
        <v>9068</v>
      </c>
      <c r="E969" s="13" t="n">
        <v>2</v>
      </c>
      <c r="F969" s="13" t="s">
        <v>15094</v>
      </c>
      <c r="G969" s="13" t="s">
        <v>15095</v>
      </c>
      <c r="H969" s="13" t="s">
        <v>9071</v>
      </c>
      <c r="I969" s="13" t="s">
        <v>9072</v>
      </c>
    </row>
    <row r="970" customFormat="false" ht="35.05" hidden="false" customHeight="false" outlineLevel="0" collapsed="false">
      <c r="A970" s="13" t="s">
        <v>4</v>
      </c>
      <c r="B970" s="13" t="s">
        <v>4108</v>
      </c>
      <c r="C970" s="13" t="n">
        <v>105</v>
      </c>
      <c r="D970" s="13" t="s">
        <v>9075</v>
      </c>
      <c r="E970" s="13" t="n">
        <v>2</v>
      </c>
      <c r="F970" s="13" t="s">
        <v>15094</v>
      </c>
      <c r="G970" s="13" t="s">
        <v>15095</v>
      </c>
      <c r="H970" s="13" t="s">
        <v>9078</v>
      </c>
      <c r="I970" s="13" t="s">
        <v>9079</v>
      </c>
    </row>
    <row r="971" customFormat="false" ht="23.85" hidden="false" customHeight="false" outlineLevel="0" collapsed="false">
      <c r="A971" s="13" t="s">
        <v>4</v>
      </c>
      <c r="B971" s="13" t="s">
        <v>4108</v>
      </c>
      <c r="C971" s="13" t="n">
        <v>105</v>
      </c>
      <c r="D971" s="13" t="s">
        <v>9082</v>
      </c>
      <c r="E971" s="13" t="n">
        <v>2</v>
      </c>
      <c r="F971" s="13" t="s">
        <v>15094</v>
      </c>
      <c r="G971" s="13" t="s">
        <v>15095</v>
      </c>
      <c r="H971" s="13" t="s">
        <v>9085</v>
      </c>
      <c r="I971" s="13" t="s">
        <v>9086</v>
      </c>
    </row>
    <row r="972" customFormat="false" ht="23.85" hidden="false" customHeight="false" outlineLevel="0" collapsed="false">
      <c r="A972" s="13" t="s">
        <v>4</v>
      </c>
      <c r="B972" s="13" t="s">
        <v>4108</v>
      </c>
      <c r="C972" s="13" t="n">
        <v>105</v>
      </c>
      <c r="D972" s="13" t="s">
        <v>9089</v>
      </c>
      <c r="E972" s="13" t="n">
        <v>2</v>
      </c>
      <c r="F972" s="13" t="s">
        <v>15094</v>
      </c>
      <c r="G972" s="13" t="s">
        <v>15095</v>
      </c>
      <c r="H972" s="13" t="s">
        <v>9092</v>
      </c>
      <c r="I972" s="13" t="s">
        <v>9093</v>
      </c>
    </row>
    <row r="973" customFormat="false" ht="35.05" hidden="false" customHeight="false" outlineLevel="0" collapsed="false">
      <c r="A973" s="13" t="s">
        <v>4</v>
      </c>
      <c r="B973" s="13" t="s">
        <v>4108</v>
      </c>
      <c r="C973" s="13" t="n">
        <v>105</v>
      </c>
      <c r="D973" s="13" t="s">
        <v>9096</v>
      </c>
      <c r="E973" s="13" t="n">
        <v>2</v>
      </c>
      <c r="F973" s="13" t="s">
        <v>15094</v>
      </c>
      <c r="G973" s="13" t="s">
        <v>15095</v>
      </c>
      <c r="H973" s="13" t="s">
        <v>9099</v>
      </c>
      <c r="I973" s="13" t="s">
        <v>9100</v>
      </c>
    </row>
    <row r="974" customFormat="false" ht="46.25" hidden="false" customHeight="false" outlineLevel="0" collapsed="false">
      <c r="A974" s="13" t="s">
        <v>4</v>
      </c>
      <c r="B974" s="13" t="s">
        <v>4108</v>
      </c>
      <c r="C974" s="13" t="n">
        <v>105</v>
      </c>
      <c r="D974" s="13" t="s">
        <v>9104</v>
      </c>
      <c r="E974" s="13" t="n">
        <v>2</v>
      </c>
      <c r="F974" s="13" t="s">
        <v>15094</v>
      </c>
      <c r="G974" s="13" t="s">
        <v>15095</v>
      </c>
      <c r="H974" s="13" t="s">
        <v>9108</v>
      </c>
      <c r="I974" s="13" t="s">
        <v>9109</v>
      </c>
    </row>
    <row r="975" customFormat="false" ht="35.05" hidden="false" customHeight="false" outlineLevel="0" collapsed="false">
      <c r="A975" s="13" t="s">
        <v>4</v>
      </c>
      <c r="B975" s="13" t="s">
        <v>4108</v>
      </c>
      <c r="C975" s="13" t="n">
        <v>105</v>
      </c>
      <c r="D975" s="13" t="s">
        <v>9113</v>
      </c>
      <c r="E975" s="13" t="n">
        <v>2</v>
      </c>
      <c r="F975" s="13" t="s">
        <v>15094</v>
      </c>
      <c r="G975" s="13" t="s">
        <v>15095</v>
      </c>
      <c r="H975" s="13" t="s">
        <v>9117</v>
      </c>
      <c r="I975" s="13" t="s">
        <v>9118</v>
      </c>
    </row>
    <row r="976" customFormat="false" ht="46.25" hidden="false" customHeight="false" outlineLevel="0" collapsed="false">
      <c r="A976" s="13" t="s">
        <v>4</v>
      </c>
      <c r="B976" s="13" t="s">
        <v>4108</v>
      </c>
      <c r="C976" s="13" t="n">
        <v>105</v>
      </c>
      <c r="D976" s="13" t="s">
        <v>9122</v>
      </c>
      <c r="E976" s="13" t="n">
        <v>2</v>
      </c>
      <c r="F976" s="13" t="s">
        <v>15094</v>
      </c>
      <c r="G976" s="13" t="s">
        <v>15095</v>
      </c>
      <c r="H976" s="13" t="s">
        <v>9125</v>
      </c>
      <c r="I976" s="13" t="s">
        <v>9126</v>
      </c>
    </row>
    <row r="977" customFormat="false" ht="35.05" hidden="false" customHeight="false" outlineLevel="0" collapsed="false">
      <c r="A977" s="13" t="s">
        <v>4</v>
      </c>
      <c r="B977" s="13" t="s">
        <v>4108</v>
      </c>
      <c r="C977" s="13" t="n">
        <v>105</v>
      </c>
      <c r="D977" s="13" t="s">
        <v>9130</v>
      </c>
      <c r="E977" s="13" t="n">
        <v>1</v>
      </c>
      <c r="F977" s="13" t="s">
        <v>15094</v>
      </c>
      <c r="G977" s="13" t="s">
        <v>15095</v>
      </c>
      <c r="H977" s="13" t="s">
        <v>9133</v>
      </c>
      <c r="I977" s="13" t="s">
        <v>9134</v>
      </c>
    </row>
    <row r="978" customFormat="false" ht="35.05" hidden="false" customHeight="false" outlineLevel="0" collapsed="false">
      <c r="A978" s="13" t="s">
        <v>4</v>
      </c>
      <c r="B978" s="13" t="s">
        <v>4108</v>
      </c>
      <c r="C978" s="13" t="n">
        <v>105</v>
      </c>
      <c r="D978" s="13" t="s">
        <v>9135</v>
      </c>
      <c r="E978" s="13" t="n">
        <v>2</v>
      </c>
      <c r="F978" s="13" t="s">
        <v>15094</v>
      </c>
      <c r="G978" s="13" t="s">
        <v>15095</v>
      </c>
      <c r="H978" s="13" t="s">
        <v>9139</v>
      </c>
      <c r="I978" s="13" t="s">
        <v>9140</v>
      </c>
    </row>
    <row r="979" customFormat="false" ht="348.5" hidden="false" customHeight="false" outlineLevel="0" collapsed="false">
      <c r="A979" s="13" t="s">
        <v>4</v>
      </c>
      <c r="B979" s="13" t="s">
        <v>4108</v>
      </c>
      <c r="C979" s="13" t="n">
        <v>105</v>
      </c>
      <c r="D979" s="13" t="s">
        <v>9144</v>
      </c>
      <c r="E979" s="13" t="n">
        <v>5</v>
      </c>
      <c r="F979" s="13" t="s">
        <v>15094</v>
      </c>
      <c r="G979" s="13" t="s">
        <v>15095</v>
      </c>
      <c r="H979" s="13" t="s">
        <v>9147</v>
      </c>
      <c r="I979" s="13" t="s">
        <v>9148</v>
      </c>
    </row>
    <row r="980" customFormat="false" ht="35.05" hidden="false" customHeight="false" outlineLevel="0" collapsed="false">
      <c r="A980" s="13" t="s">
        <v>4</v>
      </c>
      <c r="B980" s="13" t="s">
        <v>4108</v>
      </c>
      <c r="C980" s="13" t="n">
        <v>169</v>
      </c>
      <c r="D980" s="13" t="s">
        <v>9160</v>
      </c>
      <c r="E980" s="13" t="n">
        <v>2</v>
      </c>
      <c r="F980" s="13" t="s">
        <v>15094</v>
      </c>
      <c r="G980" s="13" t="s">
        <v>15095</v>
      </c>
      <c r="H980" s="13" t="s">
        <v>9164</v>
      </c>
      <c r="I980" s="13" t="s">
        <v>9165</v>
      </c>
    </row>
    <row r="981" customFormat="false" ht="23.85" hidden="false" customHeight="false" outlineLevel="0" collapsed="false">
      <c r="A981" s="13" t="s">
        <v>4</v>
      </c>
      <c r="B981" s="13" t="s">
        <v>4108</v>
      </c>
      <c r="C981" s="13" t="n">
        <v>169</v>
      </c>
      <c r="D981" s="13" t="s">
        <v>14374</v>
      </c>
      <c r="E981" s="13" t="n">
        <v>0</v>
      </c>
      <c r="F981" s="13" t="s">
        <v>15097</v>
      </c>
      <c r="G981" s="13" t="s">
        <v>15095</v>
      </c>
      <c r="H981" s="13" t="s">
        <v>14378</v>
      </c>
      <c r="I981" s="13" t="s">
        <v>14379</v>
      </c>
    </row>
    <row r="982" customFormat="false" ht="15" hidden="false" customHeight="false" outlineLevel="0" collapsed="false">
      <c r="A982" s="13" t="s">
        <v>4</v>
      </c>
      <c r="B982" s="13" t="s">
        <v>4108</v>
      </c>
      <c r="C982" s="13" t="n">
        <v>169</v>
      </c>
      <c r="D982" s="13" t="s">
        <v>15255</v>
      </c>
      <c r="E982" s="13" t="n">
        <v>0</v>
      </c>
      <c r="F982" s="13" t="s">
        <v>15097</v>
      </c>
      <c r="G982" s="13" t="s">
        <v>15095</v>
      </c>
      <c r="H982" s="13" t="s">
        <v>15256</v>
      </c>
      <c r="I982" s="13" t="s">
        <v>15257</v>
      </c>
    </row>
    <row r="983" customFormat="false" ht="124.6" hidden="false" customHeight="false" outlineLevel="0" collapsed="false">
      <c r="A983" s="13" t="s">
        <v>4</v>
      </c>
      <c r="B983" s="13" t="s">
        <v>4108</v>
      </c>
      <c r="C983" s="13" t="n">
        <v>169</v>
      </c>
      <c r="D983" s="13" t="s">
        <v>9169</v>
      </c>
      <c r="E983" s="13" t="n">
        <v>4</v>
      </c>
      <c r="F983" s="13" t="s">
        <v>15094</v>
      </c>
      <c r="G983" s="13" t="s">
        <v>15095</v>
      </c>
      <c r="H983" s="13" t="s">
        <v>9173</v>
      </c>
      <c r="I983" s="13" t="s">
        <v>9174</v>
      </c>
    </row>
    <row r="984" customFormat="false" ht="124.6" hidden="false" customHeight="false" outlineLevel="0" collapsed="false">
      <c r="A984" s="13" t="s">
        <v>4</v>
      </c>
      <c r="B984" s="13" t="s">
        <v>4108</v>
      </c>
      <c r="C984" s="13" t="n">
        <v>169</v>
      </c>
      <c r="D984" s="13" t="s">
        <v>9181</v>
      </c>
      <c r="E984" s="13" t="n">
        <v>3</v>
      </c>
      <c r="F984" s="13" t="s">
        <v>15094</v>
      </c>
      <c r="G984" s="13" t="s">
        <v>15095</v>
      </c>
      <c r="H984" s="13" t="s">
        <v>9185</v>
      </c>
      <c r="I984" s="13" t="s">
        <v>9186</v>
      </c>
    </row>
    <row r="985" customFormat="false" ht="23.85" hidden="false" customHeight="false" outlineLevel="0" collapsed="false">
      <c r="A985" s="13" t="s">
        <v>4</v>
      </c>
      <c r="B985" s="13" t="s">
        <v>4108</v>
      </c>
      <c r="C985" s="13" t="n">
        <v>169</v>
      </c>
      <c r="D985" s="13" t="s">
        <v>9193</v>
      </c>
      <c r="E985" s="13" t="n">
        <v>2</v>
      </c>
      <c r="F985" s="13" t="s">
        <v>15094</v>
      </c>
      <c r="G985" s="13" t="s">
        <v>15095</v>
      </c>
      <c r="H985" s="13" t="s">
        <v>9197</v>
      </c>
      <c r="I985" s="13" t="s">
        <v>9198</v>
      </c>
    </row>
    <row r="986" customFormat="false" ht="35.05" hidden="false" customHeight="false" outlineLevel="0" collapsed="false">
      <c r="A986" s="13" t="s">
        <v>4</v>
      </c>
      <c r="B986" s="13" t="s">
        <v>4108</v>
      </c>
      <c r="C986" s="13" t="n">
        <v>169</v>
      </c>
      <c r="D986" s="13" t="s">
        <v>9201</v>
      </c>
      <c r="E986" s="13" t="n">
        <v>1</v>
      </c>
      <c r="F986" s="13" t="s">
        <v>15094</v>
      </c>
      <c r="G986" s="13" t="s">
        <v>15095</v>
      </c>
      <c r="H986" s="13" t="s">
        <v>9204</v>
      </c>
      <c r="I986" s="13" t="s">
        <v>9205</v>
      </c>
    </row>
    <row r="987" customFormat="false" ht="23.85" hidden="false" customHeight="false" outlineLevel="0" collapsed="false">
      <c r="A987" s="13" t="s">
        <v>4</v>
      </c>
      <c r="B987" s="13" t="s">
        <v>4108</v>
      </c>
      <c r="C987" s="13" t="n">
        <v>169</v>
      </c>
      <c r="D987" s="13" t="s">
        <v>9206</v>
      </c>
      <c r="E987" s="13" t="n">
        <v>1</v>
      </c>
      <c r="F987" s="13" t="s">
        <v>15094</v>
      </c>
      <c r="G987" s="13" t="s">
        <v>15095</v>
      </c>
      <c r="H987" s="13" t="s">
        <v>9209</v>
      </c>
      <c r="I987" s="13" t="s">
        <v>9210</v>
      </c>
    </row>
    <row r="988" customFormat="false" ht="23.85" hidden="false" customHeight="false" outlineLevel="0" collapsed="false">
      <c r="A988" s="13" t="s">
        <v>4</v>
      </c>
      <c r="B988" s="13" t="s">
        <v>4108</v>
      </c>
      <c r="C988" s="13" t="n">
        <v>169</v>
      </c>
      <c r="D988" s="13" t="s">
        <v>9211</v>
      </c>
      <c r="E988" s="13" t="n">
        <v>2</v>
      </c>
      <c r="F988" s="13" t="s">
        <v>15094</v>
      </c>
      <c r="G988" s="13" t="s">
        <v>15095</v>
      </c>
      <c r="H988" s="13" t="s">
        <v>9214</v>
      </c>
      <c r="I988" s="13" t="s">
        <v>9215</v>
      </c>
    </row>
    <row r="989" customFormat="false" ht="91" hidden="false" customHeight="false" outlineLevel="0" collapsed="false">
      <c r="A989" s="13" t="s">
        <v>4</v>
      </c>
      <c r="B989" s="13" t="s">
        <v>4108</v>
      </c>
      <c r="C989" s="13" t="n">
        <v>169</v>
      </c>
      <c r="D989" s="13" t="s">
        <v>9219</v>
      </c>
      <c r="E989" s="13" t="n">
        <v>2</v>
      </c>
      <c r="F989" s="13" t="s">
        <v>15094</v>
      </c>
      <c r="G989" s="13" t="s">
        <v>15095</v>
      </c>
      <c r="H989" s="13" t="s">
        <v>9224</v>
      </c>
      <c r="I989" s="13" t="s">
        <v>9225</v>
      </c>
    </row>
    <row r="990" customFormat="false" ht="68.65" hidden="false" customHeight="false" outlineLevel="0" collapsed="false">
      <c r="A990" s="13" t="s">
        <v>4</v>
      </c>
      <c r="B990" s="13" t="s">
        <v>4108</v>
      </c>
      <c r="C990" s="13" t="n">
        <v>173</v>
      </c>
      <c r="D990" s="13" t="s">
        <v>9229</v>
      </c>
      <c r="E990" s="13" t="n">
        <v>8</v>
      </c>
      <c r="F990" s="13" t="s">
        <v>15094</v>
      </c>
      <c r="G990" s="13" t="s">
        <v>15095</v>
      </c>
      <c r="H990" s="13" t="s">
        <v>9232</v>
      </c>
      <c r="I990" s="13" t="s">
        <v>9233</v>
      </c>
    </row>
    <row r="991" customFormat="false" ht="23.85" hidden="false" customHeight="false" outlineLevel="0" collapsed="false">
      <c r="A991" s="13" t="s">
        <v>4</v>
      </c>
      <c r="B991" s="13" t="s">
        <v>4108</v>
      </c>
      <c r="C991" s="13" t="n">
        <v>173</v>
      </c>
      <c r="D991" s="13" t="s">
        <v>9250</v>
      </c>
      <c r="E991" s="13" t="n">
        <v>1</v>
      </c>
      <c r="F991" s="13" t="s">
        <v>15094</v>
      </c>
      <c r="G991" s="13" t="s">
        <v>15095</v>
      </c>
      <c r="H991" s="13" t="s">
        <v>9254</v>
      </c>
      <c r="I991" s="13" t="s">
        <v>9255</v>
      </c>
    </row>
    <row r="992" customFormat="false" ht="79.85" hidden="false" customHeight="false" outlineLevel="0" collapsed="false">
      <c r="A992" s="13" t="s">
        <v>4</v>
      </c>
      <c r="B992" s="13" t="s">
        <v>4108</v>
      </c>
      <c r="C992" s="13" t="n">
        <v>173</v>
      </c>
      <c r="D992" s="13" t="s">
        <v>9256</v>
      </c>
      <c r="E992" s="13" t="n">
        <v>12</v>
      </c>
      <c r="F992" s="13" t="s">
        <v>15094</v>
      </c>
      <c r="G992" s="13" t="s">
        <v>15095</v>
      </c>
      <c r="H992" s="13" t="s">
        <v>9260</v>
      </c>
      <c r="I992" s="13" t="s">
        <v>9261</v>
      </c>
    </row>
    <row r="993" customFormat="false" ht="68.65" hidden="false" customHeight="false" outlineLevel="0" collapsed="false">
      <c r="A993" s="13" t="s">
        <v>4</v>
      </c>
      <c r="B993" s="13" t="s">
        <v>4108</v>
      </c>
      <c r="C993" s="13" t="n">
        <v>173</v>
      </c>
      <c r="D993" s="13" t="s">
        <v>9284</v>
      </c>
      <c r="E993" s="13" t="n">
        <v>13</v>
      </c>
      <c r="F993" s="13" t="s">
        <v>15094</v>
      </c>
      <c r="G993" s="13" t="s">
        <v>15095</v>
      </c>
      <c r="H993" s="13" t="s">
        <v>9287</v>
      </c>
      <c r="I993" s="13" t="s">
        <v>9288</v>
      </c>
    </row>
    <row r="994" customFormat="false" ht="23.85" hidden="false" customHeight="false" outlineLevel="0" collapsed="false">
      <c r="A994" s="13" t="s">
        <v>4</v>
      </c>
      <c r="B994" s="13" t="s">
        <v>4108</v>
      </c>
      <c r="C994" s="13" t="n">
        <v>173</v>
      </c>
      <c r="D994" s="13" t="s">
        <v>9313</v>
      </c>
      <c r="E994" s="13" t="n">
        <v>1</v>
      </c>
      <c r="F994" s="13" t="s">
        <v>15094</v>
      </c>
      <c r="G994" s="13" t="s">
        <v>15095</v>
      </c>
      <c r="H994" s="13" t="s">
        <v>9317</v>
      </c>
      <c r="I994" s="13" t="s">
        <v>9318</v>
      </c>
    </row>
    <row r="995" customFormat="false" ht="15" hidden="false" customHeight="false" outlineLevel="0" collapsed="false">
      <c r="A995" s="13" t="s">
        <v>4</v>
      </c>
      <c r="B995" s="13" t="s">
        <v>4108</v>
      </c>
      <c r="C995" s="13" t="n">
        <v>173</v>
      </c>
      <c r="D995" s="13" t="s">
        <v>9319</v>
      </c>
      <c r="E995" s="13" t="n">
        <v>1</v>
      </c>
      <c r="F995" s="13" t="s">
        <v>15094</v>
      </c>
      <c r="G995" s="13" t="s">
        <v>15095</v>
      </c>
      <c r="H995" s="13" t="s">
        <v>9323</v>
      </c>
      <c r="I995" s="13" t="s">
        <v>9324</v>
      </c>
    </row>
    <row r="996" customFormat="false" ht="124.6" hidden="false" customHeight="false" outlineLevel="0" collapsed="false">
      <c r="A996" s="13" t="s">
        <v>4</v>
      </c>
      <c r="B996" s="13" t="s">
        <v>4108</v>
      </c>
      <c r="C996" s="13" t="n">
        <v>173</v>
      </c>
      <c r="D996" s="13" t="s">
        <v>9325</v>
      </c>
      <c r="E996" s="13" t="n">
        <v>5</v>
      </c>
      <c r="F996" s="13" t="s">
        <v>15094</v>
      </c>
      <c r="G996" s="13" t="s">
        <v>15095</v>
      </c>
      <c r="H996" s="13" t="s">
        <v>9332</v>
      </c>
      <c r="I996" s="13" t="s">
        <v>9333</v>
      </c>
    </row>
    <row r="997" customFormat="false" ht="35.05" hidden="false" customHeight="false" outlineLevel="0" collapsed="false">
      <c r="A997" s="13" t="s">
        <v>4</v>
      </c>
      <c r="B997" s="13" t="s">
        <v>4108</v>
      </c>
      <c r="C997" s="13" t="n">
        <v>183</v>
      </c>
      <c r="D997" s="13" t="s">
        <v>9345</v>
      </c>
      <c r="E997" s="13" t="n">
        <v>1</v>
      </c>
      <c r="F997" s="13" t="s">
        <v>15094</v>
      </c>
      <c r="G997" s="13" t="s">
        <v>15095</v>
      </c>
      <c r="H997" s="13" t="s">
        <v>9349</v>
      </c>
      <c r="I997" s="13" t="s">
        <v>9350</v>
      </c>
    </row>
    <row r="998" customFormat="false" ht="57.45" hidden="false" customHeight="false" outlineLevel="0" collapsed="false">
      <c r="A998" s="13" t="s">
        <v>4</v>
      </c>
      <c r="B998" s="13" t="s">
        <v>4108</v>
      </c>
      <c r="C998" s="13" t="n">
        <v>183</v>
      </c>
      <c r="D998" s="13" t="s">
        <v>9351</v>
      </c>
      <c r="E998" s="13" t="n">
        <v>2</v>
      </c>
      <c r="F998" s="13" t="s">
        <v>15094</v>
      </c>
      <c r="G998" s="13" t="s">
        <v>15095</v>
      </c>
      <c r="H998" s="13" t="s">
        <v>9354</v>
      </c>
      <c r="I998" s="13" t="s">
        <v>9355</v>
      </c>
    </row>
    <row r="999" customFormat="false" ht="23.85" hidden="false" customHeight="false" outlineLevel="0" collapsed="false">
      <c r="A999" s="13" t="s">
        <v>4</v>
      </c>
      <c r="B999" s="13" t="s">
        <v>4108</v>
      </c>
      <c r="C999" s="13" t="n">
        <v>183</v>
      </c>
      <c r="D999" s="13" t="s">
        <v>9359</v>
      </c>
      <c r="E999" s="13" t="n">
        <v>2</v>
      </c>
      <c r="F999" s="13" t="s">
        <v>15094</v>
      </c>
      <c r="G999" s="13" t="s">
        <v>15095</v>
      </c>
      <c r="H999" s="13" t="s">
        <v>9364</v>
      </c>
      <c r="I999" s="13" t="s">
        <v>9365</v>
      </c>
    </row>
    <row r="1000" customFormat="false" ht="46.25" hidden="false" customHeight="false" outlineLevel="0" collapsed="false">
      <c r="A1000" s="13" t="s">
        <v>4</v>
      </c>
      <c r="B1000" s="13" t="s">
        <v>4108</v>
      </c>
      <c r="C1000" s="13" t="n">
        <v>183</v>
      </c>
      <c r="D1000" s="13" t="s">
        <v>9367</v>
      </c>
      <c r="E1000" s="13" t="n">
        <v>1</v>
      </c>
      <c r="F1000" s="13" t="s">
        <v>15094</v>
      </c>
      <c r="G1000" s="13" t="s">
        <v>15095</v>
      </c>
      <c r="H1000" s="13" t="s">
        <v>9373</v>
      </c>
      <c r="I1000" s="13" t="s">
        <v>9374</v>
      </c>
    </row>
    <row r="1001" customFormat="false" ht="91" hidden="false" customHeight="false" outlineLevel="0" collapsed="false">
      <c r="A1001" s="13" t="s">
        <v>4</v>
      </c>
      <c r="B1001" s="13" t="s">
        <v>4108</v>
      </c>
      <c r="C1001" s="13" t="n">
        <v>183</v>
      </c>
      <c r="D1001" s="13" t="s">
        <v>9375</v>
      </c>
      <c r="E1001" s="13" t="n">
        <v>2</v>
      </c>
      <c r="F1001" s="13" t="s">
        <v>15094</v>
      </c>
      <c r="G1001" s="13" t="s">
        <v>15095</v>
      </c>
      <c r="H1001" s="13" t="s">
        <v>9379</v>
      </c>
      <c r="I1001" s="13" t="s">
        <v>9380</v>
      </c>
    </row>
    <row r="1002" customFormat="false" ht="35.05" hidden="false" customHeight="false" outlineLevel="0" collapsed="false">
      <c r="A1002" s="13" t="s">
        <v>4</v>
      </c>
      <c r="B1002" s="13" t="s">
        <v>4108</v>
      </c>
      <c r="C1002" s="13" t="n">
        <v>183</v>
      </c>
      <c r="D1002" s="13" t="s">
        <v>9383</v>
      </c>
      <c r="E1002" s="13" t="n">
        <v>1</v>
      </c>
      <c r="F1002" s="13" t="s">
        <v>15094</v>
      </c>
      <c r="G1002" s="13" t="s">
        <v>15095</v>
      </c>
      <c r="H1002" s="13" t="s">
        <v>9387</v>
      </c>
      <c r="I1002" s="13" t="s">
        <v>9388</v>
      </c>
    </row>
    <row r="1003" customFormat="false" ht="23.85" hidden="false" customHeight="false" outlineLevel="0" collapsed="false">
      <c r="A1003" s="13" t="s">
        <v>4</v>
      </c>
      <c r="B1003" s="13" t="s">
        <v>4108</v>
      </c>
      <c r="C1003" s="13" t="n">
        <v>183</v>
      </c>
      <c r="D1003" s="13" t="s">
        <v>9389</v>
      </c>
      <c r="E1003" s="13" t="n">
        <v>1</v>
      </c>
      <c r="F1003" s="13" t="s">
        <v>15094</v>
      </c>
      <c r="G1003" s="13" t="s">
        <v>15095</v>
      </c>
      <c r="H1003" s="13" t="s">
        <v>9393</v>
      </c>
      <c r="I1003" s="13" t="s">
        <v>9394</v>
      </c>
    </row>
    <row r="1004" customFormat="false" ht="35.05" hidden="false" customHeight="false" outlineLevel="0" collapsed="false">
      <c r="A1004" s="13" t="s">
        <v>4</v>
      </c>
      <c r="B1004" s="13" t="s">
        <v>4108</v>
      </c>
      <c r="C1004" s="13" t="n">
        <v>183</v>
      </c>
      <c r="D1004" s="13" t="s">
        <v>9395</v>
      </c>
      <c r="E1004" s="13" t="n">
        <v>1</v>
      </c>
      <c r="F1004" s="13" t="s">
        <v>15094</v>
      </c>
      <c r="G1004" s="13" t="s">
        <v>15095</v>
      </c>
      <c r="H1004" s="13" t="s">
        <v>9400</v>
      </c>
      <c r="I1004" s="13" t="s">
        <v>9401</v>
      </c>
    </row>
    <row r="1005" customFormat="false" ht="15" hidden="false" customHeight="false" outlineLevel="0" collapsed="false">
      <c r="A1005" s="13" t="s">
        <v>4</v>
      </c>
      <c r="B1005" s="13" t="s">
        <v>4108</v>
      </c>
      <c r="C1005" s="13" t="n">
        <v>183</v>
      </c>
      <c r="D1005" s="13" t="s">
        <v>9402</v>
      </c>
      <c r="E1005" s="13" t="n">
        <v>1</v>
      </c>
      <c r="F1005" s="13" t="s">
        <v>15094</v>
      </c>
      <c r="G1005" s="13" t="s">
        <v>15095</v>
      </c>
      <c r="H1005" s="13" t="s">
        <v>9406</v>
      </c>
      <c r="I1005" s="13" t="s">
        <v>9407</v>
      </c>
    </row>
    <row r="1006" customFormat="false" ht="35.05" hidden="false" customHeight="false" outlineLevel="0" collapsed="false">
      <c r="A1006" s="13" t="s">
        <v>4</v>
      </c>
      <c r="B1006" s="13" t="s">
        <v>4108</v>
      </c>
      <c r="C1006" s="13" t="n">
        <v>183</v>
      </c>
      <c r="D1006" s="13" t="s">
        <v>9408</v>
      </c>
      <c r="E1006" s="13" t="n">
        <v>1</v>
      </c>
      <c r="F1006" s="13" t="s">
        <v>15094</v>
      </c>
      <c r="G1006" s="13" t="s">
        <v>15095</v>
      </c>
      <c r="H1006" s="13" t="s">
        <v>9413</v>
      </c>
      <c r="I1006" s="13" t="s">
        <v>9414</v>
      </c>
    </row>
    <row r="1007" customFormat="false" ht="46.25" hidden="false" customHeight="false" outlineLevel="0" collapsed="false">
      <c r="A1007" s="13" t="s">
        <v>4</v>
      </c>
      <c r="B1007" s="13" t="s">
        <v>4108</v>
      </c>
      <c r="C1007" s="13" t="n">
        <v>183</v>
      </c>
      <c r="D1007" s="13" t="s">
        <v>9415</v>
      </c>
      <c r="E1007" s="13" t="n">
        <v>4</v>
      </c>
      <c r="F1007" s="13" t="s">
        <v>15094</v>
      </c>
      <c r="G1007" s="13" t="s">
        <v>15095</v>
      </c>
      <c r="H1007" s="13" t="s">
        <v>9418</v>
      </c>
      <c r="I1007" s="13" t="s">
        <v>9419</v>
      </c>
    </row>
    <row r="1008" customFormat="false" ht="23.85" hidden="false" customHeight="false" outlineLevel="0" collapsed="false">
      <c r="A1008" s="13" t="s">
        <v>4</v>
      </c>
      <c r="B1008" s="13" t="s">
        <v>4108</v>
      </c>
      <c r="C1008" s="13" t="n">
        <v>193</v>
      </c>
      <c r="D1008" s="13" t="s">
        <v>9428</v>
      </c>
      <c r="E1008" s="13" t="n">
        <v>2</v>
      </c>
      <c r="F1008" s="13" t="s">
        <v>15094</v>
      </c>
      <c r="G1008" s="13" t="s">
        <v>15095</v>
      </c>
      <c r="H1008" s="13" t="s">
        <v>9432</v>
      </c>
      <c r="I1008" s="13" t="s">
        <v>9433</v>
      </c>
    </row>
    <row r="1009" customFormat="false" ht="23.85" hidden="false" customHeight="false" outlineLevel="0" collapsed="false">
      <c r="A1009" s="13" t="s">
        <v>4</v>
      </c>
      <c r="B1009" s="13" t="s">
        <v>4108</v>
      </c>
      <c r="C1009" s="13" t="n">
        <v>193</v>
      </c>
      <c r="D1009" s="13" t="s">
        <v>15258</v>
      </c>
      <c r="E1009" s="13" t="n">
        <v>0</v>
      </c>
      <c r="F1009" s="13" t="s">
        <v>15097</v>
      </c>
      <c r="G1009" s="13" t="s">
        <v>15095</v>
      </c>
      <c r="H1009" s="13" t="s">
        <v>15259</v>
      </c>
      <c r="I1009" s="13" t="s">
        <v>15260</v>
      </c>
    </row>
    <row r="1010" customFormat="false" ht="23.85" hidden="false" customHeight="false" outlineLevel="0" collapsed="false">
      <c r="A1010" s="13" t="s">
        <v>4</v>
      </c>
      <c r="B1010" s="13" t="s">
        <v>4108</v>
      </c>
      <c r="C1010" s="13" t="n">
        <v>193</v>
      </c>
      <c r="D1010" s="13" t="s">
        <v>15261</v>
      </c>
      <c r="E1010" s="13" t="n">
        <v>0</v>
      </c>
      <c r="F1010" s="13" t="s">
        <v>15097</v>
      </c>
      <c r="G1010" s="13" t="s">
        <v>15095</v>
      </c>
      <c r="H1010" s="13" t="s">
        <v>15262</v>
      </c>
      <c r="I1010" s="13" t="s">
        <v>15263</v>
      </c>
    </row>
    <row r="1011" customFormat="false" ht="169.4" hidden="false" customHeight="false" outlineLevel="0" collapsed="false">
      <c r="A1011" s="13" t="s">
        <v>4</v>
      </c>
      <c r="B1011" s="13" t="s">
        <v>4108</v>
      </c>
      <c r="C1011" s="13" t="n">
        <v>193</v>
      </c>
      <c r="D1011" s="13" t="s">
        <v>9437</v>
      </c>
      <c r="E1011" s="13" t="n">
        <v>4</v>
      </c>
      <c r="F1011" s="13" t="s">
        <v>15094</v>
      </c>
      <c r="G1011" s="13" t="s">
        <v>15095</v>
      </c>
      <c r="H1011" s="13" t="s">
        <v>9441</v>
      </c>
      <c r="I1011" s="13" t="s">
        <v>9442</v>
      </c>
    </row>
    <row r="1012" customFormat="false" ht="23.85" hidden="false" customHeight="false" outlineLevel="0" collapsed="false">
      <c r="A1012" s="13" t="s">
        <v>4</v>
      </c>
      <c r="B1012" s="13" t="s">
        <v>4108</v>
      </c>
      <c r="C1012" s="13" t="n">
        <v>193</v>
      </c>
      <c r="D1012" s="13" t="s">
        <v>9452</v>
      </c>
      <c r="E1012" s="13" t="n">
        <v>2</v>
      </c>
      <c r="F1012" s="13" t="s">
        <v>15094</v>
      </c>
      <c r="G1012" s="13" t="s">
        <v>15095</v>
      </c>
      <c r="H1012" s="13" t="s">
        <v>9456</v>
      </c>
      <c r="I1012" s="13" t="s">
        <v>9457</v>
      </c>
    </row>
    <row r="1013" customFormat="false" ht="57.45" hidden="false" customHeight="false" outlineLevel="0" collapsed="false">
      <c r="A1013" s="13" t="s">
        <v>4</v>
      </c>
      <c r="B1013" s="13" t="s">
        <v>4108</v>
      </c>
      <c r="C1013" s="13" t="n">
        <v>193</v>
      </c>
      <c r="D1013" s="13" t="s">
        <v>9461</v>
      </c>
      <c r="E1013" s="13" t="n">
        <v>3</v>
      </c>
      <c r="F1013" s="13" t="s">
        <v>15094</v>
      </c>
      <c r="G1013" s="13" t="s">
        <v>15095</v>
      </c>
      <c r="H1013" s="13" t="s">
        <v>9465</v>
      </c>
      <c r="I1013" s="13" t="s">
        <v>9466</v>
      </c>
    </row>
    <row r="1014" customFormat="false" ht="35.05" hidden="false" customHeight="false" outlineLevel="0" collapsed="false">
      <c r="A1014" s="13" t="s">
        <v>4</v>
      </c>
      <c r="B1014" s="13" t="s">
        <v>4108</v>
      </c>
      <c r="C1014" s="13" t="n">
        <v>193</v>
      </c>
      <c r="D1014" s="13" t="s">
        <v>9473</v>
      </c>
      <c r="E1014" s="13" t="n">
        <v>2</v>
      </c>
      <c r="F1014" s="13" t="s">
        <v>15094</v>
      </c>
      <c r="G1014" s="13" t="s">
        <v>15095</v>
      </c>
      <c r="H1014" s="13" t="s">
        <v>9479</v>
      </c>
      <c r="I1014" s="13" t="s">
        <v>9480</v>
      </c>
    </row>
    <row r="1015" customFormat="false" ht="124.6" hidden="false" customHeight="false" outlineLevel="0" collapsed="false">
      <c r="A1015" s="13" t="s">
        <v>4</v>
      </c>
      <c r="B1015" s="13" t="s">
        <v>4108</v>
      </c>
      <c r="C1015" s="13" t="n">
        <v>234</v>
      </c>
      <c r="D1015" s="13" t="s">
        <v>9485</v>
      </c>
      <c r="E1015" s="13" t="n">
        <v>4</v>
      </c>
      <c r="F1015" s="13" t="s">
        <v>15094</v>
      </c>
      <c r="G1015" s="13" t="s">
        <v>15095</v>
      </c>
      <c r="H1015" s="13" t="s">
        <v>9488</v>
      </c>
      <c r="I1015" s="13" t="s">
        <v>9489</v>
      </c>
    </row>
    <row r="1016" customFormat="false" ht="35.05" hidden="false" customHeight="false" outlineLevel="0" collapsed="false">
      <c r="A1016" s="13" t="s">
        <v>4</v>
      </c>
      <c r="B1016" s="13" t="s">
        <v>4108</v>
      </c>
      <c r="C1016" s="13" t="n">
        <v>234</v>
      </c>
      <c r="D1016" s="13" t="s">
        <v>9498</v>
      </c>
      <c r="E1016" s="13" t="n">
        <v>2</v>
      </c>
      <c r="F1016" s="13" t="s">
        <v>15094</v>
      </c>
      <c r="G1016" s="13" t="s">
        <v>15095</v>
      </c>
      <c r="H1016" s="13" t="s">
        <v>9503</v>
      </c>
      <c r="I1016" s="13" t="s">
        <v>9504</v>
      </c>
    </row>
    <row r="1017" customFormat="false" ht="35.05" hidden="false" customHeight="false" outlineLevel="0" collapsed="false">
      <c r="A1017" s="13" t="s">
        <v>4</v>
      </c>
      <c r="B1017" s="13" t="s">
        <v>4108</v>
      </c>
      <c r="C1017" s="13" t="n">
        <v>234</v>
      </c>
      <c r="D1017" s="13" t="s">
        <v>9506</v>
      </c>
      <c r="E1017" s="13" t="n">
        <v>2</v>
      </c>
      <c r="F1017" s="13" t="s">
        <v>15094</v>
      </c>
      <c r="G1017" s="13" t="s">
        <v>15095</v>
      </c>
      <c r="H1017" s="13" t="s">
        <v>9510</v>
      </c>
      <c r="I1017" s="13" t="s">
        <v>9511</v>
      </c>
    </row>
    <row r="1018" customFormat="false" ht="113.4" hidden="false" customHeight="false" outlineLevel="0" collapsed="false">
      <c r="A1018" s="13" t="s">
        <v>4</v>
      </c>
      <c r="B1018" s="13" t="s">
        <v>4108</v>
      </c>
      <c r="C1018" s="13" t="n">
        <v>234</v>
      </c>
      <c r="D1018" s="13" t="s">
        <v>9514</v>
      </c>
      <c r="E1018" s="13" t="n">
        <v>6</v>
      </c>
      <c r="F1018" s="13" t="s">
        <v>15094</v>
      </c>
      <c r="G1018" s="13" t="s">
        <v>15095</v>
      </c>
      <c r="H1018" s="13" t="s">
        <v>9519</v>
      </c>
      <c r="I1018" s="13" t="s">
        <v>9520</v>
      </c>
    </row>
    <row r="1019" customFormat="false" ht="46.25" hidden="false" customHeight="false" outlineLevel="0" collapsed="false">
      <c r="A1019" s="13" t="s">
        <v>4</v>
      </c>
      <c r="B1019" s="13" t="s">
        <v>4108</v>
      </c>
      <c r="C1019" s="13" t="n">
        <v>234</v>
      </c>
      <c r="D1019" s="13" t="s">
        <v>9535</v>
      </c>
      <c r="E1019" s="13" t="n">
        <v>4</v>
      </c>
      <c r="F1019" s="13" t="s">
        <v>15094</v>
      </c>
      <c r="G1019" s="13" t="s">
        <v>15095</v>
      </c>
      <c r="H1019" s="13" t="s">
        <v>9539</v>
      </c>
      <c r="I1019" s="13" t="s">
        <v>9540</v>
      </c>
    </row>
    <row r="1020" customFormat="false" ht="23.85" hidden="false" customHeight="false" outlineLevel="0" collapsed="false">
      <c r="A1020" s="13" t="s">
        <v>4</v>
      </c>
      <c r="B1020" s="13" t="s">
        <v>4108</v>
      </c>
      <c r="C1020" s="13" t="n">
        <v>234</v>
      </c>
      <c r="D1020" s="13" t="s">
        <v>9546</v>
      </c>
      <c r="E1020" s="13" t="n">
        <v>1</v>
      </c>
      <c r="F1020" s="13" t="s">
        <v>15094</v>
      </c>
      <c r="G1020" s="13" t="s">
        <v>15095</v>
      </c>
      <c r="H1020" s="13" t="s">
        <v>9550</v>
      </c>
      <c r="I1020" s="13" t="s">
        <v>9551</v>
      </c>
    </row>
    <row r="1021" customFormat="false" ht="46.25" hidden="false" customHeight="false" outlineLevel="0" collapsed="false">
      <c r="A1021" s="13" t="s">
        <v>4</v>
      </c>
      <c r="B1021" s="13" t="s">
        <v>4108</v>
      </c>
      <c r="C1021" s="13" t="n">
        <v>234</v>
      </c>
      <c r="D1021" s="13" t="s">
        <v>9552</v>
      </c>
      <c r="E1021" s="13" t="n">
        <v>3</v>
      </c>
      <c r="F1021" s="13" t="s">
        <v>15094</v>
      </c>
      <c r="G1021" s="13" t="s">
        <v>15095</v>
      </c>
      <c r="H1021" s="13" t="s">
        <v>9559</v>
      </c>
      <c r="I1021" s="13" t="s">
        <v>9560</v>
      </c>
    </row>
    <row r="1022" customFormat="false" ht="46.25" hidden="false" customHeight="false" outlineLevel="0" collapsed="false">
      <c r="A1022" s="13" t="s">
        <v>4</v>
      </c>
      <c r="B1022" s="13" t="s">
        <v>4108</v>
      </c>
      <c r="C1022" s="13" t="n">
        <v>234</v>
      </c>
      <c r="D1022" s="13" t="s">
        <v>9568</v>
      </c>
      <c r="E1022" s="13" t="n">
        <v>3</v>
      </c>
      <c r="F1022" s="13" t="s">
        <v>15094</v>
      </c>
      <c r="G1022" s="13" t="s">
        <v>15095</v>
      </c>
      <c r="H1022" s="13" t="s">
        <v>9572</v>
      </c>
      <c r="I1022" s="13" t="s">
        <v>9573</v>
      </c>
    </row>
    <row r="1023" customFormat="false" ht="46.25" hidden="false" customHeight="false" outlineLevel="0" collapsed="false">
      <c r="A1023" s="13" t="s">
        <v>4</v>
      </c>
      <c r="B1023" s="13" t="s">
        <v>4108</v>
      </c>
      <c r="C1023" s="13" t="n">
        <v>238</v>
      </c>
      <c r="D1023" s="13" t="s">
        <v>14516</v>
      </c>
      <c r="E1023" s="13" t="n">
        <v>0</v>
      </c>
      <c r="F1023" s="13" t="s">
        <v>15097</v>
      </c>
      <c r="G1023" s="13" t="s">
        <v>15095</v>
      </c>
      <c r="H1023" s="13" t="s">
        <v>14520</v>
      </c>
      <c r="I1023" s="13" t="s">
        <v>14521</v>
      </c>
    </row>
    <row r="1024" customFormat="false" ht="15" hidden="false" customHeight="false" outlineLevel="0" collapsed="false">
      <c r="A1024" s="13" t="s">
        <v>4</v>
      </c>
      <c r="B1024" s="13" t="s">
        <v>4108</v>
      </c>
      <c r="C1024" s="13" t="n">
        <v>238</v>
      </c>
      <c r="D1024" s="13" t="s">
        <v>15264</v>
      </c>
      <c r="E1024" s="13" t="n">
        <v>0</v>
      </c>
      <c r="F1024" s="13" t="s">
        <v>15097</v>
      </c>
      <c r="G1024" s="13" t="s">
        <v>15095</v>
      </c>
      <c r="H1024" s="13" t="s">
        <v>15265</v>
      </c>
      <c r="I1024" s="13" t="s">
        <v>15266</v>
      </c>
    </row>
    <row r="1025" customFormat="false" ht="15" hidden="false" customHeight="false" outlineLevel="0" collapsed="false">
      <c r="A1025" s="13" t="s">
        <v>4</v>
      </c>
      <c r="B1025" s="13" t="s">
        <v>4108</v>
      </c>
      <c r="C1025" s="13" t="n">
        <v>238</v>
      </c>
      <c r="D1025" s="13" t="s">
        <v>15267</v>
      </c>
      <c r="E1025" s="13" t="n">
        <v>0</v>
      </c>
      <c r="F1025" s="13" t="s">
        <v>15097</v>
      </c>
      <c r="G1025" s="13" t="s">
        <v>15095</v>
      </c>
      <c r="H1025" s="13" t="s">
        <v>15268</v>
      </c>
      <c r="I1025" s="13" t="s">
        <v>15269</v>
      </c>
    </row>
    <row r="1026" customFormat="false" ht="15" hidden="false" customHeight="false" outlineLevel="0" collapsed="false">
      <c r="A1026" s="13" t="s">
        <v>4</v>
      </c>
      <c r="B1026" s="13" t="s">
        <v>4108</v>
      </c>
      <c r="C1026" s="13" t="n">
        <v>238</v>
      </c>
      <c r="D1026" s="13" t="s">
        <v>15270</v>
      </c>
      <c r="E1026" s="13" t="n">
        <v>0</v>
      </c>
      <c r="F1026" s="13" t="s">
        <v>15097</v>
      </c>
      <c r="G1026" s="13" t="s">
        <v>15095</v>
      </c>
      <c r="H1026" s="13" t="s">
        <v>15271</v>
      </c>
      <c r="I1026" s="13" t="s">
        <v>15272</v>
      </c>
    </row>
    <row r="1027" customFormat="false" ht="15" hidden="false" customHeight="false" outlineLevel="0" collapsed="false">
      <c r="A1027" s="13" t="s">
        <v>4</v>
      </c>
      <c r="B1027" s="13" t="s">
        <v>4108</v>
      </c>
      <c r="C1027" s="13" t="n">
        <v>238</v>
      </c>
      <c r="D1027" s="13" t="s">
        <v>15273</v>
      </c>
      <c r="E1027" s="13" t="n">
        <v>0</v>
      </c>
      <c r="F1027" s="13" t="s">
        <v>15097</v>
      </c>
      <c r="G1027" s="13" t="s">
        <v>15095</v>
      </c>
      <c r="H1027" s="13" t="s">
        <v>15274</v>
      </c>
      <c r="I1027" s="13" t="s">
        <v>15275</v>
      </c>
    </row>
    <row r="1028" customFormat="false" ht="15" hidden="false" customHeight="false" outlineLevel="0" collapsed="false">
      <c r="A1028" s="13" t="s">
        <v>4</v>
      </c>
      <c r="B1028" s="13" t="s">
        <v>4108</v>
      </c>
      <c r="C1028" s="13" t="n">
        <v>238</v>
      </c>
      <c r="D1028" s="13" t="s">
        <v>15276</v>
      </c>
      <c r="E1028" s="13" t="n">
        <v>0</v>
      </c>
      <c r="F1028" s="13" t="s">
        <v>15097</v>
      </c>
      <c r="G1028" s="13" t="s">
        <v>15095</v>
      </c>
      <c r="H1028" s="13" t="s">
        <v>15277</v>
      </c>
      <c r="I1028" s="13" t="s">
        <v>15278</v>
      </c>
    </row>
    <row r="1029" customFormat="false" ht="15" hidden="false" customHeight="false" outlineLevel="0" collapsed="false">
      <c r="A1029" s="13" t="s">
        <v>4</v>
      </c>
      <c r="B1029" s="13" t="s">
        <v>4108</v>
      </c>
      <c r="C1029" s="13" t="n">
        <v>238</v>
      </c>
      <c r="D1029" s="13" t="s">
        <v>15279</v>
      </c>
      <c r="E1029" s="13" t="n">
        <v>0</v>
      </c>
      <c r="F1029" s="13" t="s">
        <v>15097</v>
      </c>
      <c r="G1029" s="13" t="s">
        <v>15095</v>
      </c>
      <c r="H1029" s="13" t="s">
        <v>15280</v>
      </c>
      <c r="I1029" s="13" t="s">
        <v>15281</v>
      </c>
    </row>
    <row r="1030" customFormat="false" ht="15" hidden="false" customHeight="false" outlineLevel="0" collapsed="false">
      <c r="A1030" s="13" t="s">
        <v>4</v>
      </c>
      <c r="B1030" s="13" t="s">
        <v>4108</v>
      </c>
      <c r="C1030" s="13" t="n">
        <v>238</v>
      </c>
      <c r="D1030" s="13" t="s">
        <v>15282</v>
      </c>
      <c r="E1030" s="13" t="n">
        <v>0</v>
      </c>
      <c r="F1030" s="13" t="s">
        <v>15097</v>
      </c>
      <c r="G1030" s="13" t="s">
        <v>15095</v>
      </c>
      <c r="H1030" s="13" t="s">
        <v>15283</v>
      </c>
      <c r="I1030" s="13" t="s">
        <v>15284</v>
      </c>
    </row>
    <row r="1031" customFormat="false" ht="15" hidden="false" customHeight="false" outlineLevel="0" collapsed="false">
      <c r="A1031" s="13" t="s">
        <v>4</v>
      </c>
      <c r="B1031" s="13" t="s">
        <v>4108</v>
      </c>
      <c r="C1031" s="13" t="n">
        <v>238</v>
      </c>
      <c r="D1031" s="13" t="s">
        <v>15285</v>
      </c>
      <c r="E1031" s="13" t="n">
        <v>0</v>
      </c>
      <c r="F1031" s="13" t="s">
        <v>15097</v>
      </c>
      <c r="G1031" s="13" t="s">
        <v>15095</v>
      </c>
      <c r="H1031" s="13" t="s">
        <v>15286</v>
      </c>
      <c r="I1031" s="13" t="s">
        <v>15287</v>
      </c>
    </row>
    <row r="1032" customFormat="false" ht="23.85" hidden="false" customHeight="false" outlineLevel="0" collapsed="false">
      <c r="A1032" s="13" t="s">
        <v>4</v>
      </c>
      <c r="B1032" s="13" t="s">
        <v>4108</v>
      </c>
      <c r="C1032" s="13" t="n">
        <v>238</v>
      </c>
      <c r="D1032" s="13" t="s">
        <v>9580</v>
      </c>
      <c r="E1032" s="13" t="n">
        <v>1</v>
      </c>
      <c r="F1032" s="13" t="s">
        <v>15094</v>
      </c>
      <c r="G1032" s="13" t="s">
        <v>15095</v>
      </c>
      <c r="H1032" s="13" t="s">
        <v>9585</v>
      </c>
      <c r="I1032" s="13" t="s">
        <v>9586</v>
      </c>
    </row>
    <row r="1033" customFormat="false" ht="15" hidden="false" customHeight="false" outlineLevel="0" collapsed="false">
      <c r="A1033" s="13" t="s">
        <v>4</v>
      </c>
      <c r="B1033" s="13" t="s">
        <v>4108</v>
      </c>
      <c r="C1033" s="13" t="n">
        <v>238</v>
      </c>
      <c r="D1033" s="13" t="s">
        <v>15288</v>
      </c>
      <c r="E1033" s="13" t="n">
        <v>0</v>
      </c>
      <c r="F1033" s="13" t="s">
        <v>15097</v>
      </c>
      <c r="G1033" s="13" t="s">
        <v>15095</v>
      </c>
      <c r="H1033" s="13" t="s">
        <v>15289</v>
      </c>
      <c r="I1033" s="13" t="s">
        <v>15290</v>
      </c>
    </row>
    <row r="1034" customFormat="false" ht="23.85" hidden="false" customHeight="false" outlineLevel="0" collapsed="false">
      <c r="A1034" s="13" t="s">
        <v>4</v>
      </c>
      <c r="B1034" s="13" t="s">
        <v>4108</v>
      </c>
      <c r="C1034" s="13" t="n">
        <v>238</v>
      </c>
      <c r="D1034" s="13" t="s">
        <v>15291</v>
      </c>
      <c r="E1034" s="13" t="n">
        <v>0</v>
      </c>
      <c r="F1034" s="13" t="s">
        <v>15097</v>
      </c>
      <c r="G1034" s="13" t="s">
        <v>15095</v>
      </c>
      <c r="H1034" s="13" t="s">
        <v>15292</v>
      </c>
      <c r="I1034" s="13" t="s">
        <v>15293</v>
      </c>
    </row>
    <row r="1035" customFormat="false" ht="35.05" hidden="false" customHeight="false" outlineLevel="0" collapsed="false">
      <c r="A1035" s="13" t="s">
        <v>4</v>
      </c>
      <c r="B1035" s="13" t="s">
        <v>4108</v>
      </c>
      <c r="C1035" s="13" t="n">
        <v>238</v>
      </c>
      <c r="D1035" s="13" t="s">
        <v>9587</v>
      </c>
      <c r="E1035" s="13" t="n">
        <v>1</v>
      </c>
      <c r="F1035" s="13" t="s">
        <v>15094</v>
      </c>
      <c r="G1035" s="13" t="s">
        <v>15095</v>
      </c>
      <c r="H1035" s="13" t="s">
        <v>9590</v>
      </c>
      <c r="I1035" s="13" t="s">
        <v>9591</v>
      </c>
    </row>
    <row r="1036" customFormat="false" ht="35.05" hidden="false" customHeight="false" outlineLevel="0" collapsed="false">
      <c r="A1036" s="13" t="s">
        <v>4</v>
      </c>
      <c r="B1036" s="13" t="s">
        <v>4108</v>
      </c>
      <c r="C1036" s="13" t="n">
        <v>238</v>
      </c>
      <c r="D1036" s="13" t="s">
        <v>9592</v>
      </c>
      <c r="E1036" s="13" t="n">
        <v>1</v>
      </c>
      <c r="F1036" s="13" t="s">
        <v>15094</v>
      </c>
      <c r="G1036" s="13" t="s">
        <v>15095</v>
      </c>
      <c r="H1036" s="13" t="s">
        <v>9598</v>
      </c>
      <c r="I1036" s="13" t="s">
        <v>9599</v>
      </c>
    </row>
    <row r="1037" customFormat="false" ht="23.85" hidden="false" customHeight="false" outlineLevel="0" collapsed="false">
      <c r="A1037" s="13" t="s">
        <v>4</v>
      </c>
      <c r="B1037" s="13" t="s">
        <v>4108</v>
      </c>
      <c r="C1037" s="13" t="n">
        <v>238</v>
      </c>
      <c r="D1037" s="13" t="s">
        <v>9600</v>
      </c>
      <c r="E1037" s="13" t="n">
        <v>1</v>
      </c>
      <c r="F1037" s="13" t="s">
        <v>15094</v>
      </c>
      <c r="G1037" s="13" t="s">
        <v>15095</v>
      </c>
      <c r="H1037" s="13" t="s">
        <v>9604</v>
      </c>
      <c r="I1037" s="13" t="s">
        <v>9605</v>
      </c>
    </row>
    <row r="1038" customFormat="false" ht="68.65" hidden="false" customHeight="false" outlineLevel="0" collapsed="false">
      <c r="A1038" s="13" t="s">
        <v>4</v>
      </c>
      <c r="B1038" s="13" t="s">
        <v>4108</v>
      </c>
      <c r="C1038" s="13" t="n">
        <v>238</v>
      </c>
      <c r="D1038" s="13" t="s">
        <v>9606</v>
      </c>
      <c r="E1038" s="13" t="n">
        <v>3</v>
      </c>
      <c r="F1038" s="13" t="s">
        <v>15094</v>
      </c>
      <c r="G1038" s="13" t="s">
        <v>15095</v>
      </c>
      <c r="H1038" s="13" t="s">
        <v>9610</v>
      </c>
      <c r="I1038" s="13" t="s">
        <v>9611</v>
      </c>
    </row>
    <row r="1039" customFormat="false" ht="46.25" hidden="false" customHeight="false" outlineLevel="0" collapsed="false">
      <c r="A1039" s="13" t="s">
        <v>4</v>
      </c>
      <c r="B1039" s="13" t="s">
        <v>4108</v>
      </c>
      <c r="C1039" s="13" t="n">
        <v>238</v>
      </c>
      <c r="D1039" s="13" t="s">
        <v>9618</v>
      </c>
      <c r="E1039" s="13" t="n">
        <v>2</v>
      </c>
      <c r="F1039" s="13" t="s">
        <v>15094</v>
      </c>
      <c r="G1039" s="13" t="s">
        <v>15095</v>
      </c>
      <c r="H1039" s="13" t="s">
        <v>9623</v>
      </c>
      <c r="I1039" s="13" t="s">
        <v>9624</v>
      </c>
    </row>
    <row r="1040" customFormat="false" ht="23.85" hidden="false" customHeight="false" outlineLevel="0" collapsed="false">
      <c r="A1040" s="13" t="s">
        <v>4</v>
      </c>
      <c r="B1040" s="13" t="s">
        <v>4108</v>
      </c>
      <c r="C1040" s="13" t="n">
        <v>238</v>
      </c>
      <c r="D1040" s="13" t="s">
        <v>9628</v>
      </c>
      <c r="E1040" s="13" t="n">
        <v>1</v>
      </c>
      <c r="F1040" s="13" t="s">
        <v>15094</v>
      </c>
      <c r="G1040" s="13" t="s">
        <v>15095</v>
      </c>
      <c r="H1040" s="13" t="s">
        <v>9633</v>
      </c>
      <c r="I1040" s="13" t="s">
        <v>9634</v>
      </c>
    </row>
    <row r="1041" customFormat="false" ht="23.85" hidden="false" customHeight="false" outlineLevel="0" collapsed="false">
      <c r="A1041" s="13" t="s">
        <v>4</v>
      </c>
      <c r="B1041" s="13" t="s">
        <v>4108</v>
      </c>
      <c r="C1041" s="13" t="n">
        <v>238</v>
      </c>
      <c r="D1041" s="13" t="s">
        <v>9635</v>
      </c>
      <c r="E1041" s="13" t="n">
        <v>1</v>
      </c>
      <c r="F1041" s="13" t="s">
        <v>15094</v>
      </c>
      <c r="G1041" s="13" t="s">
        <v>15095</v>
      </c>
      <c r="H1041" s="13" t="s">
        <v>9639</v>
      </c>
      <c r="I1041" s="13" t="s">
        <v>9640</v>
      </c>
    </row>
    <row r="1042" customFormat="false" ht="23.85" hidden="false" customHeight="false" outlineLevel="0" collapsed="false">
      <c r="A1042" s="13" t="s">
        <v>4</v>
      </c>
      <c r="B1042" s="13" t="s">
        <v>4108</v>
      </c>
      <c r="C1042" s="13" t="n">
        <v>238</v>
      </c>
      <c r="D1042" s="13" t="s">
        <v>9641</v>
      </c>
      <c r="E1042" s="13" t="n">
        <v>1</v>
      </c>
      <c r="F1042" s="13" t="s">
        <v>15094</v>
      </c>
      <c r="G1042" s="13" t="s">
        <v>15095</v>
      </c>
      <c r="H1042" s="13" t="s">
        <v>9645</v>
      </c>
      <c r="I1042" s="13" t="s">
        <v>9646</v>
      </c>
    </row>
    <row r="1043" customFormat="false" ht="23.85" hidden="false" customHeight="false" outlineLevel="0" collapsed="false">
      <c r="A1043" s="13" t="s">
        <v>4</v>
      </c>
      <c r="B1043" s="13" t="s">
        <v>4108</v>
      </c>
      <c r="C1043" s="13" t="n">
        <v>238</v>
      </c>
      <c r="D1043" s="13" t="s">
        <v>9647</v>
      </c>
      <c r="E1043" s="13" t="n">
        <v>1</v>
      </c>
      <c r="F1043" s="13" t="s">
        <v>15094</v>
      </c>
      <c r="G1043" s="13" t="s">
        <v>15095</v>
      </c>
      <c r="H1043" s="13" t="s">
        <v>9651</v>
      </c>
      <c r="I1043" s="13" t="s">
        <v>9652</v>
      </c>
    </row>
    <row r="1044" customFormat="false" ht="46.25" hidden="false" customHeight="false" outlineLevel="0" collapsed="false">
      <c r="A1044" s="13" t="s">
        <v>4</v>
      </c>
      <c r="B1044" s="13" t="s">
        <v>4108</v>
      </c>
      <c r="C1044" s="13" t="n">
        <v>258</v>
      </c>
      <c r="D1044" s="13" t="s">
        <v>9653</v>
      </c>
      <c r="E1044" s="13" t="n">
        <v>3</v>
      </c>
      <c r="F1044" s="13" t="s">
        <v>15094</v>
      </c>
      <c r="G1044" s="13" t="s">
        <v>15095</v>
      </c>
      <c r="H1044" s="13" t="s">
        <v>9657</v>
      </c>
      <c r="I1044" s="13" t="s">
        <v>9658</v>
      </c>
    </row>
    <row r="1045" customFormat="false" ht="135.8" hidden="false" customHeight="false" outlineLevel="0" collapsed="false">
      <c r="A1045" s="13" t="s">
        <v>4</v>
      </c>
      <c r="B1045" s="13" t="s">
        <v>4108</v>
      </c>
      <c r="C1045" s="13" t="n">
        <v>258</v>
      </c>
      <c r="D1045" s="13" t="s">
        <v>9664</v>
      </c>
      <c r="E1045" s="13" t="n">
        <v>5</v>
      </c>
      <c r="F1045" s="13" t="s">
        <v>15094</v>
      </c>
      <c r="G1045" s="13" t="s">
        <v>15095</v>
      </c>
      <c r="H1045" s="13" t="s">
        <v>9668</v>
      </c>
      <c r="I1045" s="13" t="s">
        <v>9669</v>
      </c>
    </row>
    <row r="1046" customFormat="false" ht="23.85" hidden="false" customHeight="false" outlineLevel="0" collapsed="false">
      <c r="A1046" s="13" t="s">
        <v>4</v>
      </c>
      <c r="B1046" s="13" t="s">
        <v>4108</v>
      </c>
      <c r="C1046" s="13" t="n">
        <v>258</v>
      </c>
      <c r="D1046" s="13" t="s">
        <v>15294</v>
      </c>
      <c r="E1046" s="13" t="n">
        <v>0</v>
      </c>
      <c r="F1046" s="13" t="s">
        <v>15097</v>
      </c>
      <c r="G1046" s="13" t="s">
        <v>15095</v>
      </c>
      <c r="H1046" s="13" t="s">
        <v>15295</v>
      </c>
      <c r="I1046" s="13" t="s">
        <v>15296</v>
      </c>
    </row>
    <row r="1047" customFormat="false" ht="79.85" hidden="false" customHeight="false" outlineLevel="0" collapsed="false">
      <c r="A1047" s="13" t="s">
        <v>4</v>
      </c>
      <c r="B1047" s="13" t="s">
        <v>4108</v>
      </c>
      <c r="C1047" s="13" t="n">
        <v>258</v>
      </c>
      <c r="D1047" s="13" t="s">
        <v>9679</v>
      </c>
      <c r="E1047" s="13" t="n">
        <v>5</v>
      </c>
      <c r="F1047" s="13" t="s">
        <v>15094</v>
      </c>
      <c r="G1047" s="13" t="s">
        <v>15095</v>
      </c>
      <c r="H1047" s="13" t="s">
        <v>9684</v>
      </c>
      <c r="I1047" s="13" t="s">
        <v>9685</v>
      </c>
    </row>
    <row r="1048" customFormat="false" ht="35.05" hidden="false" customHeight="false" outlineLevel="0" collapsed="false">
      <c r="A1048" s="13" t="s">
        <v>4</v>
      </c>
      <c r="B1048" s="13" t="s">
        <v>4108</v>
      </c>
      <c r="C1048" s="13" t="n">
        <v>258</v>
      </c>
      <c r="D1048" s="13" t="s">
        <v>9695</v>
      </c>
      <c r="E1048" s="13" t="n">
        <v>3</v>
      </c>
      <c r="F1048" s="13" t="s">
        <v>15094</v>
      </c>
      <c r="G1048" s="13" t="s">
        <v>15095</v>
      </c>
      <c r="H1048" s="13" t="s">
        <v>9700</v>
      </c>
      <c r="I1048" s="13" t="s">
        <v>9701</v>
      </c>
    </row>
    <row r="1049" customFormat="false" ht="102.2" hidden="false" customHeight="false" outlineLevel="0" collapsed="false">
      <c r="A1049" s="13" t="s">
        <v>4</v>
      </c>
      <c r="B1049" s="13" t="s">
        <v>4108</v>
      </c>
      <c r="C1049" s="13" t="n">
        <v>258</v>
      </c>
      <c r="D1049" s="13" t="s">
        <v>9705</v>
      </c>
      <c r="E1049" s="13" t="n">
        <v>5</v>
      </c>
      <c r="F1049" s="13" t="s">
        <v>15094</v>
      </c>
      <c r="G1049" s="13" t="s">
        <v>15095</v>
      </c>
      <c r="H1049" s="13" t="s">
        <v>9708</v>
      </c>
      <c r="I1049" s="13" t="s">
        <v>9709</v>
      </c>
    </row>
    <row r="1050" customFormat="false" ht="68.65" hidden="false" customHeight="false" outlineLevel="0" collapsed="false">
      <c r="A1050" s="13" t="s">
        <v>4</v>
      </c>
      <c r="B1050" s="13" t="s">
        <v>4108</v>
      </c>
      <c r="C1050" s="13" t="n">
        <v>258</v>
      </c>
      <c r="D1050" s="13" t="s">
        <v>9718</v>
      </c>
      <c r="E1050" s="13" t="n">
        <v>4</v>
      </c>
      <c r="F1050" s="13" t="s">
        <v>15094</v>
      </c>
      <c r="G1050" s="13" t="s">
        <v>15095</v>
      </c>
      <c r="H1050" s="13" t="s">
        <v>9721</v>
      </c>
      <c r="I1050" s="13" t="s">
        <v>9722</v>
      </c>
    </row>
    <row r="1051" customFormat="false" ht="35.05" hidden="false" customHeight="false" outlineLevel="0" collapsed="false">
      <c r="A1051" s="13" t="s">
        <v>4</v>
      </c>
      <c r="B1051" s="13" t="s">
        <v>4108</v>
      </c>
      <c r="C1051" s="13" t="n">
        <v>258</v>
      </c>
      <c r="D1051" s="13" t="s">
        <v>9730</v>
      </c>
      <c r="E1051" s="13" t="n">
        <v>2</v>
      </c>
      <c r="F1051" s="13" t="s">
        <v>15094</v>
      </c>
      <c r="G1051" s="13" t="s">
        <v>15095</v>
      </c>
      <c r="H1051" s="13" t="s">
        <v>9733</v>
      </c>
      <c r="I1051" s="13" t="s">
        <v>9734</v>
      </c>
    </row>
    <row r="1052" customFormat="false" ht="15" hidden="false" customHeight="false" outlineLevel="0" collapsed="false">
      <c r="A1052" s="13" t="s">
        <v>4</v>
      </c>
      <c r="B1052" s="13" t="s">
        <v>4108</v>
      </c>
      <c r="C1052" s="13" t="n">
        <v>271</v>
      </c>
      <c r="D1052" s="13" t="s">
        <v>9737</v>
      </c>
      <c r="E1052" s="13" t="n">
        <v>1</v>
      </c>
      <c r="F1052" s="13" t="s">
        <v>15094</v>
      </c>
      <c r="G1052" s="13" t="s">
        <v>15095</v>
      </c>
      <c r="H1052" s="13" t="s">
        <v>9741</v>
      </c>
      <c r="I1052" s="13" t="s">
        <v>9742</v>
      </c>
    </row>
    <row r="1053" customFormat="false" ht="15" hidden="false" customHeight="false" outlineLevel="0" collapsed="false">
      <c r="A1053" s="13" t="s">
        <v>4</v>
      </c>
      <c r="B1053" s="13" t="s">
        <v>4108</v>
      </c>
      <c r="C1053" s="13" t="n">
        <v>271</v>
      </c>
      <c r="D1053" s="13" t="s">
        <v>9743</v>
      </c>
      <c r="E1053" s="13" t="n">
        <v>1</v>
      </c>
      <c r="F1053" s="13" t="s">
        <v>15094</v>
      </c>
      <c r="G1053" s="13" t="s">
        <v>15095</v>
      </c>
      <c r="H1053" s="13" t="s">
        <v>9749</v>
      </c>
      <c r="I1053" s="13" t="s">
        <v>9750</v>
      </c>
    </row>
    <row r="1054" customFormat="false" ht="23.85" hidden="false" customHeight="false" outlineLevel="0" collapsed="false">
      <c r="A1054" s="13" t="s">
        <v>4</v>
      </c>
      <c r="B1054" s="13" t="s">
        <v>4108</v>
      </c>
      <c r="C1054" s="13" t="n">
        <v>271</v>
      </c>
      <c r="D1054" s="13" t="s">
        <v>9751</v>
      </c>
      <c r="E1054" s="13" t="n">
        <v>1</v>
      </c>
      <c r="F1054" s="13" t="s">
        <v>15094</v>
      </c>
      <c r="G1054" s="13" t="s">
        <v>15095</v>
      </c>
      <c r="H1054" s="13" t="s">
        <v>9757</v>
      </c>
      <c r="I1054" s="13" t="s">
        <v>9758</v>
      </c>
    </row>
    <row r="1055" customFormat="false" ht="23.85" hidden="false" customHeight="false" outlineLevel="0" collapsed="false">
      <c r="A1055" s="13" t="s">
        <v>4</v>
      </c>
      <c r="B1055" s="13" t="s">
        <v>4108</v>
      </c>
      <c r="C1055" s="13" t="n">
        <v>271</v>
      </c>
      <c r="D1055" s="13" t="s">
        <v>9759</v>
      </c>
      <c r="E1055" s="13" t="n">
        <v>1</v>
      </c>
      <c r="F1055" s="13" t="s">
        <v>15094</v>
      </c>
      <c r="G1055" s="13" t="s">
        <v>15095</v>
      </c>
      <c r="H1055" s="13" t="s">
        <v>9764</v>
      </c>
      <c r="I1055" s="13" t="s">
        <v>9765</v>
      </c>
    </row>
    <row r="1056" customFormat="false" ht="91" hidden="false" customHeight="false" outlineLevel="0" collapsed="false">
      <c r="A1056" s="13" t="s">
        <v>4</v>
      </c>
      <c r="B1056" s="13" t="s">
        <v>4108</v>
      </c>
      <c r="C1056" s="13" t="n">
        <v>271</v>
      </c>
      <c r="D1056" s="13" t="s">
        <v>9766</v>
      </c>
      <c r="E1056" s="13" t="n">
        <v>5</v>
      </c>
      <c r="F1056" s="13" t="s">
        <v>15094</v>
      </c>
      <c r="G1056" s="13" t="s">
        <v>15095</v>
      </c>
      <c r="H1056" s="13" t="s">
        <v>9770</v>
      </c>
      <c r="I1056" s="13" t="s">
        <v>9771</v>
      </c>
    </row>
    <row r="1057" customFormat="false" ht="46.25" hidden="false" customHeight="false" outlineLevel="0" collapsed="false">
      <c r="A1057" s="13" t="s">
        <v>4</v>
      </c>
      <c r="B1057" s="13" t="s">
        <v>4108</v>
      </c>
      <c r="C1057" s="13" t="n">
        <v>271</v>
      </c>
      <c r="D1057" s="13" t="s">
        <v>9784</v>
      </c>
      <c r="E1057" s="13" t="n">
        <v>2</v>
      </c>
      <c r="F1057" s="13" t="s">
        <v>15094</v>
      </c>
      <c r="G1057" s="13" t="s">
        <v>15095</v>
      </c>
      <c r="H1057" s="13" t="s">
        <v>9789</v>
      </c>
      <c r="I1057" s="13" t="s">
        <v>9790</v>
      </c>
    </row>
    <row r="1058" customFormat="false" ht="15" hidden="false" customHeight="false" outlineLevel="0" collapsed="false">
      <c r="A1058" s="13" t="s">
        <v>4</v>
      </c>
      <c r="B1058" s="13" t="s">
        <v>4108</v>
      </c>
      <c r="C1058" s="13" t="n">
        <v>271</v>
      </c>
      <c r="D1058" s="13" t="s">
        <v>15297</v>
      </c>
      <c r="E1058" s="13" t="n">
        <v>0</v>
      </c>
      <c r="F1058" s="13" t="s">
        <v>15097</v>
      </c>
      <c r="G1058" s="13" t="s">
        <v>15095</v>
      </c>
      <c r="H1058" s="13" t="s">
        <v>15298</v>
      </c>
      <c r="I1058" s="13" t="s">
        <v>15299</v>
      </c>
    </row>
    <row r="1059" customFormat="false" ht="46.25" hidden="false" customHeight="false" outlineLevel="0" collapsed="false">
      <c r="A1059" s="13" t="s">
        <v>4</v>
      </c>
      <c r="B1059" s="13" t="s">
        <v>4108</v>
      </c>
      <c r="C1059" s="13" t="n">
        <v>271</v>
      </c>
      <c r="D1059" s="13" t="s">
        <v>9795</v>
      </c>
      <c r="E1059" s="13" t="n">
        <v>1</v>
      </c>
      <c r="F1059" s="13" t="s">
        <v>15094</v>
      </c>
      <c r="G1059" s="13" t="s">
        <v>15095</v>
      </c>
      <c r="H1059" s="13" t="s">
        <v>9799</v>
      </c>
      <c r="I1059" s="13" t="s">
        <v>9800</v>
      </c>
    </row>
    <row r="1060" customFormat="false" ht="23.85" hidden="false" customHeight="false" outlineLevel="0" collapsed="false">
      <c r="A1060" s="13" t="s">
        <v>4</v>
      </c>
      <c r="B1060" s="13" t="s">
        <v>4108</v>
      </c>
      <c r="C1060" s="13" t="n">
        <v>271</v>
      </c>
      <c r="D1060" s="13" t="s">
        <v>9801</v>
      </c>
      <c r="E1060" s="13" t="n">
        <v>1</v>
      </c>
      <c r="F1060" s="13" t="s">
        <v>15094</v>
      </c>
      <c r="G1060" s="13" t="s">
        <v>15095</v>
      </c>
      <c r="H1060" s="13" t="s">
        <v>9806</v>
      </c>
      <c r="I1060" s="13" t="s">
        <v>9807</v>
      </c>
    </row>
    <row r="1061" customFormat="false" ht="35.05" hidden="false" customHeight="false" outlineLevel="0" collapsed="false">
      <c r="A1061" s="13" t="s">
        <v>4</v>
      </c>
      <c r="B1061" s="13" t="s">
        <v>4108</v>
      </c>
      <c r="C1061" s="13" t="n">
        <v>271</v>
      </c>
      <c r="D1061" s="13" t="s">
        <v>9808</v>
      </c>
      <c r="E1061" s="13" t="n">
        <v>1</v>
      </c>
      <c r="F1061" s="13" t="s">
        <v>15094</v>
      </c>
      <c r="G1061" s="13" t="s">
        <v>15095</v>
      </c>
      <c r="H1061" s="13" t="s">
        <v>9813</v>
      </c>
      <c r="I1061" s="13" t="s">
        <v>9814</v>
      </c>
    </row>
    <row r="1062" customFormat="false" ht="46.25" hidden="false" customHeight="false" outlineLevel="0" collapsed="false">
      <c r="A1062" s="13" t="s">
        <v>4</v>
      </c>
      <c r="B1062" s="13" t="s">
        <v>4108</v>
      </c>
      <c r="C1062" s="13" t="n">
        <v>271</v>
      </c>
      <c r="D1062" s="13" t="s">
        <v>9815</v>
      </c>
      <c r="E1062" s="13" t="n">
        <v>2</v>
      </c>
      <c r="F1062" s="13" t="s">
        <v>15094</v>
      </c>
      <c r="G1062" s="13" t="s">
        <v>15095</v>
      </c>
      <c r="H1062" s="13" t="s">
        <v>9818</v>
      </c>
      <c r="I1062" s="13" t="s">
        <v>9819</v>
      </c>
    </row>
    <row r="1063" customFormat="false" ht="35.05" hidden="false" customHeight="false" outlineLevel="0" collapsed="false">
      <c r="A1063" s="13" t="s">
        <v>4</v>
      </c>
      <c r="B1063" s="13" t="s">
        <v>4108</v>
      </c>
      <c r="C1063" s="13" t="n">
        <v>271</v>
      </c>
      <c r="D1063" s="13" t="s">
        <v>9823</v>
      </c>
      <c r="E1063" s="13" t="n">
        <v>1</v>
      </c>
      <c r="F1063" s="13" t="s">
        <v>15094</v>
      </c>
      <c r="G1063" s="13" t="s">
        <v>15095</v>
      </c>
      <c r="H1063" s="13" t="s">
        <v>9830</v>
      </c>
      <c r="I1063" s="13" t="s">
        <v>9831</v>
      </c>
    </row>
    <row r="1064" customFormat="false" ht="15" hidden="false" customHeight="false" outlineLevel="0" collapsed="false">
      <c r="A1064" s="13" t="s">
        <v>4</v>
      </c>
      <c r="B1064" s="13" t="s">
        <v>4108</v>
      </c>
      <c r="C1064" s="13" t="n">
        <v>271</v>
      </c>
      <c r="D1064" s="13" t="s">
        <v>9832</v>
      </c>
      <c r="E1064" s="13" t="n">
        <v>1</v>
      </c>
      <c r="F1064" s="13" t="s">
        <v>15094</v>
      </c>
      <c r="G1064" s="13" t="s">
        <v>15095</v>
      </c>
      <c r="H1064" s="13" t="s">
        <v>9837</v>
      </c>
      <c r="I1064" s="13" t="s">
        <v>9838</v>
      </c>
    </row>
    <row r="1065" customFormat="false" ht="15" hidden="false" customHeight="false" outlineLevel="0" collapsed="false">
      <c r="A1065" s="13" t="s">
        <v>4</v>
      </c>
      <c r="B1065" s="13" t="s">
        <v>4108</v>
      </c>
      <c r="C1065" s="13" t="n">
        <v>271</v>
      </c>
      <c r="D1065" s="13" t="s">
        <v>15300</v>
      </c>
      <c r="E1065" s="13" t="n">
        <v>0</v>
      </c>
      <c r="F1065" s="13" t="s">
        <v>15097</v>
      </c>
      <c r="G1065" s="13" t="s">
        <v>15095</v>
      </c>
      <c r="H1065" s="13" t="s">
        <v>15298</v>
      </c>
      <c r="I1065" s="13" t="s">
        <v>15299</v>
      </c>
    </row>
    <row r="1066" customFormat="false" ht="23.85" hidden="false" customHeight="false" outlineLevel="0" collapsed="false">
      <c r="A1066" s="13" t="s">
        <v>4</v>
      </c>
      <c r="B1066" s="13" t="s">
        <v>4108</v>
      </c>
      <c r="C1066" s="13" t="n">
        <v>271</v>
      </c>
      <c r="D1066" s="13" t="s">
        <v>9839</v>
      </c>
      <c r="E1066" s="13" t="n">
        <v>1</v>
      </c>
      <c r="F1066" s="13" t="s">
        <v>15094</v>
      </c>
      <c r="G1066" s="13" t="s">
        <v>15095</v>
      </c>
      <c r="H1066" s="13" t="s">
        <v>9842</v>
      </c>
      <c r="I1066" s="13" t="s">
        <v>9843</v>
      </c>
    </row>
    <row r="1067" customFormat="false" ht="46.25" hidden="false" customHeight="false" outlineLevel="0" collapsed="false">
      <c r="A1067" s="13" t="s">
        <v>4</v>
      </c>
      <c r="B1067" s="13" t="s">
        <v>4108</v>
      </c>
      <c r="C1067" s="13" t="n">
        <v>271</v>
      </c>
      <c r="D1067" s="13" t="s">
        <v>9844</v>
      </c>
      <c r="E1067" s="13" t="n">
        <v>2</v>
      </c>
      <c r="F1067" s="13" t="s">
        <v>15094</v>
      </c>
      <c r="G1067" s="13" t="s">
        <v>15095</v>
      </c>
      <c r="H1067" s="13" t="s">
        <v>9847</v>
      </c>
      <c r="I1067" s="13" t="s">
        <v>9848</v>
      </c>
    </row>
    <row r="1068" customFormat="false" ht="68.65" hidden="false" customHeight="false" outlineLevel="0" collapsed="false">
      <c r="A1068" s="13" t="s">
        <v>4</v>
      </c>
      <c r="B1068" s="13" t="s">
        <v>4108</v>
      </c>
      <c r="C1068" s="13" t="n">
        <v>321</v>
      </c>
      <c r="D1068" s="13" t="s">
        <v>9851</v>
      </c>
      <c r="E1068" s="13" t="n">
        <v>4</v>
      </c>
      <c r="F1068" s="13" t="s">
        <v>15094</v>
      </c>
      <c r="G1068" s="13" t="s">
        <v>15095</v>
      </c>
      <c r="H1068" s="13" t="s">
        <v>9856</v>
      </c>
      <c r="I1068" s="13" t="s">
        <v>9857</v>
      </c>
    </row>
    <row r="1069" customFormat="false" ht="68.65" hidden="false" customHeight="false" outlineLevel="0" collapsed="false">
      <c r="A1069" s="13" t="s">
        <v>4</v>
      </c>
      <c r="B1069" s="13" t="s">
        <v>4108</v>
      </c>
      <c r="C1069" s="13" t="n">
        <v>321</v>
      </c>
      <c r="D1069" s="13" t="s">
        <v>9864</v>
      </c>
      <c r="E1069" s="13" t="n">
        <v>4</v>
      </c>
      <c r="F1069" s="13" t="s">
        <v>15094</v>
      </c>
      <c r="G1069" s="13" t="s">
        <v>15095</v>
      </c>
      <c r="H1069" s="13" t="s">
        <v>9868</v>
      </c>
      <c r="I1069" s="13" t="s">
        <v>9869</v>
      </c>
    </row>
    <row r="1070" customFormat="false" ht="147" hidden="false" customHeight="false" outlineLevel="0" collapsed="false">
      <c r="A1070" s="13" t="s">
        <v>4</v>
      </c>
      <c r="B1070" s="13" t="s">
        <v>4108</v>
      </c>
      <c r="C1070" s="13" t="n">
        <v>321</v>
      </c>
      <c r="D1070" s="13" t="s">
        <v>9878</v>
      </c>
      <c r="E1070" s="13" t="n">
        <v>5</v>
      </c>
      <c r="F1070" s="13" t="s">
        <v>15094</v>
      </c>
      <c r="G1070" s="13" t="s">
        <v>15095</v>
      </c>
      <c r="H1070" s="13" t="s">
        <v>9881</v>
      </c>
      <c r="I1070" s="13" t="s">
        <v>9882</v>
      </c>
    </row>
    <row r="1071" customFormat="false" ht="102.2" hidden="false" customHeight="false" outlineLevel="0" collapsed="false">
      <c r="A1071" s="13" t="s">
        <v>4</v>
      </c>
      <c r="B1071" s="13" t="s">
        <v>4108</v>
      </c>
      <c r="C1071" s="13" t="n">
        <v>321</v>
      </c>
      <c r="D1071" s="13" t="s">
        <v>9890</v>
      </c>
      <c r="E1071" s="13" t="n">
        <v>5</v>
      </c>
      <c r="F1071" s="13" t="s">
        <v>15094</v>
      </c>
      <c r="G1071" s="13" t="s">
        <v>15095</v>
      </c>
      <c r="H1071" s="13" t="s">
        <v>9893</v>
      </c>
      <c r="I1071" s="13" t="s">
        <v>9894</v>
      </c>
    </row>
    <row r="1072" customFormat="false" ht="147" hidden="false" customHeight="false" outlineLevel="0" collapsed="false">
      <c r="A1072" s="13" t="s">
        <v>4</v>
      </c>
      <c r="B1072" s="13" t="s">
        <v>4108</v>
      </c>
      <c r="C1072" s="13" t="n">
        <v>323</v>
      </c>
      <c r="D1072" s="13" t="s">
        <v>9906</v>
      </c>
      <c r="E1072" s="13" t="n">
        <v>7</v>
      </c>
      <c r="F1072" s="13" t="s">
        <v>15094</v>
      </c>
      <c r="G1072" s="13" t="s">
        <v>15095</v>
      </c>
      <c r="H1072" s="13" t="s">
        <v>9909</v>
      </c>
      <c r="I1072" s="13" t="s">
        <v>9910</v>
      </c>
    </row>
    <row r="1073" customFormat="false" ht="91" hidden="false" customHeight="false" outlineLevel="0" collapsed="false">
      <c r="A1073" s="13" t="s">
        <v>4</v>
      </c>
      <c r="B1073" s="13" t="s">
        <v>4108</v>
      </c>
      <c r="C1073" s="13" t="n">
        <v>323</v>
      </c>
      <c r="D1073" s="13" t="s">
        <v>9922</v>
      </c>
      <c r="E1073" s="13" t="n">
        <v>4</v>
      </c>
      <c r="F1073" s="13" t="s">
        <v>15094</v>
      </c>
      <c r="G1073" s="13" t="s">
        <v>15095</v>
      </c>
      <c r="H1073" s="13" t="s">
        <v>9926</v>
      </c>
      <c r="I1073" s="13" t="s">
        <v>9927</v>
      </c>
    </row>
    <row r="1074" customFormat="false" ht="35.05" hidden="false" customHeight="false" outlineLevel="0" collapsed="false">
      <c r="A1074" s="13" t="s">
        <v>4</v>
      </c>
      <c r="B1074" s="13" t="s">
        <v>4108</v>
      </c>
      <c r="C1074" s="13" t="n">
        <v>323</v>
      </c>
      <c r="D1074" s="13" t="s">
        <v>9939</v>
      </c>
      <c r="E1074" s="13" t="n">
        <v>4</v>
      </c>
      <c r="F1074" s="13" t="s">
        <v>15094</v>
      </c>
      <c r="G1074" s="13" t="s">
        <v>15095</v>
      </c>
      <c r="H1074" s="13" t="s">
        <v>9944</v>
      </c>
      <c r="I1074" s="13" t="s">
        <v>9945</v>
      </c>
    </row>
    <row r="1075" customFormat="false" ht="124.6" hidden="false" customHeight="false" outlineLevel="0" collapsed="false">
      <c r="A1075" s="13" t="s">
        <v>4</v>
      </c>
      <c r="B1075" s="13" t="s">
        <v>4108</v>
      </c>
      <c r="C1075" s="13" t="n">
        <v>323</v>
      </c>
      <c r="D1075" s="13" t="s">
        <v>9955</v>
      </c>
      <c r="E1075" s="13" t="n">
        <v>5</v>
      </c>
      <c r="F1075" s="13" t="s">
        <v>15094</v>
      </c>
      <c r="G1075" s="13" t="s">
        <v>15095</v>
      </c>
      <c r="H1075" s="13" t="s">
        <v>9958</v>
      </c>
      <c r="I1075" s="13" t="s">
        <v>9959</v>
      </c>
    </row>
    <row r="1076" customFormat="false" ht="79.85" hidden="false" customHeight="false" outlineLevel="0" collapsed="false">
      <c r="A1076" s="13" t="s">
        <v>4</v>
      </c>
      <c r="B1076" s="13" t="s">
        <v>4108</v>
      </c>
      <c r="C1076" s="13" t="n">
        <v>323</v>
      </c>
      <c r="D1076" s="13" t="s">
        <v>9970</v>
      </c>
      <c r="E1076" s="13" t="n">
        <v>4</v>
      </c>
      <c r="F1076" s="13" t="s">
        <v>15094</v>
      </c>
      <c r="G1076" s="13" t="s">
        <v>15095</v>
      </c>
      <c r="H1076" s="13" t="s">
        <v>9973</v>
      </c>
      <c r="I1076" s="13" t="s">
        <v>9974</v>
      </c>
    </row>
    <row r="1077" customFormat="false" ht="23.85" hidden="false" customHeight="false" outlineLevel="0" collapsed="false">
      <c r="A1077" s="13" t="s">
        <v>4</v>
      </c>
      <c r="B1077" s="13" t="s">
        <v>4108</v>
      </c>
      <c r="C1077" s="13" t="n">
        <v>327</v>
      </c>
      <c r="D1077" s="13" t="s">
        <v>9984</v>
      </c>
      <c r="E1077" s="13" t="n">
        <v>3</v>
      </c>
      <c r="F1077" s="13" t="s">
        <v>15094</v>
      </c>
      <c r="G1077" s="13" t="s">
        <v>15095</v>
      </c>
      <c r="H1077" s="13" t="s">
        <v>9987</v>
      </c>
      <c r="I1077" s="13" t="s">
        <v>9988</v>
      </c>
    </row>
    <row r="1078" customFormat="false" ht="35.05" hidden="false" customHeight="false" outlineLevel="0" collapsed="false">
      <c r="A1078" s="13" t="s">
        <v>4</v>
      </c>
      <c r="B1078" s="13" t="s">
        <v>4108</v>
      </c>
      <c r="C1078" s="13" t="n">
        <v>327</v>
      </c>
      <c r="D1078" s="13" t="s">
        <v>9994</v>
      </c>
      <c r="E1078" s="13" t="n">
        <v>3</v>
      </c>
      <c r="F1078" s="13" t="s">
        <v>15094</v>
      </c>
      <c r="G1078" s="13" t="s">
        <v>15095</v>
      </c>
      <c r="H1078" s="13" t="s">
        <v>9996</v>
      </c>
      <c r="I1078" s="13" t="s">
        <v>9997</v>
      </c>
    </row>
    <row r="1079" customFormat="false" ht="35.05" hidden="false" customHeight="false" outlineLevel="0" collapsed="false">
      <c r="A1079" s="13" t="s">
        <v>4</v>
      </c>
      <c r="B1079" s="13" t="s">
        <v>4108</v>
      </c>
      <c r="C1079" s="13" t="n">
        <v>327</v>
      </c>
      <c r="D1079" s="13" t="s">
        <v>10001</v>
      </c>
      <c r="E1079" s="13" t="n">
        <v>2</v>
      </c>
      <c r="F1079" s="13" t="s">
        <v>15094</v>
      </c>
      <c r="G1079" s="13" t="s">
        <v>15095</v>
      </c>
      <c r="H1079" s="13" t="s">
        <v>10004</v>
      </c>
      <c r="I1079" s="13" t="s">
        <v>10005</v>
      </c>
    </row>
    <row r="1080" customFormat="false" ht="35.05" hidden="false" customHeight="false" outlineLevel="0" collapsed="false">
      <c r="A1080" s="13" t="s">
        <v>4</v>
      </c>
      <c r="B1080" s="13" t="s">
        <v>4108</v>
      </c>
      <c r="C1080" s="13" t="n">
        <v>327</v>
      </c>
      <c r="D1080" s="13" t="s">
        <v>10008</v>
      </c>
      <c r="E1080" s="13" t="n">
        <v>4</v>
      </c>
      <c r="F1080" s="13" t="s">
        <v>15094</v>
      </c>
      <c r="G1080" s="13" t="s">
        <v>15095</v>
      </c>
      <c r="H1080" s="13" t="s">
        <v>10011</v>
      </c>
      <c r="I1080" s="13" t="s">
        <v>10012</v>
      </c>
    </row>
    <row r="1081" customFormat="false" ht="68.65" hidden="false" customHeight="false" outlineLevel="0" collapsed="false">
      <c r="A1081" s="13" t="s">
        <v>4</v>
      </c>
      <c r="B1081" s="13" t="s">
        <v>4108</v>
      </c>
      <c r="C1081" s="13" t="n">
        <v>327</v>
      </c>
      <c r="D1081" s="13" t="s">
        <v>10018</v>
      </c>
      <c r="E1081" s="13" t="n">
        <v>5</v>
      </c>
      <c r="F1081" s="13" t="s">
        <v>15094</v>
      </c>
      <c r="G1081" s="13" t="s">
        <v>15095</v>
      </c>
      <c r="H1081" s="13" t="s">
        <v>10021</v>
      </c>
      <c r="I1081" s="13" t="s">
        <v>10022</v>
      </c>
    </row>
    <row r="1082" customFormat="false" ht="46.25" hidden="false" customHeight="false" outlineLevel="0" collapsed="false">
      <c r="A1082" s="13" t="s">
        <v>4</v>
      </c>
      <c r="B1082" s="13" t="s">
        <v>4108</v>
      </c>
      <c r="C1082" s="13" t="n">
        <v>327</v>
      </c>
      <c r="D1082" s="13" t="s">
        <v>10030</v>
      </c>
      <c r="E1082" s="13" t="n">
        <v>3</v>
      </c>
      <c r="F1082" s="13" t="s">
        <v>15094</v>
      </c>
      <c r="G1082" s="13" t="s">
        <v>15095</v>
      </c>
      <c r="H1082" s="13" t="s">
        <v>10033</v>
      </c>
      <c r="I1082" s="13" t="s">
        <v>10034</v>
      </c>
    </row>
    <row r="1083" customFormat="false" ht="23.85" hidden="false" customHeight="false" outlineLevel="0" collapsed="false">
      <c r="A1083" s="13" t="s">
        <v>4</v>
      </c>
      <c r="B1083" s="13" t="s">
        <v>4108</v>
      </c>
      <c r="C1083" s="13" t="n">
        <v>327</v>
      </c>
      <c r="D1083" s="13" t="s">
        <v>10039</v>
      </c>
      <c r="E1083" s="13" t="n">
        <v>2</v>
      </c>
      <c r="F1083" s="13" t="s">
        <v>15094</v>
      </c>
      <c r="G1083" s="13" t="s">
        <v>15095</v>
      </c>
      <c r="H1083" s="13" t="s">
        <v>10043</v>
      </c>
      <c r="I1083" s="13" t="s">
        <v>10044</v>
      </c>
    </row>
    <row r="1084" customFormat="false" ht="15" hidden="false" customHeight="false" outlineLevel="0" collapsed="false">
      <c r="A1084" s="13" t="s">
        <v>4</v>
      </c>
      <c r="B1084" s="13" t="s">
        <v>4108</v>
      </c>
      <c r="C1084" s="13" t="n">
        <v>327</v>
      </c>
      <c r="D1084" s="13" t="s">
        <v>10048</v>
      </c>
      <c r="E1084" s="13" t="n">
        <v>2</v>
      </c>
      <c r="F1084" s="13" t="s">
        <v>15094</v>
      </c>
      <c r="G1084" s="13" t="s">
        <v>15095</v>
      </c>
      <c r="H1084" s="13" t="s">
        <v>10051</v>
      </c>
      <c r="I1084" s="13" t="s">
        <v>10052</v>
      </c>
    </row>
    <row r="1085" customFormat="false" ht="23.85" hidden="false" customHeight="false" outlineLevel="0" collapsed="false">
      <c r="A1085" s="13" t="s">
        <v>4</v>
      </c>
      <c r="B1085" s="13" t="s">
        <v>4108</v>
      </c>
      <c r="C1085" s="13" t="n">
        <v>327</v>
      </c>
      <c r="D1085" s="13" t="s">
        <v>10055</v>
      </c>
      <c r="E1085" s="13" t="n">
        <v>4</v>
      </c>
      <c r="F1085" s="13" t="s">
        <v>15094</v>
      </c>
      <c r="G1085" s="13" t="s">
        <v>15095</v>
      </c>
      <c r="H1085" s="13" t="s">
        <v>10059</v>
      </c>
      <c r="I1085" s="13" t="s">
        <v>10060</v>
      </c>
    </row>
    <row r="1086" customFormat="false" ht="35.05" hidden="false" customHeight="false" outlineLevel="0" collapsed="false">
      <c r="A1086" s="13" t="s">
        <v>4</v>
      </c>
      <c r="B1086" s="13" t="s">
        <v>4108</v>
      </c>
      <c r="C1086" s="13" t="n">
        <v>327</v>
      </c>
      <c r="D1086" s="13" t="s">
        <v>10067</v>
      </c>
      <c r="E1086" s="13" t="n">
        <v>1</v>
      </c>
      <c r="F1086" s="13" t="s">
        <v>15094</v>
      </c>
      <c r="G1086" s="13" t="s">
        <v>15095</v>
      </c>
      <c r="H1086" s="13" t="s">
        <v>10070</v>
      </c>
      <c r="I1086" s="13" t="s">
        <v>10071</v>
      </c>
    </row>
    <row r="1087" customFormat="false" ht="46.25" hidden="false" customHeight="false" outlineLevel="0" collapsed="false">
      <c r="A1087" s="13" t="s">
        <v>4</v>
      </c>
      <c r="B1087" s="13" t="s">
        <v>4108</v>
      </c>
      <c r="C1087" s="13" t="n">
        <v>327</v>
      </c>
      <c r="D1087" s="13" t="s">
        <v>10072</v>
      </c>
      <c r="E1087" s="13" t="n">
        <v>2</v>
      </c>
      <c r="F1087" s="13" t="s">
        <v>15094</v>
      </c>
      <c r="G1087" s="13" t="s">
        <v>15095</v>
      </c>
      <c r="H1087" s="13" t="s">
        <v>10076</v>
      </c>
      <c r="I1087" s="13" t="s">
        <v>10077</v>
      </c>
    </row>
    <row r="1088" customFormat="false" ht="35.05" hidden="false" customHeight="false" outlineLevel="0" collapsed="false">
      <c r="A1088" s="13" t="s">
        <v>4</v>
      </c>
      <c r="B1088" s="13" t="s">
        <v>4108</v>
      </c>
      <c r="C1088" s="13" t="n">
        <v>327</v>
      </c>
      <c r="D1088" s="13" t="s">
        <v>10081</v>
      </c>
      <c r="E1088" s="13" t="n">
        <v>2</v>
      </c>
      <c r="F1088" s="13" t="s">
        <v>15094</v>
      </c>
      <c r="G1088" s="13" t="s">
        <v>15095</v>
      </c>
      <c r="H1088" s="13" t="s">
        <v>10085</v>
      </c>
      <c r="I1088" s="13" t="s">
        <v>10086</v>
      </c>
    </row>
    <row r="1089" customFormat="false" ht="57.45" hidden="false" customHeight="false" outlineLevel="0" collapsed="false">
      <c r="A1089" s="13" t="s">
        <v>4</v>
      </c>
      <c r="B1089" s="13" t="s">
        <v>4108</v>
      </c>
      <c r="C1089" s="13" t="n">
        <v>327</v>
      </c>
      <c r="D1089" s="13" t="s">
        <v>10089</v>
      </c>
      <c r="E1089" s="13" t="n">
        <v>3</v>
      </c>
      <c r="F1089" s="13" t="s">
        <v>15094</v>
      </c>
      <c r="G1089" s="13" t="s">
        <v>15095</v>
      </c>
      <c r="H1089" s="13" t="s">
        <v>10092</v>
      </c>
      <c r="I1089" s="13" t="s">
        <v>10093</v>
      </c>
    </row>
    <row r="1090" customFormat="false" ht="15" hidden="false" customHeight="false" outlineLevel="0" collapsed="false">
      <c r="A1090" s="13" t="s">
        <v>4</v>
      </c>
      <c r="B1090" s="13" t="s">
        <v>4108</v>
      </c>
      <c r="C1090" s="13" t="n">
        <v>327</v>
      </c>
      <c r="D1090" s="13" t="s">
        <v>10098</v>
      </c>
      <c r="E1090" s="13" t="n">
        <v>2</v>
      </c>
      <c r="F1090" s="13" t="s">
        <v>15094</v>
      </c>
      <c r="G1090" s="13" t="s">
        <v>15095</v>
      </c>
      <c r="H1090" s="13" t="s">
        <v>10101</v>
      </c>
      <c r="I1090" s="13" t="s">
        <v>10102</v>
      </c>
    </row>
    <row r="1091" customFormat="false" ht="35.05" hidden="false" customHeight="false" outlineLevel="0" collapsed="false">
      <c r="A1091" s="13" t="s">
        <v>4</v>
      </c>
      <c r="B1091" s="13" t="s">
        <v>4108</v>
      </c>
      <c r="C1091" s="13" t="n">
        <v>329</v>
      </c>
      <c r="D1091" s="13" t="s">
        <v>10105</v>
      </c>
      <c r="E1091" s="13" t="n">
        <v>1</v>
      </c>
      <c r="F1091" s="13" t="s">
        <v>15094</v>
      </c>
      <c r="G1091" s="13" t="s">
        <v>15095</v>
      </c>
      <c r="H1091" s="13" t="s">
        <v>10109</v>
      </c>
      <c r="I1091" s="13" t="s">
        <v>10110</v>
      </c>
    </row>
    <row r="1092" customFormat="false" ht="23.85" hidden="false" customHeight="false" outlineLevel="0" collapsed="false">
      <c r="A1092" s="13" t="s">
        <v>4</v>
      </c>
      <c r="B1092" s="13" t="s">
        <v>4108</v>
      </c>
      <c r="C1092" s="13" t="n">
        <v>329</v>
      </c>
      <c r="D1092" s="13" t="s">
        <v>10111</v>
      </c>
      <c r="E1092" s="13" t="n">
        <v>2</v>
      </c>
      <c r="F1092" s="13" t="s">
        <v>15094</v>
      </c>
      <c r="G1092" s="13" t="s">
        <v>15095</v>
      </c>
      <c r="H1092" s="13" t="s">
        <v>10115</v>
      </c>
      <c r="I1092" s="13" t="s">
        <v>10116</v>
      </c>
    </row>
    <row r="1093" customFormat="false" ht="46.25" hidden="false" customHeight="false" outlineLevel="0" collapsed="false">
      <c r="A1093" s="13" t="s">
        <v>4</v>
      </c>
      <c r="B1093" s="13" t="s">
        <v>4108</v>
      </c>
      <c r="C1093" s="13" t="n">
        <v>329</v>
      </c>
      <c r="D1093" s="13" t="s">
        <v>10120</v>
      </c>
      <c r="E1093" s="13" t="n">
        <v>1</v>
      </c>
      <c r="F1093" s="13" t="s">
        <v>15094</v>
      </c>
      <c r="G1093" s="13" t="s">
        <v>15095</v>
      </c>
      <c r="H1093" s="13" t="s">
        <v>10127</v>
      </c>
      <c r="I1093" s="13" t="s">
        <v>10128</v>
      </c>
    </row>
    <row r="1094" customFormat="false" ht="57.45" hidden="false" customHeight="false" outlineLevel="0" collapsed="false">
      <c r="A1094" s="13" t="s">
        <v>4</v>
      </c>
      <c r="B1094" s="13" t="s">
        <v>4108</v>
      </c>
      <c r="C1094" s="13" t="n">
        <v>329</v>
      </c>
      <c r="D1094" s="13" t="s">
        <v>10129</v>
      </c>
      <c r="E1094" s="13" t="n">
        <v>2</v>
      </c>
      <c r="F1094" s="13" t="s">
        <v>15094</v>
      </c>
      <c r="G1094" s="13" t="s">
        <v>15095</v>
      </c>
      <c r="H1094" s="13" t="s">
        <v>10133</v>
      </c>
      <c r="I1094" s="13" t="s">
        <v>10134</v>
      </c>
    </row>
    <row r="1095" customFormat="false" ht="46.25" hidden="false" customHeight="false" outlineLevel="0" collapsed="false">
      <c r="A1095" s="13" t="s">
        <v>4</v>
      </c>
      <c r="B1095" s="13" t="s">
        <v>4108</v>
      </c>
      <c r="C1095" s="13" t="n">
        <v>329</v>
      </c>
      <c r="D1095" s="13" t="s">
        <v>10138</v>
      </c>
      <c r="E1095" s="13" t="n">
        <v>1</v>
      </c>
      <c r="F1095" s="13" t="s">
        <v>15094</v>
      </c>
      <c r="G1095" s="13" t="s">
        <v>15095</v>
      </c>
      <c r="H1095" s="13" t="s">
        <v>10142</v>
      </c>
      <c r="I1095" s="13" t="s">
        <v>10143</v>
      </c>
    </row>
    <row r="1096" customFormat="false" ht="57.45" hidden="false" customHeight="false" outlineLevel="0" collapsed="false">
      <c r="A1096" s="13" t="s">
        <v>4</v>
      </c>
      <c r="B1096" s="13" t="s">
        <v>4108</v>
      </c>
      <c r="C1096" s="13" t="n">
        <v>329</v>
      </c>
      <c r="D1096" s="13" t="s">
        <v>10144</v>
      </c>
      <c r="E1096" s="13" t="n">
        <v>2</v>
      </c>
      <c r="F1096" s="13" t="s">
        <v>15094</v>
      </c>
      <c r="G1096" s="13" t="s">
        <v>15095</v>
      </c>
      <c r="H1096" s="13" t="s">
        <v>10150</v>
      </c>
      <c r="I1096" s="13" t="s">
        <v>10151</v>
      </c>
    </row>
    <row r="1097" customFormat="false" ht="79.85" hidden="false" customHeight="false" outlineLevel="0" collapsed="false">
      <c r="A1097" s="13" t="s">
        <v>4</v>
      </c>
      <c r="B1097" s="13" t="s">
        <v>4108</v>
      </c>
      <c r="C1097" s="13" t="n">
        <v>329</v>
      </c>
      <c r="D1097" s="13" t="s">
        <v>10154</v>
      </c>
      <c r="E1097" s="13" t="n">
        <v>3</v>
      </c>
      <c r="F1097" s="13" t="s">
        <v>15094</v>
      </c>
      <c r="G1097" s="13" t="s">
        <v>15095</v>
      </c>
      <c r="H1097" s="13" t="s">
        <v>10160</v>
      </c>
      <c r="I1097" s="13" t="s">
        <v>10161</v>
      </c>
    </row>
    <row r="1098" customFormat="false" ht="15" hidden="false" customHeight="false" outlineLevel="0" collapsed="false">
      <c r="A1098" s="13" t="s">
        <v>4</v>
      </c>
      <c r="B1098" s="13" t="s">
        <v>4108</v>
      </c>
      <c r="C1098" s="13" t="n">
        <v>329</v>
      </c>
      <c r="D1098" s="13" t="s">
        <v>15301</v>
      </c>
      <c r="E1098" s="13" t="n">
        <v>0</v>
      </c>
      <c r="F1098" s="13" t="s">
        <v>15097</v>
      </c>
      <c r="G1098" s="13" t="s">
        <v>15095</v>
      </c>
      <c r="H1098" s="13" t="s">
        <v>15302</v>
      </c>
      <c r="I1098" s="13" t="s">
        <v>15299</v>
      </c>
    </row>
    <row r="1099" customFormat="false" ht="35.05" hidden="false" customHeight="false" outlineLevel="0" collapsed="false">
      <c r="A1099" s="13" t="s">
        <v>4</v>
      </c>
      <c r="B1099" s="13" t="s">
        <v>4108</v>
      </c>
      <c r="C1099" s="13" t="n">
        <v>329</v>
      </c>
      <c r="D1099" s="13" t="s">
        <v>10167</v>
      </c>
      <c r="E1099" s="13" t="n">
        <v>2</v>
      </c>
      <c r="F1099" s="13" t="s">
        <v>15094</v>
      </c>
      <c r="G1099" s="13" t="s">
        <v>15095</v>
      </c>
      <c r="H1099" s="13" t="s">
        <v>10171</v>
      </c>
      <c r="I1099" s="13" t="s">
        <v>10172</v>
      </c>
    </row>
    <row r="1100" customFormat="false" ht="15" hidden="false" customHeight="false" outlineLevel="0" collapsed="false">
      <c r="A1100" s="13" t="s">
        <v>4</v>
      </c>
      <c r="B1100" s="13" t="s">
        <v>4108</v>
      </c>
      <c r="C1100" s="13" t="n">
        <v>329</v>
      </c>
      <c r="D1100" s="13" t="s">
        <v>10175</v>
      </c>
      <c r="E1100" s="13" t="n">
        <v>1</v>
      </c>
      <c r="F1100" s="13" t="s">
        <v>15094</v>
      </c>
      <c r="G1100" s="13" t="s">
        <v>15095</v>
      </c>
      <c r="H1100" s="13" t="s">
        <v>10179</v>
      </c>
      <c r="I1100" s="13" t="s">
        <v>10180</v>
      </c>
    </row>
    <row r="1101" customFormat="false" ht="46.25" hidden="false" customHeight="false" outlineLevel="0" collapsed="false">
      <c r="A1101" s="13" t="s">
        <v>4</v>
      </c>
      <c r="B1101" s="13" t="s">
        <v>4108</v>
      </c>
      <c r="C1101" s="13" t="n">
        <v>329</v>
      </c>
      <c r="D1101" s="13" t="s">
        <v>10181</v>
      </c>
      <c r="E1101" s="13" t="n">
        <v>1</v>
      </c>
      <c r="F1101" s="13" t="s">
        <v>15094</v>
      </c>
      <c r="G1101" s="13" t="s">
        <v>15095</v>
      </c>
      <c r="H1101" s="13" t="s">
        <v>10185</v>
      </c>
      <c r="I1101" s="13" t="s">
        <v>10186</v>
      </c>
    </row>
    <row r="1102" customFormat="false" ht="23.85" hidden="false" customHeight="false" outlineLevel="0" collapsed="false">
      <c r="A1102" s="13" t="s">
        <v>4</v>
      </c>
      <c r="B1102" s="13" t="s">
        <v>4108</v>
      </c>
      <c r="C1102" s="13" t="n">
        <v>329</v>
      </c>
      <c r="D1102" s="13" t="s">
        <v>10187</v>
      </c>
      <c r="E1102" s="13" t="n">
        <v>1</v>
      </c>
      <c r="F1102" s="13" t="s">
        <v>15094</v>
      </c>
      <c r="G1102" s="13" t="s">
        <v>15095</v>
      </c>
      <c r="H1102" s="13" t="s">
        <v>10190</v>
      </c>
      <c r="I1102" s="13" t="s">
        <v>10191</v>
      </c>
    </row>
    <row r="1103" customFormat="false" ht="46.25" hidden="false" customHeight="false" outlineLevel="0" collapsed="false">
      <c r="A1103" s="13" t="s">
        <v>4</v>
      </c>
      <c r="B1103" s="13" t="s">
        <v>4108</v>
      </c>
      <c r="C1103" s="13" t="n">
        <v>339</v>
      </c>
      <c r="D1103" s="13" t="s">
        <v>10192</v>
      </c>
      <c r="E1103" s="13" t="n">
        <v>4</v>
      </c>
      <c r="F1103" s="13" t="s">
        <v>15094</v>
      </c>
      <c r="G1103" s="13" t="s">
        <v>15095</v>
      </c>
      <c r="H1103" s="13" t="s">
        <v>10196</v>
      </c>
      <c r="I1103" s="13" t="s">
        <v>10197</v>
      </c>
    </row>
    <row r="1104" customFormat="false" ht="35.05" hidden="false" customHeight="false" outlineLevel="0" collapsed="false">
      <c r="A1104" s="13" t="s">
        <v>4</v>
      </c>
      <c r="B1104" s="13" t="s">
        <v>4108</v>
      </c>
      <c r="C1104" s="13" t="n">
        <v>339</v>
      </c>
      <c r="D1104" s="13" t="s">
        <v>10204</v>
      </c>
      <c r="E1104" s="13" t="n">
        <v>3</v>
      </c>
      <c r="F1104" s="13" t="s">
        <v>15094</v>
      </c>
      <c r="G1104" s="13" t="s">
        <v>15095</v>
      </c>
      <c r="H1104" s="13" t="s">
        <v>10207</v>
      </c>
      <c r="I1104" s="13" t="s">
        <v>10208</v>
      </c>
    </row>
    <row r="1105" customFormat="false" ht="35.05" hidden="false" customHeight="false" outlineLevel="0" collapsed="false">
      <c r="A1105" s="13" t="s">
        <v>4</v>
      </c>
      <c r="B1105" s="13" t="s">
        <v>4108</v>
      </c>
      <c r="C1105" s="13" t="n">
        <v>339</v>
      </c>
      <c r="D1105" s="13" t="s">
        <v>10214</v>
      </c>
      <c r="E1105" s="13" t="n">
        <v>2</v>
      </c>
      <c r="F1105" s="13" t="s">
        <v>15094</v>
      </c>
      <c r="G1105" s="13" t="s">
        <v>15095</v>
      </c>
      <c r="H1105" s="13" t="s">
        <v>10218</v>
      </c>
      <c r="I1105" s="13" t="s">
        <v>10219</v>
      </c>
    </row>
    <row r="1106" customFormat="false" ht="46.25" hidden="false" customHeight="false" outlineLevel="0" collapsed="false">
      <c r="A1106" s="13" t="s">
        <v>4</v>
      </c>
      <c r="B1106" s="13" t="s">
        <v>4108</v>
      </c>
      <c r="C1106" s="13" t="n">
        <v>339</v>
      </c>
      <c r="D1106" s="13" t="s">
        <v>10224</v>
      </c>
      <c r="E1106" s="13" t="n">
        <v>3</v>
      </c>
      <c r="F1106" s="13" t="s">
        <v>15094</v>
      </c>
      <c r="G1106" s="13" t="s">
        <v>15095</v>
      </c>
      <c r="H1106" s="13" t="s">
        <v>10228</v>
      </c>
      <c r="I1106" s="13" t="s">
        <v>10229</v>
      </c>
    </row>
    <row r="1107" customFormat="false" ht="23.85" hidden="false" customHeight="false" outlineLevel="0" collapsed="false">
      <c r="A1107" s="13" t="s">
        <v>4</v>
      </c>
      <c r="B1107" s="13" t="s">
        <v>4108</v>
      </c>
      <c r="C1107" s="13" t="n">
        <v>339</v>
      </c>
      <c r="D1107" s="13" t="s">
        <v>10235</v>
      </c>
      <c r="E1107" s="13" t="n">
        <v>1</v>
      </c>
      <c r="F1107" s="13" t="s">
        <v>15094</v>
      </c>
      <c r="G1107" s="13" t="s">
        <v>15095</v>
      </c>
      <c r="H1107" s="13" t="s">
        <v>10239</v>
      </c>
      <c r="I1107" s="13" t="s">
        <v>10240</v>
      </c>
    </row>
    <row r="1108" customFormat="false" ht="23.85" hidden="false" customHeight="false" outlineLevel="0" collapsed="false">
      <c r="A1108" s="13" t="s">
        <v>4</v>
      </c>
      <c r="B1108" s="13" t="s">
        <v>4108</v>
      </c>
      <c r="C1108" s="13" t="n">
        <v>339</v>
      </c>
      <c r="D1108" s="13" t="s">
        <v>10241</v>
      </c>
      <c r="E1108" s="13" t="n">
        <v>1</v>
      </c>
      <c r="F1108" s="13" t="s">
        <v>15094</v>
      </c>
      <c r="G1108" s="13" t="s">
        <v>15095</v>
      </c>
      <c r="H1108" s="13" t="s">
        <v>10245</v>
      </c>
      <c r="I1108" s="13" t="s">
        <v>10246</v>
      </c>
    </row>
    <row r="1109" customFormat="false" ht="124.6" hidden="false" customHeight="false" outlineLevel="0" collapsed="false">
      <c r="A1109" s="13" t="s">
        <v>4</v>
      </c>
      <c r="B1109" s="13" t="s">
        <v>4108</v>
      </c>
      <c r="C1109" s="13" t="n">
        <v>339</v>
      </c>
      <c r="D1109" s="13" t="s">
        <v>10247</v>
      </c>
      <c r="E1109" s="13" t="n">
        <v>3</v>
      </c>
      <c r="F1109" s="13" t="s">
        <v>15094</v>
      </c>
      <c r="G1109" s="13" t="s">
        <v>15095</v>
      </c>
      <c r="H1109" s="13" t="s">
        <v>10250</v>
      </c>
      <c r="I1109" s="13" t="s">
        <v>10251</v>
      </c>
    </row>
    <row r="1110" customFormat="false" ht="191.75" hidden="false" customHeight="false" outlineLevel="0" collapsed="false">
      <c r="A1110" s="13" t="s">
        <v>4</v>
      </c>
      <c r="B1110" s="13" t="s">
        <v>4108</v>
      </c>
      <c r="C1110" s="13" t="n">
        <v>339</v>
      </c>
      <c r="D1110" s="13" t="s">
        <v>10260</v>
      </c>
      <c r="E1110" s="13" t="n">
        <v>8</v>
      </c>
      <c r="F1110" s="13" t="s">
        <v>15094</v>
      </c>
      <c r="G1110" s="13" t="s">
        <v>15095</v>
      </c>
      <c r="H1110" s="13" t="s">
        <v>10264</v>
      </c>
      <c r="I1110" s="13" t="s">
        <v>10265</v>
      </c>
    </row>
    <row r="1111" customFormat="false" ht="23.85" hidden="false" customHeight="false" outlineLevel="0" collapsed="false">
      <c r="A1111" s="13" t="s">
        <v>4</v>
      </c>
      <c r="B1111" s="13" t="s">
        <v>4108</v>
      </c>
      <c r="C1111" s="13" t="n">
        <v>366</v>
      </c>
      <c r="D1111" s="13" t="s">
        <v>10286</v>
      </c>
      <c r="E1111" s="13" t="n">
        <v>1</v>
      </c>
      <c r="F1111" s="13" t="s">
        <v>15094</v>
      </c>
      <c r="G1111" s="13" t="s">
        <v>15095</v>
      </c>
      <c r="H1111" s="13" t="s">
        <v>10290</v>
      </c>
      <c r="I1111" s="13" t="s">
        <v>10291</v>
      </c>
    </row>
    <row r="1112" customFormat="false" ht="91" hidden="false" customHeight="false" outlineLevel="0" collapsed="false">
      <c r="A1112" s="13" t="s">
        <v>4</v>
      </c>
      <c r="B1112" s="13" t="s">
        <v>4108</v>
      </c>
      <c r="C1112" s="13" t="n">
        <v>366</v>
      </c>
      <c r="D1112" s="13" t="s">
        <v>10292</v>
      </c>
      <c r="E1112" s="13" t="n">
        <v>2</v>
      </c>
      <c r="F1112" s="13" t="s">
        <v>15094</v>
      </c>
      <c r="G1112" s="13" t="s">
        <v>15095</v>
      </c>
      <c r="H1112" s="13" t="s">
        <v>10296</v>
      </c>
      <c r="I1112" s="13" t="s">
        <v>10297</v>
      </c>
    </row>
    <row r="1113" customFormat="false" ht="35.05" hidden="false" customHeight="false" outlineLevel="0" collapsed="false">
      <c r="A1113" s="13" t="s">
        <v>4</v>
      </c>
      <c r="B1113" s="13" t="s">
        <v>4108</v>
      </c>
      <c r="C1113" s="13" t="n">
        <v>366</v>
      </c>
      <c r="D1113" s="13" t="s">
        <v>10301</v>
      </c>
      <c r="E1113" s="13" t="n">
        <v>2</v>
      </c>
      <c r="F1113" s="13" t="s">
        <v>15094</v>
      </c>
      <c r="G1113" s="13" t="s">
        <v>15095</v>
      </c>
      <c r="H1113" s="13" t="s">
        <v>10305</v>
      </c>
      <c r="I1113" s="13" t="s">
        <v>10306</v>
      </c>
    </row>
    <row r="1114" customFormat="false" ht="68.65" hidden="false" customHeight="false" outlineLevel="0" collapsed="false">
      <c r="A1114" s="13" t="s">
        <v>4</v>
      </c>
      <c r="B1114" s="13" t="s">
        <v>4108</v>
      </c>
      <c r="C1114" s="13" t="n">
        <v>366</v>
      </c>
      <c r="D1114" s="13" t="s">
        <v>10309</v>
      </c>
      <c r="E1114" s="13" t="n">
        <v>2</v>
      </c>
      <c r="F1114" s="13" t="s">
        <v>15094</v>
      </c>
      <c r="G1114" s="13" t="s">
        <v>15095</v>
      </c>
      <c r="H1114" s="13" t="s">
        <v>10315</v>
      </c>
      <c r="I1114" s="13" t="s">
        <v>10316</v>
      </c>
    </row>
    <row r="1115" customFormat="false" ht="102.2" hidden="false" customHeight="false" outlineLevel="0" collapsed="false">
      <c r="A1115" s="13" t="s">
        <v>4</v>
      </c>
      <c r="B1115" s="13" t="s">
        <v>4108</v>
      </c>
      <c r="C1115" s="13" t="n">
        <v>366</v>
      </c>
      <c r="D1115" s="13" t="s">
        <v>10319</v>
      </c>
      <c r="E1115" s="13" t="n">
        <v>8</v>
      </c>
      <c r="F1115" s="13" t="s">
        <v>15094</v>
      </c>
      <c r="G1115" s="13" t="s">
        <v>15095</v>
      </c>
      <c r="H1115" s="13" t="s">
        <v>10322</v>
      </c>
      <c r="I1115" s="13" t="s">
        <v>10323</v>
      </c>
    </row>
    <row r="1116" customFormat="false" ht="35.05" hidden="false" customHeight="false" outlineLevel="0" collapsed="false">
      <c r="A1116" s="13" t="s">
        <v>4</v>
      </c>
      <c r="B1116" s="13" t="s">
        <v>4108</v>
      </c>
      <c r="C1116" s="13" t="n">
        <v>366</v>
      </c>
      <c r="D1116" s="13" t="s">
        <v>10347</v>
      </c>
      <c r="E1116" s="13" t="n">
        <v>2</v>
      </c>
      <c r="F1116" s="13" t="s">
        <v>15094</v>
      </c>
      <c r="G1116" s="13" t="s">
        <v>15095</v>
      </c>
      <c r="H1116" s="13" t="s">
        <v>10350</v>
      </c>
      <c r="I1116" s="13" t="s">
        <v>10351</v>
      </c>
    </row>
    <row r="1117" customFormat="false" ht="35.05" hidden="false" customHeight="false" outlineLevel="0" collapsed="false">
      <c r="A1117" s="13" t="s">
        <v>4</v>
      </c>
      <c r="B1117" s="13" t="s">
        <v>4108</v>
      </c>
      <c r="C1117" s="13" t="n">
        <v>366</v>
      </c>
      <c r="D1117" s="13" t="s">
        <v>10356</v>
      </c>
      <c r="E1117" s="13" t="n">
        <v>1</v>
      </c>
      <c r="F1117" s="13" t="s">
        <v>15094</v>
      </c>
      <c r="G1117" s="13" t="s">
        <v>15095</v>
      </c>
      <c r="H1117" s="13" t="s">
        <v>10360</v>
      </c>
      <c r="I1117" s="13" t="s">
        <v>10361</v>
      </c>
    </row>
    <row r="1118" customFormat="false" ht="236.55" hidden="false" customHeight="false" outlineLevel="0" collapsed="false">
      <c r="A1118" s="13" t="s">
        <v>4</v>
      </c>
      <c r="B1118" s="13" t="s">
        <v>4108</v>
      </c>
      <c r="C1118" s="13" t="n">
        <v>366</v>
      </c>
      <c r="D1118" s="13" t="s">
        <v>10362</v>
      </c>
      <c r="E1118" s="13" t="n">
        <v>4</v>
      </c>
      <c r="F1118" s="13" t="s">
        <v>15094</v>
      </c>
      <c r="G1118" s="13" t="s">
        <v>15095</v>
      </c>
      <c r="H1118" s="13" t="s">
        <v>10366</v>
      </c>
      <c r="I1118" s="13" t="s">
        <v>10367</v>
      </c>
    </row>
    <row r="1119" customFormat="false" ht="135.8" hidden="false" customHeight="false" outlineLevel="0" collapsed="false">
      <c r="A1119" s="13" t="s">
        <v>4</v>
      </c>
      <c r="B1119" s="13" t="s">
        <v>4108</v>
      </c>
      <c r="C1119" s="13" t="n">
        <v>380</v>
      </c>
      <c r="D1119" s="13" t="s">
        <v>10377</v>
      </c>
      <c r="E1119" s="13" t="n">
        <v>4</v>
      </c>
      <c r="F1119" s="13" t="s">
        <v>15094</v>
      </c>
      <c r="G1119" s="13" t="s">
        <v>15095</v>
      </c>
      <c r="H1119" s="13" t="s">
        <v>10381</v>
      </c>
      <c r="I1119" s="13" t="s">
        <v>10382</v>
      </c>
    </row>
    <row r="1120" customFormat="false" ht="46.25" hidden="false" customHeight="false" outlineLevel="0" collapsed="false">
      <c r="A1120" s="13" t="s">
        <v>4</v>
      </c>
      <c r="B1120" s="13" t="s">
        <v>4108</v>
      </c>
      <c r="C1120" s="13" t="n">
        <v>380</v>
      </c>
      <c r="D1120" s="13" t="s">
        <v>10388</v>
      </c>
      <c r="E1120" s="13" t="n">
        <v>2</v>
      </c>
      <c r="F1120" s="13" t="s">
        <v>15094</v>
      </c>
      <c r="G1120" s="13" t="s">
        <v>15095</v>
      </c>
      <c r="H1120" s="13" t="s">
        <v>10393</v>
      </c>
      <c r="I1120" s="13" t="s">
        <v>10394</v>
      </c>
    </row>
    <row r="1121" customFormat="false" ht="35.05" hidden="false" customHeight="false" outlineLevel="0" collapsed="false">
      <c r="A1121" s="13" t="s">
        <v>4</v>
      </c>
      <c r="B1121" s="13" t="s">
        <v>4108</v>
      </c>
      <c r="C1121" s="13" t="n">
        <v>380</v>
      </c>
      <c r="D1121" s="13" t="s">
        <v>10398</v>
      </c>
      <c r="E1121" s="13" t="n">
        <v>2</v>
      </c>
      <c r="F1121" s="13" t="s">
        <v>15094</v>
      </c>
      <c r="G1121" s="13" t="s">
        <v>15095</v>
      </c>
      <c r="H1121" s="13" t="s">
        <v>10401</v>
      </c>
      <c r="I1121" s="13" t="s">
        <v>10402</v>
      </c>
    </row>
    <row r="1122" customFormat="false" ht="23.85" hidden="false" customHeight="false" outlineLevel="0" collapsed="false">
      <c r="A1122" s="13" t="s">
        <v>4</v>
      </c>
      <c r="B1122" s="13" t="s">
        <v>4108</v>
      </c>
      <c r="C1122" s="13" t="n">
        <v>380</v>
      </c>
      <c r="D1122" s="13" t="s">
        <v>10405</v>
      </c>
      <c r="E1122" s="13" t="n">
        <v>1</v>
      </c>
      <c r="F1122" s="13" t="s">
        <v>15094</v>
      </c>
      <c r="G1122" s="13" t="s">
        <v>15095</v>
      </c>
      <c r="H1122" s="13" t="s">
        <v>10409</v>
      </c>
      <c r="I1122" s="13" t="s">
        <v>10410</v>
      </c>
    </row>
    <row r="1123" customFormat="false" ht="113.4" hidden="false" customHeight="false" outlineLevel="0" collapsed="false">
      <c r="A1123" s="13" t="s">
        <v>4</v>
      </c>
      <c r="B1123" s="13" t="s">
        <v>4108</v>
      </c>
      <c r="C1123" s="13" t="n">
        <v>380</v>
      </c>
      <c r="D1123" s="13" t="s">
        <v>10411</v>
      </c>
      <c r="E1123" s="13" t="n">
        <v>3</v>
      </c>
      <c r="F1123" s="13" t="s">
        <v>15094</v>
      </c>
      <c r="G1123" s="13" t="s">
        <v>15095</v>
      </c>
      <c r="H1123" s="13" t="s">
        <v>10415</v>
      </c>
      <c r="I1123" s="13" t="s">
        <v>10416</v>
      </c>
    </row>
    <row r="1124" customFormat="false" ht="158.2" hidden="false" customHeight="false" outlineLevel="0" collapsed="false">
      <c r="A1124" s="13" t="s">
        <v>4</v>
      </c>
      <c r="B1124" s="13" t="s">
        <v>4108</v>
      </c>
      <c r="C1124" s="13" t="n">
        <v>380</v>
      </c>
      <c r="D1124" s="13" t="s">
        <v>10424</v>
      </c>
      <c r="E1124" s="13" t="n">
        <v>3</v>
      </c>
      <c r="F1124" s="13" t="s">
        <v>15094</v>
      </c>
      <c r="G1124" s="13" t="s">
        <v>15095</v>
      </c>
      <c r="H1124" s="13" t="s">
        <v>10428</v>
      </c>
      <c r="I1124" s="13" t="s">
        <v>10429</v>
      </c>
    </row>
    <row r="1125" customFormat="false" ht="124.6" hidden="false" customHeight="false" outlineLevel="0" collapsed="false">
      <c r="A1125" s="13" t="s">
        <v>4</v>
      </c>
      <c r="B1125" s="13" t="s">
        <v>4108</v>
      </c>
      <c r="C1125" s="13" t="n">
        <v>388</v>
      </c>
      <c r="D1125" s="13" t="s">
        <v>10436</v>
      </c>
      <c r="E1125" s="13" t="n">
        <v>5</v>
      </c>
      <c r="F1125" s="13" t="s">
        <v>15094</v>
      </c>
      <c r="G1125" s="13" t="s">
        <v>15095</v>
      </c>
      <c r="H1125" s="13" t="s">
        <v>10440</v>
      </c>
      <c r="I1125" s="13" t="s">
        <v>10441</v>
      </c>
    </row>
    <row r="1126" customFormat="false" ht="46.25" hidden="false" customHeight="false" outlineLevel="0" collapsed="false">
      <c r="A1126" s="13" t="s">
        <v>4</v>
      </c>
      <c r="B1126" s="13" t="s">
        <v>4108</v>
      </c>
      <c r="C1126" s="13" t="n">
        <v>388</v>
      </c>
      <c r="D1126" s="13" t="s">
        <v>10454</v>
      </c>
      <c r="E1126" s="13" t="n">
        <v>3</v>
      </c>
      <c r="F1126" s="13" t="s">
        <v>15094</v>
      </c>
      <c r="G1126" s="13" t="s">
        <v>15095</v>
      </c>
      <c r="H1126" s="13" t="s">
        <v>10458</v>
      </c>
      <c r="I1126" s="13" t="s">
        <v>10459</v>
      </c>
    </row>
    <row r="1127" customFormat="false" ht="23.85" hidden="false" customHeight="false" outlineLevel="0" collapsed="false">
      <c r="A1127" s="13" t="s">
        <v>4</v>
      </c>
      <c r="B1127" s="13" t="s">
        <v>4108</v>
      </c>
      <c r="C1127" s="13" t="n">
        <v>388</v>
      </c>
      <c r="D1127" s="13" t="s">
        <v>10465</v>
      </c>
      <c r="E1127" s="13" t="n">
        <v>2</v>
      </c>
      <c r="F1127" s="13" t="s">
        <v>15094</v>
      </c>
      <c r="G1127" s="13" t="s">
        <v>15095</v>
      </c>
      <c r="H1127" s="13" t="s">
        <v>10469</v>
      </c>
      <c r="I1127" s="13" t="s">
        <v>10470</v>
      </c>
    </row>
    <row r="1128" customFormat="false" ht="35.05" hidden="false" customHeight="false" outlineLevel="0" collapsed="false">
      <c r="A1128" s="13" t="s">
        <v>4</v>
      </c>
      <c r="B1128" s="13" t="s">
        <v>4108</v>
      </c>
      <c r="C1128" s="13" t="n">
        <v>388</v>
      </c>
      <c r="D1128" s="13" t="s">
        <v>10472</v>
      </c>
      <c r="E1128" s="13" t="n">
        <v>3</v>
      </c>
      <c r="F1128" s="13" t="s">
        <v>15094</v>
      </c>
      <c r="G1128" s="13" t="s">
        <v>15095</v>
      </c>
      <c r="H1128" s="13" t="s">
        <v>10476</v>
      </c>
      <c r="I1128" s="13" t="s">
        <v>10477</v>
      </c>
    </row>
    <row r="1129" customFormat="false" ht="57.45" hidden="false" customHeight="false" outlineLevel="0" collapsed="false">
      <c r="A1129" s="13" t="s">
        <v>4</v>
      </c>
      <c r="B1129" s="13" t="s">
        <v>4108</v>
      </c>
      <c r="C1129" s="13" t="n">
        <v>388</v>
      </c>
      <c r="D1129" s="13" t="s">
        <v>10483</v>
      </c>
      <c r="E1129" s="13" t="n">
        <v>3</v>
      </c>
      <c r="F1129" s="13" t="s">
        <v>15094</v>
      </c>
      <c r="G1129" s="13" t="s">
        <v>15095</v>
      </c>
      <c r="H1129" s="13" t="s">
        <v>10487</v>
      </c>
      <c r="I1129" s="13" t="s">
        <v>10488</v>
      </c>
    </row>
    <row r="1130" customFormat="false" ht="57.45" hidden="false" customHeight="false" outlineLevel="0" collapsed="false">
      <c r="A1130" s="13" t="s">
        <v>4</v>
      </c>
      <c r="B1130" s="13" t="s">
        <v>4108</v>
      </c>
      <c r="C1130" s="13" t="n">
        <v>388</v>
      </c>
      <c r="D1130" s="13" t="s">
        <v>10496</v>
      </c>
      <c r="E1130" s="13" t="n">
        <v>3</v>
      </c>
      <c r="F1130" s="13" t="s">
        <v>15094</v>
      </c>
      <c r="G1130" s="13" t="s">
        <v>15095</v>
      </c>
      <c r="H1130" s="13" t="s">
        <v>10499</v>
      </c>
      <c r="I1130" s="13" t="s">
        <v>10500</v>
      </c>
    </row>
    <row r="1131" customFormat="false" ht="57.45" hidden="false" customHeight="false" outlineLevel="0" collapsed="false">
      <c r="A1131" s="13" t="s">
        <v>4</v>
      </c>
      <c r="B1131" s="13" t="s">
        <v>4108</v>
      </c>
      <c r="C1131" s="13" t="n">
        <v>442</v>
      </c>
      <c r="D1131" s="13" t="s">
        <v>10507</v>
      </c>
      <c r="E1131" s="13" t="n">
        <v>4</v>
      </c>
      <c r="F1131" s="13" t="s">
        <v>15094</v>
      </c>
      <c r="G1131" s="13" t="s">
        <v>15095</v>
      </c>
      <c r="H1131" s="13" t="s">
        <v>10512</v>
      </c>
      <c r="I1131" s="13" t="s">
        <v>10513</v>
      </c>
    </row>
    <row r="1132" customFormat="false" ht="35.05" hidden="false" customHeight="false" outlineLevel="0" collapsed="false">
      <c r="A1132" s="13" t="s">
        <v>4</v>
      </c>
      <c r="B1132" s="13" t="s">
        <v>4108</v>
      </c>
      <c r="C1132" s="13" t="n">
        <v>442</v>
      </c>
      <c r="D1132" s="13" t="s">
        <v>10522</v>
      </c>
      <c r="E1132" s="13" t="n">
        <v>2</v>
      </c>
      <c r="F1132" s="13" t="s">
        <v>15094</v>
      </c>
      <c r="G1132" s="13" t="s">
        <v>15095</v>
      </c>
      <c r="H1132" s="13" t="s">
        <v>10526</v>
      </c>
      <c r="I1132" s="13" t="s">
        <v>10527</v>
      </c>
    </row>
    <row r="1133" customFormat="false" ht="35.05" hidden="false" customHeight="false" outlineLevel="0" collapsed="false">
      <c r="A1133" s="13" t="s">
        <v>4</v>
      </c>
      <c r="B1133" s="13" t="s">
        <v>4108</v>
      </c>
      <c r="C1133" s="13" t="n">
        <v>442</v>
      </c>
      <c r="D1133" s="13" t="s">
        <v>10531</v>
      </c>
      <c r="E1133" s="13" t="n">
        <v>3</v>
      </c>
      <c r="F1133" s="13" t="s">
        <v>15094</v>
      </c>
      <c r="G1133" s="13" t="s">
        <v>15095</v>
      </c>
      <c r="H1133" s="13" t="s">
        <v>10536</v>
      </c>
      <c r="I1133" s="13" t="s">
        <v>10537</v>
      </c>
    </row>
    <row r="1134" customFormat="false" ht="35.05" hidden="false" customHeight="false" outlineLevel="0" collapsed="false">
      <c r="A1134" s="13" t="s">
        <v>4</v>
      </c>
      <c r="B1134" s="13" t="s">
        <v>4108</v>
      </c>
      <c r="C1134" s="13" t="n">
        <v>442</v>
      </c>
      <c r="D1134" s="13" t="s">
        <v>10543</v>
      </c>
      <c r="E1134" s="13" t="n">
        <v>3</v>
      </c>
      <c r="F1134" s="13" t="s">
        <v>15094</v>
      </c>
      <c r="G1134" s="13" t="s">
        <v>15095</v>
      </c>
      <c r="H1134" s="13" t="s">
        <v>10546</v>
      </c>
      <c r="I1134" s="13" t="s">
        <v>10547</v>
      </c>
    </row>
    <row r="1135" customFormat="false" ht="46.25" hidden="false" customHeight="false" outlineLevel="0" collapsed="false">
      <c r="A1135" s="13" t="s">
        <v>4</v>
      </c>
      <c r="B1135" s="13" t="s">
        <v>4108</v>
      </c>
      <c r="C1135" s="13" t="n">
        <v>442</v>
      </c>
      <c r="D1135" s="13" t="s">
        <v>10552</v>
      </c>
      <c r="E1135" s="13" t="n">
        <v>2</v>
      </c>
      <c r="F1135" s="13" t="s">
        <v>15094</v>
      </c>
      <c r="G1135" s="13" t="s">
        <v>15095</v>
      </c>
      <c r="H1135" s="13" t="s">
        <v>10556</v>
      </c>
      <c r="I1135" s="13" t="s">
        <v>10557</v>
      </c>
    </row>
    <row r="1136" customFormat="false" ht="102.2" hidden="false" customHeight="false" outlineLevel="0" collapsed="false">
      <c r="A1136" s="13" t="s">
        <v>4</v>
      </c>
      <c r="B1136" s="13" t="s">
        <v>4108</v>
      </c>
      <c r="C1136" s="13" t="n">
        <v>442</v>
      </c>
      <c r="D1136" s="13" t="s">
        <v>10560</v>
      </c>
      <c r="E1136" s="13" t="n">
        <v>8</v>
      </c>
      <c r="F1136" s="13" t="s">
        <v>15094</v>
      </c>
      <c r="G1136" s="13" t="s">
        <v>15095</v>
      </c>
      <c r="H1136" s="13" t="s">
        <v>10564</v>
      </c>
      <c r="I1136" s="13" t="s">
        <v>10565</v>
      </c>
    </row>
    <row r="1137" customFormat="false" ht="23.85" hidden="false" customHeight="false" outlineLevel="0" collapsed="false">
      <c r="A1137" s="13" t="s">
        <v>4</v>
      </c>
      <c r="B1137" s="13" t="s">
        <v>4108</v>
      </c>
      <c r="C1137" s="13" t="n">
        <v>442</v>
      </c>
      <c r="D1137" s="13" t="s">
        <v>10580</v>
      </c>
      <c r="E1137" s="13" t="n">
        <v>1</v>
      </c>
      <c r="F1137" s="13" t="s">
        <v>15094</v>
      </c>
      <c r="G1137" s="13" t="s">
        <v>15095</v>
      </c>
      <c r="H1137" s="13" t="s">
        <v>10583</v>
      </c>
      <c r="I1137" s="13" t="s">
        <v>10584</v>
      </c>
    </row>
    <row r="1138" customFormat="false" ht="35.05" hidden="false" customHeight="false" outlineLevel="0" collapsed="false">
      <c r="A1138" s="13" t="s">
        <v>4</v>
      </c>
      <c r="B1138" s="13" t="s">
        <v>4108</v>
      </c>
      <c r="C1138" s="13" t="n">
        <v>442</v>
      </c>
      <c r="D1138" s="13" t="s">
        <v>10585</v>
      </c>
      <c r="E1138" s="13" t="n">
        <v>3</v>
      </c>
      <c r="F1138" s="13" t="s">
        <v>15094</v>
      </c>
      <c r="G1138" s="13" t="s">
        <v>15095</v>
      </c>
      <c r="H1138" s="13" t="s">
        <v>10587</v>
      </c>
      <c r="I1138" s="13" t="s">
        <v>10588</v>
      </c>
    </row>
    <row r="1139" customFormat="false" ht="169.4" hidden="false" customHeight="false" outlineLevel="0" collapsed="false">
      <c r="A1139" s="13" t="s">
        <v>4</v>
      </c>
      <c r="B1139" s="13" t="s">
        <v>4108</v>
      </c>
      <c r="C1139" s="13" t="n">
        <v>442</v>
      </c>
      <c r="D1139" s="13" t="s">
        <v>10596</v>
      </c>
      <c r="E1139" s="13" t="n">
        <v>5</v>
      </c>
      <c r="F1139" s="13" t="s">
        <v>15094</v>
      </c>
      <c r="G1139" s="13" t="s">
        <v>15095</v>
      </c>
      <c r="H1139" s="13" t="s">
        <v>10600</v>
      </c>
      <c r="I1139" s="13" t="s">
        <v>10601</v>
      </c>
    </row>
    <row r="1140" customFormat="false" ht="68.65" hidden="false" customHeight="false" outlineLevel="0" collapsed="false">
      <c r="A1140" s="13" t="s">
        <v>4</v>
      </c>
      <c r="B1140" s="13" t="s">
        <v>4108</v>
      </c>
      <c r="C1140" s="13" t="n">
        <v>444</v>
      </c>
      <c r="D1140" s="13" t="s">
        <v>10612</v>
      </c>
      <c r="E1140" s="13" t="n">
        <v>4</v>
      </c>
      <c r="F1140" s="13" t="s">
        <v>15094</v>
      </c>
      <c r="G1140" s="13" t="s">
        <v>15095</v>
      </c>
      <c r="H1140" s="13" t="s">
        <v>10615</v>
      </c>
      <c r="I1140" s="13" t="s">
        <v>10616</v>
      </c>
    </row>
    <row r="1141" customFormat="false" ht="46.25" hidden="false" customHeight="false" outlineLevel="0" collapsed="false">
      <c r="A1141" s="13" t="s">
        <v>4</v>
      </c>
      <c r="B1141" s="13" t="s">
        <v>4108</v>
      </c>
      <c r="C1141" s="13" t="n">
        <v>444</v>
      </c>
      <c r="D1141" s="13" t="s">
        <v>10624</v>
      </c>
      <c r="E1141" s="13" t="n">
        <v>2</v>
      </c>
      <c r="F1141" s="13" t="s">
        <v>15094</v>
      </c>
      <c r="G1141" s="13" t="s">
        <v>15095</v>
      </c>
      <c r="H1141" s="13" t="s">
        <v>10628</v>
      </c>
      <c r="I1141" s="13" t="s">
        <v>10629</v>
      </c>
    </row>
    <row r="1142" customFormat="false" ht="35.05" hidden="false" customHeight="false" outlineLevel="0" collapsed="false">
      <c r="A1142" s="13" t="s">
        <v>4</v>
      </c>
      <c r="B1142" s="13" t="s">
        <v>4108</v>
      </c>
      <c r="C1142" s="13" t="n">
        <v>444</v>
      </c>
      <c r="D1142" s="13" t="s">
        <v>10632</v>
      </c>
      <c r="E1142" s="13" t="n">
        <v>2</v>
      </c>
      <c r="F1142" s="13" t="s">
        <v>15094</v>
      </c>
      <c r="G1142" s="13" t="s">
        <v>15095</v>
      </c>
      <c r="H1142" s="13" t="s">
        <v>10636</v>
      </c>
      <c r="I1142" s="13" t="s">
        <v>10637</v>
      </c>
    </row>
    <row r="1143" customFormat="false" ht="23.85" hidden="false" customHeight="false" outlineLevel="0" collapsed="false">
      <c r="A1143" s="13" t="s">
        <v>4</v>
      </c>
      <c r="B1143" s="13" t="s">
        <v>4108</v>
      </c>
      <c r="C1143" s="13" t="n">
        <v>444</v>
      </c>
      <c r="D1143" s="13" t="s">
        <v>10641</v>
      </c>
      <c r="E1143" s="13" t="n">
        <v>1</v>
      </c>
      <c r="F1143" s="13" t="s">
        <v>15094</v>
      </c>
      <c r="G1143" s="13" t="s">
        <v>15095</v>
      </c>
      <c r="H1143" s="13" t="s">
        <v>10645</v>
      </c>
      <c r="I1143" s="13" t="s">
        <v>10646</v>
      </c>
    </row>
    <row r="1144" customFormat="false" ht="35.05" hidden="false" customHeight="false" outlineLevel="0" collapsed="false">
      <c r="A1144" s="13" t="s">
        <v>4</v>
      </c>
      <c r="B1144" s="13" t="s">
        <v>4108</v>
      </c>
      <c r="C1144" s="13" t="n">
        <v>444</v>
      </c>
      <c r="D1144" s="13" t="s">
        <v>10647</v>
      </c>
      <c r="E1144" s="13" t="n">
        <v>2</v>
      </c>
      <c r="F1144" s="13" t="s">
        <v>15094</v>
      </c>
      <c r="G1144" s="13" t="s">
        <v>15095</v>
      </c>
      <c r="H1144" s="13" t="s">
        <v>10650</v>
      </c>
      <c r="I1144" s="13" t="s">
        <v>10651</v>
      </c>
    </row>
    <row r="1145" customFormat="false" ht="57.45" hidden="false" customHeight="false" outlineLevel="0" collapsed="false">
      <c r="A1145" s="13" t="s">
        <v>4</v>
      </c>
      <c r="B1145" s="13" t="s">
        <v>4108</v>
      </c>
      <c r="C1145" s="13" t="n">
        <v>444</v>
      </c>
      <c r="D1145" s="13" t="s">
        <v>10655</v>
      </c>
      <c r="E1145" s="13" t="n">
        <v>3</v>
      </c>
      <c r="F1145" s="13" t="s">
        <v>15094</v>
      </c>
      <c r="G1145" s="13" t="s">
        <v>15095</v>
      </c>
      <c r="H1145" s="13" t="s">
        <v>10658</v>
      </c>
      <c r="I1145" s="13" t="s">
        <v>10659</v>
      </c>
    </row>
    <row r="1146" customFormat="false" ht="57.45" hidden="false" customHeight="false" outlineLevel="0" collapsed="false">
      <c r="A1146" s="13" t="s">
        <v>4</v>
      </c>
      <c r="B1146" s="13" t="s">
        <v>4108</v>
      </c>
      <c r="C1146" s="13" t="n">
        <v>444</v>
      </c>
      <c r="D1146" s="13" t="s">
        <v>10666</v>
      </c>
      <c r="E1146" s="13" t="n">
        <v>2</v>
      </c>
      <c r="F1146" s="13" t="s">
        <v>15094</v>
      </c>
      <c r="G1146" s="13" t="s">
        <v>15095</v>
      </c>
      <c r="H1146" s="13" t="s">
        <v>10670</v>
      </c>
      <c r="I1146" s="13" t="s">
        <v>10671</v>
      </c>
    </row>
    <row r="1147" customFormat="false" ht="23.85" hidden="false" customHeight="false" outlineLevel="0" collapsed="false">
      <c r="A1147" s="13" t="s">
        <v>4</v>
      </c>
      <c r="B1147" s="13" t="s">
        <v>4108</v>
      </c>
      <c r="C1147" s="13" t="n">
        <v>444</v>
      </c>
      <c r="D1147" s="13" t="s">
        <v>10675</v>
      </c>
      <c r="E1147" s="13" t="n">
        <v>1</v>
      </c>
      <c r="F1147" s="13" t="s">
        <v>15094</v>
      </c>
      <c r="G1147" s="13" t="s">
        <v>15095</v>
      </c>
      <c r="H1147" s="13" t="s">
        <v>10679</v>
      </c>
      <c r="I1147" s="13" t="s">
        <v>10680</v>
      </c>
    </row>
    <row r="1148" customFormat="false" ht="326.1" hidden="false" customHeight="false" outlineLevel="0" collapsed="false">
      <c r="A1148" s="13" t="s">
        <v>4</v>
      </c>
      <c r="B1148" s="13" t="s">
        <v>4108</v>
      </c>
      <c r="C1148" s="13" t="n">
        <v>444</v>
      </c>
      <c r="D1148" s="13" t="s">
        <v>10681</v>
      </c>
      <c r="E1148" s="13" t="n">
        <v>5</v>
      </c>
      <c r="F1148" s="13" t="s">
        <v>15094</v>
      </c>
      <c r="G1148" s="13" t="s">
        <v>15095</v>
      </c>
      <c r="H1148" s="13" t="s">
        <v>10685</v>
      </c>
      <c r="I1148" s="13" t="s">
        <v>10686</v>
      </c>
    </row>
    <row r="1149" customFormat="false" ht="113.4" hidden="false" customHeight="false" outlineLevel="0" collapsed="false">
      <c r="A1149" s="13" t="s">
        <v>4</v>
      </c>
      <c r="B1149" s="13" t="s">
        <v>4108</v>
      </c>
      <c r="C1149" s="13" t="n">
        <v>452</v>
      </c>
      <c r="D1149" s="13" t="s">
        <v>10699</v>
      </c>
      <c r="E1149" s="13" t="n">
        <v>5</v>
      </c>
      <c r="F1149" s="13" t="s">
        <v>15094</v>
      </c>
      <c r="G1149" s="13" t="s">
        <v>15095</v>
      </c>
      <c r="H1149" s="13" t="s">
        <v>10706</v>
      </c>
      <c r="I1149" s="13" t="s">
        <v>10707</v>
      </c>
    </row>
    <row r="1150" customFormat="false" ht="113.4" hidden="false" customHeight="false" outlineLevel="0" collapsed="false">
      <c r="A1150" s="13" t="s">
        <v>4</v>
      </c>
      <c r="B1150" s="13" t="s">
        <v>4108</v>
      </c>
      <c r="C1150" s="13" t="n">
        <v>452</v>
      </c>
      <c r="D1150" s="13" t="s">
        <v>10716</v>
      </c>
      <c r="E1150" s="13" t="n">
        <v>6</v>
      </c>
      <c r="F1150" s="13" t="s">
        <v>15094</v>
      </c>
      <c r="G1150" s="13" t="s">
        <v>15095</v>
      </c>
      <c r="H1150" s="13" t="s">
        <v>10720</v>
      </c>
      <c r="I1150" s="13" t="s">
        <v>10721</v>
      </c>
    </row>
    <row r="1151" customFormat="false" ht="46.25" hidden="false" customHeight="false" outlineLevel="0" collapsed="false">
      <c r="A1151" s="13" t="s">
        <v>4</v>
      </c>
      <c r="B1151" s="13" t="s">
        <v>4108</v>
      </c>
      <c r="C1151" s="13" t="n">
        <v>452</v>
      </c>
      <c r="D1151" s="13" t="s">
        <v>10734</v>
      </c>
      <c r="E1151" s="13" t="n">
        <v>2</v>
      </c>
      <c r="F1151" s="13" t="s">
        <v>15094</v>
      </c>
      <c r="G1151" s="13" t="s">
        <v>15095</v>
      </c>
      <c r="H1151" s="13" t="s">
        <v>10737</v>
      </c>
      <c r="I1151" s="13" t="s">
        <v>10738</v>
      </c>
    </row>
    <row r="1152" customFormat="false" ht="46.25" hidden="false" customHeight="false" outlineLevel="0" collapsed="false">
      <c r="A1152" s="13" t="s">
        <v>4</v>
      </c>
      <c r="B1152" s="13" t="s">
        <v>4108</v>
      </c>
      <c r="C1152" s="13" t="n">
        <v>452</v>
      </c>
      <c r="D1152" s="13" t="s">
        <v>10741</v>
      </c>
      <c r="E1152" s="13" t="n">
        <v>2</v>
      </c>
      <c r="F1152" s="13" t="s">
        <v>15094</v>
      </c>
      <c r="G1152" s="13" t="s">
        <v>15095</v>
      </c>
      <c r="H1152" s="13" t="s">
        <v>10747</v>
      </c>
      <c r="I1152" s="13" t="s">
        <v>10748</v>
      </c>
    </row>
    <row r="1153" customFormat="false" ht="35.05" hidden="false" customHeight="false" outlineLevel="0" collapsed="false">
      <c r="A1153" s="13" t="s">
        <v>4</v>
      </c>
      <c r="B1153" s="13" t="s">
        <v>4108</v>
      </c>
      <c r="C1153" s="13" t="n">
        <v>452</v>
      </c>
      <c r="D1153" s="13" t="s">
        <v>10754</v>
      </c>
      <c r="E1153" s="13" t="n">
        <v>1</v>
      </c>
      <c r="F1153" s="13" t="s">
        <v>15094</v>
      </c>
      <c r="G1153" s="13" t="s">
        <v>15095</v>
      </c>
      <c r="H1153" s="13" t="s">
        <v>10758</v>
      </c>
      <c r="I1153" s="13" t="s">
        <v>10759</v>
      </c>
    </row>
    <row r="1154" customFormat="false" ht="23.85" hidden="false" customHeight="false" outlineLevel="0" collapsed="false">
      <c r="A1154" s="13" t="s">
        <v>4</v>
      </c>
      <c r="B1154" s="13" t="s">
        <v>4108</v>
      </c>
      <c r="C1154" s="13" t="n">
        <v>452</v>
      </c>
      <c r="D1154" s="13" t="s">
        <v>10760</v>
      </c>
      <c r="E1154" s="13" t="n">
        <v>2</v>
      </c>
      <c r="F1154" s="13" t="s">
        <v>15094</v>
      </c>
      <c r="G1154" s="13" t="s">
        <v>15095</v>
      </c>
      <c r="H1154" s="13" t="s">
        <v>10764</v>
      </c>
      <c r="I1154" s="13" t="s">
        <v>10765</v>
      </c>
    </row>
    <row r="1155" customFormat="false" ht="124.6" hidden="false" customHeight="false" outlineLevel="0" collapsed="false">
      <c r="A1155" s="13" t="s">
        <v>4</v>
      </c>
      <c r="B1155" s="13" t="s">
        <v>4108</v>
      </c>
      <c r="C1155" s="13" t="n">
        <v>452</v>
      </c>
      <c r="D1155" s="13" t="s">
        <v>10768</v>
      </c>
      <c r="E1155" s="13" t="n">
        <v>4</v>
      </c>
      <c r="F1155" s="13" t="s">
        <v>15094</v>
      </c>
      <c r="G1155" s="13" t="s">
        <v>15095</v>
      </c>
      <c r="H1155" s="13" t="s">
        <v>10771</v>
      </c>
      <c r="I1155" s="13" t="s">
        <v>10772</v>
      </c>
    </row>
    <row r="1156" customFormat="false" ht="68.65" hidden="false" customHeight="false" outlineLevel="0" collapsed="false">
      <c r="A1156" s="13" t="s">
        <v>4</v>
      </c>
      <c r="B1156" s="13" t="s">
        <v>4108</v>
      </c>
      <c r="C1156" s="13" t="n">
        <v>454</v>
      </c>
      <c r="D1156" s="13" t="s">
        <v>10780</v>
      </c>
      <c r="E1156" s="13" t="n">
        <v>4</v>
      </c>
      <c r="F1156" s="13" t="s">
        <v>15094</v>
      </c>
      <c r="G1156" s="13" t="s">
        <v>15095</v>
      </c>
      <c r="H1156" s="13" t="s">
        <v>10784</v>
      </c>
      <c r="I1156" s="13" t="s">
        <v>10785</v>
      </c>
    </row>
    <row r="1157" customFormat="false" ht="46.25" hidden="false" customHeight="false" outlineLevel="0" collapsed="false">
      <c r="A1157" s="13" t="s">
        <v>4</v>
      </c>
      <c r="B1157" s="13" t="s">
        <v>4108</v>
      </c>
      <c r="C1157" s="13" t="n">
        <v>454</v>
      </c>
      <c r="D1157" s="13" t="s">
        <v>10797</v>
      </c>
      <c r="E1157" s="13" t="n">
        <v>3</v>
      </c>
      <c r="F1157" s="13" t="s">
        <v>15094</v>
      </c>
      <c r="G1157" s="13" t="s">
        <v>15095</v>
      </c>
      <c r="H1157" s="13" t="s">
        <v>10803</v>
      </c>
      <c r="I1157" s="13" t="s">
        <v>10804</v>
      </c>
    </row>
    <row r="1158" customFormat="false" ht="35.05" hidden="false" customHeight="false" outlineLevel="0" collapsed="false">
      <c r="A1158" s="13" t="s">
        <v>4</v>
      </c>
      <c r="B1158" s="13" t="s">
        <v>4108</v>
      </c>
      <c r="C1158" s="13" t="n">
        <v>454</v>
      </c>
      <c r="D1158" s="13" t="s">
        <v>10812</v>
      </c>
      <c r="E1158" s="13" t="n">
        <v>3</v>
      </c>
      <c r="F1158" s="13" t="s">
        <v>15094</v>
      </c>
      <c r="G1158" s="13" t="s">
        <v>15095</v>
      </c>
      <c r="H1158" s="13" t="s">
        <v>10817</v>
      </c>
      <c r="I1158" s="13" t="s">
        <v>10818</v>
      </c>
    </row>
    <row r="1159" customFormat="false" ht="57.45" hidden="false" customHeight="false" outlineLevel="0" collapsed="false">
      <c r="A1159" s="13" t="s">
        <v>4</v>
      </c>
      <c r="B1159" s="13" t="s">
        <v>4108</v>
      </c>
      <c r="C1159" s="13" t="n">
        <v>454</v>
      </c>
      <c r="D1159" s="13" t="s">
        <v>10825</v>
      </c>
      <c r="E1159" s="13" t="n">
        <v>4</v>
      </c>
      <c r="F1159" s="13" t="s">
        <v>15094</v>
      </c>
      <c r="G1159" s="13" t="s">
        <v>15095</v>
      </c>
      <c r="H1159" s="13" t="s">
        <v>10829</v>
      </c>
      <c r="I1159" s="13" t="s">
        <v>10830</v>
      </c>
    </row>
    <row r="1160" customFormat="false" ht="57.45" hidden="false" customHeight="false" outlineLevel="0" collapsed="false">
      <c r="A1160" s="13" t="s">
        <v>4</v>
      </c>
      <c r="B1160" s="13" t="s">
        <v>4108</v>
      </c>
      <c r="C1160" s="13" t="n">
        <v>454</v>
      </c>
      <c r="D1160" s="13" t="s">
        <v>10838</v>
      </c>
      <c r="E1160" s="13" t="n">
        <v>3</v>
      </c>
      <c r="F1160" s="13" t="s">
        <v>15094</v>
      </c>
      <c r="G1160" s="13" t="s">
        <v>15095</v>
      </c>
      <c r="H1160" s="13" t="s">
        <v>10843</v>
      </c>
      <c r="I1160" s="13" t="s">
        <v>10844</v>
      </c>
    </row>
    <row r="1161" customFormat="false" ht="46.25" hidden="false" customHeight="false" outlineLevel="0" collapsed="false">
      <c r="A1161" s="13" t="s">
        <v>4</v>
      </c>
      <c r="B1161" s="13" t="s">
        <v>4108</v>
      </c>
      <c r="C1161" s="13" t="n">
        <v>454</v>
      </c>
      <c r="D1161" s="13" t="s">
        <v>10850</v>
      </c>
      <c r="E1161" s="13" t="n">
        <v>3</v>
      </c>
      <c r="F1161" s="13" t="s">
        <v>15094</v>
      </c>
      <c r="G1161" s="13" t="s">
        <v>15095</v>
      </c>
      <c r="H1161" s="13" t="s">
        <v>10854</v>
      </c>
      <c r="I1161" s="13" t="s">
        <v>10855</v>
      </c>
    </row>
    <row r="1162" customFormat="false" ht="57.45" hidden="false" customHeight="false" outlineLevel="0" collapsed="false">
      <c r="A1162" s="13" t="s">
        <v>4</v>
      </c>
      <c r="B1162" s="13" t="s">
        <v>4108</v>
      </c>
      <c r="C1162" s="13" t="n">
        <v>454</v>
      </c>
      <c r="D1162" s="13" t="s">
        <v>10861</v>
      </c>
      <c r="E1162" s="13" t="n">
        <v>2</v>
      </c>
      <c r="F1162" s="13" t="s">
        <v>15094</v>
      </c>
      <c r="G1162" s="13" t="s">
        <v>15095</v>
      </c>
      <c r="H1162" s="13" t="s">
        <v>10864</v>
      </c>
      <c r="I1162" s="13" t="s">
        <v>10865</v>
      </c>
    </row>
    <row r="1163" customFormat="false" ht="57.45" hidden="false" customHeight="false" outlineLevel="0" collapsed="false">
      <c r="A1163" s="13" t="s">
        <v>4</v>
      </c>
      <c r="B1163" s="13" t="s">
        <v>4108</v>
      </c>
      <c r="C1163" s="13" t="n">
        <v>454</v>
      </c>
      <c r="D1163" s="13" t="s">
        <v>10869</v>
      </c>
      <c r="E1163" s="13" t="n">
        <v>3</v>
      </c>
      <c r="F1163" s="13" t="s">
        <v>15094</v>
      </c>
      <c r="G1163" s="13" t="s">
        <v>15095</v>
      </c>
      <c r="H1163" s="13" t="s">
        <v>10873</v>
      </c>
      <c r="I1163" s="13" t="s">
        <v>10874</v>
      </c>
    </row>
    <row r="1164" customFormat="false" ht="46.25" hidden="false" customHeight="false" outlineLevel="0" collapsed="false">
      <c r="A1164" s="13" t="s">
        <v>4</v>
      </c>
      <c r="B1164" s="13" t="s">
        <v>4108</v>
      </c>
      <c r="C1164" s="13" t="n">
        <v>454</v>
      </c>
      <c r="D1164" s="13" t="s">
        <v>10881</v>
      </c>
      <c r="E1164" s="13" t="n">
        <v>3</v>
      </c>
      <c r="F1164" s="13" t="s">
        <v>15094</v>
      </c>
      <c r="G1164" s="13" t="s">
        <v>15095</v>
      </c>
      <c r="H1164" s="13" t="s">
        <v>10885</v>
      </c>
      <c r="I1164" s="13" t="s">
        <v>10886</v>
      </c>
    </row>
    <row r="1165" customFormat="false" ht="23.85" hidden="false" customHeight="false" outlineLevel="0" collapsed="false">
      <c r="A1165" s="13" t="s">
        <v>4</v>
      </c>
      <c r="B1165" s="13" t="s">
        <v>4108</v>
      </c>
      <c r="C1165" s="13" t="n">
        <v>466</v>
      </c>
      <c r="D1165" s="13" t="s">
        <v>10893</v>
      </c>
      <c r="E1165" s="13" t="n">
        <v>2</v>
      </c>
      <c r="F1165" s="13" t="s">
        <v>15094</v>
      </c>
      <c r="G1165" s="13" t="s">
        <v>15095</v>
      </c>
      <c r="H1165" s="13" t="s">
        <v>10897</v>
      </c>
      <c r="I1165" s="13" t="s">
        <v>10898</v>
      </c>
    </row>
    <row r="1166" customFormat="false" ht="23.85" hidden="false" customHeight="false" outlineLevel="0" collapsed="false">
      <c r="A1166" s="13" t="s">
        <v>4</v>
      </c>
      <c r="B1166" s="13" t="s">
        <v>4108</v>
      </c>
      <c r="C1166" s="13" t="n">
        <v>466</v>
      </c>
      <c r="D1166" s="13" t="s">
        <v>10901</v>
      </c>
      <c r="E1166" s="13" t="n">
        <v>2</v>
      </c>
      <c r="F1166" s="13" t="s">
        <v>15094</v>
      </c>
      <c r="G1166" s="13" t="s">
        <v>15095</v>
      </c>
      <c r="H1166" s="13" t="s">
        <v>10904</v>
      </c>
      <c r="I1166" s="13" t="s">
        <v>10905</v>
      </c>
    </row>
    <row r="1167" customFormat="false" ht="23.85" hidden="false" customHeight="false" outlineLevel="0" collapsed="false">
      <c r="A1167" s="13" t="s">
        <v>4</v>
      </c>
      <c r="B1167" s="13" t="s">
        <v>4108</v>
      </c>
      <c r="C1167" s="13" t="n">
        <v>466</v>
      </c>
      <c r="D1167" s="13" t="s">
        <v>10908</v>
      </c>
      <c r="E1167" s="13" t="n">
        <v>2</v>
      </c>
      <c r="F1167" s="13" t="s">
        <v>15094</v>
      </c>
      <c r="G1167" s="13" t="s">
        <v>15095</v>
      </c>
      <c r="H1167" s="13" t="s">
        <v>10911</v>
      </c>
      <c r="I1167" s="13" t="s">
        <v>10912</v>
      </c>
    </row>
    <row r="1168" customFormat="false" ht="15" hidden="false" customHeight="false" outlineLevel="0" collapsed="false">
      <c r="A1168" s="13" t="s">
        <v>4</v>
      </c>
      <c r="B1168" s="13" t="s">
        <v>4108</v>
      </c>
      <c r="C1168" s="13" t="n">
        <v>466</v>
      </c>
      <c r="D1168" s="13" t="s">
        <v>15303</v>
      </c>
      <c r="E1168" s="13" t="n">
        <v>0</v>
      </c>
      <c r="F1168" s="13" t="s">
        <v>15097</v>
      </c>
      <c r="G1168" s="13" t="s">
        <v>15095</v>
      </c>
      <c r="H1168" s="13" t="s">
        <v>15304</v>
      </c>
      <c r="I1168" s="13" t="s">
        <v>15305</v>
      </c>
    </row>
    <row r="1169" customFormat="false" ht="23.85" hidden="false" customHeight="false" outlineLevel="0" collapsed="false">
      <c r="A1169" s="13" t="s">
        <v>4</v>
      </c>
      <c r="B1169" s="13" t="s">
        <v>4108</v>
      </c>
      <c r="C1169" s="13" t="n">
        <v>466</v>
      </c>
      <c r="D1169" s="13" t="s">
        <v>10915</v>
      </c>
      <c r="E1169" s="13" t="n">
        <v>2</v>
      </c>
      <c r="F1169" s="13" t="s">
        <v>15094</v>
      </c>
      <c r="G1169" s="13" t="s">
        <v>15095</v>
      </c>
      <c r="H1169" s="13" t="s">
        <v>10918</v>
      </c>
      <c r="I1169" s="13" t="s">
        <v>10919</v>
      </c>
    </row>
    <row r="1170" customFormat="false" ht="23.85" hidden="false" customHeight="false" outlineLevel="0" collapsed="false">
      <c r="A1170" s="13" t="s">
        <v>4</v>
      </c>
      <c r="B1170" s="13" t="s">
        <v>4108</v>
      </c>
      <c r="C1170" s="13" t="n">
        <v>466</v>
      </c>
      <c r="D1170" s="13" t="s">
        <v>10922</v>
      </c>
      <c r="E1170" s="13" t="n">
        <v>2</v>
      </c>
      <c r="F1170" s="13" t="s">
        <v>15094</v>
      </c>
      <c r="G1170" s="13" t="s">
        <v>15095</v>
      </c>
      <c r="H1170" s="13" t="s">
        <v>10925</v>
      </c>
      <c r="I1170" s="13" t="s">
        <v>10926</v>
      </c>
    </row>
    <row r="1171" customFormat="false" ht="23.85" hidden="false" customHeight="false" outlineLevel="0" collapsed="false">
      <c r="A1171" s="13" t="s">
        <v>4</v>
      </c>
      <c r="B1171" s="13" t="s">
        <v>4108</v>
      </c>
      <c r="C1171" s="13" t="n">
        <v>466</v>
      </c>
      <c r="D1171" s="13" t="s">
        <v>10929</v>
      </c>
      <c r="E1171" s="13" t="n">
        <v>2</v>
      </c>
      <c r="F1171" s="13" t="s">
        <v>15094</v>
      </c>
      <c r="G1171" s="13" t="s">
        <v>15095</v>
      </c>
      <c r="H1171" s="13" t="s">
        <v>10932</v>
      </c>
      <c r="I1171" s="13" t="s">
        <v>10933</v>
      </c>
    </row>
    <row r="1172" customFormat="false" ht="23.85" hidden="false" customHeight="false" outlineLevel="0" collapsed="false">
      <c r="A1172" s="13" t="s">
        <v>4</v>
      </c>
      <c r="B1172" s="13" t="s">
        <v>4108</v>
      </c>
      <c r="C1172" s="13" t="n">
        <v>466</v>
      </c>
      <c r="D1172" s="13" t="s">
        <v>10936</v>
      </c>
      <c r="E1172" s="13" t="n">
        <v>2</v>
      </c>
      <c r="F1172" s="13" t="s">
        <v>15094</v>
      </c>
      <c r="G1172" s="13" t="s">
        <v>15095</v>
      </c>
      <c r="H1172" s="13" t="s">
        <v>10939</v>
      </c>
      <c r="I1172" s="13" t="s">
        <v>10940</v>
      </c>
    </row>
    <row r="1173" customFormat="false" ht="23.85" hidden="false" customHeight="false" outlineLevel="0" collapsed="false">
      <c r="A1173" s="13" t="s">
        <v>4</v>
      </c>
      <c r="B1173" s="13" t="s">
        <v>4108</v>
      </c>
      <c r="C1173" s="13" t="n">
        <v>466</v>
      </c>
      <c r="D1173" s="13" t="s">
        <v>10943</v>
      </c>
      <c r="E1173" s="13" t="n">
        <v>2</v>
      </c>
      <c r="F1173" s="13" t="s">
        <v>15094</v>
      </c>
      <c r="G1173" s="13" t="s">
        <v>15095</v>
      </c>
      <c r="H1173" s="13" t="s">
        <v>10946</v>
      </c>
      <c r="I1173" s="13" t="s">
        <v>10947</v>
      </c>
    </row>
    <row r="1174" customFormat="false" ht="23.85" hidden="false" customHeight="false" outlineLevel="0" collapsed="false">
      <c r="A1174" s="13" t="s">
        <v>4</v>
      </c>
      <c r="B1174" s="13" t="s">
        <v>4108</v>
      </c>
      <c r="C1174" s="13" t="n">
        <v>466</v>
      </c>
      <c r="D1174" s="13" t="s">
        <v>10950</v>
      </c>
      <c r="E1174" s="13" t="n">
        <v>2</v>
      </c>
      <c r="F1174" s="13" t="s">
        <v>15094</v>
      </c>
      <c r="G1174" s="13" t="s">
        <v>15095</v>
      </c>
      <c r="H1174" s="13" t="s">
        <v>10953</v>
      </c>
      <c r="I1174" s="13" t="s">
        <v>10954</v>
      </c>
    </row>
    <row r="1175" customFormat="false" ht="23.85" hidden="false" customHeight="false" outlineLevel="0" collapsed="false">
      <c r="A1175" s="13" t="s">
        <v>4</v>
      </c>
      <c r="B1175" s="13" t="s">
        <v>4108</v>
      </c>
      <c r="C1175" s="13" t="n">
        <v>466</v>
      </c>
      <c r="D1175" s="13" t="s">
        <v>10957</v>
      </c>
      <c r="E1175" s="13" t="n">
        <v>2</v>
      </c>
      <c r="F1175" s="13" t="s">
        <v>15094</v>
      </c>
      <c r="G1175" s="13" t="s">
        <v>15095</v>
      </c>
      <c r="H1175" s="13" t="s">
        <v>10960</v>
      </c>
      <c r="I1175" s="13" t="s">
        <v>10961</v>
      </c>
    </row>
    <row r="1176" customFormat="false" ht="23.85" hidden="false" customHeight="false" outlineLevel="0" collapsed="false">
      <c r="A1176" s="13" t="s">
        <v>4</v>
      </c>
      <c r="B1176" s="13" t="s">
        <v>4108</v>
      </c>
      <c r="C1176" s="13" t="n">
        <v>466</v>
      </c>
      <c r="D1176" s="13" t="s">
        <v>10964</v>
      </c>
      <c r="E1176" s="13" t="n">
        <v>2</v>
      </c>
      <c r="F1176" s="13" t="s">
        <v>15094</v>
      </c>
      <c r="G1176" s="13" t="s">
        <v>15095</v>
      </c>
      <c r="H1176" s="13" t="s">
        <v>10967</v>
      </c>
      <c r="I1176" s="13" t="s">
        <v>10968</v>
      </c>
    </row>
    <row r="1177" customFormat="false" ht="23.85" hidden="false" customHeight="false" outlineLevel="0" collapsed="false">
      <c r="A1177" s="13" t="s">
        <v>4</v>
      </c>
      <c r="B1177" s="13" t="s">
        <v>4108</v>
      </c>
      <c r="C1177" s="13" t="n">
        <v>466</v>
      </c>
      <c r="D1177" s="13" t="s">
        <v>10971</v>
      </c>
      <c r="E1177" s="13" t="n">
        <v>2</v>
      </c>
      <c r="F1177" s="13" t="s">
        <v>15094</v>
      </c>
      <c r="G1177" s="13" t="s">
        <v>15095</v>
      </c>
      <c r="H1177" s="13" t="s">
        <v>10974</v>
      </c>
      <c r="I1177" s="13" t="s">
        <v>10975</v>
      </c>
    </row>
    <row r="1178" customFormat="false" ht="23.85" hidden="false" customHeight="false" outlineLevel="0" collapsed="false">
      <c r="A1178" s="13" t="s">
        <v>4</v>
      </c>
      <c r="B1178" s="13" t="s">
        <v>4108</v>
      </c>
      <c r="C1178" s="13" t="n">
        <v>466</v>
      </c>
      <c r="D1178" s="13" t="s">
        <v>10978</v>
      </c>
      <c r="E1178" s="13" t="n">
        <v>2</v>
      </c>
      <c r="F1178" s="13" t="s">
        <v>15094</v>
      </c>
      <c r="G1178" s="13" t="s">
        <v>15095</v>
      </c>
      <c r="H1178" s="13" t="s">
        <v>10981</v>
      </c>
      <c r="I1178" s="13" t="s">
        <v>10982</v>
      </c>
    </row>
    <row r="1179" customFormat="false" ht="23.85" hidden="false" customHeight="false" outlineLevel="0" collapsed="false">
      <c r="A1179" s="13" t="s">
        <v>4</v>
      </c>
      <c r="B1179" s="13" t="s">
        <v>4108</v>
      </c>
      <c r="C1179" s="13" t="n">
        <v>466</v>
      </c>
      <c r="D1179" s="13" t="s">
        <v>10985</v>
      </c>
      <c r="E1179" s="13" t="n">
        <v>2</v>
      </c>
      <c r="F1179" s="13" t="s">
        <v>15094</v>
      </c>
      <c r="G1179" s="13" t="s">
        <v>15095</v>
      </c>
      <c r="H1179" s="13" t="s">
        <v>10988</v>
      </c>
      <c r="I1179" s="13" t="s">
        <v>10989</v>
      </c>
    </row>
    <row r="1180" customFormat="false" ht="23.85" hidden="false" customHeight="false" outlineLevel="0" collapsed="false">
      <c r="A1180" s="13" t="s">
        <v>4</v>
      </c>
      <c r="B1180" s="13" t="s">
        <v>4108</v>
      </c>
      <c r="C1180" s="13" t="n">
        <v>466</v>
      </c>
      <c r="D1180" s="13" t="s">
        <v>10992</v>
      </c>
      <c r="E1180" s="13" t="n">
        <v>2</v>
      </c>
      <c r="F1180" s="13" t="s">
        <v>15094</v>
      </c>
      <c r="G1180" s="13" t="s">
        <v>15095</v>
      </c>
      <c r="H1180" s="13" t="s">
        <v>10995</v>
      </c>
      <c r="I1180" s="13" t="s">
        <v>10996</v>
      </c>
    </row>
    <row r="1181" customFormat="false" ht="15" hidden="false" customHeight="false" outlineLevel="0" collapsed="false">
      <c r="A1181" s="13" t="s">
        <v>4</v>
      </c>
      <c r="B1181" s="13" t="s">
        <v>4108</v>
      </c>
      <c r="C1181" s="13" t="n">
        <v>466</v>
      </c>
      <c r="D1181" s="13" t="s">
        <v>15306</v>
      </c>
      <c r="E1181" s="13" t="n">
        <v>0</v>
      </c>
      <c r="F1181" s="13" t="s">
        <v>15097</v>
      </c>
      <c r="G1181" s="13" t="s">
        <v>15095</v>
      </c>
      <c r="H1181" s="13" t="s">
        <v>15307</v>
      </c>
      <c r="I1181" s="13" t="s">
        <v>15308</v>
      </c>
    </row>
    <row r="1182" customFormat="false" ht="35.05" hidden="false" customHeight="false" outlineLevel="0" collapsed="false">
      <c r="A1182" s="13" t="s">
        <v>4</v>
      </c>
      <c r="B1182" s="13" t="s">
        <v>4108</v>
      </c>
      <c r="C1182" s="13" t="n">
        <v>502</v>
      </c>
      <c r="D1182" s="13" t="s">
        <v>10999</v>
      </c>
      <c r="E1182" s="13" t="n">
        <v>4</v>
      </c>
      <c r="F1182" s="13" t="s">
        <v>15094</v>
      </c>
      <c r="G1182" s="13" t="s">
        <v>15095</v>
      </c>
      <c r="H1182" s="13" t="s">
        <v>11002</v>
      </c>
      <c r="I1182" s="13" t="s">
        <v>11003</v>
      </c>
    </row>
    <row r="1183" customFormat="false" ht="79.85" hidden="false" customHeight="false" outlineLevel="0" collapsed="false">
      <c r="A1183" s="13" t="s">
        <v>4</v>
      </c>
      <c r="B1183" s="13" t="s">
        <v>4108</v>
      </c>
      <c r="C1183" s="13" t="n">
        <v>502</v>
      </c>
      <c r="D1183" s="13" t="s">
        <v>11010</v>
      </c>
      <c r="E1183" s="13" t="n">
        <v>4</v>
      </c>
      <c r="F1183" s="13" t="s">
        <v>15094</v>
      </c>
      <c r="G1183" s="13" t="s">
        <v>15095</v>
      </c>
      <c r="H1183" s="13" t="s">
        <v>11014</v>
      </c>
      <c r="I1183" s="13" t="s">
        <v>11015</v>
      </c>
    </row>
    <row r="1184" customFormat="false" ht="91" hidden="false" customHeight="false" outlineLevel="0" collapsed="false">
      <c r="A1184" s="13" t="s">
        <v>4</v>
      </c>
      <c r="B1184" s="13" t="s">
        <v>4108</v>
      </c>
      <c r="C1184" s="13" t="n">
        <v>502</v>
      </c>
      <c r="D1184" s="13" t="s">
        <v>11028</v>
      </c>
      <c r="E1184" s="13" t="n">
        <v>8</v>
      </c>
      <c r="F1184" s="13" t="s">
        <v>15094</v>
      </c>
      <c r="G1184" s="13" t="s">
        <v>15095</v>
      </c>
      <c r="H1184" s="13" t="s">
        <v>11031</v>
      </c>
      <c r="I1184" s="13" t="s">
        <v>11032</v>
      </c>
    </row>
    <row r="1185" customFormat="false" ht="68.65" hidden="false" customHeight="false" outlineLevel="0" collapsed="false">
      <c r="A1185" s="13" t="s">
        <v>4</v>
      </c>
      <c r="B1185" s="13" t="s">
        <v>4108</v>
      </c>
      <c r="C1185" s="13" t="n">
        <v>502</v>
      </c>
      <c r="D1185" s="13" t="s">
        <v>11047</v>
      </c>
      <c r="E1185" s="13" t="n">
        <v>4</v>
      </c>
      <c r="F1185" s="13" t="s">
        <v>15094</v>
      </c>
      <c r="G1185" s="13" t="s">
        <v>15095</v>
      </c>
      <c r="H1185" s="13" t="s">
        <v>11052</v>
      </c>
      <c r="I1185" s="13" t="s">
        <v>11053</v>
      </c>
    </row>
    <row r="1186" customFormat="false" ht="79.85" hidden="false" customHeight="false" outlineLevel="0" collapsed="false">
      <c r="A1186" s="13" t="s">
        <v>4</v>
      </c>
      <c r="B1186" s="13" t="s">
        <v>4108</v>
      </c>
      <c r="C1186" s="13" t="n">
        <v>502</v>
      </c>
      <c r="D1186" s="13" t="s">
        <v>11062</v>
      </c>
      <c r="E1186" s="13" t="n">
        <v>4</v>
      </c>
      <c r="F1186" s="13" t="s">
        <v>15094</v>
      </c>
      <c r="G1186" s="13" t="s">
        <v>15095</v>
      </c>
      <c r="H1186" s="13" t="s">
        <v>11067</v>
      </c>
      <c r="I1186" s="13" t="s">
        <v>11068</v>
      </c>
    </row>
    <row r="1187" customFormat="false" ht="57.45" hidden="false" customHeight="false" outlineLevel="0" collapsed="false">
      <c r="A1187" s="13" t="s">
        <v>4</v>
      </c>
      <c r="B1187" s="13" t="s">
        <v>4108</v>
      </c>
      <c r="C1187" s="13" t="n">
        <v>502</v>
      </c>
      <c r="D1187" s="13" t="s">
        <v>11073</v>
      </c>
      <c r="E1187" s="13" t="n">
        <v>6</v>
      </c>
      <c r="F1187" s="13" t="s">
        <v>15094</v>
      </c>
      <c r="G1187" s="13" t="s">
        <v>15095</v>
      </c>
      <c r="H1187" s="13" t="s">
        <v>11077</v>
      </c>
      <c r="I1187" s="13" t="s">
        <v>11078</v>
      </c>
    </row>
    <row r="1188" customFormat="false" ht="23.85" hidden="false" customHeight="false" outlineLevel="0" collapsed="false">
      <c r="A1188" s="13" t="s">
        <v>4</v>
      </c>
      <c r="B1188" s="13" t="s">
        <v>4108</v>
      </c>
      <c r="C1188" s="13" t="n">
        <v>511</v>
      </c>
      <c r="D1188" s="13" t="s">
        <v>15309</v>
      </c>
      <c r="E1188" s="13" t="n">
        <v>0</v>
      </c>
      <c r="F1188" s="13"/>
      <c r="G1188" s="13" t="s">
        <v>15310</v>
      </c>
      <c r="H1188" s="13" t="s">
        <v>15311</v>
      </c>
      <c r="I1188" s="13" t="s">
        <v>15312</v>
      </c>
    </row>
    <row r="1189" customFormat="false" ht="15" hidden="false" customHeight="false" outlineLevel="0" collapsed="false">
      <c r="A1189" s="13" t="s">
        <v>4</v>
      </c>
      <c r="B1189" s="13" t="s">
        <v>4108</v>
      </c>
      <c r="C1189" s="13" t="n">
        <v>511</v>
      </c>
      <c r="D1189" s="13" t="s">
        <v>15313</v>
      </c>
      <c r="E1189" s="13" t="n">
        <v>0</v>
      </c>
      <c r="F1189" s="13"/>
      <c r="G1189" s="13" t="s">
        <v>15310</v>
      </c>
      <c r="H1189" s="13" t="s">
        <v>15314</v>
      </c>
      <c r="I1189" s="13" t="s">
        <v>15315</v>
      </c>
    </row>
    <row r="1190" customFormat="false" ht="35.05" hidden="false" customHeight="false" outlineLevel="0" collapsed="false">
      <c r="A1190" s="13" t="s">
        <v>4</v>
      </c>
      <c r="B1190" s="13" t="s">
        <v>4108</v>
      </c>
      <c r="C1190" s="13" t="n">
        <v>511</v>
      </c>
      <c r="D1190" s="13" t="s">
        <v>15056</v>
      </c>
      <c r="E1190" s="13" t="n">
        <v>0</v>
      </c>
      <c r="F1190" s="13"/>
      <c r="G1190" s="13" t="s">
        <v>15310</v>
      </c>
      <c r="H1190" s="13" t="s">
        <v>15061</v>
      </c>
      <c r="I1190" s="13" t="s">
        <v>15062</v>
      </c>
    </row>
    <row r="1191" customFormat="false" ht="15" hidden="false" customHeight="false" outlineLevel="0" collapsed="false">
      <c r="A1191" s="13" t="s">
        <v>4</v>
      </c>
      <c r="B1191" s="13" t="s">
        <v>4108</v>
      </c>
      <c r="C1191" s="13" t="n">
        <v>511</v>
      </c>
      <c r="D1191" s="13" t="s">
        <v>15316</v>
      </c>
      <c r="E1191" s="13" t="n">
        <v>0</v>
      </c>
      <c r="F1191" s="13"/>
      <c r="G1191" s="13" t="s">
        <v>15310</v>
      </c>
      <c r="H1191" s="13" t="s">
        <v>15317</v>
      </c>
      <c r="I1191" s="13" t="s">
        <v>15318</v>
      </c>
    </row>
    <row r="1192" customFormat="false" ht="15" hidden="false" customHeight="false" outlineLevel="0" collapsed="false">
      <c r="A1192" s="13" t="s">
        <v>4</v>
      </c>
      <c r="B1192" s="13" t="s">
        <v>4108</v>
      </c>
      <c r="C1192" s="13" t="n">
        <v>511</v>
      </c>
      <c r="D1192" s="13" t="s">
        <v>15319</v>
      </c>
      <c r="E1192" s="13" t="n">
        <v>0</v>
      </c>
      <c r="F1192" s="13"/>
      <c r="G1192" s="13" t="s">
        <v>15310</v>
      </c>
      <c r="H1192" s="13" t="s">
        <v>15320</v>
      </c>
      <c r="I1192" s="13" t="s">
        <v>15321</v>
      </c>
    </row>
    <row r="1193" customFormat="false" ht="15" hidden="false" customHeight="false" outlineLevel="0" collapsed="false">
      <c r="A1193" s="13" t="s">
        <v>4</v>
      </c>
      <c r="B1193" s="13" t="s">
        <v>4108</v>
      </c>
      <c r="C1193" s="13" t="n">
        <v>511</v>
      </c>
      <c r="D1193" s="13" t="s">
        <v>15322</v>
      </c>
      <c r="E1193" s="13" t="n">
        <v>0</v>
      </c>
      <c r="F1193" s="13"/>
      <c r="G1193" s="13" t="s">
        <v>15310</v>
      </c>
      <c r="H1193" s="13" t="s">
        <v>15323</v>
      </c>
      <c r="I1193" s="13" t="s">
        <v>15324</v>
      </c>
    </row>
    <row r="1194" customFormat="false" ht="15" hidden="false" customHeight="false" outlineLevel="0" collapsed="false">
      <c r="A1194" s="13" t="s">
        <v>4</v>
      </c>
      <c r="B1194" s="13" t="s">
        <v>4108</v>
      </c>
      <c r="C1194" s="13" t="n">
        <v>511</v>
      </c>
      <c r="D1194" s="13" t="s">
        <v>15325</v>
      </c>
      <c r="E1194" s="13" t="n">
        <v>0</v>
      </c>
      <c r="F1194" s="13"/>
      <c r="G1194" s="13" t="s">
        <v>15310</v>
      </c>
      <c r="H1194" s="13" t="s">
        <v>15323</v>
      </c>
      <c r="I1194" s="13" t="s">
        <v>15324</v>
      </c>
    </row>
    <row r="1195" customFormat="false" ht="15" hidden="false" customHeight="false" outlineLevel="0" collapsed="false">
      <c r="A1195" s="13" t="s">
        <v>4</v>
      </c>
      <c r="B1195" s="13" t="s">
        <v>4108</v>
      </c>
      <c r="C1195" s="13" t="n">
        <v>511</v>
      </c>
      <c r="D1195" s="13" t="s">
        <v>15326</v>
      </c>
      <c r="E1195" s="13" t="n">
        <v>0</v>
      </c>
      <c r="F1195" s="13"/>
      <c r="G1195" s="13" t="s">
        <v>15310</v>
      </c>
      <c r="H1195" s="13" t="s">
        <v>15327</v>
      </c>
      <c r="I1195" s="13" t="s">
        <v>15328</v>
      </c>
    </row>
    <row r="1196" customFormat="false" ht="15" hidden="false" customHeight="false" outlineLevel="0" collapsed="false">
      <c r="A1196" s="13" t="s">
        <v>4</v>
      </c>
      <c r="B1196" s="13" t="s">
        <v>4108</v>
      </c>
      <c r="C1196" s="13" t="n">
        <v>511</v>
      </c>
      <c r="D1196" s="13" t="s">
        <v>15329</v>
      </c>
      <c r="E1196" s="13" t="n">
        <v>0</v>
      </c>
      <c r="F1196" s="13"/>
      <c r="G1196" s="13" t="s">
        <v>15310</v>
      </c>
      <c r="H1196" s="13" t="s">
        <v>15330</v>
      </c>
      <c r="I1196" s="13" t="s">
        <v>15331</v>
      </c>
    </row>
    <row r="1197" customFormat="false" ht="15" hidden="false" customHeight="false" outlineLevel="0" collapsed="false">
      <c r="A1197" s="13" t="s">
        <v>4</v>
      </c>
      <c r="B1197" s="13" t="s">
        <v>4108</v>
      </c>
      <c r="C1197" s="13" t="n">
        <v>511</v>
      </c>
      <c r="D1197" s="13" t="s">
        <v>15332</v>
      </c>
      <c r="E1197" s="13" t="n">
        <v>0</v>
      </c>
      <c r="F1197" s="13"/>
      <c r="G1197" s="13" t="s">
        <v>15310</v>
      </c>
      <c r="H1197" s="13" t="s">
        <v>15333</v>
      </c>
      <c r="I1197" s="13" t="s">
        <v>15334</v>
      </c>
    </row>
    <row r="1198" customFormat="false" ht="23.85" hidden="false" customHeight="false" outlineLevel="0" collapsed="false">
      <c r="A1198" s="13" t="s">
        <v>4</v>
      </c>
      <c r="B1198" s="13" t="s">
        <v>4108</v>
      </c>
      <c r="C1198" s="13" t="n">
        <v>511</v>
      </c>
      <c r="D1198" s="13" t="s">
        <v>15063</v>
      </c>
      <c r="E1198" s="13" t="n">
        <v>0</v>
      </c>
      <c r="F1198" s="13"/>
      <c r="G1198" s="13" t="s">
        <v>15310</v>
      </c>
      <c r="H1198" s="13" t="s">
        <v>15067</v>
      </c>
      <c r="I1198" s="13" t="s">
        <v>15068</v>
      </c>
    </row>
    <row r="1199" customFormat="false" ht="15" hidden="false" customHeight="false" outlineLevel="0" collapsed="false">
      <c r="A1199" s="13" t="s">
        <v>4</v>
      </c>
      <c r="B1199" s="13" t="s">
        <v>4108</v>
      </c>
      <c r="C1199" s="13" t="n">
        <v>511</v>
      </c>
      <c r="D1199" s="13" t="s">
        <v>15335</v>
      </c>
      <c r="E1199" s="13" t="n">
        <v>0</v>
      </c>
      <c r="F1199" s="13"/>
      <c r="G1199" s="13" t="s">
        <v>15310</v>
      </c>
      <c r="H1199" s="13" t="s">
        <v>15336</v>
      </c>
      <c r="I1199" s="13" t="s">
        <v>15337</v>
      </c>
    </row>
    <row r="1200" customFormat="false" ht="68.65" hidden="false" customHeight="false" outlineLevel="0" collapsed="false">
      <c r="A1200" s="13" t="s">
        <v>4</v>
      </c>
      <c r="B1200" s="13" t="s">
        <v>4108</v>
      </c>
      <c r="C1200" s="13" t="n">
        <v>511</v>
      </c>
      <c r="D1200" s="13" t="s">
        <v>15069</v>
      </c>
      <c r="E1200" s="13" t="n">
        <v>0</v>
      </c>
      <c r="F1200" s="13"/>
      <c r="G1200" s="13" t="s">
        <v>15310</v>
      </c>
      <c r="H1200" s="13" t="s">
        <v>15073</v>
      </c>
      <c r="I1200" s="13" t="s">
        <v>15074</v>
      </c>
    </row>
    <row r="1201" customFormat="false" ht="124.6" hidden="false" customHeight="false" outlineLevel="0" collapsed="false">
      <c r="A1201" s="13" t="s">
        <v>4</v>
      </c>
      <c r="B1201" s="13" t="s">
        <v>4108</v>
      </c>
      <c r="C1201" s="13" t="n">
        <v>511</v>
      </c>
      <c r="D1201" s="13" t="s">
        <v>15075</v>
      </c>
      <c r="E1201" s="13" t="n">
        <v>0</v>
      </c>
      <c r="F1201" s="13"/>
      <c r="G1201" s="13" t="s">
        <v>15310</v>
      </c>
      <c r="H1201" s="13" t="s">
        <v>15078</v>
      </c>
      <c r="I1201" s="13" t="s">
        <v>15079</v>
      </c>
    </row>
    <row r="1202" customFormat="false" ht="35.05" hidden="false" customHeight="false" outlineLevel="0" collapsed="false">
      <c r="A1202" s="13" t="s">
        <v>4</v>
      </c>
      <c r="B1202" s="13" t="s">
        <v>4108</v>
      </c>
      <c r="C1202" s="13" t="n">
        <v>511</v>
      </c>
      <c r="D1202" s="13" t="s">
        <v>15086</v>
      </c>
      <c r="E1202" s="13" t="n">
        <v>0</v>
      </c>
      <c r="F1202" s="13"/>
      <c r="G1202" s="13" t="s">
        <v>15310</v>
      </c>
      <c r="H1202" s="13" t="s">
        <v>15089</v>
      </c>
      <c r="I1202" s="13" t="s">
        <v>15090</v>
      </c>
    </row>
  </sheetData>
  <autoFilter ref="A1:I120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2026-09-29T21:09:21Z</dcterms:created>
  <dc:creator>openpyxl</dc:creator>
  <dc:description/>
  <dc:language>en-US</dc:language>
  <cp:lastModifiedBy/>
  <dcterms:modified xsi:type="dcterms:W3CDTF">2026-09-29T21:09:22Z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